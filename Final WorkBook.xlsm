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dies\Desktop\"/>
    </mc:Choice>
  </mc:AlternateContent>
  <xr:revisionPtr revIDLastSave="0" documentId="13_ncr:1_{84FB4C86-15B5-419E-9C83-BF8B56538829}" xr6:coauthVersionLast="47" xr6:coauthVersionMax="47" xr10:uidLastSave="{00000000-0000-0000-0000-000000000000}"/>
  <bookViews>
    <workbookView xWindow="-108" yWindow="-108" windowWidth="23256" windowHeight="12456" tabRatio="677" activeTab="7" xr2:uid="{00000000-000D-0000-FFFF-FFFF00000000}"/>
  </bookViews>
  <sheets>
    <sheet name="DatSet1" sheetId="2" r:id="rId1"/>
    <sheet name="DataSet2" sheetId="3" r:id="rId2"/>
    <sheet name="DataSet3" sheetId="6" r:id="rId3"/>
    <sheet name="Raw Data" sheetId="7" r:id="rId4"/>
    <sheet name="Final Data" sheetId="1" r:id="rId5"/>
    <sheet name="PIVOT TABLE" sheetId="4" r:id="rId6"/>
    <sheet name="HEAT MAP" sheetId="8" r:id="rId7"/>
    <sheet name="DASHBOARD" sheetId="5" r:id="rId8"/>
  </sheets>
  <definedNames>
    <definedName name="_xlnm._FilterDatabase" localSheetId="4" hidden="1">'Final Data'!$A$1:$M$2</definedName>
    <definedName name="Slicer_Days__dteday">#N/A</definedName>
    <definedName name="Slicer_holiday">#N/A</definedName>
    <definedName name="Slicer_Months__dteday">#N/A</definedName>
    <definedName name="Slicer_weathersit">#N/A</definedName>
  </definedNames>
  <calcPr calcId="191029"/>
  <pivotCaches>
    <pivotCache cacheId="2"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M613" i="7" l="1"/>
  <c r="M614" i="7"/>
  <c r="M615" i="7"/>
  <c r="M616" i="7"/>
  <c r="M617" i="7"/>
  <c r="M618" i="7"/>
  <c r="M619" i="7"/>
  <c r="M620" i="7"/>
  <c r="M621" i="7"/>
  <c r="M622" i="7"/>
  <c r="M623" i="7"/>
  <c r="M624" i="7"/>
  <c r="M625" i="7"/>
  <c r="M626" i="7"/>
  <c r="M627" i="7"/>
  <c r="M628" i="7"/>
  <c r="M629" i="7"/>
  <c r="M630" i="7"/>
  <c r="M631" i="7"/>
  <c r="M632" i="7"/>
  <c r="M633" i="7"/>
  <c r="M634" i="7"/>
  <c r="M635" i="7"/>
  <c r="M636" i="7"/>
  <c r="M637" i="7"/>
  <c r="M638" i="7"/>
  <c r="M639" i="7"/>
  <c r="M640" i="7"/>
  <c r="M641" i="7"/>
  <c r="M642" i="7"/>
  <c r="M643" i="7"/>
  <c r="M644" i="7"/>
  <c r="M645" i="7"/>
  <c r="M646" i="7"/>
  <c r="M647" i="7"/>
  <c r="M648" i="7"/>
  <c r="M649" i="7"/>
  <c r="M650" i="7"/>
  <c r="M651" i="7"/>
  <c r="M652" i="7"/>
  <c r="M653" i="7"/>
  <c r="M654" i="7"/>
  <c r="M655" i="7"/>
  <c r="M656" i="7"/>
  <c r="M657" i="7"/>
  <c r="M658" i="7"/>
  <c r="M659" i="7"/>
  <c r="M660" i="7"/>
  <c r="M661" i="7"/>
  <c r="M662" i="7"/>
  <c r="M663" i="7"/>
  <c r="M664" i="7"/>
  <c r="M665" i="7"/>
  <c r="M666" i="7"/>
  <c r="M667" i="7"/>
  <c r="M668" i="7"/>
  <c r="M669" i="7"/>
  <c r="M670" i="7"/>
  <c r="M671" i="7"/>
  <c r="M672" i="7"/>
  <c r="M673" i="7"/>
  <c r="M674" i="7"/>
  <c r="M675" i="7"/>
  <c r="M676" i="7"/>
  <c r="M677" i="7"/>
  <c r="M678" i="7"/>
  <c r="M679" i="7"/>
  <c r="M680" i="7"/>
  <c r="M681" i="7"/>
  <c r="M682" i="7"/>
  <c r="M683" i="7"/>
  <c r="M684" i="7"/>
  <c r="M685" i="7"/>
  <c r="M686" i="7"/>
  <c r="M687" i="7"/>
  <c r="M688" i="7"/>
  <c r="M689" i="7"/>
  <c r="M690" i="7"/>
  <c r="M691" i="7"/>
  <c r="M692" i="7"/>
  <c r="M693" i="7"/>
  <c r="M694" i="7"/>
  <c r="M695" i="7"/>
  <c r="M696" i="7"/>
  <c r="M697" i="7"/>
  <c r="M698" i="7"/>
  <c r="M699" i="7"/>
  <c r="M700" i="7"/>
  <c r="M701" i="7"/>
  <c r="M702" i="7"/>
  <c r="M703" i="7"/>
  <c r="M704" i="7"/>
  <c r="M705" i="7"/>
  <c r="M706" i="7"/>
  <c r="M707" i="7"/>
  <c r="M708" i="7"/>
  <c r="M709" i="7"/>
  <c r="M710" i="7"/>
  <c r="M711" i="7"/>
  <c r="M712" i="7"/>
  <c r="M713" i="7"/>
  <c r="M714" i="7"/>
  <c r="M715" i="7"/>
  <c r="M716" i="7"/>
  <c r="M717" i="7"/>
  <c r="M718" i="7"/>
  <c r="M719" i="7"/>
  <c r="M720" i="7"/>
  <c r="M721" i="7"/>
  <c r="M722" i="7"/>
  <c r="M723" i="7"/>
  <c r="M724" i="7"/>
  <c r="M725" i="7"/>
  <c r="M726" i="7"/>
  <c r="M727" i="7"/>
  <c r="M728" i="7"/>
  <c r="M729" i="7"/>
  <c r="M730" i="7"/>
  <c r="M731" i="7"/>
  <c r="M732" i="7"/>
  <c r="M733" i="7"/>
  <c r="M734" i="7"/>
  <c r="M735" i="7"/>
  <c r="M736" i="7"/>
  <c r="M737" i="7"/>
  <c r="M738" i="7"/>
  <c r="M739" i="7"/>
  <c r="M740" i="7"/>
  <c r="M741" i="7"/>
  <c r="M742" i="7"/>
  <c r="M743" i="7"/>
  <c r="M744" i="7"/>
  <c r="M745" i="7"/>
  <c r="M746" i="7"/>
  <c r="M747" i="7"/>
  <c r="M748" i="7"/>
  <c r="M749" i="7"/>
  <c r="M750" i="7"/>
  <c r="M751" i="7"/>
  <c r="M752" i="7"/>
  <c r="M753" i="7"/>
  <c r="M754" i="7"/>
  <c r="M755" i="7"/>
  <c r="M756" i="7"/>
  <c r="M757" i="7"/>
  <c r="M758" i="7"/>
  <c r="M759" i="7"/>
  <c r="M760" i="7"/>
  <c r="M761" i="7"/>
  <c r="M762" i="7"/>
  <c r="M763" i="7"/>
  <c r="M764" i="7"/>
  <c r="M765" i="7"/>
  <c r="M766" i="7"/>
  <c r="M767" i="7"/>
  <c r="M768" i="7"/>
  <c r="M769" i="7"/>
  <c r="M770" i="7"/>
  <c r="M771" i="7"/>
  <c r="M772" i="7"/>
  <c r="M773" i="7"/>
  <c r="M774" i="7"/>
  <c r="M775" i="7"/>
  <c r="M776" i="7"/>
  <c r="M777" i="7"/>
  <c r="M778" i="7"/>
  <c r="M779" i="7"/>
  <c r="M780" i="7"/>
  <c r="M781" i="7"/>
  <c r="M782" i="7"/>
  <c r="M783" i="7"/>
  <c r="M784" i="7"/>
  <c r="M785" i="7"/>
  <c r="M786" i="7"/>
  <c r="M787" i="7"/>
  <c r="M788" i="7"/>
  <c r="M789" i="7"/>
  <c r="M790" i="7"/>
  <c r="M791" i="7"/>
  <c r="M792" i="7"/>
  <c r="M793" i="7"/>
  <c r="M794" i="7"/>
  <c r="M795" i="7"/>
  <c r="M796" i="7"/>
  <c r="M797" i="7"/>
  <c r="M798" i="7"/>
  <c r="M799" i="7"/>
  <c r="M800" i="7"/>
  <c r="M801" i="7"/>
  <c r="M802" i="7"/>
  <c r="M803" i="7"/>
  <c r="M804" i="7"/>
  <c r="M805" i="7"/>
  <c r="M806" i="7"/>
  <c r="M807" i="7"/>
  <c r="M808" i="7"/>
  <c r="M809" i="7"/>
  <c r="M810" i="7"/>
  <c r="M811" i="7"/>
  <c r="M812" i="7"/>
  <c r="M813" i="7"/>
  <c r="M814" i="7"/>
  <c r="M815" i="7"/>
  <c r="M816" i="7"/>
  <c r="M817" i="7"/>
  <c r="M818" i="7"/>
  <c r="M819" i="7"/>
  <c r="M820" i="7"/>
  <c r="M821" i="7"/>
  <c r="M822" i="7"/>
  <c r="M823" i="7"/>
  <c r="M824" i="7"/>
  <c r="M825" i="7"/>
  <c r="M826" i="7"/>
  <c r="M827" i="7"/>
  <c r="M828" i="7"/>
  <c r="M829" i="7"/>
  <c r="M830" i="7"/>
  <c r="M831" i="7"/>
  <c r="M832" i="7"/>
  <c r="M833" i="7"/>
  <c r="M834" i="7"/>
  <c r="M835" i="7"/>
  <c r="M836" i="7"/>
  <c r="M837" i="7"/>
  <c r="M838" i="7"/>
  <c r="M839" i="7"/>
  <c r="M840" i="7"/>
  <c r="M841" i="7"/>
  <c r="M842" i="7"/>
  <c r="M843" i="7"/>
  <c r="M844" i="7"/>
  <c r="M845" i="7"/>
  <c r="M846" i="7"/>
  <c r="M847" i="7"/>
  <c r="M848" i="7"/>
  <c r="M849" i="7"/>
  <c r="M850" i="7"/>
  <c r="M851" i="7"/>
  <c r="M852" i="7"/>
  <c r="M853" i="7"/>
  <c r="M854" i="7"/>
  <c r="M855" i="7"/>
  <c r="M856" i="7"/>
  <c r="M857" i="7"/>
  <c r="M858" i="7"/>
  <c r="M859" i="7"/>
  <c r="M860" i="7"/>
  <c r="M861" i="7"/>
  <c r="M862" i="7"/>
  <c r="M863" i="7"/>
  <c r="M864" i="7"/>
  <c r="M865" i="7"/>
  <c r="M866" i="7"/>
  <c r="M867" i="7"/>
  <c r="M868" i="7"/>
  <c r="M869" i="7"/>
  <c r="M870" i="7"/>
  <c r="M871" i="7"/>
  <c r="M872" i="7"/>
  <c r="M873" i="7"/>
  <c r="M874" i="7"/>
  <c r="M875" i="7"/>
  <c r="M876" i="7"/>
  <c r="M877" i="7"/>
  <c r="M878" i="7"/>
  <c r="M879" i="7"/>
  <c r="M880" i="7"/>
  <c r="M881" i="7"/>
  <c r="M882" i="7"/>
  <c r="M883" i="7"/>
  <c r="M884" i="7"/>
  <c r="M885" i="7"/>
  <c r="M886" i="7"/>
  <c r="M887" i="7"/>
  <c r="M888" i="7"/>
  <c r="M889" i="7"/>
  <c r="M890" i="7"/>
  <c r="M891" i="7"/>
  <c r="M892" i="7"/>
  <c r="M893" i="7"/>
  <c r="M894" i="7"/>
  <c r="M895" i="7"/>
  <c r="M896" i="7"/>
  <c r="M897" i="7"/>
  <c r="M898" i="7"/>
  <c r="M899" i="7"/>
  <c r="M900" i="7"/>
  <c r="M901" i="7"/>
  <c r="M902" i="7"/>
  <c r="M903" i="7"/>
  <c r="M904" i="7"/>
  <c r="M905" i="7"/>
  <c r="M906" i="7"/>
  <c r="M907" i="7"/>
  <c r="M908" i="7"/>
  <c r="M909" i="7"/>
  <c r="M910" i="7"/>
  <c r="M911" i="7"/>
  <c r="M912" i="7"/>
  <c r="M913" i="7"/>
  <c r="M914" i="7"/>
  <c r="M915" i="7"/>
  <c r="M916" i="7"/>
  <c r="M917" i="7"/>
  <c r="M918" i="7"/>
  <c r="M919" i="7"/>
  <c r="M920" i="7"/>
  <c r="M921" i="7"/>
  <c r="M922" i="7"/>
  <c r="M923" i="7"/>
  <c r="M924" i="7"/>
  <c r="M925" i="7"/>
  <c r="M926" i="7"/>
  <c r="M927" i="7"/>
  <c r="M928" i="7"/>
  <c r="M929" i="7"/>
  <c r="M930" i="7"/>
  <c r="M931" i="7"/>
  <c r="M932" i="7"/>
  <c r="M933" i="7"/>
  <c r="M934" i="7"/>
  <c r="M935" i="7"/>
  <c r="M936" i="7"/>
  <c r="M937" i="7"/>
  <c r="M938" i="7"/>
  <c r="M939" i="7"/>
  <c r="M940" i="7"/>
  <c r="M941" i="7"/>
  <c r="M942" i="7"/>
  <c r="M943" i="7"/>
  <c r="M944" i="7"/>
  <c r="M945" i="7"/>
  <c r="M946" i="7"/>
  <c r="M947" i="7"/>
  <c r="M948" i="7"/>
  <c r="M949" i="7"/>
  <c r="M950" i="7"/>
  <c r="M951" i="7"/>
  <c r="M952" i="7"/>
  <c r="M953" i="7"/>
  <c r="M954" i="7"/>
  <c r="M955" i="7"/>
  <c r="M956" i="7"/>
  <c r="M957" i="7"/>
  <c r="M958" i="7"/>
  <c r="M959" i="7"/>
  <c r="M960" i="7"/>
  <c r="M961" i="7"/>
  <c r="M962" i="7"/>
  <c r="M963" i="7"/>
  <c r="M964" i="7"/>
  <c r="M965" i="7"/>
  <c r="M966" i="7"/>
  <c r="M967" i="7"/>
  <c r="M968" i="7"/>
  <c r="M969" i="7"/>
  <c r="M970" i="7"/>
  <c r="M971" i="7"/>
  <c r="M972" i="7"/>
  <c r="M973" i="7"/>
  <c r="M974" i="7"/>
  <c r="M975" i="7"/>
  <c r="M976" i="7"/>
  <c r="M977" i="7"/>
  <c r="M978" i="7"/>
  <c r="M979" i="7"/>
  <c r="M980" i="7"/>
  <c r="M981" i="7"/>
  <c r="M982" i="7"/>
  <c r="M983" i="7"/>
  <c r="M984" i="7"/>
  <c r="M985" i="7"/>
  <c r="M986" i="7"/>
  <c r="M987" i="7"/>
  <c r="M988" i="7"/>
  <c r="M989" i="7"/>
  <c r="M990" i="7"/>
  <c r="M991" i="7"/>
  <c r="M992" i="7"/>
  <c r="M993" i="7"/>
  <c r="M994" i="7"/>
  <c r="M995" i="7"/>
  <c r="M996" i="7"/>
  <c r="M997" i="7"/>
  <c r="M998" i="7"/>
  <c r="M999" i="7"/>
  <c r="M1000" i="7"/>
  <c r="M1001"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2" i="7"/>
  <c r="L743" i="7"/>
  <c r="L744" i="7"/>
  <c r="L745" i="7"/>
  <c r="L746" i="7"/>
  <c r="L747" i="7"/>
  <c r="L748" i="7"/>
  <c r="L749" i="7"/>
  <c r="L750" i="7"/>
  <c r="L751" i="7"/>
  <c r="L752" i="7"/>
  <c r="L753" i="7"/>
  <c r="L754" i="7"/>
  <c r="L755" i="7"/>
  <c r="L756" i="7"/>
  <c r="L757" i="7"/>
  <c r="L758" i="7"/>
  <c r="L759" i="7"/>
  <c r="L760" i="7"/>
  <c r="L761" i="7"/>
  <c r="L762" i="7"/>
  <c r="L763" i="7"/>
  <c r="L764" i="7"/>
  <c r="L765" i="7"/>
  <c r="L766" i="7"/>
  <c r="L767" i="7"/>
  <c r="L768" i="7"/>
  <c r="L769" i="7"/>
  <c r="L770" i="7"/>
  <c r="L771" i="7"/>
  <c r="L772" i="7"/>
  <c r="L773" i="7"/>
  <c r="L774" i="7"/>
  <c r="L775" i="7"/>
  <c r="L776" i="7"/>
  <c r="L777" i="7"/>
  <c r="L778" i="7"/>
  <c r="L779" i="7"/>
  <c r="L780" i="7"/>
  <c r="L781" i="7"/>
  <c r="L782" i="7"/>
  <c r="L783" i="7"/>
  <c r="L784" i="7"/>
  <c r="L785" i="7"/>
  <c r="L786" i="7"/>
  <c r="L787" i="7"/>
  <c r="L788" i="7"/>
  <c r="L789" i="7"/>
  <c r="L790" i="7"/>
  <c r="L791" i="7"/>
  <c r="L792" i="7"/>
  <c r="L793" i="7"/>
  <c r="L794" i="7"/>
  <c r="L795" i="7"/>
  <c r="L796" i="7"/>
  <c r="L797" i="7"/>
  <c r="L798" i="7"/>
  <c r="L799" i="7"/>
  <c r="L800" i="7"/>
  <c r="L801" i="7"/>
  <c r="L802" i="7"/>
  <c r="L803" i="7"/>
  <c r="L80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J613" i="7"/>
  <c r="J614" i="7"/>
  <c r="J615" i="7"/>
  <c r="J616" i="7"/>
  <c r="J617" i="7"/>
  <c r="J618" i="7"/>
  <c r="J619" i="7"/>
  <c r="J620" i="7"/>
  <c r="J621" i="7"/>
  <c r="J622" i="7"/>
  <c r="J623" i="7"/>
  <c r="J624" i="7"/>
  <c r="J625" i="7"/>
  <c r="J626" i="7"/>
  <c r="J627" i="7"/>
  <c r="J628" i="7"/>
  <c r="J629" i="7"/>
  <c r="J630" i="7"/>
  <c r="J631" i="7"/>
  <c r="J632" i="7"/>
  <c r="J633" i="7"/>
  <c r="J634" i="7"/>
  <c r="J635" i="7"/>
  <c r="J636" i="7"/>
  <c r="J637" i="7"/>
  <c r="J638" i="7"/>
  <c r="J639" i="7"/>
  <c r="J640" i="7"/>
  <c r="J641" i="7"/>
  <c r="J642" i="7"/>
  <c r="J643" i="7"/>
  <c r="J644" i="7"/>
  <c r="J645" i="7"/>
  <c r="J646" i="7"/>
  <c r="J647" i="7"/>
  <c r="J648" i="7"/>
  <c r="J649" i="7"/>
  <c r="J650" i="7"/>
  <c r="J651" i="7"/>
  <c r="J652" i="7"/>
  <c r="J653" i="7"/>
  <c r="J654" i="7"/>
  <c r="J655" i="7"/>
  <c r="J656" i="7"/>
  <c r="J657" i="7"/>
  <c r="J658" i="7"/>
  <c r="J659" i="7"/>
  <c r="J660" i="7"/>
  <c r="J661" i="7"/>
  <c r="J662" i="7"/>
  <c r="J663" i="7"/>
  <c r="J664" i="7"/>
  <c r="J665" i="7"/>
  <c r="J666" i="7"/>
  <c r="J667" i="7"/>
  <c r="J668" i="7"/>
  <c r="J669" i="7"/>
  <c r="J670" i="7"/>
  <c r="J671" i="7"/>
  <c r="J672" i="7"/>
  <c r="J673" i="7"/>
  <c r="J674" i="7"/>
  <c r="J675" i="7"/>
  <c r="J676" i="7"/>
  <c r="J677" i="7"/>
  <c r="J678" i="7"/>
  <c r="J679" i="7"/>
  <c r="J680" i="7"/>
  <c r="J681" i="7"/>
  <c r="J682" i="7"/>
  <c r="J683" i="7"/>
  <c r="J684" i="7"/>
  <c r="J685" i="7"/>
  <c r="J686" i="7"/>
  <c r="J687" i="7"/>
  <c r="J688" i="7"/>
  <c r="J689" i="7"/>
  <c r="J690" i="7"/>
  <c r="J691" i="7"/>
  <c r="J692" i="7"/>
  <c r="J693" i="7"/>
  <c r="J694" i="7"/>
  <c r="J695" i="7"/>
  <c r="J696" i="7"/>
  <c r="J697" i="7"/>
  <c r="J698" i="7"/>
  <c r="J699" i="7"/>
  <c r="J700" i="7"/>
  <c r="J701" i="7"/>
  <c r="J702" i="7"/>
  <c r="J703" i="7"/>
  <c r="J704" i="7"/>
  <c r="J705" i="7"/>
  <c r="J706" i="7"/>
  <c r="J707" i="7"/>
  <c r="J708" i="7"/>
  <c r="J709" i="7"/>
  <c r="J710" i="7"/>
  <c r="J711" i="7"/>
  <c r="J712" i="7"/>
  <c r="J713" i="7"/>
  <c r="J714" i="7"/>
  <c r="J715" i="7"/>
  <c r="J716" i="7"/>
  <c r="J717" i="7"/>
  <c r="J718" i="7"/>
  <c r="J719" i="7"/>
  <c r="J720" i="7"/>
  <c r="J721" i="7"/>
  <c r="J722" i="7"/>
  <c r="J723" i="7"/>
  <c r="J724" i="7"/>
  <c r="J725" i="7"/>
  <c r="J726" i="7"/>
  <c r="J727" i="7"/>
  <c r="J728" i="7"/>
  <c r="J729" i="7"/>
  <c r="J730" i="7"/>
  <c r="J731" i="7"/>
  <c r="J732" i="7"/>
  <c r="J733" i="7"/>
  <c r="J734" i="7"/>
  <c r="J735" i="7"/>
  <c r="J736" i="7"/>
  <c r="J737" i="7"/>
  <c r="J738" i="7"/>
  <c r="J739" i="7"/>
  <c r="J740" i="7"/>
  <c r="J741" i="7"/>
  <c r="J742" i="7"/>
  <c r="J743" i="7"/>
  <c r="J744" i="7"/>
  <c r="J745" i="7"/>
  <c r="J746" i="7"/>
  <c r="J747" i="7"/>
  <c r="J748" i="7"/>
  <c r="J749" i="7"/>
  <c r="J750" i="7"/>
  <c r="J751" i="7"/>
  <c r="J752" i="7"/>
  <c r="J753" i="7"/>
  <c r="J754" i="7"/>
  <c r="J755" i="7"/>
  <c r="J756" i="7"/>
  <c r="J757" i="7"/>
  <c r="J758" i="7"/>
  <c r="J759" i="7"/>
  <c r="J760" i="7"/>
  <c r="J761" i="7"/>
  <c r="J762" i="7"/>
  <c r="J763" i="7"/>
  <c r="J764" i="7"/>
  <c r="J765" i="7"/>
  <c r="J766" i="7"/>
  <c r="J767" i="7"/>
  <c r="J768" i="7"/>
  <c r="J769" i="7"/>
  <c r="J770" i="7"/>
  <c r="J771" i="7"/>
  <c r="J772" i="7"/>
  <c r="J773" i="7"/>
  <c r="J774" i="7"/>
  <c r="J775" i="7"/>
  <c r="J776" i="7"/>
  <c r="J777" i="7"/>
  <c r="J778" i="7"/>
  <c r="J779" i="7"/>
  <c r="J780" i="7"/>
  <c r="J781" i="7"/>
  <c r="J782" i="7"/>
  <c r="J783" i="7"/>
  <c r="J784" i="7"/>
  <c r="J785" i="7"/>
  <c r="J786" i="7"/>
  <c r="J787" i="7"/>
  <c r="J788" i="7"/>
  <c r="J789" i="7"/>
  <c r="J790" i="7"/>
  <c r="J791" i="7"/>
  <c r="J792" i="7"/>
  <c r="J793" i="7"/>
  <c r="J794" i="7"/>
  <c r="J795" i="7"/>
  <c r="J796" i="7"/>
  <c r="J797" i="7"/>
  <c r="J798" i="7"/>
  <c r="J799" i="7"/>
  <c r="J800" i="7"/>
  <c r="J801" i="7"/>
  <c r="J802" i="7"/>
  <c r="J803" i="7"/>
  <c r="J804" i="7"/>
  <c r="J805" i="7"/>
  <c r="J806" i="7"/>
  <c r="J807" i="7"/>
  <c r="J808" i="7"/>
  <c r="J809" i="7"/>
  <c r="J810" i="7"/>
  <c r="J811" i="7"/>
  <c r="J812" i="7"/>
  <c r="J813" i="7"/>
  <c r="J814" i="7"/>
  <c r="J815" i="7"/>
  <c r="J816" i="7"/>
  <c r="J817" i="7"/>
  <c r="J818" i="7"/>
  <c r="J819" i="7"/>
  <c r="J820" i="7"/>
  <c r="J821" i="7"/>
  <c r="J822" i="7"/>
  <c r="J823" i="7"/>
  <c r="J824" i="7"/>
  <c r="J825" i="7"/>
  <c r="J826" i="7"/>
  <c r="J827" i="7"/>
  <c r="J828" i="7"/>
  <c r="J829" i="7"/>
  <c r="J830" i="7"/>
  <c r="J831" i="7"/>
  <c r="J832" i="7"/>
  <c r="J833" i="7"/>
  <c r="J834" i="7"/>
  <c r="J835" i="7"/>
  <c r="J836" i="7"/>
  <c r="J837" i="7"/>
  <c r="J838" i="7"/>
  <c r="J839" i="7"/>
  <c r="J840" i="7"/>
  <c r="J841" i="7"/>
  <c r="J842" i="7"/>
  <c r="J843" i="7"/>
  <c r="J844" i="7"/>
  <c r="J845" i="7"/>
  <c r="J846" i="7"/>
  <c r="J847" i="7"/>
  <c r="J848" i="7"/>
  <c r="J849" i="7"/>
  <c r="J850" i="7"/>
  <c r="J851" i="7"/>
  <c r="J852" i="7"/>
  <c r="J853" i="7"/>
  <c r="J854" i="7"/>
  <c r="J855" i="7"/>
  <c r="J856" i="7"/>
  <c r="J857" i="7"/>
  <c r="J858" i="7"/>
  <c r="J859" i="7"/>
  <c r="J860" i="7"/>
  <c r="J861" i="7"/>
  <c r="J862" i="7"/>
  <c r="J863" i="7"/>
  <c r="J864" i="7"/>
  <c r="J865" i="7"/>
  <c r="J866" i="7"/>
  <c r="J867" i="7"/>
  <c r="J868" i="7"/>
  <c r="J869" i="7"/>
  <c r="J870" i="7"/>
  <c r="J871" i="7"/>
  <c r="J872" i="7"/>
  <c r="J873" i="7"/>
  <c r="J874" i="7"/>
  <c r="J875" i="7"/>
  <c r="J876" i="7"/>
  <c r="J877" i="7"/>
  <c r="J878" i="7"/>
  <c r="J879" i="7"/>
  <c r="J880" i="7"/>
  <c r="J881" i="7"/>
  <c r="J882" i="7"/>
  <c r="J883" i="7"/>
  <c r="J884" i="7"/>
  <c r="J885" i="7"/>
  <c r="J886" i="7"/>
  <c r="J887" i="7"/>
  <c r="J888" i="7"/>
  <c r="J889" i="7"/>
  <c r="J890" i="7"/>
  <c r="J891" i="7"/>
  <c r="J892" i="7"/>
  <c r="J893" i="7"/>
  <c r="J894" i="7"/>
  <c r="J895" i="7"/>
  <c r="J896" i="7"/>
  <c r="J897" i="7"/>
  <c r="J898" i="7"/>
  <c r="J899" i="7"/>
  <c r="J900" i="7"/>
  <c r="J901" i="7"/>
  <c r="J902" i="7"/>
  <c r="J903" i="7"/>
  <c r="J904" i="7"/>
  <c r="J905" i="7"/>
  <c r="J906" i="7"/>
  <c r="J907" i="7"/>
  <c r="J908" i="7"/>
  <c r="J909" i="7"/>
  <c r="J910" i="7"/>
  <c r="J911" i="7"/>
  <c r="J912" i="7"/>
  <c r="J913" i="7"/>
  <c r="J914" i="7"/>
  <c r="J915" i="7"/>
  <c r="J916" i="7"/>
  <c r="J917" i="7"/>
  <c r="J918" i="7"/>
  <c r="J919" i="7"/>
  <c r="J920" i="7"/>
  <c r="J921" i="7"/>
  <c r="J922" i="7"/>
  <c r="J923" i="7"/>
  <c r="J924" i="7"/>
  <c r="J925" i="7"/>
  <c r="J926" i="7"/>
  <c r="J927" i="7"/>
  <c r="J928" i="7"/>
  <c r="J929" i="7"/>
  <c r="J930" i="7"/>
  <c r="J931" i="7"/>
  <c r="J932" i="7"/>
  <c r="J933" i="7"/>
  <c r="J934" i="7"/>
  <c r="J935" i="7"/>
  <c r="J936" i="7"/>
  <c r="J937" i="7"/>
  <c r="J938" i="7"/>
  <c r="J939" i="7"/>
  <c r="J940" i="7"/>
  <c r="J941" i="7"/>
  <c r="J942" i="7"/>
  <c r="J943" i="7"/>
  <c r="J944" i="7"/>
  <c r="J945" i="7"/>
  <c r="J946" i="7"/>
  <c r="J947" i="7"/>
  <c r="J948" i="7"/>
  <c r="J949" i="7"/>
  <c r="J950" i="7"/>
  <c r="J951" i="7"/>
  <c r="J952" i="7"/>
  <c r="J953" i="7"/>
  <c r="J954" i="7"/>
  <c r="J955" i="7"/>
  <c r="J956" i="7"/>
  <c r="J957" i="7"/>
  <c r="J958" i="7"/>
  <c r="J959" i="7"/>
  <c r="J960" i="7"/>
  <c r="J961" i="7"/>
  <c r="J962" i="7"/>
  <c r="J963" i="7"/>
  <c r="J964" i="7"/>
  <c r="J965" i="7"/>
  <c r="J966" i="7"/>
  <c r="J967" i="7"/>
  <c r="J968" i="7"/>
  <c r="J969" i="7"/>
  <c r="J970" i="7"/>
  <c r="J971" i="7"/>
  <c r="J972" i="7"/>
  <c r="J973" i="7"/>
  <c r="J974" i="7"/>
  <c r="J975" i="7"/>
  <c r="J976" i="7"/>
  <c r="J977" i="7"/>
  <c r="J978" i="7"/>
  <c r="J979" i="7"/>
  <c r="J980" i="7"/>
  <c r="J981" i="7"/>
  <c r="J982" i="7"/>
  <c r="J983" i="7"/>
  <c r="J984" i="7"/>
  <c r="J985" i="7"/>
  <c r="J986" i="7"/>
  <c r="J987" i="7"/>
  <c r="J988" i="7"/>
  <c r="J989" i="7"/>
  <c r="J990" i="7"/>
  <c r="J991" i="7"/>
  <c r="J992" i="7"/>
  <c r="J993" i="7"/>
  <c r="J994" i="7"/>
  <c r="J995" i="7"/>
  <c r="J996" i="7"/>
  <c r="J997" i="7"/>
  <c r="J998" i="7"/>
  <c r="J999" i="7"/>
  <c r="J1000" i="7"/>
  <c r="J1001" i="7"/>
  <c r="I613" i="7"/>
  <c r="I614" i="7"/>
  <c r="I615" i="7"/>
  <c r="I616" i="7"/>
  <c r="I617" i="7"/>
  <c r="I618" i="7"/>
  <c r="I619"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51" i="7"/>
  <c r="I652" i="7"/>
  <c r="I653" i="7"/>
  <c r="I654" i="7"/>
  <c r="I655" i="7"/>
  <c r="I656" i="7"/>
  <c r="I657" i="7"/>
  <c r="I658" i="7"/>
  <c r="I659" i="7"/>
  <c r="I660" i="7"/>
  <c r="I661" i="7"/>
  <c r="I662" i="7"/>
  <c r="I663" i="7"/>
  <c r="I664" i="7"/>
  <c r="I665" i="7"/>
  <c r="I666" i="7"/>
  <c r="I667" i="7"/>
  <c r="I668" i="7"/>
  <c r="I669" i="7"/>
  <c r="I670" i="7"/>
  <c r="I671" i="7"/>
  <c r="I672" i="7"/>
  <c r="I673" i="7"/>
  <c r="I674" i="7"/>
  <c r="I675" i="7"/>
  <c r="I676" i="7"/>
  <c r="I677" i="7"/>
  <c r="I678" i="7"/>
  <c r="I679" i="7"/>
  <c r="I680" i="7"/>
  <c r="I681" i="7"/>
  <c r="I682" i="7"/>
  <c r="I683" i="7"/>
  <c r="I684" i="7"/>
  <c r="I685" i="7"/>
  <c r="I686" i="7"/>
  <c r="I687" i="7"/>
  <c r="I688" i="7"/>
  <c r="I689" i="7"/>
  <c r="I690" i="7"/>
  <c r="I691" i="7"/>
  <c r="I692" i="7"/>
  <c r="I693" i="7"/>
  <c r="I694" i="7"/>
  <c r="I695" i="7"/>
  <c r="I696" i="7"/>
  <c r="I697" i="7"/>
  <c r="I698" i="7"/>
  <c r="I699" i="7"/>
  <c r="I700" i="7"/>
  <c r="I701" i="7"/>
  <c r="I702" i="7"/>
  <c r="I703" i="7"/>
  <c r="I704" i="7"/>
  <c r="I705" i="7"/>
  <c r="I706" i="7"/>
  <c r="I707" i="7"/>
  <c r="I708" i="7"/>
  <c r="I709" i="7"/>
  <c r="I710" i="7"/>
  <c r="I711" i="7"/>
  <c r="I712" i="7"/>
  <c r="I713" i="7"/>
  <c r="I714" i="7"/>
  <c r="I715" i="7"/>
  <c r="I716" i="7"/>
  <c r="I717" i="7"/>
  <c r="I718" i="7"/>
  <c r="I719" i="7"/>
  <c r="I720" i="7"/>
  <c r="I721" i="7"/>
  <c r="I722" i="7"/>
  <c r="I723" i="7"/>
  <c r="I724" i="7"/>
  <c r="I725" i="7"/>
  <c r="I726" i="7"/>
  <c r="I727" i="7"/>
  <c r="I728" i="7"/>
  <c r="I729" i="7"/>
  <c r="I730" i="7"/>
  <c r="I731" i="7"/>
  <c r="I732" i="7"/>
  <c r="I733" i="7"/>
  <c r="I734" i="7"/>
  <c r="I735" i="7"/>
  <c r="I736" i="7"/>
  <c r="I737" i="7"/>
  <c r="I738" i="7"/>
  <c r="I739" i="7"/>
  <c r="I740" i="7"/>
  <c r="I741" i="7"/>
  <c r="I742" i="7"/>
  <c r="I743" i="7"/>
  <c r="I744" i="7"/>
  <c r="I745" i="7"/>
  <c r="I746" i="7"/>
  <c r="I747" i="7"/>
  <c r="I748" i="7"/>
  <c r="I749" i="7"/>
  <c r="I750" i="7"/>
  <c r="I751" i="7"/>
  <c r="I752" i="7"/>
  <c r="I753" i="7"/>
  <c r="I754" i="7"/>
  <c r="I755" i="7"/>
  <c r="I756" i="7"/>
  <c r="I757" i="7"/>
  <c r="I758" i="7"/>
  <c r="I759" i="7"/>
  <c r="I760" i="7"/>
  <c r="I761" i="7"/>
  <c r="I762" i="7"/>
  <c r="I763" i="7"/>
  <c r="I764" i="7"/>
  <c r="I765" i="7"/>
  <c r="I766" i="7"/>
  <c r="I767" i="7"/>
  <c r="I768" i="7"/>
  <c r="I769" i="7"/>
  <c r="I770" i="7"/>
  <c r="I771" i="7"/>
  <c r="I772" i="7"/>
  <c r="I773" i="7"/>
  <c r="I774" i="7"/>
  <c r="I775" i="7"/>
  <c r="I776" i="7"/>
  <c r="I777" i="7"/>
  <c r="I778" i="7"/>
  <c r="I779" i="7"/>
  <c r="I780" i="7"/>
  <c r="I781" i="7"/>
  <c r="I782" i="7"/>
  <c r="I783" i="7"/>
  <c r="I784" i="7"/>
  <c r="I785" i="7"/>
  <c r="I786" i="7"/>
  <c r="I787" i="7"/>
  <c r="I788" i="7"/>
  <c r="I789" i="7"/>
  <c r="I790" i="7"/>
  <c r="I791" i="7"/>
  <c r="I792" i="7"/>
  <c r="I793" i="7"/>
  <c r="I794" i="7"/>
  <c r="I795" i="7"/>
  <c r="I796" i="7"/>
  <c r="I797" i="7"/>
  <c r="I798" i="7"/>
  <c r="I799" i="7"/>
  <c r="I800" i="7"/>
  <c r="I801" i="7"/>
  <c r="I802" i="7"/>
  <c r="I803" i="7"/>
  <c r="I804" i="7"/>
  <c r="I805" i="7"/>
  <c r="I806" i="7"/>
  <c r="I807" i="7"/>
  <c r="I808" i="7"/>
  <c r="I809" i="7"/>
  <c r="I810" i="7"/>
  <c r="I811" i="7"/>
  <c r="I812" i="7"/>
  <c r="I813" i="7"/>
  <c r="I814" i="7"/>
  <c r="I815" i="7"/>
  <c r="I816" i="7"/>
  <c r="I817" i="7"/>
  <c r="I818" i="7"/>
  <c r="I819" i="7"/>
  <c r="I820" i="7"/>
  <c r="I821" i="7"/>
  <c r="I822" i="7"/>
  <c r="I823" i="7"/>
  <c r="I824" i="7"/>
  <c r="I825" i="7"/>
  <c r="I826" i="7"/>
  <c r="I827" i="7"/>
  <c r="I828" i="7"/>
  <c r="I829" i="7"/>
  <c r="I830" i="7"/>
  <c r="I831" i="7"/>
  <c r="I832" i="7"/>
  <c r="I833" i="7"/>
  <c r="I834" i="7"/>
  <c r="I835" i="7"/>
  <c r="I836" i="7"/>
  <c r="I837" i="7"/>
  <c r="I838" i="7"/>
  <c r="I839" i="7"/>
  <c r="I840" i="7"/>
  <c r="I841" i="7"/>
  <c r="I842" i="7"/>
  <c r="I843" i="7"/>
  <c r="I844" i="7"/>
  <c r="I845" i="7"/>
  <c r="I846" i="7"/>
  <c r="I847" i="7"/>
  <c r="I848" i="7"/>
  <c r="I849" i="7"/>
  <c r="I850" i="7"/>
  <c r="I851" i="7"/>
  <c r="I852" i="7"/>
  <c r="I853" i="7"/>
  <c r="I854" i="7"/>
  <c r="I855" i="7"/>
  <c r="I856" i="7"/>
  <c r="I857" i="7"/>
  <c r="I858" i="7"/>
  <c r="I859" i="7"/>
  <c r="I860" i="7"/>
  <c r="I861" i="7"/>
  <c r="I862" i="7"/>
  <c r="I863" i="7"/>
  <c r="I864" i="7"/>
  <c r="I865" i="7"/>
  <c r="I866" i="7"/>
  <c r="I867" i="7"/>
  <c r="I868" i="7"/>
  <c r="I869" i="7"/>
  <c r="I870" i="7"/>
  <c r="I871" i="7"/>
  <c r="I872" i="7"/>
  <c r="I873" i="7"/>
  <c r="I874" i="7"/>
  <c r="I875" i="7"/>
  <c r="I876" i="7"/>
  <c r="I877" i="7"/>
  <c r="I878" i="7"/>
  <c r="I879" i="7"/>
  <c r="I880" i="7"/>
  <c r="I881" i="7"/>
  <c r="I882" i="7"/>
  <c r="I883" i="7"/>
  <c r="I884" i="7"/>
  <c r="I885" i="7"/>
  <c r="I886" i="7"/>
  <c r="I887" i="7"/>
  <c r="I888" i="7"/>
  <c r="I889" i="7"/>
  <c r="I890" i="7"/>
  <c r="I891" i="7"/>
  <c r="I892" i="7"/>
  <c r="I893" i="7"/>
  <c r="I894" i="7"/>
  <c r="I895" i="7"/>
  <c r="I896" i="7"/>
  <c r="I897" i="7"/>
  <c r="I898" i="7"/>
  <c r="I899" i="7"/>
  <c r="I900" i="7"/>
  <c r="I901" i="7"/>
  <c r="I902" i="7"/>
  <c r="I903" i="7"/>
  <c r="I904" i="7"/>
  <c r="I905" i="7"/>
  <c r="I906" i="7"/>
  <c r="I907" i="7"/>
  <c r="I908" i="7"/>
  <c r="I909" i="7"/>
  <c r="I910" i="7"/>
  <c r="I911" i="7"/>
  <c r="I912" i="7"/>
  <c r="I913" i="7"/>
  <c r="I914" i="7"/>
  <c r="I915" i="7"/>
  <c r="I916" i="7"/>
  <c r="I917" i="7"/>
  <c r="I918" i="7"/>
  <c r="I919" i="7"/>
  <c r="I920" i="7"/>
  <c r="I921" i="7"/>
  <c r="I922" i="7"/>
  <c r="I923" i="7"/>
  <c r="I924" i="7"/>
  <c r="I925" i="7"/>
  <c r="I926" i="7"/>
  <c r="I927" i="7"/>
  <c r="I928" i="7"/>
  <c r="I929" i="7"/>
  <c r="I930" i="7"/>
  <c r="I931" i="7"/>
  <c r="I932" i="7"/>
  <c r="I933" i="7"/>
  <c r="I934" i="7"/>
  <c r="I935" i="7"/>
  <c r="I936" i="7"/>
  <c r="I937" i="7"/>
  <c r="I938" i="7"/>
  <c r="I939" i="7"/>
  <c r="I940" i="7"/>
  <c r="I941" i="7"/>
  <c r="I942" i="7"/>
  <c r="I943" i="7"/>
  <c r="I944" i="7"/>
  <c r="I945" i="7"/>
  <c r="I946" i="7"/>
  <c r="I947" i="7"/>
  <c r="I948" i="7"/>
  <c r="I949" i="7"/>
  <c r="I950" i="7"/>
  <c r="I951" i="7"/>
  <c r="I952" i="7"/>
  <c r="I953" i="7"/>
  <c r="I954" i="7"/>
  <c r="I955" i="7"/>
  <c r="I956" i="7"/>
  <c r="I957" i="7"/>
  <c r="I958" i="7"/>
  <c r="I959" i="7"/>
  <c r="I960" i="7"/>
  <c r="I961" i="7"/>
  <c r="I962" i="7"/>
  <c r="I963" i="7"/>
  <c r="I964" i="7"/>
  <c r="I965" i="7"/>
  <c r="I966" i="7"/>
  <c r="I967" i="7"/>
  <c r="I968" i="7"/>
  <c r="I969" i="7"/>
  <c r="I970" i="7"/>
  <c r="I971" i="7"/>
  <c r="I972" i="7"/>
  <c r="I973" i="7"/>
  <c r="I974" i="7"/>
  <c r="I975" i="7"/>
  <c r="I976" i="7"/>
  <c r="I977" i="7"/>
  <c r="I978" i="7"/>
  <c r="I979" i="7"/>
  <c r="I980" i="7"/>
  <c r="I981" i="7"/>
  <c r="I982" i="7"/>
  <c r="I983" i="7"/>
  <c r="I984" i="7"/>
  <c r="I985" i="7"/>
  <c r="I986" i="7"/>
  <c r="I987" i="7"/>
  <c r="I988" i="7"/>
  <c r="I989" i="7"/>
  <c r="I990" i="7"/>
  <c r="I991" i="7"/>
  <c r="I992" i="7"/>
  <c r="I993" i="7"/>
  <c r="I994" i="7"/>
  <c r="I995" i="7"/>
  <c r="I996" i="7"/>
  <c r="I997" i="7"/>
  <c r="I998" i="7"/>
  <c r="I999" i="7"/>
  <c r="I1000" i="7"/>
  <c r="I1001" i="7"/>
  <c r="M612" i="7"/>
  <c r="L612" i="7"/>
  <c r="K612" i="7"/>
  <c r="J612" i="7"/>
  <c r="I612" i="7"/>
  <c r="H613" i="7"/>
  <c r="H614" i="7"/>
  <c r="H615" i="7"/>
  <c r="H616" i="7"/>
  <c r="H617" i="7"/>
  <c r="H618" i="7"/>
  <c r="H619" i="7"/>
  <c r="H620" i="7"/>
  <c r="H621" i="7"/>
  <c r="H622" i="7"/>
  <c r="H623" i="7"/>
  <c r="H624" i="7"/>
  <c r="H625" i="7"/>
  <c r="H626" i="7"/>
  <c r="H627" i="7"/>
  <c r="H628" i="7"/>
  <c r="H629" i="7"/>
  <c r="H630" i="7"/>
  <c r="H631" i="7"/>
  <c r="H632" i="7"/>
  <c r="H633" i="7"/>
  <c r="H634" i="7"/>
  <c r="H635" i="7"/>
  <c r="H636" i="7"/>
  <c r="H637" i="7"/>
  <c r="H638" i="7"/>
  <c r="H639" i="7"/>
  <c r="H640" i="7"/>
  <c r="H641" i="7"/>
  <c r="H642" i="7"/>
  <c r="H643" i="7"/>
  <c r="H644" i="7"/>
  <c r="H645" i="7"/>
  <c r="H646" i="7"/>
  <c r="H647" i="7"/>
  <c r="H648" i="7"/>
  <c r="H649" i="7"/>
  <c r="H650" i="7"/>
  <c r="H651" i="7"/>
  <c r="H652" i="7"/>
  <c r="H653" i="7"/>
  <c r="H654" i="7"/>
  <c r="H655" i="7"/>
  <c r="H656" i="7"/>
  <c r="H657" i="7"/>
  <c r="H658" i="7"/>
  <c r="H659" i="7"/>
  <c r="H660" i="7"/>
  <c r="H661" i="7"/>
  <c r="H662" i="7"/>
  <c r="H663" i="7"/>
  <c r="H664" i="7"/>
  <c r="H665" i="7"/>
  <c r="H666" i="7"/>
  <c r="H667" i="7"/>
  <c r="H668" i="7"/>
  <c r="H669" i="7"/>
  <c r="H670" i="7"/>
  <c r="H671" i="7"/>
  <c r="H672" i="7"/>
  <c r="H673" i="7"/>
  <c r="H674" i="7"/>
  <c r="H675" i="7"/>
  <c r="H676" i="7"/>
  <c r="H677" i="7"/>
  <c r="H678" i="7"/>
  <c r="H679" i="7"/>
  <c r="H680" i="7"/>
  <c r="H681" i="7"/>
  <c r="H682" i="7"/>
  <c r="H683" i="7"/>
  <c r="H684" i="7"/>
  <c r="H685" i="7"/>
  <c r="H686" i="7"/>
  <c r="H687" i="7"/>
  <c r="H688" i="7"/>
  <c r="H689" i="7"/>
  <c r="H690" i="7"/>
  <c r="H691" i="7"/>
  <c r="H692" i="7"/>
  <c r="H693" i="7"/>
  <c r="H694" i="7"/>
  <c r="H695" i="7"/>
  <c r="H696" i="7"/>
  <c r="H697" i="7"/>
  <c r="H698" i="7"/>
  <c r="H699" i="7"/>
  <c r="H700" i="7"/>
  <c r="H701" i="7"/>
  <c r="H702" i="7"/>
  <c r="H703" i="7"/>
  <c r="H704" i="7"/>
  <c r="H705" i="7"/>
  <c r="H706" i="7"/>
  <c r="H707" i="7"/>
  <c r="H708" i="7"/>
  <c r="H709" i="7"/>
  <c r="H710" i="7"/>
  <c r="H711" i="7"/>
  <c r="H712" i="7"/>
  <c r="H713" i="7"/>
  <c r="H714" i="7"/>
  <c r="H715" i="7"/>
  <c r="H716" i="7"/>
  <c r="H717" i="7"/>
  <c r="H718" i="7"/>
  <c r="H719" i="7"/>
  <c r="H720" i="7"/>
  <c r="H721" i="7"/>
  <c r="H722" i="7"/>
  <c r="H723" i="7"/>
  <c r="H724" i="7"/>
  <c r="H725" i="7"/>
  <c r="H726" i="7"/>
  <c r="H727" i="7"/>
  <c r="H728" i="7"/>
  <c r="H729" i="7"/>
  <c r="H730" i="7"/>
  <c r="H731" i="7"/>
  <c r="H732" i="7"/>
  <c r="H733" i="7"/>
  <c r="H734" i="7"/>
  <c r="H735" i="7"/>
  <c r="H736" i="7"/>
  <c r="H737" i="7"/>
  <c r="H738" i="7"/>
  <c r="H739" i="7"/>
  <c r="H740" i="7"/>
  <c r="H741" i="7"/>
  <c r="H742" i="7"/>
  <c r="H743" i="7"/>
  <c r="H744" i="7"/>
  <c r="H745" i="7"/>
  <c r="H746" i="7"/>
  <c r="H747" i="7"/>
  <c r="H748" i="7"/>
  <c r="H749" i="7"/>
  <c r="H750" i="7"/>
  <c r="H751" i="7"/>
  <c r="H752" i="7"/>
  <c r="H753" i="7"/>
  <c r="H754" i="7"/>
  <c r="H755" i="7"/>
  <c r="H756" i="7"/>
  <c r="H757" i="7"/>
  <c r="H758" i="7"/>
  <c r="H759" i="7"/>
  <c r="H760" i="7"/>
  <c r="H761" i="7"/>
  <c r="H762" i="7"/>
  <c r="H763" i="7"/>
  <c r="H764" i="7"/>
  <c r="H765" i="7"/>
  <c r="H766" i="7"/>
  <c r="H767" i="7"/>
  <c r="H768" i="7"/>
  <c r="H769" i="7"/>
  <c r="H770" i="7"/>
  <c r="H771" i="7"/>
  <c r="H772" i="7"/>
  <c r="H773" i="7"/>
  <c r="H774" i="7"/>
  <c r="H775" i="7"/>
  <c r="H776" i="7"/>
  <c r="H777" i="7"/>
  <c r="H778" i="7"/>
  <c r="H779" i="7"/>
  <c r="H780" i="7"/>
  <c r="H781" i="7"/>
  <c r="H782" i="7"/>
  <c r="H783" i="7"/>
  <c r="H784" i="7"/>
  <c r="H785" i="7"/>
  <c r="H786" i="7"/>
  <c r="H787" i="7"/>
  <c r="H788" i="7"/>
  <c r="H789" i="7"/>
  <c r="H790" i="7"/>
  <c r="H791" i="7"/>
  <c r="H792" i="7"/>
  <c r="H793" i="7"/>
  <c r="H794" i="7"/>
  <c r="H795" i="7"/>
  <c r="H796" i="7"/>
  <c r="H797" i="7"/>
  <c r="H798" i="7"/>
  <c r="H799" i="7"/>
  <c r="H800" i="7"/>
  <c r="H801" i="7"/>
  <c r="H802" i="7"/>
  <c r="H803" i="7"/>
  <c r="H804" i="7"/>
  <c r="H805" i="7"/>
  <c r="H806" i="7"/>
  <c r="H807" i="7"/>
  <c r="H808" i="7"/>
  <c r="H809" i="7"/>
  <c r="H810" i="7"/>
  <c r="H811" i="7"/>
  <c r="H812" i="7"/>
  <c r="H813" i="7"/>
  <c r="H814" i="7"/>
  <c r="H815" i="7"/>
  <c r="H816" i="7"/>
  <c r="H817" i="7"/>
  <c r="H818" i="7"/>
  <c r="H819" i="7"/>
  <c r="H820" i="7"/>
  <c r="H821" i="7"/>
  <c r="H822" i="7"/>
  <c r="H823" i="7"/>
  <c r="H824" i="7"/>
  <c r="H825" i="7"/>
  <c r="H826" i="7"/>
  <c r="H827" i="7"/>
  <c r="H828" i="7"/>
  <c r="H829" i="7"/>
  <c r="H830" i="7"/>
  <c r="H831" i="7"/>
  <c r="H832" i="7"/>
  <c r="H833" i="7"/>
  <c r="H834" i="7"/>
  <c r="H835" i="7"/>
  <c r="H836" i="7"/>
  <c r="H837" i="7"/>
  <c r="H838" i="7"/>
  <c r="H839" i="7"/>
  <c r="H840" i="7"/>
  <c r="H841" i="7"/>
  <c r="H842" i="7"/>
  <c r="H843" i="7"/>
  <c r="H844" i="7"/>
  <c r="H845" i="7"/>
  <c r="H846" i="7"/>
  <c r="H847" i="7"/>
  <c r="H848" i="7"/>
  <c r="H849" i="7"/>
  <c r="H850" i="7"/>
  <c r="H851" i="7"/>
  <c r="H852" i="7"/>
  <c r="H853" i="7"/>
  <c r="H854" i="7"/>
  <c r="H855" i="7"/>
  <c r="H856" i="7"/>
  <c r="H857" i="7"/>
  <c r="H858" i="7"/>
  <c r="H859" i="7"/>
  <c r="H860" i="7"/>
  <c r="H861" i="7"/>
  <c r="H862" i="7"/>
  <c r="H863" i="7"/>
  <c r="H864" i="7"/>
  <c r="H865" i="7"/>
  <c r="H866" i="7"/>
  <c r="H867" i="7"/>
  <c r="H868" i="7"/>
  <c r="H869" i="7"/>
  <c r="H870" i="7"/>
  <c r="H871" i="7"/>
  <c r="H872" i="7"/>
  <c r="H873" i="7"/>
  <c r="H874" i="7"/>
  <c r="H875" i="7"/>
  <c r="H876" i="7"/>
  <c r="H877" i="7"/>
  <c r="H878" i="7"/>
  <c r="H879" i="7"/>
  <c r="H880" i="7"/>
  <c r="H881" i="7"/>
  <c r="H882" i="7"/>
  <c r="H883" i="7"/>
  <c r="H884" i="7"/>
  <c r="H885" i="7"/>
  <c r="H886" i="7"/>
  <c r="H887" i="7"/>
  <c r="H888" i="7"/>
  <c r="H889" i="7"/>
  <c r="H890" i="7"/>
  <c r="H891" i="7"/>
  <c r="H892" i="7"/>
  <c r="H893" i="7"/>
  <c r="H894" i="7"/>
  <c r="H895" i="7"/>
  <c r="H896" i="7"/>
  <c r="H897" i="7"/>
  <c r="H898" i="7"/>
  <c r="H899" i="7"/>
  <c r="H900" i="7"/>
  <c r="H901" i="7"/>
  <c r="H902" i="7"/>
  <c r="H903" i="7"/>
  <c r="H904" i="7"/>
  <c r="H905" i="7"/>
  <c r="H906" i="7"/>
  <c r="H907" i="7"/>
  <c r="H908" i="7"/>
  <c r="H909" i="7"/>
  <c r="H910" i="7"/>
  <c r="H911" i="7"/>
  <c r="H912" i="7"/>
  <c r="H913" i="7"/>
  <c r="H914" i="7"/>
  <c r="H915" i="7"/>
  <c r="H916" i="7"/>
  <c r="H917" i="7"/>
  <c r="H918" i="7"/>
  <c r="H919" i="7"/>
  <c r="H920" i="7"/>
  <c r="H921" i="7"/>
  <c r="H922" i="7"/>
  <c r="H923" i="7"/>
  <c r="H924" i="7"/>
  <c r="H925" i="7"/>
  <c r="H926" i="7"/>
  <c r="H927" i="7"/>
  <c r="H928" i="7"/>
  <c r="H929" i="7"/>
  <c r="H930" i="7"/>
  <c r="H931" i="7"/>
  <c r="H932" i="7"/>
  <c r="H933" i="7"/>
  <c r="H934" i="7"/>
  <c r="H935" i="7"/>
  <c r="H936" i="7"/>
  <c r="H937" i="7"/>
  <c r="H938" i="7"/>
  <c r="H939" i="7"/>
  <c r="H940" i="7"/>
  <c r="H941" i="7"/>
  <c r="H942" i="7"/>
  <c r="H943" i="7"/>
  <c r="H944" i="7"/>
  <c r="H945" i="7"/>
  <c r="H946" i="7"/>
  <c r="H947" i="7"/>
  <c r="H948" i="7"/>
  <c r="H949" i="7"/>
  <c r="H950" i="7"/>
  <c r="H951" i="7"/>
  <c r="H952" i="7"/>
  <c r="H953" i="7"/>
  <c r="H954" i="7"/>
  <c r="H955" i="7"/>
  <c r="H956" i="7"/>
  <c r="H957" i="7"/>
  <c r="H958" i="7"/>
  <c r="H959" i="7"/>
  <c r="H960" i="7"/>
  <c r="H961" i="7"/>
  <c r="H962" i="7"/>
  <c r="H963" i="7"/>
  <c r="H964" i="7"/>
  <c r="H965" i="7"/>
  <c r="H966" i="7"/>
  <c r="H967" i="7"/>
  <c r="H968" i="7"/>
  <c r="H969" i="7"/>
  <c r="H970" i="7"/>
  <c r="H971" i="7"/>
  <c r="H972" i="7"/>
  <c r="H973" i="7"/>
  <c r="H974" i="7"/>
  <c r="H975" i="7"/>
  <c r="H976" i="7"/>
  <c r="H977" i="7"/>
  <c r="H978" i="7"/>
  <c r="H979" i="7"/>
  <c r="H980" i="7"/>
  <c r="H981" i="7"/>
  <c r="H982" i="7"/>
  <c r="H983" i="7"/>
  <c r="H984" i="7"/>
  <c r="H985" i="7"/>
  <c r="H986" i="7"/>
  <c r="H987" i="7"/>
  <c r="H988" i="7"/>
  <c r="H989" i="7"/>
  <c r="H990" i="7"/>
  <c r="H991" i="7"/>
  <c r="H992" i="7"/>
  <c r="H993" i="7"/>
  <c r="H994" i="7"/>
  <c r="H995" i="7"/>
  <c r="H996" i="7"/>
  <c r="H997" i="7"/>
  <c r="H998" i="7"/>
  <c r="H999" i="7"/>
  <c r="H1000" i="7"/>
  <c r="H1001"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H612" i="7"/>
  <c r="G612" i="7"/>
  <c r="F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612" i="7"/>
  <c r="N1001" i="7"/>
  <c r="N1000" i="7"/>
  <c r="N999" i="7"/>
  <c r="N998" i="7"/>
  <c r="N997" i="7"/>
  <c r="N996" i="7"/>
  <c r="N995" i="7"/>
  <c r="N994" i="7"/>
  <c r="N993" i="7"/>
  <c r="N992" i="7"/>
  <c r="N991" i="7"/>
  <c r="N990" i="7"/>
  <c r="N989" i="7"/>
  <c r="N988" i="7"/>
  <c r="N987" i="7"/>
  <c r="N986" i="7"/>
  <c r="N985" i="7"/>
  <c r="N984" i="7"/>
  <c r="N983" i="7"/>
  <c r="N982" i="7"/>
  <c r="N981" i="7"/>
  <c r="N980" i="7"/>
  <c r="N979" i="7"/>
  <c r="N978" i="7"/>
  <c r="N977" i="7"/>
  <c r="N976" i="7"/>
  <c r="N975" i="7"/>
  <c r="N974" i="7"/>
  <c r="N973" i="7"/>
  <c r="N972" i="7"/>
  <c r="N971" i="7"/>
  <c r="N970" i="7"/>
  <c r="N969" i="7"/>
  <c r="N968" i="7"/>
  <c r="N967" i="7"/>
  <c r="N966" i="7"/>
  <c r="N965" i="7"/>
  <c r="N964" i="7"/>
  <c r="N963" i="7"/>
  <c r="N962" i="7"/>
  <c r="N961" i="7"/>
  <c r="N960" i="7"/>
  <c r="N959" i="7"/>
  <c r="N958" i="7"/>
  <c r="N957" i="7"/>
  <c r="N956" i="7"/>
  <c r="N955" i="7"/>
  <c r="N954" i="7"/>
  <c r="N953" i="7"/>
  <c r="N952" i="7"/>
  <c r="N951" i="7"/>
  <c r="N950" i="7"/>
  <c r="N949" i="7"/>
  <c r="N948" i="7"/>
  <c r="N947" i="7"/>
  <c r="N946" i="7"/>
  <c r="N945" i="7"/>
  <c r="N944" i="7"/>
  <c r="N943" i="7"/>
  <c r="N942" i="7"/>
  <c r="N941" i="7"/>
  <c r="N940" i="7"/>
  <c r="N939" i="7"/>
  <c r="N938" i="7"/>
  <c r="N937" i="7"/>
  <c r="N936" i="7"/>
  <c r="N935" i="7"/>
  <c r="N934" i="7"/>
  <c r="N933" i="7"/>
  <c r="N932" i="7"/>
  <c r="N931" i="7"/>
  <c r="N930" i="7"/>
  <c r="N929" i="7"/>
  <c r="N928" i="7"/>
  <c r="N927" i="7"/>
  <c r="N926" i="7"/>
  <c r="N925" i="7"/>
  <c r="N924" i="7"/>
  <c r="N923" i="7"/>
  <c r="N922" i="7"/>
  <c r="N921" i="7"/>
  <c r="N920" i="7"/>
  <c r="N919" i="7"/>
  <c r="N918" i="7"/>
  <c r="N917" i="7"/>
  <c r="N916" i="7"/>
  <c r="N915" i="7"/>
  <c r="N914" i="7"/>
  <c r="N913" i="7"/>
  <c r="N912" i="7"/>
  <c r="N911" i="7"/>
  <c r="N910" i="7"/>
  <c r="N909" i="7"/>
  <c r="N908" i="7"/>
  <c r="N907" i="7"/>
  <c r="N906" i="7"/>
  <c r="N905" i="7"/>
  <c r="N904" i="7"/>
  <c r="N903" i="7"/>
  <c r="N902" i="7"/>
  <c r="N901" i="7"/>
  <c r="N900" i="7"/>
  <c r="N899" i="7"/>
  <c r="N898" i="7"/>
  <c r="N897" i="7"/>
  <c r="N896" i="7"/>
  <c r="N895" i="7"/>
  <c r="N894" i="7"/>
  <c r="N893" i="7"/>
  <c r="N892" i="7"/>
  <c r="N891" i="7"/>
  <c r="N890" i="7"/>
  <c r="N889" i="7"/>
  <c r="N888" i="7"/>
  <c r="N887" i="7"/>
  <c r="N886" i="7"/>
  <c r="N885" i="7"/>
  <c r="N884" i="7"/>
  <c r="N883" i="7"/>
  <c r="N882" i="7"/>
  <c r="N881" i="7"/>
  <c r="N880" i="7"/>
  <c r="N879" i="7"/>
  <c r="N878" i="7"/>
  <c r="N877" i="7"/>
  <c r="N876" i="7"/>
  <c r="N875" i="7"/>
  <c r="N874" i="7"/>
  <c r="N873" i="7"/>
  <c r="N872" i="7"/>
  <c r="N871" i="7"/>
  <c r="N870" i="7"/>
  <c r="N869" i="7"/>
  <c r="N868" i="7"/>
  <c r="N867" i="7"/>
  <c r="N866" i="7"/>
  <c r="N865" i="7"/>
  <c r="N864" i="7"/>
  <c r="N863" i="7"/>
  <c r="N862" i="7"/>
  <c r="N861" i="7"/>
  <c r="N860" i="7"/>
  <c r="N859" i="7"/>
  <c r="N858" i="7"/>
  <c r="N857" i="7"/>
  <c r="N856" i="7"/>
  <c r="N855" i="7"/>
  <c r="N854" i="7"/>
  <c r="N853" i="7"/>
  <c r="N852" i="7"/>
  <c r="N851" i="7"/>
  <c r="N850" i="7"/>
  <c r="N849" i="7"/>
  <c r="N848" i="7"/>
  <c r="N847" i="7"/>
  <c r="N846" i="7"/>
  <c r="N845" i="7"/>
  <c r="N844" i="7"/>
  <c r="N843" i="7"/>
  <c r="N842" i="7"/>
  <c r="N841" i="7"/>
  <c r="N840" i="7"/>
  <c r="N839" i="7"/>
  <c r="N838" i="7"/>
  <c r="N837" i="7"/>
  <c r="N836" i="7"/>
  <c r="N835" i="7"/>
  <c r="N834" i="7"/>
  <c r="N833" i="7"/>
  <c r="N832" i="7"/>
  <c r="N831" i="7"/>
  <c r="N830" i="7"/>
  <c r="N829" i="7"/>
  <c r="N828" i="7"/>
  <c r="N827" i="7"/>
  <c r="N826" i="7"/>
  <c r="N825" i="7"/>
  <c r="N824" i="7"/>
  <c r="N823" i="7"/>
  <c r="N822" i="7"/>
  <c r="N821" i="7"/>
  <c r="N820" i="7"/>
  <c r="N819" i="7"/>
  <c r="N818" i="7"/>
  <c r="N817" i="7"/>
  <c r="N816" i="7"/>
  <c r="N815" i="7"/>
  <c r="N814" i="7"/>
  <c r="N813" i="7"/>
  <c r="N812" i="7"/>
  <c r="N811" i="7"/>
  <c r="N810" i="7"/>
  <c r="N809" i="7"/>
  <c r="N808" i="7"/>
  <c r="N807" i="7"/>
  <c r="N806" i="7"/>
  <c r="N805" i="7"/>
  <c r="N804" i="7"/>
  <c r="N803" i="7"/>
  <c r="N802" i="7"/>
  <c r="N801" i="7"/>
  <c r="N800" i="7"/>
  <c r="N799" i="7"/>
  <c r="N798" i="7"/>
  <c r="N797" i="7"/>
  <c r="N796" i="7"/>
  <c r="N795" i="7"/>
  <c r="N794" i="7"/>
  <c r="N793" i="7"/>
  <c r="N792" i="7"/>
  <c r="N791" i="7"/>
  <c r="N790" i="7"/>
  <c r="N789" i="7"/>
  <c r="N788" i="7"/>
  <c r="N787" i="7"/>
  <c r="N786" i="7"/>
  <c r="N785" i="7"/>
  <c r="N784" i="7"/>
  <c r="N783" i="7"/>
  <c r="N782" i="7"/>
  <c r="N781" i="7"/>
  <c r="N780" i="7"/>
  <c r="N779" i="7"/>
  <c r="N778" i="7"/>
  <c r="N777" i="7"/>
  <c r="N776" i="7"/>
  <c r="N775" i="7"/>
  <c r="N774" i="7"/>
  <c r="N773" i="7"/>
  <c r="N772" i="7"/>
  <c r="N771" i="7"/>
  <c r="N770" i="7"/>
  <c r="N769" i="7"/>
  <c r="N768" i="7"/>
  <c r="N767" i="7"/>
  <c r="N766" i="7"/>
  <c r="N765" i="7"/>
  <c r="N764" i="7"/>
  <c r="N763" i="7"/>
  <c r="N762" i="7"/>
  <c r="N761" i="7"/>
  <c r="N760" i="7"/>
  <c r="N759" i="7"/>
  <c r="N758" i="7"/>
  <c r="N757" i="7"/>
  <c r="N756" i="7"/>
  <c r="N755" i="7"/>
  <c r="N754" i="7"/>
  <c r="N753" i="7"/>
  <c r="N752" i="7"/>
  <c r="N751" i="7"/>
  <c r="N750" i="7"/>
  <c r="N749" i="7"/>
  <c r="N748" i="7"/>
  <c r="N747" i="7"/>
  <c r="N746" i="7"/>
  <c r="N745" i="7"/>
  <c r="N744" i="7"/>
  <c r="N743" i="7"/>
  <c r="N742" i="7"/>
  <c r="N741" i="7"/>
  <c r="N740" i="7"/>
  <c r="N739" i="7"/>
  <c r="N738" i="7"/>
  <c r="N737" i="7"/>
  <c r="N736" i="7"/>
  <c r="N735" i="7"/>
  <c r="N734" i="7"/>
  <c r="N733" i="7"/>
  <c r="N732" i="7"/>
  <c r="N731" i="7"/>
  <c r="N730" i="7"/>
  <c r="N729" i="7"/>
  <c r="N728" i="7"/>
  <c r="N727" i="7"/>
  <c r="N726" i="7"/>
  <c r="N725" i="7"/>
  <c r="N724" i="7"/>
  <c r="N723" i="7"/>
  <c r="N722" i="7"/>
  <c r="N721" i="7"/>
  <c r="N720" i="7"/>
  <c r="N719" i="7"/>
  <c r="N718" i="7"/>
  <c r="N717" i="7"/>
  <c r="N716" i="7"/>
  <c r="N715" i="7"/>
  <c r="N714" i="7"/>
  <c r="N713" i="7"/>
  <c r="N712" i="7"/>
  <c r="N711" i="7"/>
  <c r="N710" i="7"/>
  <c r="N709" i="7"/>
  <c r="N708" i="7"/>
  <c r="N707" i="7"/>
  <c r="N706" i="7"/>
  <c r="N705" i="7"/>
  <c r="N704" i="7"/>
  <c r="N703" i="7"/>
  <c r="N702" i="7"/>
  <c r="N701" i="7"/>
  <c r="N700" i="7"/>
  <c r="N699" i="7"/>
  <c r="N698" i="7"/>
  <c r="N697" i="7"/>
  <c r="N696" i="7"/>
  <c r="N695" i="7"/>
  <c r="N694" i="7"/>
  <c r="N693" i="7"/>
  <c r="N692" i="7"/>
  <c r="N691" i="7"/>
  <c r="N690" i="7"/>
  <c r="N689" i="7"/>
  <c r="N688" i="7"/>
  <c r="N687" i="7"/>
  <c r="N686" i="7"/>
  <c r="N685" i="7"/>
  <c r="N684" i="7"/>
  <c r="N683" i="7"/>
  <c r="N682" i="7"/>
  <c r="N681" i="7"/>
  <c r="N680" i="7"/>
  <c r="N679" i="7"/>
  <c r="N678" i="7"/>
  <c r="N677" i="7"/>
  <c r="N676" i="7"/>
  <c r="N675" i="7"/>
  <c r="N674" i="7"/>
  <c r="N673" i="7"/>
  <c r="N672" i="7"/>
  <c r="N671" i="7"/>
  <c r="N670" i="7"/>
  <c r="N669" i="7"/>
  <c r="N668" i="7"/>
  <c r="N667" i="7"/>
  <c r="N666" i="7"/>
  <c r="N665" i="7"/>
  <c r="N664" i="7"/>
  <c r="N663" i="7"/>
  <c r="N662" i="7"/>
  <c r="N661" i="7"/>
  <c r="N660" i="7"/>
  <c r="N659" i="7"/>
  <c r="N658" i="7"/>
  <c r="N657" i="7"/>
  <c r="N656" i="7"/>
  <c r="N655" i="7"/>
  <c r="N654" i="7"/>
  <c r="N653" i="7"/>
  <c r="N652" i="7"/>
  <c r="N651" i="7"/>
  <c r="N650" i="7"/>
  <c r="N649" i="7"/>
  <c r="N648" i="7"/>
  <c r="N647" i="7"/>
  <c r="N646" i="7"/>
  <c r="N645" i="7"/>
  <c r="N644" i="7"/>
  <c r="N643" i="7"/>
  <c r="N642" i="7"/>
  <c r="N641" i="7"/>
  <c r="N640" i="7"/>
  <c r="N639" i="7"/>
  <c r="N638" i="7"/>
  <c r="N637" i="7"/>
  <c r="N636" i="7"/>
  <c r="N635" i="7"/>
  <c r="N634" i="7"/>
  <c r="N633" i="7"/>
  <c r="N632" i="7"/>
  <c r="N631" i="7"/>
  <c r="N630" i="7"/>
  <c r="N629" i="7"/>
  <c r="N628" i="7"/>
  <c r="N627" i="7"/>
  <c r="N626" i="7"/>
  <c r="N625" i="7"/>
  <c r="N624" i="7"/>
  <c r="N623" i="7"/>
  <c r="N622" i="7"/>
  <c r="N621" i="7"/>
  <c r="N620" i="7"/>
  <c r="N619" i="7"/>
  <c r="N618" i="7"/>
  <c r="N617" i="7"/>
  <c r="N616" i="7"/>
  <c r="N615" i="7"/>
  <c r="N614" i="7"/>
  <c r="N613" i="7"/>
  <c r="N612" i="7"/>
  <c r="N611" i="7"/>
  <c r="M611" i="7"/>
  <c r="L611" i="7"/>
  <c r="K611" i="7"/>
  <c r="J611" i="7"/>
  <c r="I611" i="7"/>
  <c r="H611" i="7"/>
  <c r="G611" i="7"/>
  <c r="F611" i="7"/>
  <c r="E611" i="7"/>
  <c r="D611" i="7"/>
  <c r="C611" i="7"/>
  <c r="B611" i="7"/>
  <c r="N610" i="7"/>
  <c r="M610" i="7"/>
  <c r="L610" i="7"/>
  <c r="K610" i="7"/>
  <c r="J610" i="7"/>
  <c r="I610" i="7"/>
  <c r="H610" i="7"/>
  <c r="G610" i="7"/>
  <c r="F610" i="7"/>
  <c r="E610" i="7"/>
  <c r="D610" i="7"/>
  <c r="C610" i="7"/>
  <c r="B610" i="7"/>
  <c r="N609" i="7"/>
  <c r="M609" i="7"/>
  <c r="L609" i="7"/>
  <c r="K609" i="7"/>
  <c r="J609" i="7"/>
  <c r="I609" i="7"/>
  <c r="H609" i="7"/>
  <c r="G609" i="7"/>
  <c r="F609" i="7"/>
  <c r="E609" i="7"/>
  <c r="D609" i="7"/>
  <c r="C609" i="7"/>
  <c r="B609" i="7"/>
  <c r="N608" i="7"/>
  <c r="M608" i="7"/>
  <c r="L608" i="7"/>
  <c r="K608" i="7"/>
  <c r="J608" i="7"/>
  <c r="I608" i="7"/>
  <c r="H608" i="7"/>
  <c r="G608" i="7"/>
  <c r="F608" i="7"/>
  <c r="E608" i="7"/>
  <c r="D608" i="7"/>
  <c r="C608" i="7"/>
  <c r="B608" i="7"/>
  <c r="N607" i="7"/>
  <c r="M607" i="7"/>
  <c r="L607" i="7"/>
  <c r="K607" i="7"/>
  <c r="J607" i="7"/>
  <c r="I607" i="7"/>
  <c r="H607" i="7"/>
  <c r="G607" i="7"/>
  <c r="F607" i="7"/>
  <c r="E607" i="7"/>
  <c r="D607" i="7"/>
  <c r="C607" i="7"/>
  <c r="B607" i="7"/>
  <c r="N606" i="7"/>
  <c r="M606" i="7"/>
  <c r="L606" i="7"/>
  <c r="K606" i="7"/>
  <c r="J606" i="7"/>
  <c r="I606" i="7"/>
  <c r="H606" i="7"/>
  <c r="G606" i="7"/>
  <c r="F606" i="7"/>
  <c r="E606" i="7"/>
  <c r="D606" i="7"/>
  <c r="C606" i="7"/>
  <c r="B606" i="7"/>
  <c r="N605" i="7"/>
  <c r="M605" i="7"/>
  <c r="L605" i="7"/>
  <c r="K605" i="7"/>
  <c r="J605" i="7"/>
  <c r="I605" i="7"/>
  <c r="H605" i="7"/>
  <c r="G605" i="7"/>
  <c r="F605" i="7"/>
  <c r="E605" i="7"/>
  <c r="D605" i="7"/>
  <c r="C605" i="7"/>
  <c r="B605" i="7"/>
  <c r="N604" i="7"/>
  <c r="M604" i="7"/>
  <c r="L604" i="7"/>
  <c r="K604" i="7"/>
  <c r="J604" i="7"/>
  <c r="I604" i="7"/>
  <c r="H604" i="7"/>
  <c r="G604" i="7"/>
  <c r="F604" i="7"/>
  <c r="E604" i="7"/>
  <c r="D604" i="7"/>
  <c r="C604" i="7"/>
  <c r="B604" i="7"/>
  <c r="N603" i="7"/>
  <c r="M603" i="7"/>
  <c r="L603" i="7"/>
  <c r="K603" i="7"/>
  <c r="J603" i="7"/>
  <c r="I603" i="7"/>
  <c r="H603" i="7"/>
  <c r="G603" i="7"/>
  <c r="F603" i="7"/>
  <c r="E603" i="7"/>
  <c r="D603" i="7"/>
  <c r="C603" i="7"/>
  <c r="B603" i="7"/>
  <c r="N602" i="7"/>
  <c r="M602" i="7"/>
  <c r="L602" i="7"/>
  <c r="K602" i="7"/>
  <c r="J602" i="7"/>
  <c r="I602" i="7"/>
  <c r="H602" i="7"/>
  <c r="G602" i="7"/>
  <c r="F602" i="7"/>
  <c r="E602" i="7"/>
  <c r="D602" i="7"/>
  <c r="C602" i="7"/>
  <c r="B602" i="7"/>
  <c r="N601" i="7"/>
  <c r="M601" i="7"/>
  <c r="L601" i="7"/>
  <c r="K601" i="7"/>
  <c r="J601" i="7"/>
  <c r="I601" i="7"/>
  <c r="H601" i="7"/>
  <c r="G601" i="7"/>
  <c r="F601" i="7"/>
  <c r="E601" i="7"/>
  <c r="D601" i="7"/>
  <c r="C601" i="7"/>
  <c r="B601" i="7"/>
  <c r="N600" i="7"/>
  <c r="M600" i="7"/>
  <c r="L600" i="7"/>
  <c r="K600" i="7"/>
  <c r="J600" i="7"/>
  <c r="I600" i="7"/>
  <c r="H600" i="7"/>
  <c r="G600" i="7"/>
  <c r="F600" i="7"/>
  <c r="E600" i="7"/>
  <c r="D600" i="7"/>
  <c r="C600" i="7"/>
  <c r="B600" i="7"/>
  <c r="N599" i="7"/>
  <c r="M599" i="7"/>
  <c r="L599" i="7"/>
  <c r="K599" i="7"/>
  <c r="J599" i="7"/>
  <c r="I599" i="7"/>
  <c r="H599" i="7"/>
  <c r="G599" i="7"/>
  <c r="F599" i="7"/>
  <c r="E599" i="7"/>
  <c r="D599" i="7"/>
  <c r="C599" i="7"/>
  <c r="B599" i="7"/>
  <c r="N598" i="7"/>
  <c r="M598" i="7"/>
  <c r="L598" i="7"/>
  <c r="K598" i="7"/>
  <c r="J598" i="7"/>
  <c r="I598" i="7"/>
  <c r="H598" i="7"/>
  <c r="G598" i="7"/>
  <c r="F598" i="7"/>
  <c r="E598" i="7"/>
  <c r="D598" i="7"/>
  <c r="C598" i="7"/>
  <c r="B598" i="7"/>
  <c r="N597" i="7"/>
  <c r="M597" i="7"/>
  <c r="L597" i="7"/>
  <c r="K597" i="7"/>
  <c r="J597" i="7"/>
  <c r="I597" i="7"/>
  <c r="H597" i="7"/>
  <c r="G597" i="7"/>
  <c r="F597" i="7"/>
  <c r="E597" i="7"/>
  <c r="D597" i="7"/>
  <c r="C597" i="7"/>
  <c r="B597" i="7"/>
  <c r="N596" i="7"/>
  <c r="M596" i="7"/>
  <c r="L596" i="7"/>
  <c r="K596" i="7"/>
  <c r="J596" i="7"/>
  <c r="I596" i="7"/>
  <c r="H596" i="7"/>
  <c r="G596" i="7"/>
  <c r="F596" i="7"/>
  <c r="E596" i="7"/>
  <c r="D596" i="7"/>
  <c r="C596" i="7"/>
  <c r="B596" i="7"/>
  <c r="N595" i="7"/>
  <c r="M595" i="7"/>
  <c r="L595" i="7"/>
  <c r="K595" i="7"/>
  <c r="J595" i="7"/>
  <c r="I595" i="7"/>
  <c r="H595" i="7"/>
  <c r="G595" i="7"/>
  <c r="F595" i="7"/>
  <c r="E595" i="7"/>
  <c r="D595" i="7"/>
  <c r="C595" i="7"/>
  <c r="B595" i="7"/>
  <c r="N594" i="7"/>
  <c r="M594" i="7"/>
  <c r="L594" i="7"/>
  <c r="K594" i="7"/>
  <c r="J594" i="7"/>
  <c r="I594" i="7"/>
  <c r="H594" i="7"/>
  <c r="G594" i="7"/>
  <c r="F594" i="7"/>
  <c r="E594" i="7"/>
  <c r="D594" i="7"/>
  <c r="C594" i="7"/>
  <c r="B594" i="7"/>
  <c r="N593" i="7"/>
  <c r="M593" i="7"/>
  <c r="L593" i="7"/>
  <c r="K593" i="7"/>
  <c r="J593" i="7"/>
  <c r="I593" i="7"/>
  <c r="H593" i="7"/>
  <c r="G593" i="7"/>
  <c r="F593" i="7"/>
  <c r="E593" i="7"/>
  <c r="D593" i="7"/>
  <c r="C593" i="7"/>
  <c r="B593" i="7"/>
  <c r="N592" i="7"/>
  <c r="M592" i="7"/>
  <c r="L592" i="7"/>
  <c r="K592" i="7"/>
  <c r="J592" i="7"/>
  <c r="I592" i="7"/>
  <c r="H592" i="7"/>
  <c r="G592" i="7"/>
  <c r="F592" i="7"/>
  <c r="E592" i="7"/>
  <c r="D592" i="7"/>
  <c r="C592" i="7"/>
  <c r="B592" i="7"/>
  <c r="N591" i="7"/>
  <c r="M591" i="7"/>
  <c r="L591" i="7"/>
  <c r="K591" i="7"/>
  <c r="J591" i="7"/>
  <c r="I591" i="7"/>
  <c r="H591" i="7"/>
  <c r="G591" i="7"/>
  <c r="F591" i="7"/>
  <c r="E591" i="7"/>
  <c r="D591" i="7"/>
  <c r="C591" i="7"/>
  <c r="B591" i="7"/>
  <c r="N590" i="7"/>
  <c r="M590" i="7"/>
  <c r="L590" i="7"/>
  <c r="K590" i="7"/>
  <c r="J590" i="7"/>
  <c r="I590" i="7"/>
  <c r="H590" i="7"/>
  <c r="G590" i="7"/>
  <c r="F590" i="7"/>
  <c r="E590" i="7"/>
  <c r="D590" i="7"/>
  <c r="C590" i="7"/>
  <c r="B590" i="7"/>
  <c r="N589" i="7"/>
  <c r="M589" i="7"/>
  <c r="L589" i="7"/>
  <c r="K589" i="7"/>
  <c r="J589" i="7"/>
  <c r="I589" i="7"/>
  <c r="H589" i="7"/>
  <c r="G589" i="7"/>
  <c r="F589" i="7"/>
  <c r="E589" i="7"/>
  <c r="D589" i="7"/>
  <c r="C589" i="7"/>
  <c r="B589" i="7"/>
  <c r="N588" i="7"/>
  <c r="M588" i="7"/>
  <c r="L588" i="7"/>
  <c r="K588" i="7"/>
  <c r="J588" i="7"/>
  <c r="I588" i="7"/>
  <c r="H588" i="7"/>
  <c r="G588" i="7"/>
  <c r="F588" i="7"/>
  <c r="E588" i="7"/>
  <c r="D588" i="7"/>
  <c r="C588" i="7"/>
  <c r="B588" i="7"/>
  <c r="N587" i="7"/>
  <c r="M587" i="7"/>
  <c r="L587" i="7"/>
  <c r="K587" i="7"/>
  <c r="J587" i="7"/>
  <c r="I587" i="7"/>
  <c r="H587" i="7"/>
  <c r="G587" i="7"/>
  <c r="F587" i="7"/>
  <c r="E587" i="7"/>
  <c r="D587" i="7"/>
  <c r="C587" i="7"/>
  <c r="B587" i="7"/>
  <c r="N586" i="7"/>
  <c r="M586" i="7"/>
  <c r="L586" i="7"/>
  <c r="K586" i="7"/>
  <c r="J586" i="7"/>
  <c r="I586" i="7"/>
  <c r="H586" i="7"/>
  <c r="G586" i="7"/>
  <c r="F586" i="7"/>
  <c r="E586" i="7"/>
  <c r="D586" i="7"/>
  <c r="C586" i="7"/>
  <c r="B586" i="7"/>
  <c r="N585" i="7"/>
  <c r="M585" i="7"/>
  <c r="L585" i="7"/>
  <c r="K585" i="7"/>
  <c r="J585" i="7"/>
  <c r="I585" i="7"/>
  <c r="H585" i="7"/>
  <c r="G585" i="7"/>
  <c r="F585" i="7"/>
  <c r="E585" i="7"/>
  <c r="D585" i="7"/>
  <c r="C585" i="7"/>
  <c r="B585" i="7"/>
  <c r="N584" i="7"/>
  <c r="M584" i="7"/>
  <c r="L584" i="7"/>
  <c r="K584" i="7"/>
  <c r="J584" i="7"/>
  <c r="I584" i="7"/>
  <c r="H584" i="7"/>
  <c r="G584" i="7"/>
  <c r="F584" i="7"/>
  <c r="E584" i="7"/>
  <c r="D584" i="7"/>
  <c r="C584" i="7"/>
  <c r="B584" i="7"/>
  <c r="N583" i="7"/>
  <c r="M583" i="7"/>
  <c r="L583" i="7"/>
  <c r="K583" i="7"/>
  <c r="J583" i="7"/>
  <c r="I583" i="7"/>
  <c r="H583" i="7"/>
  <c r="G583" i="7"/>
  <c r="F583" i="7"/>
  <c r="E583" i="7"/>
  <c r="D583" i="7"/>
  <c r="C583" i="7"/>
  <c r="B583" i="7"/>
  <c r="N582" i="7"/>
  <c r="M582" i="7"/>
  <c r="L582" i="7"/>
  <c r="K582" i="7"/>
  <c r="J582" i="7"/>
  <c r="I582" i="7"/>
  <c r="H582" i="7"/>
  <c r="G582" i="7"/>
  <c r="F582" i="7"/>
  <c r="E582" i="7"/>
  <c r="D582" i="7"/>
  <c r="C582" i="7"/>
  <c r="B582" i="7"/>
  <c r="N581" i="7"/>
  <c r="M581" i="7"/>
  <c r="L581" i="7"/>
  <c r="K581" i="7"/>
  <c r="J581" i="7"/>
  <c r="I581" i="7"/>
  <c r="H581" i="7"/>
  <c r="G581" i="7"/>
  <c r="F581" i="7"/>
  <c r="E581" i="7"/>
  <c r="D581" i="7"/>
  <c r="C581" i="7"/>
  <c r="B581" i="7"/>
  <c r="N580" i="7"/>
  <c r="M580" i="7"/>
  <c r="L580" i="7"/>
  <c r="K580" i="7"/>
  <c r="J580" i="7"/>
  <c r="I580" i="7"/>
  <c r="H580" i="7"/>
  <c r="G580" i="7"/>
  <c r="F580" i="7"/>
  <c r="E580" i="7"/>
  <c r="D580" i="7"/>
  <c r="C580" i="7"/>
  <c r="B580" i="7"/>
  <c r="N579" i="7"/>
  <c r="M579" i="7"/>
  <c r="L579" i="7"/>
  <c r="K579" i="7"/>
  <c r="J579" i="7"/>
  <c r="I579" i="7"/>
  <c r="H579" i="7"/>
  <c r="G579" i="7"/>
  <c r="F579" i="7"/>
  <c r="E579" i="7"/>
  <c r="D579" i="7"/>
  <c r="C579" i="7"/>
  <c r="B579" i="7"/>
  <c r="N578" i="7"/>
  <c r="M578" i="7"/>
  <c r="L578" i="7"/>
  <c r="K578" i="7"/>
  <c r="J578" i="7"/>
  <c r="I578" i="7"/>
  <c r="H578" i="7"/>
  <c r="G578" i="7"/>
  <c r="F578" i="7"/>
  <c r="E578" i="7"/>
  <c r="D578" i="7"/>
  <c r="C578" i="7"/>
  <c r="B578" i="7"/>
  <c r="N577" i="7"/>
  <c r="M577" i="7"/>
  <c r="L577" i="7"/>
  <c r="K577" i="7"/>
  <c r="J577" i="7"/>
  <c r="I577" i="7"/>
  <c r="H577" i="7"/>
  <c r="G577" i="7"/>
  <c r="F577" i="7"/>
  <c r="E577" i="7"/>
  <c r="D577" i="7"/>
  <c r="C577" i="7"/>
  <c r="B577" i="7"/>
  <c r="N576" i="7"/>
  <c r="M576" i="7"/>
  <c r="L576" i="7"/>
  <c r="K576" i="7"/>
  <c r="J576" i="7"/>
  <c r="I576" i="7"/>
  <c r="H576" i="7"/>
  <c r="G576" i="7"/>
  <c r="F576" i="7"/>
  <c r="E576" i="7"/>
  <c r="D576" i="7"/>
  <c r="C576" i="7"/>
  <c r="B576" i="7"/>
  <c r="N575" i="7"/>
  <c r="M575" i="7"/>
  <c r="L575" i="7"/>
  <c r="K575" i="7"/>
  <c r="J575" i="7"/>
  <c r="I575" i="7"/>
  <c r="H575" i="7"/>
  <c r="G575" i="7"/>
  <c r="F575" i="7"/>
  <c r="E575" i="7"/>
  <c r="D575" i="7"/>
  <c r="C575" i="7"/>
  <c r="B575" i="7"/>
  <c r="N574" i="7"/>
  <c r="M574" i="7"/>
  <c r="L574" i="7"/>
  <c r="K574" i="7"/>
  <c r="J574" i="7"/>
  <c r="I574" i="7"/>
  <c r="H574" i="7"/>
  <c r="G574" i="7"/>
  <c r="F574" i="7"/>
  <c r="E574" i="7"/>
  <c r="D574" i="7"/>
  <c r="C574" i="7"/>
  <c r="B574" i="7"/>
  <c r="N573" i="7"/>
  <c r="M573" i="7"/>
  <c r="L573" i="7"/>
  <c r="K573" i="7"/>
  <c r="J573" i="7"/>
  <c r="I573" i="7"/>
  <c r="H573" i="7"/>
  <c r="G573" i="7"/>
  <c r="F573" i="7"/>
  <c r="E573" i="7"/>
  <c r="D573" i="7"/>
  <c r="C573" i="7"/>
  <c r="B573" i="7"/>
  <c r="N572" i="7"/>
  <c r="M572" i="7"/>
  <c r="L572" i="7"/>
  <c r="K572" i="7"/>
  <c r="J572" i="7"/>
  <c r="I572" i="7"/>
  <c r="H572" i="7"/>
  <c r="G572" i="7"/>
  <c r="F572" i="7"/>
  <c r="E572" i="7"/>
  <c r="D572" i="7"/>
  <c r="C572" i="7"/>
  <c r="B572" i="7"/>
  <c r="N571" i="7"/>
  <c r="M571" i="7"/>
  <c r="L571" i="7"/>
  <c r="K571" i="7"/>
  <c r="J571" i="7"/>
  <c r="I571" i="7"/>
  <c r="H571" i="7"/>
  <c r="G571" i="7"/>
  <c r="F571" i="7"/>
  <c r="E571" i="7"/>
  <c r="D571" i="7"/>
  <c r="C571" i="7"/>
  <c r="B571" i="7"/>
  <c r="N570" i="7"/>
  <c r="M570" i="7"/>
  <c r="L570" i="7"/>
  <c r="K570" i="7"/>
  <c r="J570" i="7"/>
  <c r="I570" i="7"/>
  <c r="H570" i="7"/>
  <c r="G570" i="7"/>
  <c r="F570" i="7"/>
  <c r="E570" i="7"/>
  <c r="D570" i="7"/>
  <c r="C570" i="7"/>
  <c r="B570" i="7"/>
  <c r="N569" i="7"/>
  <c r="M569" i="7"/>
  <c r="L569" i="7"/>
  <c r="K569" i="7"/>
  <c r="J569" i="7"/>
  <c r="I569" i="7"/>
  <c r="H569" i="7"/>
  <c r="G569" i="7"/>
  <c r="F569" i="7"/>
  <c r="E569" i="7"/>
  <c r="D569" i="7"/>
  <c r="C569" i="7"/>
  <c r="B569" i="7"/>
  <c r="N568" i="7"/>
  <c r="M568" i="7"/>
  <c r="L568" i="7"/>
  <c r="K568" i="7"/>
  <c r="J568" i="7"/>
  <c r="I568" i="7"/>
  <c r="H568" i="7"/>
  <c r="G568" i="7"/>
  <c r="F568" i="7"/>
  <c r="E568" i="7"/>
  <c r="D568" i="7"/>
  <c r="C568" i="7"/>
  <c r="B568" i="7"/>
  <c r="N567" i="7"/>
  <c r="M567" i="7"/>
  <c r="L567" i="7"/>
  <c r="K567" i="7"/>
  <c r="J567" i="7"/>
  <c r="I567" i="7"/>
  <c r="H567" i="7"/>
  <c r="G567" i="7"/>
  <c r="F567" i="7"/>
  <c r="E567" i="7"/>
  <c r="D567" i="7"/>
  <c r="C567" i="7"/>
  <c r="B567" i="7"/>
  <c r="N566" i="7"/>
  <c r="M566" i="7"/>
  <c r="L566" i="7"/>
  <c r="K566" i="7"/>
  <c r="J566" i="7"/>
  <c r="I566" i="7"/>
  <c r="H566" i="7"/>
  <c r="G566" i="7"/>
  <c r="F566" i="7"/>
  <c r="E566" i="7"/>
  <c r="D566" i="7"/>
  <c r="C566" i="7"/>
  <c r="B566" i="7"/>
  <c r="N565" i="7"/>
  <c r="M565" i="7"/>
  <c r="L565" i="7"/>
  <c r="K565" i="7"/>
  <c r="J565" i="7"/>
  <c r="I565" i="7"/>
  <c r="H565" i="7"/>
  <c r="G565" i="7"/>
  <c r="F565" i="7"/>
  <c r="E565" i="7"/>
  <c r="D565" i="7"/>
  <c r="C565" i="7"/>
  <c r="B565" i="7"/>
  <c r="N564" i="7"/>
  <c r="M564" i="7"/>
  <c r="L564" i="7"/>
  <c r="K564" i="7"/>
  <c r="J564" i="7"/>
  <c r="I564" i="7"/>
  <c r="H564" i="7"/>
  <c r="G564" i="7"/>
  <c r="F564" i="7"/>
  <c r="E564" i="7"/>
  <c r="D564" i="7"/>
  <c r="C564" i="7"/>
  <c r="B564" i="7"/>
  <c r="N563" i="7"/>
  <c r="M563" i="7"/>
  <c r="L563" i="7"/>
  <c r="K563" i="7"/>
  <c r="J563" i="7"/>
  <c r="I563" i="7"/>
  <c r="H563" i="7"/>
  <c r="G563" i="7"/>
  <c r="F563" i="7"/>
  <c r="E563" i="7"/>
  <c r="D563" i="7"/>
  <c r="C563" i="7"/>
  <c r="B563" i="7"/>
  <c r="N562" i="7"/>
  <c r="M562" i="7"/>
  <c r="L562" i="7"/>
  <c r="K562" i="7"/>
  <c r="J562" i="7"/>
  <c r="I562" i="7"/>
  <c r="H562" i="7"/>
  <c r="G562" i="7"/>
  <c r="F562" i="7"/>
  <c r="E562" i="7"/>
  <c r="D562" i="7"/>
  <c r="C562" i="7"/>
  <c r="B562" i="7"/>
  <c r="N561" i="7"/>
  <c r="M561" i="7"/>
  <c r="L561" i="7"/>
  <c r="K561" i="7"/>
  <c r="J561" i="7"/>
  <c r="I561" i="7"/>
  <c r="H561" i="7"/>
  <c r="G561" i="7"/>
  <c r="F561" i="7"/>
  <c r="E561" i="7"/>
  <c r="D561" i="7"/>
  <c r="C561" i="7"/>
  <c r="B561" i="7"/>
  <c r="N560" i="7"/>
  <c r="M560" i="7"/>
  <c r="L560" i="7"/>
  <c r="K560" i="7"/>
  <c r="J560" i="7"/>
  <c r="I560" i="7"/>
  <c r="H560" i="7"/>
  <c r="G560" i="7"/>
  <c r="F560" i="7"/>
  <c r="E560" i="7"/>
  <c r="D560" i="7"/>
  <c r="C560" i="7"/>
  <c r="B560" i="7"/>
  <c r="N559" i="7"/>
  <c r="M559" i="7"/>
  <c r="L559" i="7"/>
  <c r="K559" i="7"/>
  <c r="J559" i="7"/>
  <c r="I559" i="7"/>
  <c r="H559" i="7"/>
  <c r="G559" i="7"/>
  <c r="F559" i="7"/>
  <c r="E559" i="7"/>
  <c r="D559" i="7"/>
  <c r="C559" i="7"/>
  <c r="B559" i="7"/>
  <c r="N558" i="7"/>
  <c r="M558" i="7"/>
  <c r="L558" i="7"/>
  <c r="K558" i="7"/>
  <c r="J558" i="7"/>
  <c r="I558" i="7"/>
  <c r="H558" i="7"/>
  <c r="G558" i="7"/>
  <c r="F558" i="7"/>
  <c r="E558" i="7"/>
  <c r="D558" i="7"/>
  <c r="C558" i="7"/>
  <c r="B558" i="7"/>
  <c r="N557" i="7"/>
  <c r="M557" i="7"/>
  <c r="L557" i="7"/>
  <c r="K557" i="7"/>
  <c r="J557" i="7"/>
  <c r="I557" i="7"/>
  <c r="H557" i="7"/>
  <c r="G557" i="7"/>
  <c r="F557" i="7"/>
  <c r="E557" i="7"/>
  <c r="D557" i="7"/>
  <c r="C557" i="7"/>
  <c r="B557" i="7"/>
  <c r="N556" i="7"/>
  <c r="M556" i="7"/>
  <c r="L556" i="7"/>
  <c r="K556" i="7"/>
  <c r="J556" i="7"/>
  <c r="I556" i="7"/>
  <c r="H556" i="7"/>
  <c r="G556" i="7"/>
  <c r="F556" i="7"/>
  <c r="E556" i="7"/>
  <c r="D556" i="7"/>
  <c r="C556" i="7"/>
  <c r="B556" i="7"/>
  <c r="N555" i="7"/>
  <c r="M555" i="7"/>
  <c r="L555" i="7"/>
  <c r="K555" i="7"/>
  <c r="J555" i="7"/>
  <c r="I555" i="7"/>
  <c r="H555" i="7"/>
  <c r="G555" i="7"/>
  <c r="F555" i="7"/>
  <c r="E555" i="7"/>
  <c r="D555" i="7"/>
  <c r="C555" i="7"/>
  <c r="B555" i="7"/>
  <c r="N554" i="7"/>
  <c r="M554" i="7"/>
  <c r="L554" i="7"/>
  <c r="K554" i="7"/>
  <c r="J554" i="7"/>
  <c r="I554" i="7"/>
  <c r="H554" i="7"/>
  <c r="G554" i="7"/>
  <c r="F554" i="7"/>
  <c r="E554" i="7"/>
  <c r="D554" i="7"/>
  <c r="C554" i="7"/>
  <c r="B554" i="7"/>
  <c r="N553" i="7"/>
  <c r="M553" i="7"/>
  <c r="L553" i="7"/>
  <c r="K553" i="7"/>
  <c r="J553" i="7"/>
  <c r="I553" i="7"/>
  <c r="H553" i="7"/>
  <c r="G553" i="7"/>
  <c r="F553" i="7"/>
  <c r="E553" i="7"/>
  <c r="D553" i="7"/>
  <c r="C553" i="7"/>
  <c r="B553" i="7"/>
  <c r="N552" i="7"/>
  <c r="M552" i="7"/>
  <c r="L552" i="7"/>
  <c r="K552" i="7"/>
  <c r="J552" i="7"/>
  <c r="I552" i="7"/>
  <c r="H552" i="7"/>
  <c r="G552" i="7"/>
  <c r="F552" i="7"/>
  <c r="E552" i="7"/>
  <c r="D552" i="7"/>
  <c r="C552" i="7"/>
  <c r="B552" i="7"/>
  <c r="N551" i="7"/>
  <c r="M551" i="7"/>
  <c r="L551" i="7"/>
  <c r="K551" i="7"/>
  <c r="J551" i="7"/>
  <c r="I551" i="7"/>
  <c r="H551" i="7"/>
  <c r="G551" i="7"/>
  <c r="F551" i="7"/>
  <c r="E551" i="7"/>
  <c r="D551" i="7"/>
  <c r="C551" i="7"/>
  <c r="B551" i="7"/>
  <c r="N550" i="7"/>
  <c r="M550" i="7"/>
  <c r="L550" i="7"/>
  <c r="K550" i="7"/>
  <c r="J550" i="7"/>
  <c r="I550" i="7"/>
  <c r="H550" i="7"/>
  <c r="G550" i="7"/>
  <c r="F550" i="7"/>
  <c r="E550" i="7"/>
  <c r="D550" i="7"/>
  <c r="C550" i="7"/>
  <c r="B550" i="7"/>
  <c r="N549" i="7"/>
  <c r="M549" i="7"/>
  <c r="L549" i="7"/>
  <c r="K549" i="7"/>
  <c r="J549" i="7"/>
  <c r="I549" i="7"/>
  <c r="H549" i="7"/>
  <c r="G549" i="7"/>
  <c r="F549" i="7"/>
  <c r="E549" i="7"/>
  <c r="D549" i="7"/>
  <c r="C549" i="7"/>
  <c r="B549" i="7"/>
  <c r="N548" i="7"/>
  <c r="M548" i="7"/>
  <c r="L548" i="7"/>
  <c r="K548" i="7"/>
  <c r="J548" i="7"/>
  <c r="I548" i="7"/>
  <c r="H548" i="7"/>
  <c r="G548" i="7"/>
  <c r="F548" i="7"/>
  <c r="E548" i="7"/>
  <c r="D548" i="7"/>
  <c r="C548" i="7"/>
  <c r="B548" i="7"/>
  <c r="N547" i="7"/>
  <c r="M547" i="7"/>
  <c r="L547" i="7"/>
  <c r="K547" i="7"/>
  <c r="J547" i="7"/>
  <c r="I547" i="7"/>
  <c r="H547" i="7"/>
  <c r="G547" i="7"/>
  <c r="F547" i="7"/>
  <c r="E547" i="7"/>
  <c r="D547" i="7"/>
  <c r="C547" i="7"/>
  <c r="B547" i="7"/>
  <c r="N546" i="7"/>
  <c r="M546" i="7"/>
  <c r="L546" i="7"/>
  <c r="K546" i="7"/>
  <c r="J546" i="7"/>
  <c r="I546" i="7"/>
  <c r="H546" i="7"/>
  <c r="G546" i="7"/>
  <c r="F546" i="7"/>
  <c r="E546" i="7"/>
  <c r="D546" i="7"/>
  <c r="C546" i="7"/>
  <c r="B546" i="7"/>
  <c r="N545" i="7"/>
  <c r="M545" i="7"/>
  <c r="L545" i="7"/>
  <c r="K545" i="7"/>
  <c r="J545" i="7"/>
  <c r="I545" i="7"/>
  <c r="H545" i="7"/>
  <c r="G545" i="7"/>
  <c r="F545" i="7"/>
  <c r="E545" i="7"/>
  <c r="D545" i="7"/>
  <c r="C545" i="7"/>
  <c r="B545" i="7"/>
  <c r="N544" i="7"/>
  <c r="M544" i="7"/>
  <c r="L544" i="7"/>
  <c r="K544" i="7"/>
  <c r="J544" i="7"/>
  <c r="I544" i="7"/>
  <c r="H544" i="7"/>
  <c r="G544" i="7"/>
  <c r="F544" i="7"/>
  <c r="E544" i="7"/>
  <c r="D544" i="7"/>
  <c r="C544" i="7"/>
  <c r="B544" i="7"/>
  <c r="N543" i="7"/>
  <c r="M543" i="7"/>
  <c r="L543" i="7"/>
  <c r="K543" i="7"/>
  <c r="J543" i="7"/>
  <c r="I543" i="7"/>
  <c r="H543" i="7"/>
  <c r="G543" i="7"/>
  <c r="F543" i="7"/>
  <c r="E543" i="7"/>
  <c r="D543" i="7"/>
  <c r="C543" i="7"/>
  <c r="B543" i="7"/>
  <c r="N542" i="7"/>
  <c r="M542" i="7"/>
  <c r="L542" i="7"/>
  <c r="K542" i="7"/>
  <c r="J542" i="7"/>
  <c r="I542" i="7"/>
  <c r="H542" i="7"/>
  <c r="G542" i="7"/>
  <c r="F542" i="7"/>
  <c r="E542" i="7"/>
  <c r="D542" i="7"/>
  <c r="C542" i="7"/>
  <c r="B542" i="7"/>
  <c r="N541" i="7"/>
  <c r="M541" i="7"/>
  <c r="L541" i="7"/>
  <c r="K541" i="7"/>
  <c r="J541" i="7"/>
  <c r="I541" i="7"/>
  <c r="H541" i="7"/>
  <c r="G541" i="7"/>
  <c r="F541" i="7"/>
  <c r="E541" i="7"/>
  <c r="D541" i="7"/>
  <c r="C541" i="7"/>
  <c r="B541" i="7"/>
  <c r="N540" i="7"/>
  <c r="M540" i="7"/>
  <c r="L540" i="7"/>
  <c r="K540" i="7"/>
  <c r="J540" i="7"/>
  <c r="I540" i="7"/>
  <c r="H540" i="7"/>
  <c r="G540" i="7"/>
  <c r="F540" i="7"/>
  <c r="E540" i="7"/>
  <c r="D540" i="7"/>
  <c r="C540" i="7"/>
  <c r="B540" i="7"/>
  <c r="N539" i="7"/>
  <c r="M539" i="7"/>
  <c r="L539" i="7"/>
  <c r="K539" i="7"/>
  <c r="J539" i="7"/>
  <c r="I539" i="7"/>
  <c r="H539" i="7"/>
  <c r="G539" i="7"/>
  <c r="F539" i="7"/>
  <c r="E539" i="7"/>
  <c r="D539" i="7"/>
  <c r="C539" i="7"/>
  <c r="B539" i="7"/>
  <c r="N538" i="7"/>
  <c r="M538" i="7"/>
  <c r="L538" i="7"/>
  <c r="K538" i="7"/>
  <c r="J538" i="7"/>
  <c r="I538" i="7"/>
  <c r="H538" i="7"/>
  <c r="G538" i="7"/>
  <c r="F538" i="7"/>
  <c r="E538" i="7"/>
  <c r="D538" i="7"/>
  <c r="C538" i="7"/>
  <c r="B538" i="7"/>
  <c r="N537" i="7"/>
  <c r="M537" i="7"/>
  <c r="L537" i="7"/>
  <c r="K537" i="7"/>
  <c r="J537" i="7"/>
  <c r="I537" i="7"/>
  <c r="H537" i="7"/>
  <c r="G537" i="7"/>
  <c r="F537" i="7"/>
  <c r="E537" i="7"/>
  <c r="D537" i="7"/>
  <c r="C537" i="7"/>
  <c r="B537" i="7"/>
  <c r="N536" i="7"/>
  <c r="M536" i="7"/>
  <c r="L536" i="7"/>
  <c r="K536" i="7"/>
  <c r="J536" i="7"/>
  <c r="I536" i="7"/>
  <c r="H536" i="7"/>
  <c r="G536" i="7"/>
  <c r="F536" i="7"/>
  <c r="E536" i="7"/>
  <c r="D536" i="7"/>
  <c r="C536" i="7"/>
  <c r="B536" i="7"/>
  <c r="N535" i="7"/>
  <c r="M535" i="7"/>
  <c r="L535" i="7"/>
  <c r="K535" i="7"/>
  <c r="J535" i="7"/>
  <c r="I535" i="7"/>
  <c r="H535" i="7"/>
  <c r="G535" i="7"/>
  <c r="F535" i="7"/>
  <c r="E535" i="7"/>
  <c r="D535" i="7"/>
  <c r="C535" i="7"/>
  <c r="B535" i="7"/>
  <c r="N534" i="7"/>
  <c r="M534" i="7"/>
  <c r="L534" i="7"/>
  <c r="K534" i="7"/>
  <c r="J534" i="7"/>
  <c r="I534" i="7"/>
  <c r="H534" i="7"/>
  <c r="G534" i="7"/>
  <c r="F534" i="7"/>
  <c r="E534" i="7"/>
  <c r="D534" i="7"/>
  <c r="C534" i="7"/>
  <c r="B534" i="7"/>
  <c r="N533" i="7"/>
  <c r="M533" i="7"/>
  <c r="L533" i="7"/>
  <c r="K533" i="7"/>
  <c r="J533" i="7"/>
  <c r="I533" i="7"/>
  <c r="H533" i="7"/>
  <c r="G533" i="7"/>
  <c r="F533" i="7"/>
  <c r="E533" i="7"/>
  <c r="D533" i="7"/>
  <c r="C533" i="7"/>
  <c r="B533" i="7"/>
  <c r="N532" i="7"/>
  <c r="M532" i="7"/>
  <c r="L532" i="7"/>
  <c r="K532" i="7"/>
  <c r="J532" i="7"/>
  <c r="I532" i="7"/>
  <c r="H532" i="7"/>
  <c r="G532" i="7"/>
  <c r="F532" i="7"/>
  <c r="E532" i="7"/>
  <c r="D532" i="7"/>
  <c r="C532" i="7"/>
  <c r="B532" i="7"/>
  <c r="N531" i="7"/>
  <c r="M531" i="7"/>
  <c r="L531" i="7"/>
  <c r="K531" i="7"/>
  <c r="J531" i="7"/>
  <c r="I531" i="7"/>
  <c r="H531" i="7"/>
  <c r="G531" i="7"/>
  <c r="F531" i="7"/>
  <c r="E531" i="7"/>
  <c r="D531" i="7"/>
  <c r="C531" i="7"/>
  <c r="B531" i="7"/>
  <c r="N530" i="7"/>
  <c r="M530" i="7"/>
  <c r="L530" i="7"/>
  <c r="K530" i="7"/>
  <c r="J530" i="7"/>
  <c r="I530" i="7"/>
  <c r="H530" i="7"/>
  <c r="G530" i="7"/>
  <c r="F530" i="7"/>
  <c r="E530" i="7"/>
  <c r="D530" i="7"/>
  <c r="C530" i="7"/>
  <c r="B530" i="7"/>
  <c r="N529" i="7"/>
  <c r="M529" i="7"/>
  <c r="L529" i="7"/>
  <c r="K529" i="7"/>
  <c r="J529" i="7"/>
  <c r="I529" i="7"/>
  <c r="H529" i="7"/>
  <c r="G529" i="7"/>
  <c r="F529" i="7"/>
  <c r="E529" i="7"/>
  <c r="D529" i="7"/>
  <c r="C529" i="7"/>
  <c r="B529" i="7"/>
  <c r="N528" i="7"/>
  <c r="M528" i="7"/>
  <c r="L528" i="7"/>
  <c r="K528" i="7"/>
  <c r="J528" i="7"/>
  <c r="I528" i="7"/>
  <c r="H528" i="7"/>
  <c r="G528" i="7"/>
  <c r="F528" i="7"/>
  <c r="E528" i="7"/>
  <c r="D528" i="7"/>
  <c r="C528" i="7"/>
  <c r="B528" i="7"/>
  <c r="N527" i="7"/>
  <c r="M527" i="7"/>
  <c r="L527" i="7"/>
  <c r="K527" i="7"/>
  <c r="J527" i="7"/>
  <c r="I527" i="7"/>
  <c r="H527" i="7"/>
  <c r="G527" i="7"/>
  <c r="F527" i="7"/>
  <c r="E527" i="7"/>
  <c r="D527" i="7"/>
  <c r="C527" i="7"/>
  <c r="B527" i="7"/>
  <c r="N526" i="7"/>
  <c r="M526" i="7"/>
  <c r="L526" i="7"/>
  <c r="K526" i="7"/>
  <c r="J526" i="7"/>
  <c r="I526" i="7"/>
  <c r="H526" i="7"/>
  <c r="G526" i="7"/>
  <c r="F526" i="7"/>
  <c r="E526" i="7"/>
  <c r="D526" i="7"/>
  <c r="C526" i="7"/>
  <c r="B526" i="7"/>
  <c r="N525" i="7"/>
  <c r="M525" i="7"/>
  <c r="L525" i="7"/>
  <c r="K525" i="7"/>
  <c r="J525" i="7"/>
  <c r="I525" i="7"/>
  <c r="H525" i="7"/>
  <c r="G525" i="7"/>
  <c r="F525" i="7"/>
  <c r="E525" i="7"/>
  <c r="D525" i="7"/>
  <c r="C525" i="7"/>
  <c r="B525" i="7"/>
  <c r="N524" i="7"/>
  <c r="M524" i="7"/>
  <c r="L524" i="7"/>
  <c r="K524" i="7"/>
  <c r="J524" i="7"/>
  <c r="I524" i="7"/>
  <c r="H524" i="7"/>
  <c r="G524" i="7"/>
  <c r="F524" i="7"/>
  <c r="E524" i="7"/>
  <c r="D524" i="7"/>
  <c r="C524" i="7"/>
  <c r="B524" i="7"/>
  <c r="N523" i="7"/>
  <c r="M523" i="7"/>
  <c r="L523" i="7"/>
  <c r="K523" i="7"/>
  <c r="J523" i="7"/>
  <c r="I523" i="7"/>
  <c r="H523" i="7"/>
  <c r="G523" i="7"/>
  <c r="F523" i="7"/>
  <c r="E523" i="7"/>
  <c r="D523" i="7"/>
  <c r="C523" i="7"/>
  <c r="B523" i="7"/>
  <c r="N522" i="7"/>
  <c r="M522" i="7"/>
  <c r="L522" i="7"/>
  <c r="K522" i="7"/>
  <c r="J522" i="7"/>
  <c r="I522" i="7"/>
  <c r="H522" i="7"/>
  <c r="G522" i="7"/>
  <c r="F522" i="7"/>
  <c r="E522" i="7"/>
  <c r="D522" i="7"/>
  <c r="C522" i="7"/>
  <c r="B522" i="7"/>
  <c r="N521" i="7"/>
  <c r="M521" i="7"/>
  <c r="L521" i="7"/>
  <c r="K521" i="7"/>
  <c r="J521" i="7"/>
  <c r="I521" i="7"/>
  <c r="H521" i="7"/>
  <c r="G521" i="7"/>
  <c r="F521" i="7"/>
  <c r="E521" i="7"/>
  <c r="D521" i="7"/>
  <c r="C521" i="7"/>
  <c r="B521" i="7"/>
  <c r="N520" i="7"/>
  <c r="M520" i="7"/>
  <c r="L520" i="7"/>
  <c r="K520" i="7"/>
  <c r="J520" i="7"/>
  <c r="I520" i="7"/>
  <c r="H520" i="7"/>
  <c r="G520" i="7"/>
  <c r="F520" i="7"/>
  <c r="E520" i="7"/>
  <c r="D520" i="7"/>
  <c r="C520" i="7"/>
  <c r="B520" i="7"/>
  <c r="N519" i="7"/>
  <c r="M519" i="7"/>
  <c r="L519" i="7"/>
  <c r="K519" i="7"/>
  <c r="J519" i="7"/>
  <c r="I519" i="7"/>
  <c r="H519" i="7"/>
  <c r="G519" i="7"/>
  <c r="F519" i="7"/>
  <c r="E519" i="7"/>
  <c r="D519" i="7"/>
  <c r="C519" i="7"/>
  <c r="B519" i="7"/>
  <c r="N518" i="7"/>
  <c r="M518" i="7"/>
  <c r="L518" i="7"/>
  <c r="K518" i="7"/>
  <c r="J518" i="7"/>
  <c r="I518" i="7"/>
  <c r="H518" i="7"/>
  <c r="G518" i="7"/>
  <c r="F518" i="7"/>
  <c r="E518" i="7"/>
  <c r="D518" i="7"/>
  <c r="C518" i="7"/>
  <c r="B518" i="7"/>
  <c r="N517" i="7"/>
  <c r="M517" i="7"/>
  <c r="L517" i="7"/>
  <c r="K517" i="7"/>
  <c r="J517" i="7"/>
  <c r="I517" i="7"/>
  <c r="H517" i="7"/>
  <c r="G517" i="7"/>
  <c r="F517" i="7"/>
  <c r="E517" i="7"/>
  <c r="D517" i="7"/>
  <c r="C517" i="7"/>
  <c r="B517" i="7"/>
  <c r="N516" i="7"/>
  <c r="M516" i="7"/>
  <c r="L516" i="7"/>
  <c r="K516" i="7"/>
  <c r="J516" i="7"/>
  <c r="I516" i="7"/>
  <c r="H516" i="7"/>
  <c r="G516" i="7"/>
  <c r="F516" i="7"/>
  <c r="E516" i="7"/>
  <c r="D516" i="7"/>
  <c r="C516" i="7"/>
  <c r="B516" i="7"/>
  <c r="N515" i="7"/>
  <c r="M515" i="7"/>
  <c r="L515" i="7"/>
  <c r="K515" i="7"/>
  <c r="J515" i="7"/>
  <c r="I515" i="7"/>
  <c r="H515" i="7"/>
  <c r="G515" i="7"/>
  <c r="F515" i="7"/>
  <c r="E515" i="7"/>
  <c r="D515" i="7"/>
  <c r="C515" i="7"/>
  <c r="B515" i="7"/>
  <c r="N514" i="7"/>
  <c r="M514" i="7"/>
  <c r="L514" i="7"/>
  <c r="K514" i="7"/>
  <c r="J514" i="7"/>
  <c r="I514" i="7"/>
  <c r="H514" i="7"/>
  <c r="G514" i="7"/>
  <c r="F514" i="7"/>
  <c r="E514" i="7"/>
  <c r="D514" i="7"/>
  <c r="C514" i="7"/>
  <c r="B514" i="7"/>
  <c r="N513" i="7"/>
  <c r="M513" i="7"/>
  <c r="L513" i="7"/>
  <c r="K513" i="7"/>
  <c r="J513" i="7"/>
  <c r="I513" i="7"/>
  <c r="H513" i="7"/>
  <c r="G513" i="7"/>
  <c r="F513" i="7"/>
  <c r="E513" i="7"/>
  <c r="D513" i="7"/>
  <c r="C513" i="7"/>
  <c r="B513" i="7"/>
  <c r="N512" i="7"/>
  <c r="M512" i="7"/>
  <c r="L512" i="7"/>
  <c r="K512" i="7"/>
  <c r="J512" i="7"/>
  <c r="I512" i="7"/>
  <c r="H512" i="7"/>
  <c r="G512" i="7"/>
  <c r="F512" i="7"/>
  <c r="E512" i="7"/>
  <c r="D512" i="7"/>
  <c r="C512" i="7"/>
  <c r="B512" i="7"/>
  <c r="N511" i="7"/>
  <c r="M511" i="7"/>
  <c r="L511" i="7"/>
  <c r="K511" i="7"/>
  <c r="J511" i="7"/>
  <c r="I511" i="7"/>
  <c r="H511" i="7"/>
  <c r="G511" i="7"/>
  <c r="F511" i="7"/>
  <c r="E511" i="7"/>
  <c r="D511" i="7"/>
  <c r="C511" i="7"/>
  <c r="B511" i="7"/>
  <c r="N510" i="7"/>
  <c r="M510" i="7"/>
  <c r="L510" i="7"/>
  <c r="K510" i="7"/>
  <c r="J510" i="7"/>
  <c r="I510" i="7"/>
  <c r="H510" i="7"/>
  <c r="G510" i="7"/>
  <c r="F510" i="7"/>
  <c r="E510" i="7"/>
  <c r="D510" i="7"/>
  <c r="C510" i="7"/>
  <c r="B510" i="7"/>
  <c r="N509" i="7"/>
  <c r="M509" i="7"/>
  <c r="L509" i="7"/>
  <c r="K509" i="7"/>
  <c r="J509" i="7"/>
  <c r="I509" i="7"/>
  <c r="H509" i="7"/>
  <c r="G509" i="7"/>
  <c r="F509" i="7"/>
  <c r="E509" i="7"/>
  <c r="D509" i="7"/>
  <c r="C509" i="7"/>
  <c r="B509" i="7"/>
  <c r="N508" i="7"/>
  <c r="M508" i="7"/>
  <c r="L508" i="7"/>
  <c r="K508" i="7"/>
  <c r="J508" i="7"/>
  <c r="I508" i="7"/>
  <c r="H508" i="7"/>
  <c r="G508" i="7"/>
  <c r="F508" i="7"/>
  <c r="E508" i="7"/>
  <c r="D508" i="7"/>
  <c r="C508" i="7"/>
  <c r="B508" i="7"/>
  <c r="N507" i="7"/>
  <c r="M507" i="7"/>
  <c r="L507" i="7"/>
  <c r="K507" i="7"/>
  <c r="J507" i="7"/>
  <c r="I507" i="7"/>
  <c r="H507" i="7"/>
  <c r="G507" i="7"/>
  <c r="F507" i="7"/>
  <c r="E507" i="7"/>
  <c r="D507" i="7"/>
  <c r="C507" i="7"/>
  <c r="B507" i="7"/>
  <c r="N506" i="7"/>
  <c r="M506" i="7"/>
  <c r="L506" i="7"/>
  <c r="K506" i="7"/>
  <c r="J506" i="7"/>
  <c r="I506" i="7"/>
  <c r="H506" i="7"/>
  <c r="G506" i="7"/>
  <c r="F506" i="7"/>
  <c r="E506" i="7"/>
  <c r="D506" i="7"/>
  <c r="C506" i="7"/>
  <c r="B506" i="7"/>
  <c r="N505" i="7"/>
  <c r="M505" i="7"/>
  <c r="L505" i="7"/>
  <c r="K505" i="7"/>
  <c r="J505" i="7"/>
  <c r="I505" i="7"/>
  <c r="H505" i="7"/>
  <c r="G505" i="7"/>
  <c r="F505" i="7"/>
  <c r="E505" i="7"/>
  <c r="D505" i="7"/>
  <c r="C505" i="7"/>
  <c r="B505" i="7"/>
  <c r="N504" i="7"/>
  <c r="M504" i="7"/>
  <c r="L504" i="7"/>
  <c r="K504" i="7"/>
  <c r="J504" i="7"/>
  <c r="I504" i="7"/>
  <c r="H504" i="7"/>
  <c r="G504" i="7"/>
  <c r="F504" i="7"/>
  <c r="E504" i="7"/>
  <c r="D504" i="7"/>
  <c r="C504" i="7"/>
  <c r="B504" i="7"/>
  <c r="N503" i="7"/>
  <c r="M503" i="7"/>
  <c r="L503" i="7"/>
  <c r="K503" i="7"/>
  <c r="J503" i="7"/>
  <c r="I503" i="7"/>
  <c r="H503" i="7"/>
  <c r="G503" i="7"/>
  <c r="F503" i="7"/>
  <c r="E503" i="7"/>
  <c r="D503" i="7"/>
  <c r="C503" i="7"/>
  <c r="B503" i="7"/>
  <c r="N502" i="7"/>
  <c r="M502" i="7"/>
  <c r="L502" i="7"/>
  <c r="K502" i="7"/>
  <c r="J502" i="7"/>
  <c r="I502" i="7"/>
  <c r="H502" i="7"/>
  <c r="G502" i="7"/>
  <c r="F502" i="7"/>
  <c r="E502" i="7"/>
  <c r="D502" i="7"/>
  <c r="C502" i="7"/>
  <c r="B502" i="7"/>
  <c r="N501" i="7"/>
  <c r="M501" i="7"/>
  <c r="L501" i="7"/>
  <c r="K501" i="7"/>
  <c r="J501" i="7"/>
  <c r="I501" i="7"/>
  <c r="H501" i="7"/>
  <c r="G501" i="7"/>
  <c r="F501" i="7"/>
  <c r="E501" i="7"/>
  <c r="D501" i="7"/>
  <c r="C501" i="7"/>
  <c r="B501" i="7"/>
  <c r="N500" i="7"/>
  <c r="M500" i="7"/>
  <c r="L500" i="7"/>
  <c r="K500" i="7"/>
  <c r="J500" i="7"/>
  <c r="I500" i="7"/>
  <c r="H500" i="7"/>
  <c r="G500" i="7"/>
  <c r="F500" i="7"/>
  <c r="E500" i="7"/>
  <c r="D500" i="7"/>
  <c r="C500" i="7"/>
  <c r="B500" i="7"/>
  <c r="N499" i="7"/>
  <c r="M499" i="7"/>
  <c r="L499" i="7"/>
  <c r="K499" i="7"/>
  <c r="J499" i="7"/>
  <c r="I499" i="7"/>
  <c r="H499" i="7"/>
  <c r="G499" i="7"/>
  <c r="F499" i="7"/>
  <c r="E499" i="7"/>
  <c r="D499" i="7"/>
  <c r="C499" i="7"/>
  <c r="B499" i="7"/>
  <c r="N498" i="7"/>
  <c r="M498" i="7"/>
  <c r="L498" i="7"/>
  <c r="K498" i="7"/>
  <c r="J498" i="7"/>
  <c r="I498" i="7"/>
  <c r="H498" i="7"/>
  <c r="G498" i="7"/>
  <c r="F498" i="7"/>
  <c r="E498" i="7"/>
  <c r="D498" i="7"/>
  <c r="C498" i="7"/>
  <c r="B498" i="7"/>
  <c r="N497" i="7"/>
  <c r="M497" i="7"/>
  <c r="L497" i="7"/>
  <c r="K497" i="7"/>
  <c r="J497" i="7"/>
  <c r="I497" i="7"/>
  <c r="H497" i="7"/>
  <c r="G497" i="7"/>
  <c r="F497" i="7"/>
  <c r="E497" i="7"/>
  <c r="D497" i="7"/>
  <c r="C497" i="7"/>
  <c r="B497" i="7"/>
  <c r="N496" i="7"/>
  <c r="M496" i="7"/>
  <c r="L496" i="7"/>
  <c r="K496" i="7"/>
  <c r="J496" i="7"/>
  <c r="I496" i="7"/>
  <c r="H496" i="7"/>
  <c r="G496" i="7"/>
  <c r="F496" i="7"/>
  <c r="E496" i="7"/>
  <c r="D496" i="7"/>
  <c r="C496" i="7"/>
  <c r="B496" i="7"/>
  <c r="N495" i="7"/>
  <c r="M495" i="7"/>
  <c r="L495" i="7"/>
  <c r="K495" i="7"/>
  <c r="J495" i="7"/>
  <c r="I495" i="7"/>
  <c r="H495" i="7"/>
  <c r="G495" i="7"/>
  <c r="F495" i="7"/>
  <c r="E495" i="7"/>
  <c r="D495" i="7"/>
  <c r="C495" i="7"/>
  <c r="B495" i="7"/>
  <c r="N494" i="7"/>
  <c r="M494" i="7"/>
  <c r="L494" i="7"/>
  <c r="K494" i="7"/>
  <c r="J494" i="7"/>
  <c r="I494" i="7"/>
  <c r="H494" i="7"/>
  <c r="G494" i="7"/>
  <c r="F494" i="7"/>
  <c r="E494" i="7"/>
  <c r="D494" i="7"/>
  <c r="C494" i="7"/>
  <c r="B494" i="7"/>
  <c r="N493" i="7"/>
  <c r="M493" i="7"/>
  <c r="L493" i="7"/>
  <c r="K493" i="7"/>
  <c r="J493" i="7"/>
  <c r="I493" i="7"/>
  <c r="H493" i="7"/>
  <c r="G493" i="7"/>
  <c r="F493" i="7"/>
  <c r="E493" i="7"/>
  <c r="D493" i="7"/>
  <c r="C493" i="7"/>
  <c r="B493" i="7"/>
  <c r="N492" i="7"/>
  <c r="M492" i="7"/>
  <c r="L492" i="7"/>
  <c r="K492" i="7"/>
  <c r="J492" i="7"/>
  <c r="I492" i="7"/>
  <c r="H492" i="7"/>
  <c r="G492" i="7"/>
  <c r="F492" i="7"/>
  <c r="E492" i="7"/>
  <c r="D492" i="7"/>
  <c r="C492" i="7"/>
  <c r="B492" i="7"/>
  <c r="N491" i="7"/>
  <c r="M491" i="7"/>
  <c r="L491" i="7"/>
  <c r="K491" i="7"/>
  <c r="J491" i="7"/>
  <c r="I491" i="7"/>
  <c r="H491" i="7"/>
  <c r="G491" i="7"/>
  <c r="F491" i="7"/>
  <c r="E491" i="7"/>
  <c r="D491" i="7"/>
  <c r="C491" i="7"/>
  <c r="B491" i="7"/>
  <c r="N490" i="7"/>
  <c r="M490" i="7"/>
  <c r="L490" i="7"/>
  <c r="K490" i="7"/>
  <c r="J490" i="7"/>
  <c r="I490" i="7"/>
  <c r="H490" i="7"/>
  <c r="G490" i="7"/>
  <c r="F490" i="7"/>
  <c r="E490" i="7"/>
  <c r="D490" i="7"/>
  <c r="C490" i="7"/>
  <c r="B490" i="7"/>
  <c r="N489" i="7"/>
  <c r="M489" i="7"/>
  <c r="L489" i="7"/>
  <c r="K489" i="7"/>
  <c r="J489" i="7"/>
  <c r="I489" i="7"/>
  <c r="H489" i="7"/>
  <c r="G489" i="7"/>
  <c r="F489" i="7"/>
  <c r="E489" i="7"/>
  <c r="D489" i="7"/>
  <c r="C489" i="7"/>
  <c r="B489" i="7"/>
  <c r="N488" i="7"/>
  <c r="M488" i="7"/>
  <c r="L488" i="7"/>
  <c r="K488" i="7"/>
  <c r="J488" i="7"/>
  <c r="I488" i="7"/>
  <c r="H488" i="7"/>
  <c r="G488" i="7"/>
  <c r="F488" i="7"/>
  <c r="E488" i="7"/>
  <c r="D488" i="7"/>
  <c r="C488" i="7"/>
  <c r="B488" i="7"/>
  <c r="N487" i="7"/>
  <c r="M487" i="7"/>
  <c r="L487" i="7"/>
  <c r="K487" i="7"/>
  <c r="J487" i="7"/>
  <c r="I487" i="7"/>
  <c r="H487" i="7"/>
  <c r="G487" i="7"/>
  <c r="F487" i="7"/>
  <c r="E487" i="7"/>
  <c r="D487" i="7"/>
  <c r="C487" i="7"/>
  <c r="B487" i="7"/>
  <c r="N486" i="7"/>
  <c r="M486" i="7"/>
  <c r="L486" i="7"/>
  <c r="K486" i="7"/>
  <c r="J486" i="7"/>
  <c r="I486" i="7"/>
  <c r="H486" i="7"/>
  <c r="G486" i="7"/>
  <c r="F486" i="7"/>
  <c r="E486" i="7"/>
  <c r="D486" i="7"/>
  <c r="C486" i="7"/>
  <c r="B486" i="7"/>
  <c r="N485" i="7"/>
  <c r="M485" i="7"/>
  <c r="L485" i="7"/>
  <c r="K485" i="7"/>
  <c r="J485" i="7"/>
  <c r="I485" i="7"/>
  <c r="H485" i="7"/>
  <c r="G485" i="7"/>
  <c r="F485" i="7"/>
  <c r="E485" i="7"/>
  <c r="D485" i="7"/>
  <c r="C485" i="7"/>
  <c r="B485" i="7"/>
  <c r="N484" i="7"/>
  <c r="M484" i="7"/>
  <c r="L484" i="7"/>
  <c r="K484" i="7"/>
  <c r="J484" i="7"/>
  <c r="I484" i="7"/>
  <c r="H484" i="7"/>
  <c r="G484" i="7"/>
  <c r="F484" i="7"/>
  <c r="E484" i="7"/>
  <c r="D484" i="7"/>
  <c r="C484" i="7"/>
  <c r="B484" i="7"/>
  <c r="N483" i="7"/>
  <c r="M483" i="7"/>
  <c r="L483" i="7"/>
  <c r="K483" i="7"/>
  <c r="J483" i="7"/>
  <c r="I483" i="7"/>
  <c r="H483" i="7"/>
  <c r="G483" i="7"/>
  <c r="F483" i="7"/>
  <c r="E483" i="7"/>
  <c r="D483" i="7"/>
  <c r="C483" i="7"/>
  <c r="B483" i="7"/>
  <c r="N482" i="7"/>
  <c r="M482" i="7"/>
  <c r="L482" i="7"/>
  <c r="K482" i="7"/>
  <c r="J482" i="7"/>
  <c r="I482" i="7"/>
  <c r="H482" i="7"/>
  <c r="G482" i="7"/>
  <c r="F482" i="7"/>
  <c r="E482" i="7"/>
  <c r="D482" i="7"/>
  <c r="C482" i="7"/>
  <c r="B482" i="7"/>
  <c r="N481" i="7"/>
  <c r="M481" i="7"/>
  <c r="L481" i="7"/>
  <c r="K481" i="7"/>
  <c r="J481" i="7"/>
  <c r="I481" i="7"/>
  <c r="H481" i="7"/>
  <c r="G481" i="7"/>
  <c r="F481" i="7"/>
  <c r="E481" i="7"/>
  <c r="D481" i="7"/>
  <c r="C481" i="7"/>
  <c r="B481" i="7"/>
  <c r="N480" i="7"/>
  <c r="M480" i="7"/>
  <c r="L480" i="7"/>
  <c r="K480" i="7"/>
  <c r="J480" i="7"/>
  <c r="I480" i="7"/>
  <c r="H480" i="7"/>
  <c r="G480" i="7"/>
  <c r="F480" i="7"/>
  <c r="E480" i="7"/>
  <c r="D480" i="7"/>
  <c r="C480" i="7"/>
  <c r="B480" i="7"/>
  <c r="N479" i="7"/>
  <c r="M479" i="7"/>
  <c r="L479" i="7"/>
  <c r="K479" i="7"/>
  <c r="J479" i="7"/>
  <c r="I479" i="7"/>
  <c r="H479" i="7"/>
  <c r="G479" i="7"/>
  <c r="F479" i="7"/>
  <c r="E479" i="7"/>
  <c r="D479" i="7"/>
  <c r="C479" i="7"/>
  <c r="B479" i="7"/>
  <c r="N478" i="7"/>
  <c r="M478" i="7"/>
  <c r="L478" i="7"/>
  <c r="K478" i="7"/>
  <c r="J478" i="7"/>
  <c r="I478" i="7"/>
  <c r="H478" i="7"/>
  <c r="G478" i="7"/>
  <c r="F478" i="7"/>
  <c r="E478" i="7"/>
  <c r="D478" i="7"/>
  <c r="C478" i="7"/>
  <c r="B478" i="7"/>
  <c r="N477" i="7"/>
  <c r="M477" i="7"/>
  <c r="L477" i="7"/>
  <c r="K477" i="7"/>
  <c r="J477" i="7"/>
  <c r="I477" i="7"/>
  <c r="H477" i="7"/>
  <c r="G477" i="7"/>
  <c r="F477" i="7"/>
  <c r="E477" i="7"/>
  <c r="D477" i="7"/>
  <c r="C477" i="7"/>
  <c r="B477" i="7"/>
  <c r="N476" i="7"/>
  <c r="M476" i="7"/>
  <c r="L476" i="7"/>
  <c r="K476" i="7"/>
  <c r="J476" i="7"/>
  <c r="I476" i="7"/>
  <c r="H476" i="7"/>
  <c r="G476" i="7"/>
  <c r="F476" i="7"/>
  <c r="E476" i="7"/>
  <c r="D476" i="7"/>
  <c r="C476" i="7"/>
  <c r="B476" i="7"/>
  <c r="N475" i="7"/>
  <c r="M475" i="7"/>
  <c r="L475" i="7"/>
  <c r="K475" i="7"/>
  <c r="J475" i="7"/>
  <c r="I475" i="7"/>
  <c r="H475" i="7"/>
  <c r="G475" i="7"/>
  <c r="F475" i="7"/>
  <c r="E475" i="7"/>
  <c r="D475" i="7"/>
  <c r="C475" i="7"/>
  <c r="B475" i="7"/>
  <c r="N474" i="7"/>
  <c r="M474" i="7"/>
  <c r="L474" i="7"/>
  <c r="K474" i="7"/>
  <c r="J474" i="7"/>
  <c r="I474" i="7"/>
  <c r="H474" i="7"/>
  <c r="G474" i="7"/>
  <c r="F474" i="7"/>
  <c r="E474" i="7"/>
  <c r="D474" i="7"/>
  <c r="C474" i="7"/>
  <c r="B474" i="7"/>
  <c r="N473" i="7"/>
  <c r="M473" i="7"/>
  <c r="L473" i="7"/>
  <c r="K473" i="7"/>
  <c r="J473" i="7"/>
  <c r="I473" i="7"/>
  <c r="H473" i="7"/>
  <c r="G473" i="7"/>
  <c r="F473" i="7"/>
  <c r="E473" i="7"/>
  <c r="D473" i="7"/>
  <c r="C473" i="7"/>
  <c r="B473" i="7"/>
  <c r="N472" i="7"/>
  <c r="M472" i="7"/>
  <c r="L472" i="7"/>
  <c r="K472" i="7"/>
  <c r="J472" i="7"/>
  <c r="I472" i="7"/>
  <c r="H472" i="7"/>
  <c r="G472" i="7"/>
  <c r="F472" i="7"/>
  <c r="E472" i="7"/>
  <c r="D472" i="7"/>
  <c r="C472" i="7"/>
  <c r="B472" i="7"/>
  <c r="N471" i="7"/>
  <c r="M471" i="7"/>
  <c r="L471" i="7"/>
  <c r="K471" i="7"/>
  <c r="J471" i="7"/>
  <c r="I471" i="7"/>
  <c r="H471" i="7"/>
  <c r="G471" i="7"/>
  <c r="F471" i="7"/>
  <c r="E471" i="7"/>
  <c r="D471" i="7"/>
  <c r="C471" i="7"/>
  <c r="B471" i="7"/>
  <c r="N470" i="7"/>
  <c r="M470" i="7"/>
  <c r="L470" i="7"/>
  <c r="K470" i="7"/>
  <c r="J470" i="7"/>
  <c r="I470" i="7"/>
  <c r="H470" i="7"/>
  <c r="G470" i="7"/>
  <c r="F470" i="7"/>
  <c r="E470" i="7"/>
  <c r="D470" i="7"/>
  <c r="C470" i="7"/>
  <c r="B470" i="7"/>
  <c r="N469" i="7"/>
  <c r="M469" i="7"/>
  <c r="L469" i="7"/>
  <c r="K469" i="7"/>
  <c r="J469" i="7"/>
  <c r="I469" i="7"/>
  <c r="H469" i="7"/>
  <c r="G469" i="7"/>
  <c r="F469" i="7"/>
  <c r="E469" i="7"/>
  <c r="D469" i="7"/>
  <c r="C469" i="7"/>
  <c r="B469" i="7"/>
  <c r="N468" i="7"/>
  <c r="M468" i="7"/>
  <c r="L468" i="7"/>
  <c r="K468" i="7"/>
  <c r="J468" i="7"/>
  <c r="I468" i="7"/>
  <c r="H468" i="7"/>
  <c r="G468" i="7"/>
  <c r="F468" i="7"/>
  <c r="E468" i="7"/>
  <c r="D468" i="7"/>
  <c r="C468" i="7"/>
  <c r="B468" i="7"/>
  <c r="N467" i="7"/>
  <c r="M467" i="7"/>
  <c r="L467" i="7"/>
  <c r="K467" i="7"/>
  <c r="J467" i="7"/>
  <c r="I467" i="7"/>
  <c r="H467" i="7"/>
  <c r="G467" i="7"/>
  <c r="F467" i="7"/>
  <c r="E467" i="7"/>
  <c r="D467" i="7"/>
  <c r="C467" i="7"/>
  <c r="B467" i="7"/>
  <c r="N466" i="7"/>
  <c r="M466" i="7"/>
  <c r="L466" i="7"/>
  <c r="K466" i="7"/>
  <c r="J466" i="7"/>
  <c r="I466" i="7"/>
  <c r="H466" i="7"/>
  <c r="G466" i="7"/>
  <c r="F466" i="7"/>
  <c r="E466" i="7"/>
  <c r="D466" i="7"/>
  <c r="C466" i="7"/>
  <c r="B466" i="7"/>
  <c r="N465" i="7"/>
  <c r="M465" i="7"/>
  <c r="L465" i="7"/>
  <c r="K465" i="7"/>
  <c r="J465" i="7"/>
  <c r="I465" i="7"/>
  <c r="H465" i="7"/>
  <c r="G465" i="7"/>
  <c r="F465" i="7"/>
  <c r="E465" i="7"/>
  <c r="D465" i="7"/>
  <c r="C465" i="7"/>
  <c r="B465" i="7"/>
  <c r="N464" i="7"/>
  <c r="M464" i="7"/>
  <c r="L464" i="7"/>
  <c r="K464" i="7"/>
  <c r="J464" i="7"/>
  <c r="I464" i="7"/>
  <c r="H464" i="7"/>
  <c r="G464" i="7"/>
  <c r="F464" i="7"/>
  <c r="E464" i="7"/>
  <c r="D464" i="7"/>
  <c r="C464" i="7"/>
  <c r="B464" i="7"/>
  <c r="N463" i="7"/>
  <c r="M463" i="7"/>
  <c r="L463" i="7"/>
  <c r="K463" i="7"/>
  <c r="J463" i="7"/>
  <c r="I463" i="7"/>
  <c r="H463" i="7"/>
  <c r="G463" i="7"/>
  <c r="F463" i="7"/>
  <c r="E463" i="7"/>
  <c r="D463" i="7"/>
  <c r="C463" i="7"/>
  <c r="B463" i="7"/>
  <c r="N462" i="7"/>
  <c r="M462" i="7"/>
  <c r="L462" i="7"/>
  <c r="K462" i="7"/>
  <c r="J462" i="7"/>
  <c r="I462" i="7"/>
  <c r="H462" i="7"/>
  <c r="G462" i="7"/>
  <c r="F462" i="7"/>
  <c r="E462" i="7"/>
  <c r="D462" i="7"/>
  <c r="C462" i="7"/>
  <c r="B462" i="7"/>
  <c r="N461" i="7"/>
  <c r="M461" i="7"/>
  <c r="L461" i="7"/>
  <c r="K461" i="7"/>
  <c r="J461" i="7"/>
  <c r="I461" i="7"/>
  <c r="H461" i="7"/>
  <c r="G461" i="7"/>
  <c r="F461" i="7"/>
  <c r="E461" i="7"/>
  <c r="D461" i="7"/>
  <c r="C461" i="7"/>
  <c r="B461" i="7"/>
  <c r="N460" i="7"/>
  <c r="M460" i="7"/>
  <c r="L460" i="7"/>
  <c r="K460" i="7"/>
  <c r="J460" i="7"/>
  <c r="I460" i="7"/>
  <c r="H460" i="7"/>
  <c r="G460" i="7"/>
  <c r="F460" i="7"/>
  <c r="E460" i="7"/>
  <c r="D460" i="7"/>
  <c r="C460" i="7"/>
  <c r="B460" i="7"/>
  <c r="N459" i="7"/>
  <c r="M459" i="7"/>
  <c r="L459" i="7"/>
  <c r="K459" i="7"/>
  <c r="J459" i="7"/>
  <c r="I459" i="7"/>
  <c r="H459" i="7"/>
  <c r="G459" i="7"/>
  <c r="F459" i="7"/>
  <c r="E459" i="7"/>
  <c r="D459" i="7"/>
  <c r="C459" i="7"/>
  <c r="B459" i="7"/>
  <c r="N458" i="7"/>
  <c r="M458" i="7"/>
  <c r="L458" i="7"/>
  <c r="K458" i="7"/>
  <c r="J458" i="7"/>
  <c r="I458" i="7"/>
  <c r="H458" i="7"/>
  <c r="G458" i="7"/>
  <c r="F458" i="7"/>
  <c r="E458" i="7"/>
  <c r="D458" i="7"/>
  <c r="C458" i="7"/>
  <c r="B458" i="7"/>
  <c r="N457" i="7"/>
  <c r="M457" i="7"/>
  <c r="L457" i="7"/>
  <c r="K457" i="7"/>
  <c r="J457" i="7"/>
  <c r="I457" i="7"/>
  <c r="H457" i="7"/>
  <c r="G457" i="7"/>
  <c r="F457" i="7"/>
  <c r="E457" i="7"/>
  <c r="D457" i="7"/>
  <c r="C457" i="7"/>
  <c r="B457" i="7"/>
  <c r="N456" i="7"/>
  <c r="M456" i="7"/>
  <c r="L456" i="7"/>
  <c r="K456" i="7"/>
  <c r="J456" i="7"/>
  <c r="I456" i="7"/>
  <c r="H456" i="7"/>
  <c r="G456" i="7"/>
  <c r="F456" i="7"/>
  <c r="E456" i="7"/>
  <c r="D456" i="7"/>
  <c r="C456" i="7"/>
  <c r="B456" i="7"/>
  <c r="N455" i="7"/>
  <c r="M455" i="7"/>
  <c r="L455" i="7"/>
  <c r="K455" i="7"/>
  <c r="J455" i="7"/>
  <c r="I455" i="7"/>
  <c r="H455" i="7"/>
  <c r="G455" i="7"/>
  <c r="F455" i="7"/>
  <c r="E455" i="7"/>
  <c r="D455" i="7"/>
  <c r="C455" i="7"/>
  <c r="B455" i="7"/>
  <c r="N454" i="7"/>
  <c r="M454" i="7"/>
  <c r="L454" i="7"/>
  <c r="K454" i="7"/>
  <c r="J454" i="7"/>
  <c r="I454" i="7"/>
  <c r="H454" i="7"/>
  <c r="G454" i="7"/>
  <c r="F454" i="7"/>
  <c r="E454" i="7"/>
  <c r="D454" i="7"/>
  <c r="C454" i="7"/>
  <c r="B454" i="7"/>
  <c r="N453" i="7"/>
  <c r="M453" i="7"/>
  <c r="L453" i="7"/>
  <c r="K453" i="7"/>
  <c r="J453" i="7"/>
  <c r="I453" i="7"/>
  <c r="H453" i="7"/>
  <c r="G453" i="7"/>
  <c r="F453" i="7"/>
  <c r="E453" i="7"/>
  <c r="D453" i="7"/>
  <c r="C453" i="7"/>
  <c r="B453" i="7"/>
  <c r="N452" i="7"/>
  <c r="M452" i="7"/>
  <c r="L452" i="7"/>
  <c r="K452" i="7"/>
  <c r="J452" i="7"/>
  <c r="I452" i="7"/>
  <c r="H452" i="7"/>
  <c r="G452" i="7"/>
  <c r="F452" i="7"/>
  <c r="E452" i="7"/>
  <c r="D452" i="7"/>
  <c r="C452" i="7"/>
  <c r="B452" i="7"/>
  <c r="N451" i="7"/>
  <c r="M451" i="7"/>
  <c r="L451" i="7"/>
  <c r="K451" i="7"/>
  <c r="J451" i="7"/>
  <c r="I451" i="7"/>
  <c r="H451" i="7"/>
  <c r="G451" i="7"/>
  <c r="F451" i="7"/>
  <c r="E451" i="7"/>
  <c r="D451" i="7"/>
  <c r="C451" i="7"/>
  <c r="B451" i="7"/>
  <c r="N450" i="7"/>
  <c r="M450" i="7"/>
  <c r="L450" i="7"/>
  <c r="K450" i="7"/>
  <c r="J450" i="7"/>
  <c r="I450" i="7"/>
  <c r="H450" i="7"/>
  <c r="G450" i="7"/>
  <c r="F450" i="7"/>
  <c r="E450" i="7"/>
  <c r="D450" i="7"/>
  <c r="C450" i="7"/>
  <c r="B450" i="7"/>
  <c r="N449" i="7"/>
  <c r="M449" i="7"/>
  <c r="L449" i="7"/>
  <c r="K449" i="7"/>
  <c r="J449" i="7"/>
  <c r="I449" i="7"/>
  <c r="H449" i="7"/>
  <c r="G449" i="7"/>
  <c r="F449" i="7"/>
  <c r="E449" i="7"/>
  <c r="D449" i="7"/>
  <c r="C449" i="7"/>
  <c r="B449" i="7"/>
  <c r="N448" i="7"/>
  <c r="M448" i="7"/>
  <c r="L448" i="7"/>
  <c r="K448" i="7"/>
  <c r="J448" i="7"/>
  <c r="I448" i="7"/>
  <c r="H448" i="7"/>
  <c r="G448" i="7"/>
  <c r="F448" i="7"/>
  <c r="E448" i="7"/>
  <c r="D448" i="7"/>
  <c r="C448" i="7"/>
  <c r="B448" i="7"/>
  <c r="N447" i="7"/>
  <c r="M447" i="7"/>
  <c r="L447" i="7"/>
  <c r="K447" i="7"/>
  <c r="J447" i="7"/>
  <c r="I447" i="7"/>
  <c r="H447" i="7"/>
  <c r="G447" i="7"/>
  <c r="F447" i="7"/>
  <c r="E447" i="7"/>
  <c r="D447" i="7"/>
  <c r="C447" i="7"/>
  <c r="B447" i="7"/>
  <c r="N446" i="7"/>
  <c r="M446" i="7"/>
  <c r="L446" i="7"/>
  <c r="K446" i="7"/>
  <c r="J446" i="7"/>
  <c r="I446" i="7"/>
  <c r="H446" i="7"/>
  <c r="G446" i="7"/>
  <c r="F446" i="7"/>
  <c r="E446" i="7"/>
  <c r="D446" i="7"/>
  <c r="C446" i="7"/>
  <c r="B446" i="7"/>
  <c r="N445" i="7"/>
  <c r="M445" i="7"/>
  <c r="L445" i="7"/>
  <c r="K445" i="7"/>
  <c r="J445" i="7"/>
  <c r="I445" i="7"/>
  <c r="H445" i="7"/>
  <c r="G445" i="7"/>
  <c r="F445" i="7"/>
  <c r="E445" i="7"/>
  <c r="D445" i="7"/>
  <c r="C445" i="7"/>
  <c r="B445" i="7"/>
  <c r="N444" i="7"/>
  <c r="M444" i="7"/>
  <c r="L444" i="7"/>
  <c r="K444" i="7"/>
  <c r="J444" i="7"/>
  <c r="I444" i="7"/>
  <c r="H444" i="7"/>
  <c r="G444" i="7"/>
  <c r="F444" i="7"/>
  <c r="E444" i="7"/>
  <c r="D444" i="7"/>
  <c r="C444" i="7"/>
  <c r="B444" i="7"/>
  <c r="N443" i="7"/>
  <c r="M443" i="7"/>
  <c r="L443" i="7"/>
  <c r="K443" i="7"/>
  <c r="J443" i="7"/>
  <c r="I443" i="7"/>
  <c r="H443" i="7"/>
  <c r="G443" i="7"/>
  <c r="F443" i="7"/>
  <c r="E443" i="7"/>
  <c r="D443" i="7"/>
  <c r="C443" i="7"/>
  <c r="B443" i="7"/>
  <c r="N442" i="7"/>
  <c r="M442" i="7"/>
  <c r="L442" i="7"/>
  <c r="K442" i="7"/>
  <c r="J442" i="7"/>
  <c r="I442" i="7"/>
  <c r="H442" i="7"/>
  <c r="G442" i="7"/>
  <c r="F442" i="7"/>
  <c r="E442" i="7"/>
  <c r="D442" i="7"/>
  <c r="C442" i="7"/>
  <c r="B442" i="7"/>
  <c r="N441" i="7"/>
  <c r="M441" i="7"/>
  <c r="L441" i="7"/>
  <c r="K441" i="7"/>
  <c r="J441" i="7"/>
  <c r="I441" i="7"/>
  <c r="H441" i="7"/>
  <c r="G441" i="7"/>
  <c r="F441" i="7"/>
  <c r="E441" i="7"/>
  <c r="D441" i="7"/>
  <c r="C441" i="7"/>
  <c r="B441" i="7"/>
  <c r="N440" i="7"/>
  <c r="M440" i="7"/>
  <c r="L440" i="7"/>
  <c r="K440" i="7"/>
  <c r="J440" i="7"/>
  <c r="I440" i="7"/>
  <c r="H440" i="7"/>
  <c r="G440" i="7"/>
  <c r="F440" i="7"/>
  <c r="E440" i="7"/>
  <c r="D440" i="7"/>
  <c r="C440" i="7"/>
  <c r="B440" i="7"/>
  <c r="N439" i="7"/>
  <c r="M439" i="7"/>
  <c r="L439" i="7"/>
  <c r="K439" i="7"/>
  <c r="J439" i="7"/>
  <c r="I439" i="7"/>
  <c r="H439" i="7"/>
  <c r="G439" i="7"/>
  <c r="F439" i="7"/>
  <c r="E439" i="7"/>
  <c r="D439" i="7"/>
  <c r="C439" i="7"/>
  <c r="B439" i="7"/>
  <c r="N438" i="7"/>
  <c r="M438" i="7"/>
  <c r="L438" i="7"/>
  <c r="K438" i="7"/>
  <c r="J438" i="7"/>
  <c r="I438" i="7"/>
  <c r="H438" i="7"/>
  <c r="G438" i="7"/>
  <c r="F438" i="7"/>
  <c r="E438" i="7"/>
  <c r="D438" i="7"/>
  <c r="C438" i="7"/>
  <c r="B438" i="7"/>
  <c r="N437" i="7"/>
  <c r="M437" i="7"/>
  <c r="L437" i="7"/>
  <c r="K437" i="7"/>
  <c r="J437" i="7"/>
  <c r="I437" i="7"/>
  <c r="H437" i="7"/>
  <c r="G437" i="7"/>
  <c r="F437" i="7"/>
  <c r="E437" i="7"/>
  <c r="D437" i="7"/>
  <c r="C437" i="7"/>
  <c r="B437" i="7"/>
  <c r="N436" i="7"/>
  <c r="M436" i="7"/>
  <c r="L436" i="7"/>
  <c r="K436" i="7"/>
  <c r="J436" i="7"/>
  <c r="I436" i="7"/>
  <c r="H436" i="7"/>
  <c r="G436" i="7"/>
  <c r="F436" i="7"/>
  <c r="E436" i="7"/>
  <c r="D436" i="7"/>
  <c r="C436" i="7"/>
  <c r="B436" i="7"/>
  <c r="N435" i="7"/>
  <c r="M435" i="7"/>
  <c r="L435" i="7"/>
  <c r="K435" i="7"/>
  <c r="J435" i="7"/>
  <c r="I435" i="7"/>
  <c r="H435" i="7"/>
  <c r="G435" i="7"/>
  <c r="F435" i="7"/>
  <c r="E435" i="7"/>
  <c r="D435" i="7"/>
  <c r="C435" i="7"/>
  <c r="B435" i="7"/>
  <c r="N434" i="7"/>
  <c r="M434" i="7"/>
  <c r="L434" i="7"/>
  <c r="K434" i="7"/>
  <c r="J434" i="7"/>
  <c r="I434" i="7"/>
  <c r="H434" i="7"/>
  <c r="G434" i="7"/>
  <c r="F434" i="7"/>
  <c r="E434" i="7"/>
  <c r="D434" i="7"/>
  <c r="C434" i="7"/>
  <c r="B434" i="7"/>
  <c r="N433" i="7"/>
  <c r="M433" i="7"/>
  <c r="L433" i="7"/>
  <c r="K433" i="7"/>
  <c r="J433" i="7"/>
  <c r="I433" i="7"/>
  <c r="H433" i="7"/>
  <c r="G433" i="7"/>
  <c r="F433" i="7"/>
  <c r="E433" i="7"/>
  <c r="D433" i="7"/>
  <c r="C433" i="7"/>
  <c r="B433" i="7"/>
  <c r="N432" i="7"/>
  <c r="M432" i="7"/>
  <c r="L432" i="7"/>
  <c r="K432" i="7"/>
  <c r="J432" i="7"/>
  <c r="I432" i="7"/>
  <c r="H432" i="7"/>
  <c r="G432" i="7"/>
  <c r="F432" i="7"/>
  <c r="E432" i="7"/>
  <c r="D432" i="7"/>
  <c r="C432" i="7"/>
  <c r="B432" i="7"/>
  <c r="N431" i="7"/>
  <c r="M431" i="7"/>
  <c r="L431" i="7"/>
  <c r="K431" i="7"/>
  <c r="J431" i="7"/>
  <c r="I431" i="7"/>
  <c r="H431" i="7"/>
  <c r="G431" i="7"/>
  <c r="F431" i="7"/>
  <c r="E431" i="7"/>
  <c r="D431" i="7"/>
  <c r="C431" i="7"/>
  <c r="B431" i="7"/>
  <c r="N430" i="7"/>
  <c r="M430" i="7"/>
  <c r="L430" i="7"/>
  <c r="K430" i="7"/>
  <c r="J430" i="7"/>
  <c r="I430" i="7"/>
  <c r="H430" i="7"/>
  <c r="G430" i="7"/>
  <c r="F430" i="7"/>
  <c r="E430" i="7"/>
  <c r="D430" i="7"/>
  <c r="C430" i="7"/>
  <c r="B430" i="7"/>
  <c r="N429" i="7"/>
  <c r="M429" i="7"/>
  <c r="L429" i="7"/>
  <c r="K429" i="7"/>
  <c r="J429" i="7"/>
  <c r="I429" i="7"/>
  <c r="H429" i="7"/>
  <c r="G429" i="7"/>
  <c r="F429" i="7"/>
  <c r="E429" i="7"/>
  <c r="D429" i="7"/>
  <c r="C429" i="7"/>
  <c r="B429" i="7"/>
  <c r="N428" i="7"/>
  <c r="M428" i="7"/>
  <c r="L428" i="7"/>
  <c r="K428" i="7"/>
  <c r="J428" i="7"/>
  <c r="I428" i="7"/>
  <c r="H428" i="7"/>
  <c r="G428" i="7"/>
  <c r="F428" i="7"/>
  <c r="E428" i="7"/>
  <c r="D428" i="7"/>
  <c r="C428" i="7"/>
  <c r="B428" i="7"/>
  <c r="N427" i="7"/>
  <c r="M427" i="7"/>
  <c r="L427" i="7"/>
  <c r="K427" i="7"/>
  <c r="J427" i="7"/>
  <c r="I427" i="7"/>
  <c r="H427" i="7"/>
  <c r="G427" i="7"/>
  <c r="F427" i="7"/>
  <c r="E427" i="7"/>
  <c r="D427" i="7"/>
  <c r="C427" i="7"/>
  <c r="B427" i="7"/>
  <c r="N426" i="7"/>
  <c r="M426" i="7"/>
  <c r="L426" i="7"/>
  <c r="K426" i="7"/>
  <c r="J426" i="7"/>
  <c r="I426" i="7"/>
  <c r="H426" i="7"/>
  <c r="G426" i="7"/>
  <c r="F426" i="7"/>
  <c r="E426" i="7"/>
  <c r="D426" i="7"/>
  <c r="C426" i="7"/>
  <c r="B426" i="7"/>
  <c r="N425" i="7"/>
  <c r="M425" i="7"/>
  <c r="L425" i="7"/>
  <c r="K425" i="7"/>
  <c r="J425" i="7"/>
  <c r="I425" i="7"/>
  <c r="H425" i="7"/>
  <c r="G425" i="7"/>
  <c r="F425" i="7"/>
  <c r="E425" i="7"/>
  <c r="D425" i="7"/>
  <c r="C425" i="7"/>
  <c r="B425" i="7"/>
  <c r="N424" i="7"/>
  <c r="M424" i="7"/>
  <c r="L424" i="7"/>
  <c r="K424" i="7"/>
  <c r="J424" i="7"/>
  <c r="I424" i="7"/>
  <c r="H424" i="7"/>
  <c r="G424" i="7"/>
  <c r="F424" i="7"/>
  <c r="E424" i="7"/>
  <c r="D424" i="7"/>
  <c r="C424" i="7"/>
  <c r="B424" i="7"/>
  <c r="N423" i="7"/>
  <c r="M423" i="7"/>
  <c r="L423" i="7"/>
  <c r="K423" i="7"/>
  <c r="J423" i="7"/>
  <c r="I423" i="7"/>
  <c r="H423" i="7"/>
  <c r="G423" i="7"/>
  <c r="F423" i="7"/>
  <c r="E423" i="7"/>
  <c r="D423" i="7"/>
  <c r="C423" i="7"/>
  <c r="B423" i="7"/>
  <c r="N422" i="7"/>
  <c r="M422" i="7"/>
  <c r="L422" i="7"/>
  <c r="K422" i="7"/>
  <c r="J422" i="7"/>
  <c r="I422" i="7"/>
  <c r="H422" i="7"/>
  <c r="G422" i="7"/>
  <c r="F422" i="7"/>
  <c r="E422" i="7"/>
  <c r="D422" i="7"/>
  <c r="C422" i="7"/>
  <c r="B422" i="7"/>
  <c r="N421" i="7"/>
  <c r="M421" i="7"/>
  <c r="L421" i="7"/>
  <c r="K421" i="7"/>
  <c r="J421" i="7"/>
  <c r="I421" i="7"/>
  <c r="H421" i="7"/>
  <c r="G421" i="7"/>
  <c r="F421" i="7"/>
  <c r="E421" i="7"/>
  <c r="D421" i="7"/>
  <c r="C421" i="7"/>
  <c r="B421" i="7"/>
  <c r="N420" i="7"/>
  <c r="M420" i="7"/>
  <c r="L420" i="7"/>
  <c r="K420" i="7"/>
  <c r="J420" i="7"/>
  <c r="I420" i="7"/>
  <c r="H420" i="7"/>
  <c r="G420" i="7"/>
  <c r="F420" i="7"/>
  <c r="E420" i="7"/>
  <c r="D420" i="7"/>
  <c r="C420" i="7"/>
  <c r="B420" i="7"/>
  <c r="N419" i="7"/>
  <c r="M419" i="7"/>
  <c r="L419" i="7"/>
  <c r="K419" i="7"/>
  <c r="J419" i="7"/>
  <c r="I419" i="7"/>
  <c r="H419" i="7"/>
  <c r="G419" i="7"/>
  <c r="F419" i="7"/>
  <c r="E419" i="7"/>
  <c r="D419" i="7"/>
  <c r="C419" i="7"/>
  <c r="B419" i="7"/>
  <c r="N418" i="7"/>
  <c r="M418" i="7"/>
  <c r="L418" i="7"/>
  <c r="K418" i="7"/>
  <c r="J418" i="7"/>
  <c r="I418" i="7"/>
  <c r="H418" i="7"/>
  <c r="G418" i="7"/>
  <c r="F418" i="7"/>
  <c r="E418" i="7"/>
  <c r="D418" i="7"/>
  <c r="C418" i="7"/>
  <c r="B418" i="7"/>
  <c r="N417" i="7"/>
  <c r="M417" i="7"/>
  <c r="L417" i="7"/>
  <c r="K417" i="7"/>
  <c r="J417" i="7"/>
  <c r="I417" i="7"/>
  <c r="H417" i="7"/>
  <c r="G417" i="7"/>
  <c r="F417" i="7"/>
  <c r="E417" i="7"/>
  <c r="D417" i="7"/>
  <c r="C417" i="7"/>
  <c r="B417" i="7"/>
  <c r="N416" i="7"/>
  <c r="M416" i="7"/>
  <c r="L416" i="7"/>
  <c r="K416" i="7"/>
  <c r="J416" i="7"/>
  <c r="I416" i="7"/>
  <c r="H416" i="7"/>
  <c r="G416" i="7"/>
  <c r="F416" i="7"/>
  <c r="E416" i="7"/>
  <c r="D416" i="7"/>
  <c r="C416" i="7"/>
  <c r="B416" i="7"/>
  <c r="N415" i="7"/>
  <c r="M415" i="7"/>
  <c r="L415" i="7"/>
  <c r="K415" i="7"/>
  <c r="J415" i="7"/>
  <c r="I415" i="7"/>
  <c r="H415" i="7"/>
  <c r="G415" i="7"/>
  <c r="F415" i="7"/>
  <c r="E415" i="7"/>
  <c r="D415" i="7"/>
  <c r="C415" i="7"/>
  <c r="B415" i="7"/>
  <c r="N414" i="7"/>
  <c r="M414" i="7"/>
  <c r="L414" i="7"/>
  <c r="K414" i="7"/>
  <c r="J414" i="7"/>
  <c r="I414" i="7"/>
  <c r="H414" i="7"/>
  <c r="G414" i="7"/>
  <c r="F414" i="7"/>
  <c r="E414" i="7"/>
  <c r="D414" i="7"/>
  <c r="C414" i="7"/>
  <c r="B414" i="7"/>
  <c r="N413" i="7"/>
  <c r="M413" i="7"/>
  <c r="L413" i="7"/>
  <c r="K413" i="7"/>
  <c r="J413" i="7"/>
  <c r="I413" i="7"/>
  <c r="H413" i="7"/>
  <c r="G413" i="7"/>
  <c r="F413" i="7"/>
  <c r="E413" i="7"/>
  <c r="D413" i="7"/>
  <c r="C413" i="7"/>
  <c r="B413" i="7"/>
  <c r="N412" i="7"/>
  <c r="M412" i="7"/>
  <c r="L412" i="7"/>
  <c r="K412" i="7"/>
  <c r="J412" i="7"/>
  <c r="I412" i="7"/>
  <c r="H412" i="7"/>
  <c r="G412" i="7"/>
  <c r="F412" i="7"/>
  <c r="E412" i="7"/>
  <c r="D412" i="7"/>
  <c r="C412" i="7"/>
  <c r="B412" i="7"/>
  <c r="N411" i="7"/>
  <c r="M411" i="7"/>
  <c r="L411" i="7"/>
  <c r="K411" i="7"/>
  <c r="J411" i="7"/>
  <c r="I411" i="7"/>
  <c r="H411" i="7"/>
  <c r="G411" i="7"/>
  <c r="F411" i="7"/>
  <c r="E411" i="7"/>
  <c r="D411" i="7"/>
  <c r="C411" i="7"/>
  <c r="B411" i="7"/>
  <c r="N410" i="7"/>
  <c r="M410" i="7"/>
  <c r="L410" i="7"/>
  <c r="K410" i="7"/>
  <c r="J410" i="7"/>
  <c r="I410" i="7"/>
  <c r="H410" i="7"/>
  <c r="G410" i="7"/>
  <c r="F410" i="7"/>
  <c r="E410" i="7"/>
  <c r="D410" i="7"/>
  <c r="C410" i="7"/>
  <c r="B410" i="7"/>
  <c r="N409" i="7"/>
  <c r="M409" i="7"/>
  <c r="L409" i="7"/>
  <c r="K409" i="7"/>
  <c r="J409" i="7"/>
  <c r="I409" i="7"/>
  <c r="H409" i="7"/>
  <c r="G409" i="7"/>
  <c r="F409" i="7"/>
  <c r="E409" i="7"/>
  <c r="D409" i="7"/>
  <c r="C409" i="7"/>
  <c r="B409" i="7"/>
  <c r="N408" i="7"/>
  <c r="M408" i="7"/>
  <c r="L408" i="7"/>
  <c r="K408" i="7"/>
  <c r="J408" i="7"/>
  <c r="I408" i="7"/>
  <c r="H408" i="7"/>
  <c r="G408" i="7"/>
  <c r="F408" i="7"/>
  <c r="E408" i="7"/>
  <c r="D408" i="7"/>
  <c r="C408" i="7"/>
  <c r="B408" i="7"/>
  <c r="N407" i="7"/>
  <c r="M407" i="7"/>
  <c r="L407" i="7"/>
  <c r="K407" i="7"/>
  <c r="J407" i="7"/>
  <c r="I407" i="7"/>
  <c r="H407" i="7"/>
  <c r="G407" i="7"/>
  <c r="F407" i="7"/>
  <c r="E407" i="7"/>
  <c r="D407" i="7"/>
  <c r="C407" i="7"/>
  <c r="B407" i="7"/>
  <c r="N406" i="7"/>
  <c r="M406" i="7"/>
  <c r="L406" i="7"/>
  <c r="K406" i="7"/>
  <c r="J406" i="7"/>
  <c r="I406" i="7"/>
  <c r="H406" i="7"/>
  <c r="G406" i="7"/>
  <c r="F406" i="7"/>
  <c r="E406" i="7"/>
  <c r="D406" i="7"/>
  <c r="C406" i="7"/>
  <c r="B406" i="7"/>
  <c r="N405" i="7"/>
  <c r="M405" i="7"/>
  <c r="L405" i="7"/>
  <c r="K405" i="7"/>
  <c r="J405" i="7"/>
  <c r="I405" i="7"/>
  <c r="H405" i="7"/>
  <c r="G405" i="7"/>
  <c r="F405" i="7"/>
  <c r="E405" i="7"/>
  <c r="D405" i="7"/>
  <c r="C405" i="7"/>
  <c r="B405" i="7"/>
  <c r="N404" i="7"/>
  <c r="M404" i="7"/>
  <c r="L404" i="7"/>
  <c r="K404" i="7"/>
  <c r="J404" i="7"/>
  <c r="I404" i="7"/>
  <c r="H404" i="7"/>
  <c r="G404" i="7"/>
  <c r="F404" i="7"/>
  <c r="E404" i="7"/>
  <c r="D404" i="7"/>
  <c r="C404" i="7"/>
  <c r="B404" i="7"/>
  <c r="N403" i="7"/>
  <c r="M403" i="7"/>
  <c r="L403" i="7"/>
  <c r="K403" i="7"/>
  <c r="J403" i="7"/>
  <c r="I403" i="7"/>
  <c r="H403" i="7"/>
  <c r="G403" i="7"/>
  <c r="F403" i="7"/>
  <c r="E403" i="7"/>
  <c r="D403" i="7"/>
  <c r="C403" i="7"/>
  <c r="B403" i="7"/>
  <c r="N402" i="7"/>
  <c r="M402" i="7"/>
  <c r="L402" i="7"/>
  <c r="K402" i="7"/>
  <c r="J402" i="7"/>
  <c r="I402" i="7"/>
  <c r="H402" i="7"/>
  <c r="G402" i="7"/>
  <c r="F402" i="7"/>
  <c r="E402" i="7"/>
  <c r="D402" i="7"/>
  <c r="C402" i="7"/>
  <c r="B402" i="7"/>
  <c r="N401" i="7"/>
  <c r="M401" i="7"/>
  <c r="L401" i="7"/>
  <c r="K401" i="7"/>
  <c r="J401" i="7"/>
  <c r="I401" i="7"/>
  <c r="H401" i="7"/>
  <c r="G401" i="7"/>
  <c r="F401" i="7"/>
  <c r="E401" i="7"/>
  <c r="D401" i="7"/>
  <c r="C401" i="7"/>
  <c r="B401" i="7"/>
  <c r="N400" i="7"/>
  <c r="M400" i="7"/>
  <c r="L400" i="7"/>
  <c r="K400" i="7"/>
  <c r="J400" i="7"/>
  <c r="I400" i="7"/>
  <c r="H400" i="7"/>
  <c r="G400" i="7"/>
  <c r="F400" i="7"/>
  <c r="E400" i="7"/>
  <c r="D400" i="7"/>
  <c r="C400" i="7"/>
  <c r="B400" i="7"/>
  <c r="N399" i="7"/>
  <c r="M399" i="7"/>
  <c r="L399" i="7"/>
  <c r="K399" i="7"/>
  <c r="J399" i="7"/>
  <c r="I399" i="7"/>
  <c r="H399" i="7"/>
  <c r="G399" i="7"/>
  <c r="F399" i="7"/>
  <c r="E399" i="7"/>
  <c r="D399" i="7"/>
  <c r="C399" i="7"/>
  <c r="B399" i="7"/>
  <c r="N398" i="7"/>
  <c r="M398" i="7"/>
  <c r="L398" i="7"/>
  <c r="K398" i="7"/>
  <c r="J398" i="7"/>
  <c r="I398" i="7"/>
  <c r="H398" i="7"/>
  <c r="G398" i="7"/>
  <c r="F398" i="7"/>
  <c r="E398" i="7"/>
  <c r="D398" i="7"/>
  <c r="C398" i="7"/>
  <c r="B398" i="7"/>
  <c r="N397" i="7"/>
  <c r="M397" i="7"/>
  <c r="L397" i="7"/>
  <c r="K397" i="7"/>
  <c r="J397" i="7"/>
  <c r="I397" i="7"/>
  <c r="H397" i="7"/>
  <c r="G397" i="7"/>
  <c r="F397" i="7"/>
  <c r="E397" i="7"/>
  <c r="D397" i="7"/>
  <c r="C397" i="7"/>
  <c r="B397" i="7"/>
  <c r="N396" i="7"/>
  <c r="M396" i="7"/>
  <c r="L396" i="7"/>
  <c r="K396" i="7"/>
  <c r="J396" i="7"/>
  <c r="I396" i="7"/>
  <c r="H396" i="7"/>
  <c r="G396" i="7"/>
  <c r="F396" i="7"/>
  <c r="E396" i="7"/>
  <c r="D396" i="7"/>
  <c r="C396" i="7"/>
  <c r="B396" i="7"/>
  <c r="N395" i="7"/>
  <c r="M395" i="7"/>
  <c r="L395" i="7"/>
  <c r="K395" i="7"/>
  <c r="J395" i="7"/>
  <c r="I395" i="7"/>
  <c r="H395" i="7"/>
  <c r="G395" i="7"/>
  <c r="F395" i="7"/>
  <c r="E395" i="7"/>
  <c r="D395" i="7"/>
  <c r="C395" i="7"/>
  <c r="B395" i="7"/>
  <c r="N394" i="7"/>
  <c r="M394" i="7"/>
  <c r="L394" i="7"/>
  <c r="K394" i="7"/>
  <c r="J394" i="7"/>
  <c r="I394" i="7"/>
  <c r="H394" i="7"/>
  <c r="G394" i="7"/>
  <c r="F394" i="7"/>
  <c r="E394" i="7"/>
  <c r="D394" i="7"/>
  <c r="C394" i="7"/>
  <c r="B394" i="7"/>
  <c r="N393" i="7"/>
  <c r="M393" i="7"/>
  <c r="L393" i="7"/>
  <c r="K393" i="7"/>
  <c r="J393" i="7"/>
  <c r="I393" i="7"/>
  <c r="H393" i="7"/>
  <c r="G393" i="7"/>
  <c r="F393" i="7"/>
  <c r="E393" i="7"/>
  <c r="D393" i="7"/>
  <c r="C393" i="7"/>
  <c r="B393" i="7"/>
  <c r="N392" i="7"/>
  <c r="M392" i="7"/>
  <c r="L392" i="7"/>
  <c r="K392" i="7"/>
  <c r="J392" i="7"/>
  <c r="I392" i="7"/>
  <c r="H392" i="7"/>
  <c r="G392" i="7"/>
  <c r="F392" i="7"/>
  <c r="E392" i="7"/>
  <c r="D392" i="7"/>
  <c r="C392" i="7"/>
  <c r="B392" i="7"/>
  <c r="N391" i="7"/>
  <c r="M391" i="7"/>
  <c r="L391" i="7"/>
  <c r="K391" i="7"/>
  <c r="J391" i="7"/>
  <c r="I391" i="7"/>
  <c r="H391" i="7"/>
  <c r="G391" i="7"/>
  <c r="F391" i="7"/>
  <c r="E391" i="7"/>
  <c r="D391" i="7"/>
  <c r="C391" i="7"/>
  <c r="B391" i="7"/>
  <c r="N390" i="7"/>
  <c r="M390" i="7"/>
  <c r="L390" i="7"/>
  <c r="K390" i="7"/>
  <c r="J390" i="7"/>
  <c r="I390" i="7"/>
  <c r="H390" i="7"/>
  <c r="G390" i="7"/>
  <c r="F390" i="7"/>
  <c r="E390" i="7"/>
  <c r="D390" i="7"/>
  <c r="C390" i="7"/>
  <c r="B390" i="7"/>
  <c r="N389" i="7"/>
  <c r="M389" i="7"/>
  <c r="L389" i="7"/>
  <c r="K389" i="7"/>
  <c r="J389" i="7"/>
  <c r="I389" i="7"/>
  <c r="H389" i="7"/>
  <c r="G389" i="7"/>
  <c r="F389" i="7"/>
  <c r="E389" i="7"/>
  <c r="D389" i="7"/>
  <c r="C389" i="7"/>
  <c r="B389" i="7"/>
  <c r="N388" i="7"/>
  <c r="M388" i="7"/>
  <c r="L388" i="7"/>
  <c r="K388" i="7"/>
  <c r="J388" i="7"/>
  <c r="I388" i="7"/>
  <c r="H388" i="7"/>
  <c r="G388" i="7"/>
  <c r="F388" i="7"/>
  <c r="E388" i="7"/>
  <c r="D388" i="7"/>
  <c r="C388" i="7"/>
  <c r="B388" i="7"/>
  <c r="N387" i="7"/>
  <c r="M387" i="7"/>
  <c r="L387" i="7"/>
  <c r="K387" i="7"/>
  <c r="J387" i="7"/>
  <c r="I387" i="7"/>
  <c r="H387" i="7"/>
  <c r="G387" i="7"/>
  <c r="F387" i="7"/>
  <c r="E387" i="7"/>
  <c r="D387" i="7"/>
  <c r="C387" i="7"/>
  <c r="B387" i="7"/>
  <c r="N386" i="7"/>
  <c r="M386" i="7"/>
  <c r="L386" i="7"/>
  <c r="K386" i="7"/>
  <c r="J386" i="7"/>
  <c r="I386" i="7"/>
  <c r="H386" i="7"/>
  <c r="G386" i="7"/>
  <c r="F386" i="7"/>
  <c r="E386" i="7"/>
  <c r="D386" i="7"/>
  <c r="C386" i="7"/>
  <c r="B386" i="7"/>
  <c r="N385" i="7"/>
  <c r="M385" i="7"/>
  <c r="L385" i="7"/>
  <c r="K385" i="7"/>
  <c r="J385" i="7"/>
  <c r="I385" i="7"/>
  <c r="H385" i="7"/>
  <c r="G385" i="7"/>
  <c r="F385" i="7"/>
  <c r="E385" i="7"/>
  <c r="D385" i="7"/>
  <c r="C385" i="7"/>
  <c r="B385" i="7"/>
  <c r="N384" i="7"/>
  <c r="M384" i="7"/>
  <c r="L384" i="7"/>
  <c r="K384" i="7"/>
  <c r="J384" i="7"/>
  <c r="I384" i="7"/>
  <c r="H384" i="7"/>
  <c r="G384" i="7"/>
  <c r="F384" i="7"/>
  <c r="E384" i="7"/>
  <c r="D384" i="7"/>
  <c r="C384" i="7"/>
  <c r="B384" i="7"/>
  <c r="N383" i="7"/>
  <c r="M383" i="7"/>
  <c r="L383" i="7"/>
  <c r="K383" i="7"/>
  <c r="J383" i="7"/>
  <c r="I383" i="7"/>
  <c r="H383" i="7"/>
  <c r="G383" i="7"/>
  <c r="F383" i="7"/>
  <c r="E383" i="7"/>
  <c r="D383" i="7"/>
  <c r="C383" i="7"/>
  <c r="B383" i="7"/>
  <c r="N382" i="7"/>
  <c r="M382" i="7"/>
  <c r="L382" i="7"/>
  <c r="K382" i="7"/>
  <c r="J382" i="7"/>
  <c r="I382" i="7"/>
  <c r="H382" i="7"/>
  <c r="G382" i="7"/>
  <c r="F382" i="7"/>
  <c r="E382" i="7"/>
  <c r="D382" i="7"/>
  <c r="C382" i="7"/>
  <c r="B382" i="7"/>
  <c r="N381" i="7"/>
  <c r="M381" i="7"/>
  <c r="L381" i="7"/>
  <c r="K381" i="7"/>
  <c r="J381" i="7"/>
  <c r="I381" i="7"/>
  <c r="H381" i="7"/>
  <c r="G381" i="7"/>
  <c r="F381" i="7"/>
  <c r="E381" i="7"/>
  <c r="D381" i="7"/>
  <c r="C381" i="7"/>
  <c r="B381" i="7"/>
  <c r="N380" i="7"/>
  <c r="M380" i="7"/>
  <c r="L380" i="7"/>
  <c r="K380" i="7"/>
  <c r="J380" i="7"/>
  <c r="I380" i="7"/>
  <c r="H380" i="7"/>
  <c r="G380" i="7"/>
  <c r="F380" i="7"/>
  <c r="E380" i="7"/>
  <c r="D380" i="7"/>
  <c r="C380" i="7"/>
  <c r="B380" i="7"/>
  <c r="N379" i="7"/>
  <c r="M379" i="7"/>
  <c r="L379" i="7"/>
  <c r="K379" i="7"/>
  <c r="J379" i="7"/>
  <c r="I379" i="7"/>
  <c r="H379" i="7"/>
  <c r="G379" i="7"/>
  <c r="F379" i="7"/>
  <c r="E379" i="7"/>
  <c r="D379" i="7"/>
  <c r="C379" i="7"/>
  <c r="B379" i="7"/>
  <c r="N378" i="7"/>
  <c r="M378" i="7"/>
  <c r="L378" i="7"/>
  <c r="K378" i="7"/>
  <c r="J378" i="7"/>
  <c r="I378" i="7"/>
  <c r="H378" i="7"/>
  <c r="G378" i="7"/>
  <c r="F378" i="7"/>
  <c r="E378" i="7"/>
  <c r="D378" i="7"/>
  <c r="C378" i="7"/>
  <c r="B378" i="7"/>
  <c r="N377" i="7"/>
  <c r="M377" i="7"/>
  <c r="L377" i="7"/>
  <c r="K377" i="7"/>
  <c r="J377" i="7"/>
  <c r="I377" i="7"/>
  <c r="H377" i="7"/>
  <c r="G377" i="7"/>
  <c r="F377" i="7"/>
  <c r="E377" i="7"/>
  <c r="D377" i="7"/>
  <c r="C377" i="7"/>
  <c r="B377" i="7"/>
  <c r="N376" i="7"/>
  <c r="M376" i="7"/>
  <c r="L376" i="7"/>
  <c r="K376" i="7"/>
  <c r="J376" i="7"/>
  <c r="I376" i="7"/>
  <c r="H376" i="7"/>
  <c r="G376" i="7"/>
  <c r="F376" i="7"/>
  <c r="E376" i="7"/>
  <c r="D376" i="7"/>
  <c r="C376" i="7"/>
  <c r="B376" i="7"/>
  <c r="N375" i="7"/>
  <c r="M375" i="7"/>
  <c r="L375" i="7"/>
  <c r="K375" i="7"/>
  <c r="J375" i="7"/>
  <c r="I375" i="7"/>
  <c r="H375" i="7"/>
  <c r="G375" i="7"/>
  <c r="F375" i="7"/>
  <c r="E375" i="7"/>
  <c r="D375" i="7"/>
  <c r="C375" i="7"/>
  <c r="B375" i="7"/>
  <c r="N374" i="7"/>
  <c r="M374" i="7"/>
  <c r="L374" i="7"/>
  <c r="K374" i="7"/>
  <c r="J374" i="7"/>
  <c r="I374" i="7"/>
  <c r="H374" i="7"/>
  <c r="G374" i="7"/>
  <c r="F374" i="7"/>
  <c r="E374" i="7"/>
  <c r="D374" i="7"/>
  <c r="C374" i="7"/>
  <c r="B374" i="7"/>
  <c r="N373" i="7"/>
  <c r="M373" i="7"/>
  <c r="L373" i="7"/>
  <c r="K373" i="7"/>
  <c r="J373" i="7"/>
  <c r="I373" i="7"/>
  <c r="H373" i="7"/>
  <c r="G373" i="7"/>
  <c r="F373" i="7"/>
  <c r="E373" i="7"/>
  <c r="D373" i="7"/>
  <c r="C373" i="7"/>
  <c r="B373" i="7"/>
  <c r="N372" i="7"/>
  <c r="M372" i="7"/>
  <c r="L372" i="7"/>
  <c r="K372" i="7"/>
  <c r="J372" i="7"/>
  <c r="I372" i="7"/>
  <c r="H372" i="7"/>
  <c r="G372" i="7"/>
  <c r="F372" i="7"/>
  <c r="E372" i="7"/>
  <c r="D372" i="7"/>
  <c r="C372" i="7"/>
  <c r="B372" i="7"/>
  <c r="N371" i="7"/>
  <c r="M371" i="7"/>
  <c r="L371" i="7"/>
  <c r="K371" i="7"/>
  <c r="J371" i="7"/>
  <c r="I371" i="7"/>
  <c r="H371" i="7"/>
  <c r="G371" i="7"/>
  <c r="F371" i="7"/>
  <c r="E371" i="7"/>
  <c r="D371" i="7"/>
  <c r="C371" i="7"/>
  <c r="B371" i="7"/>
  <c r="N370" i="7"/>
  <c r="M370" i="7"/>
  <c r="L370" i="7"/>
  <c r="K370" i="7"/>
  <c r="J370" i="7"/>
  <c r="I370" i="7"/>
  <c r="H370" i="7"/>
  <c r="G370" i="7"/>
  <c r="F370" i="7"/>
  <c r="E370" i="7"/>
  <c r="D370" i="7"/>
  <c r="C370" i="7"/>
  <c r="B370" i="7"/>
  <c r="N369" i="7"/>
  <c r="M369" i="7"/>
  <c r="L369" i="7"/>
  <c r="K369" i="7"/>
  <c r="J369" i="7"/>
  <c r="I369" i="7"/>
  <c r="H369" i="7"/>
  <c r="G369" i="7"/>
  <c r="F369" i="7"/>
  <c r="E369" i="7"/>
  <c r="D369" i="7"/>
  <c r="C369" i="7"/>
  <c r="B369" i="7"/>
  <c r="N368" i="7"/>
  <c r="M368" i="7"/>
  <c r="L368" i="7"/>
  <c r="K368" i="7"/>
  <c r="J368" i="7"/>
  <c r="I368" i="7"/>
  <c r="H368" i="7"/>
  <c r="G368" i="7"/>
  <c r="F368" i="7"/>
  <c r="E368" i="7"/>
  <c r="D368" i="7"/>
  <c r="C368" i="7"/>
  <c r="B368" i="7"/>
  <c r="N367" i="7"/>
  <c r="M367" i="7"/>
  <c r="L367" i="7"/>
  <c r="K367" i="7"/>
  <c r="J367" i="7"/>
  <c r="I367" i="7"/>
  <c r="H367" i="7"/>
  <c r="G367" i="7"/>
  <c r="F367" i="7"/>
  <c r="E367" i="7"/>
  <c r="D367" i="7"/>
  <c r="C367" i="7"/>
  <c r="B367" i="7"/>
  <c r="N366" i="7"/>
  <c r="M366" i="7"/>
  <c r="L366" i="7"/>
  <c r="K366" i="7"/>
  <c r="J366" i="7"/>
  <c r="I366" i="7"/>
  <c r="H366" i="7"/>
  <c r="G366" i="7"/>
  <c r="F366" i="7"/>
  <c r="E366" i="7"/>
  <c r="D366" i="7"/>
  <c r="C366" i="7"/>
  <c r="B366" i="7"/>
  <c r="N365" i="7"/>
  <c r="M365" i="7"/>
  <c r="L365" i="7"/>
  <c r="K365" i="7"/>
  <c r="J365" i="7"/>
  <c r="I365" i="7"/>
  <c r="H365" i="7"/>
  <c r="G365" i="7"/>
  <c r="F365" i="7"/>
  <c r="E365" i="7"/>
  <c r="D365" i="7"/>
  <c r="C365" i="7"/>
  <c r="B365" i="7"/>
  <c r="N364" i="7"/>
  <c r="M364" i="7"/>
  <c r="L364" i="7"/>
  <c r="K364" i="7"/>
  <c r="J364" i="7"/>
  <c r="I364" i="7"/>
  <c r="H364" i="7"/>
  <c r="G364" i="7"/>
  <c r="F364" i="7"/>
  <c r="E364" i="7"/>
  <c r="D364" i="7"/>
  <c r="C364" i="7"/>
  <c r="B364" i="7"/>
  <c r="N363" i="7"/>
  <c r="M363" i="7"/>
  <c r="L363" i="7"/>
  <c r="K363" i="7"/>
  <c r="J363" i="7"/>
  <c r="I363" i="7"/>
  <c r="H363" i="7"/>
  <c r="G363" i="7"/>
  <c r="F363" i="7"/>
  <c r="E363" i="7"/>
  <c r="D363" i="7"/>
  <c r="C363" i="7"/>
  <c r="B363" i="7"/>
  <c r="N362" i="7"/>
  <c r="M362" i="7"/>
  <c r="L362" i="7"/>
  <c r="K362" i="7"/>
  <c r="J362" i="7"/>
  <c r="I362" i="7"/>
  <c r="H362" i="7"/>
  <c r="G362" i="7"/>
  <c r="F362" i="7"/>
  <c r="E362" i="7"/>
  <c r="D362" i="7"/>
  <c r="C362" i="7"/>
  <c r="B362" i="7"/>
  <c r="N361" i="7"/>
  <c r="M361" i="7"/>
  <c r="L361" i="7"/>
  <c r="K361" i="7"/>
  <c r="J361" i="7"/>
  <c r="I361" i="7"/>
  <c r="H361" i="7"/>
  <c r="G361" i="7"/>
  <c r="F361" i="7"/>
  <c r="E361" i="7"/>
  <c r="D361" i="7"/>
  <c r="C361" i="7"/>
  <c r="B361" i="7"/>
  <c r="N360" i="7"/>
  <c r="M360" i="7"/>
  <c r="L360" i="7"/>
  <c r="K360" i="7"/>
  <c r="J360" i="7"/>
  <c r="I360" i="7"/>
  <c r="H360" i="7"/>
  <c r="G360" i="7"/>
  <c r="F360" i="7"/>
  <c r="E360" i="7"/>
  <c r="D360" i="7"/>
  <c r="C360" i="7"/>
  <c r="B360" i="7"/>
  <c r="N359" i="7"/>
  <c r="M359" i="7"/>
  <c r="L359" i="7"/>
  <c r="K359" i="7"/>
  <c r="J359" i="7"/>
  <c r="I359" i="7"/>
  <c r="H359" i="7"/>
  <c r="G359" i="7"/>
  <c r="F359" i="7"/>
  <c r="E359" i="7"/>
  <c r="D359" i="7"/>
  <c r="C359" i="7"/>
  <c r="B359" i="7"/>
  <c r="N358" i="7"/>
  <c r="M358" i="7"/>
  <c r="L358" i="7"/>
  <c r="K358" i="7"/>
  <c r="J358" i="7"/>
  <c r="I358" i="7"/>
  <c r="H358" i="7"/>
  <c r="G358" i="7"/>
  <c r="F358" i="7"/>
  <c r="E358" i="7"/>
  <c r="D358" i="7"/>
  <c r="C358" i="7"/>
  <c r="B358" i="7"/>
  <c r="N357" i="7"/>
  <c r="M357" i="7"/>
  <c r="L357" i="7"/>
  <c r="K357" i="7"/>
  <c r="J357" i="7"/>
  <c r="I357" i="7"/>
  <c r="H357" i="7"/>
  <c r="G357" i="7"/>
  <c r="F357" i="7"/>
  <c r="E357" i="7"/>
  <c r="D357" i="7"/>
  <c r="C357" i="7"/>
  <c r="B357" i="7"/>
  <c r="N356" i="7"/>
  <c r="M356" i="7"/>
  <c r="L356" i="7"/>
  <c r="K356" i="7"/>
  <c r="J356" i="7"/>
  <c r="I356" i="7"/>
  <c r="H356" i="7"/>
  <c r="G356" i="7"/>
  <c r="F356" i="7"/>
  <c r="E356" i="7"/>
  <c r="D356" i="7"/>
  <c r="C356" i="7"/>
  <c r="B356" i="7"/>
  <c r="N355" i="7"/>
  <c r="M355" i="7"/>
  <c r="L355" i="7"/>
  <c r="K355" i="7"/>
  <c r="J355" i="7"/>
  <c r="I355" i="7"/>
  <c r="H355" i="7"/>
  <c r="G355" i="7"/>
  <c r="F355" i="7"/>
  <c r="E355" i="7"/>
  <c r="D355" i="7"/>
  <c r="C355" i="7"/>
  <c r="B355" i="7"/>
  <c r="N354" i="7"/>
  <c r="M354" i="7"/>
  <c r="L354" i="7"/>
  <c r="K354" i="7"/>
  <c r="J354" i="7"/>
  <c r="I354" i="7"/>
  <c r="H354" i="7"/>
  <c r="G354" i="7"/>
  <c r="F354" i="7"/>
  <c r="E354" i="7"/>
  <c r="D354" i="7"/>
  <c r="C354" i="7"/>
  <c r="B354" i="7"/>
  <c r="N353" i="7"/>
  <c r="M353" i="7"/>
  <c r="L353" i="7"/>
  <c r="K353" i="7"/>
  <c r="J353" i="7"/>
  <c r="I353" i="7"/>
  <c r="H353" i="7"/>
  <c r="G353" i="7"/>
  <c r="F353" i="7"/>
  <c r="E353" i="7"/>
  <c r="D353" i="7"/>
  <c r="C353" i="7"/>
  <c r="B353" i="7"/>
  <c r="N352" i="7"/>
  <c r="M352" i="7"/>
  <c r="L352" i="7"/>
  <c r="K352" i="7"/>
  <c r="J352" i="7"/>
  <c r="I352" i="7"/>
  <c r="H352" i="7"/>
  <c r="G352" i="7"/>
  <c r="F352" i="7"/>
  <c r="E352" i="7"/>
  <c r="D352" i="7"/>
  <c r="C352" i="7"/>
  <c r="B352" i="7"/>
  <c r="N351" i="7"/>
  <c r="M351" i="7"/>
  <c r="L351" i="7"/>
  <c r="K351" i="7"/>
  <c r="J351" i="7"/>
  <c r="I351" i="7"/>
  <c r="H351" i="7"/>
  <c r="G351" i="7"/>
  <c r="F351" i="7"/>
  <c r="E351" i="7"/>
  <c r="D351" i="7"/>
  <c r="C351" i="7"/>
  <c r="B351" i="7"/>
  <c r="N350" i="7"/>
  <c r="M350" i="7"/>
  <c r="L350" i="7"/>
  <c r="K350" i="7"/>
  <c r="J350" i="7"/>
  <c r="I350" i="7"/>
  <c r="H350" i="7"/>
  <c r="G350" i="7"/>
  <c r="F350" i="7"/>
  <c r="E350" i="7"/>
  <c r="D350" i="7"/>
  <c r="C350" i="7"/>
  <c r="B350" i="7"/>
  <c r="N349" i="7"/>
  <c r="M349" i="7"/>
  <c r="L349" i="7"/>
  <c r="K349" i="7"/>
  <c r="J349" i="7"/>
  <c r="I349" i="7"/>
  <c r="H349" i="7"/>
  <c r="G349" i="7"/>
  <c r="F349" i="7"/>
  <c r="E349" i="7"/>
  <c r="D349" i="7"/>
  <c r="C349" i="7"/>
  <c r="B349" i="7"/>
  <c r="N348" i="7"/>
  <c r="M348" i="7"/>
  <c r="L348" i="7"/>
  <c r="K348" i="7"/>
  <c r="J348" i="7"/>
  <c r="I348" i="7"/>
  <c r="H348" i="7"/>
  <c r="G348" i="7"/>
  <c r="F348" i="7"/>
  <c r="E348" i="7"/>
  <c r="D348" i="7"/>
  <c r="C348" i="7"/>
  <c r="B348" i="7"/>
  <c r="N347" i="7"/>
  <c r="M347" i="7"/>
  <c r="L347" i="7"/>
  <c r="K347" i="7"/>
  <c r="J347" i="7"/>
  <c r="I347" i="7"/>
  <c r="H347" i="7"/>
  <c r="G347" i="7"/>
  <c r="F347" i="7"/>
  <c r="E347" i="7"/>
  <c r="D347" i="7"/>
  <c r="C347" i="7"/>
  <c r="B347" i="7"/>
  <c r="N346" i="7"/>
  <c r="M346" i="7"/>
  <c r="L346" i="7"/>
  <c r="K346" i="7"/>
  <c r="J346" i="7"/>
  <c r="I346" i="7"/>
  <c r="H346" i="7"/>
  <c r="G346" i="7"/>
  <c r="F346" i="7"/>
  <c r="E346" i="7"/>
  <c r="D346" i="7"/>
  <c r="C346" i="7"/>
  <c r="B346" i="7"/>
  <c r="N345" i="7"/>
  <c r="M345" i="7"/>
  <c r="L345" i="7"/>
  <c r="K345" i="7"/>
  <c r="J345" i="7"/>
  <c r="I345" i="7"/>
  <c r="H345" i="7"/>
  <c r="G345" i="7"/>
  <c r="F345" i="7"/>
  <c r="E345" i="7"/>
  <c r="D345" i="7"/>
  <c r="C345" i="7"/>
  <c r="B345" i="7"/>
  <c r="N344" i="7"/>
  <c r="M344" i="7"/>
  <c r="L344" i="7"/>
  <c r="K344" i="7"/>
  <c r="J344" i="7"/>
  <c r="I344" i="7"/>
  <c r="H344" i="7"/>
  <c r="G344" i="7"/>
  <c r="F344" i="7"/>
  <c r="E344" i="7"/>
  <c r="D344" i="7"/>
  <c r="C344" i="7"/>
  <c r="B344" i="7"/>
  <c r="N343" i="7"/>
  <c r="M343" i="7"/>
  <c r="L343" i="7"/>
  <c r="K343" i="7"/>
  <c r="J343" i="7"/>
  <c r="I343" i="7"/>
  <c r="H343" i="7"/>
  <c r="G343" i="7"/>
  <c r="F343" i="7"/>
  <c r="E343" i="7"/>
  <c r="D343" i="7"/>
  <c r="C343" i="7"/>
  <c r="B343" i="7"/>
  <c r="N342" i="7"/>
  <c r="M342" i="7"/>
  <c r="L342" i="7"/>
  <c r="K342" i="7"/>
  <c r="J342" i="7"/>
  <c r="I342" i="7"/>
  <c r="H342" i="7"/>
  <c r="G342" i="7"/>
  <c r="F342" i="7"/>
  <c r="E342" i="7"/>
  <c r="D342" i="7"/>
  <c r="C342" i="7"/>
  <c r="B342" i="7"/>
  <c r="N341" i="7"/>
  <c r="M341" i="7"/>
  <c r="L341" i="7"/>
  <c r="K341" i="7"/>
  <c r="J341" i="7"/>
  <c r="I341" i="7"/>
  <c r="H341" i="7"/>
  <c r="G341" i="7"/>
  <c r="F341" i="7"/>
  <c r="E341" i="7"/>
  <c r="D341" i="7"/>
  <c r="C341" i="7"/>
  <c r="B341" i="7"/>
  <c r="N340" i="7"/>
  <c r="M340" i="7"/>
  <c r="L340" i="7"/>
  <c r="K340" i="7"/>
  <c r="J340" i="7"/>
  <c r="I340" i="7"/>
  <c r="H340" i="7"/>
  <c r="G340" i="7"/>
  <c r="F340" i="7"/>
  <c r="E340" i="7"/>
  <c r="D340" i="7"/>
  <c r="C340" i="7"/>
  <c r="B340" i="7"/>
  <c r="N339" i="7"/>
  <c r="M339" i="7"/>
  <c r="L339" i="7"/>
  <c r="K339" i="7"/>
  <c r="J339" i="7"/>
  <c r="I339" i="7"/>
  <c r="H339" i="7"/>
  <c r="G339" i="7"/>
  <c r="F339" i="7"/>
  <c r="E339" i="7"/>
  <c r="D339" i="7"/>
  <c r="C339" i="7"/>
  <c r="B339" i="7"/>
  <c r="N338" i="7"/>
  <c r="M338" i="7"/>
  <c r="L338" i="7"/>
  <c r="K338" i="7"/>
  <c r="J338" i="7"/>
  <c r="I338" i="7"/>
  <c r="H338" i="7"/>
  <c r="G338" i="7"/>
  <c r="F338" i="7"/>
  <c r="E338" i="7"/>
  <c r="D338" i="7"/>
  <c r="C338" i="7"/>
  <c r="B338" i="7"/>
  <c r="N337" i="7"/>
  <c r="M337" i="7"/>
  <c r="L337" i="7"/>
  <c r="K337" i="7"/>
  <c r="J337" i="7"/>
  <c r="I337" i="7"/>
  <c r="H337" i="7"/>
  <c r="G337" i="7"/>
  <c r="F337" i="7"/>
  <c r="E337" i="7"/>
  <c r="D337" i="7"/>
  <c r="C337" i="7"/>
  <c r="B337" i="7"/>
  <c r="N336" i="7"/>
  <c r="M336" i="7"/>
  <c r="L336" i="7"/>
  <c r="K336" i="7"/>
  <c r="J336" i="7"/>
  <c r="I336" i="7"/>
  <c r="H336" i="7"/>
  <c r="G336" i="7"/>
  <c r="F336" i="7"/>
  <c r="E336" i="7"/>
  <c r="D336" i="7"/>
  <c r="C336" i="7"/>
  <c r="B336" i="7"/>
  <c r="N335" i="7"/>
  <c r="M335" i="7"/>
  <c r="L335" i="7"/>
  <c r="K335" i="7"/>
  <c r="J335" i="7"/>
  <c r="I335" i="7"/>
  <c r="H335" i="7"/>
  <c r="G335" i="7"/>
  <c r="F335" i="7"/>
  <c r="E335" i="7"/>
  <c r="D335" i="7"/>
  <c r="C335" i="7"/>
  <c r="B335" i="7"/>
  <c r="N334" i="7"/>
  <c r="M334" i="7"/>
  <c r="L334" i="7"/>
  <c r="K334" i="7"/>
  <c r="J334" i="7"/>
  <c r="I334" i="7"/>
  <c r="H334" i="7"/>
  <c r="G334" i="7"/>
  <c r="F334" i="7"/>
  <c r="E334" i="7"/>
  <c r="D334" i="7"/>
  <c r="C334" i="7"/>
  <c r="B334" i="7"/>
  <c r="N333" i="7"/>
  <c r="M333" i="7"/>
  <c r="L333" i="7"/>
  <c r="K333" i="7"/>
  <c r="J333" i="7"/>
  <c r="I333" i="7"/>
  <c r="H333" i="7"/>
  <c r="G333" i="7"/>
  <c r="F333" i="7"/>
  <c r="E333" i="7"/>
  <c r="D333" i="7"/>
  <c r="C333" i="7"/>
  <c r="B333" i="7"/>
  <c r="N332" i="7"/>
  <c r="M332" i="7"/>
  <c r="L332" i="7"/>
  <c r="K332" i="7"/>
  <c r="J332" i="7"/>
  <c r="I332" i="7"/>
  <c r="H332" i="7"/>
  <c r="G332" i="7"/>
  <c r="F332" i="7"/>
  <c r="E332" i="7"/>
  <c r="D332" i="7"/>
  <c r="C332" i="7"/>
  <c r="B332" i="7"/>
  <c r="N331" i="7"/>
  <c r="M331" i="7"/>
  <c r="L331" i="7"/>
  <c r="K331" i="7"/>
  <c r="J331" i="7"/>
  <c r="I331" i="7"/>
  <c r="H331" i="7"/>
  <c r="G331" i="7"/>
  <c r="F331" i="7"/>
  <c r="E331" i="7"/>
  <c r="D331" i="7"/>
  <c r="C331" i="7"/>
  <c r="B331" i="7"/>
  <c r="N330" i="7"/>
  <c r="M330" i="7"/>
  <c r="L330" i="7"/>
  <c r="K330" i="7"/>
  <c r="J330" i="7"/>
  <c r="I330" i="7"/>
  <c r="H330" i="7"/>
  <c r="G330" i="7"/>
  <c r="F330" i="7"/>
  <c r="E330" i="7"/>
  <c r="D330" i="7"/>
  <c r="C330" i="7"/>
  <c r="B330" i="7"/>
  <c r="N329" i="7"/>
  <c r="M329" i="7"/>
  <c r="L329" i="7"/>
  <c r="K329" i="7"/>
  <c r="J329" i="7"/>
  <c r="I329" i="7"/>
  <c r="H329" i="7"/>
  <c r="G329" i="7"/>
  <c r="F329" i="7"/>
  <c r="E329" i="7"/>
  <c r="D329" i="7"/>
  <c r="C329" i="7"/>
  <c r="B329" i="7"/>
  <c r="N328" i="7"/>
  <c r="M328" i="7"/>
  <c r="L328" i="7"/>
  <c r="K328" i="7"/>
  <c r="J328" i="7"/>
  <c r="I328" i="7"/>
  <c r="H328" i="7"/>
  <c r="G328" i="7"/>
  <c r="F328" i="7"/>
  <c r="E328" i="7"/>
  <c r="D328" i="7"/>
  <c r="C328" i="7"/>
  <c r="B328" i="7"/>
  <c r="N327" i="7"/>
  <c r="M327" i="7"/>
  <c r="L327" i="7"/>
  <c r="K327" i="7"/>
  <c r="J327" i="7"/>
  <c r="I327" i="7"/>
  <c r="H327" i="7"/>
  <c r="G327" i="7"/>
  <c r="F327" i="7"/>
  <c r="E327" i="7"/>
  <c r="D327" i="7"/>
  <c r="C327" i="7"/>
  <c r="B327" i="7"/>
  <c r="N326" i="7"/>
  <c r="M326" i="7"/>
  <c r="L326" i="7"/>
  <c r="K326" i="7"/>
  <c r="J326" i="7"/>
  <c r="I326" i="7"/>
  <c r="H326" i="7"/>
  <c r="G326" i="7"/>
  <c r="F326" i="7"/>
  <c r="E326" i="7"/>
  <c r="D326" i="7"/>
  <c r="C326" i="7"/>
  <c r="B326" i="7"/>
  <c r="N325" i="7"/>
  <c r="M325" i="7"/>
  <c r="L325" i="7"/>
  <c r="K325" i="7"/>
  <c r="J325" i="7"/>
  <c r="I325" i="7"/>
  <c r="H325" i="7"/>
  <c r="G325" i="7"/>
  <c r="F325" i="7"/>
  <c r="E325" i="7"/>
  <c r="D325" i="7"/>
  <c r="C325" i="7"/>
  <c r="B325" i="7"/>
  <c r="N324" i="7"/>
  <c r="M324" i="7"/>
  <c r="L324" i="7"/>
  <c r="K324" i="7"/>
  <c r="J324" i="7"/>
  <c r="I324" i="7"/>
  <c r="H324" i="7"/>
  <c r="G324" i="7"/>
  <c r="F324" i="7"/>
  <c r="E324" i="7"/>
  <c r="D324" i="7"/>
  <c r="C324" i="7"/>
  <c r="B324" i="7"/>
  <c r="N323" i="7"/>
  <c r="M323" i="7"/>
  <c r="L323" i="7"/>
  <c r="K323" i="7"/>
  <c r="J323" i="7"/>
  <c r="I323" i="7"/>
  <c r="H323" i="7"/>
  <c r="G323" i="7"/>
  <c r="F323" i="7"/>
  <c r="E323" i="7"/>
  <c r="D323" i="7"/>
  <c r="C323" i="7"/>
  <c r="B323" i="7"/>
  <c r="N322" i="7"/>
  <c r="M322" i="7"/>
  <c r="L322" i="7"/>
  <c r="K322" i="7"/>
  <c r="J322" i="7"/>
  <c r="I322" i="7"/>
  <c r="H322" i="7"/>
  <c r="G322" i="7"/>
  <c r="F322" i="7"/>
  <c r="E322" i="7"/>
  <c r="D322" i="7"/>
  <c r="C322" i="7"/>
  <c r="B322" i="7"/>
  <c r="N321" i="7"/>
  <c r="M321" i="7"/>
  <c r="L321" i="7"/>
  <c r="K321" i="7"/>
  <c r="J321" i="7"/>
  <c r="I321" i="7"/>
  <c r="H321" i="7"/>
  <c r="G321" i="7"/>
  <c r="F321" i="7"/>
  <c r="E321" i="7"/>
  <c r="D321" i="7"/>
  <c r="C321" i="7"/>
  <c r="B321" i="7"/>
  <c r="N320" i="7"/>
  <c r="M320" i="7"/>
  <c r="L320" i="7"/>
  <c r="K320" i="7"/>
  <c r="J320" i="7"/>
  <c r="I320" i="7"/>
  <c r="H320" i="7"/>
  <c r="G320" i="7"/>
  <c r="F320" i="7"/>
  <c r="E320" i="7"/>
  <c r="D320" i="7"/>
  <c r="C320" i="7"/>
  <c r="B320" i="7"/>
  <c r="N319" i="7"/>
  <c r="M319" i="7"/>
  <c r="L319" i="7"/>
  <c r="K319" i="7"/>
  <c r="J319" i="7"/>
  <c r="I319" i="7"/>
  <c r="H319" i="7"/>
  <c r="G319" i="7"/>
  <c r="F319" i="7"/>
  <c r="E319" i="7"/>
  <c r="D319" i="7"/>
  <c r="C319" i="7"/>
  <c r="B319" i="7"/>
  <c r="N318" i="7"/>
  <c r="M318" i="7"/>
  <c r="L318" i="7"/>
  <c r="K318" i="7"/>
  <c r="J318" i="7"/>
  <c r="I318" i="7"/>
  <c r="H318" i="7"/>
  <c r="G318" i="7"/>
  <c r="F318" i="7"/>
  <c r="E318" i="7"/>
  <c r="D318" i="7"/>
  <c r="C318" i="7"/>
  <c r="B318" i="7"/>
  <c r="N317" i="7"/>
  <c r="M317" i="7"/>
  <c r="L317" i="7"/>
  <c r="K317" i="7"/>
  <c r="J317" i="7"/>
  <c r="I317" i="7"/>
  <c r="H317" i="7"/>
  <c r="G317" i="7"/>
  <c r="F317" i="7"/>
  <c r="E317" i="7"/>
  <c r="D317" i="7"/>
  <c r="C317" i="7"/>
  <c r="B317" i="7"/>
  <c r="N316" i="7"/>
  <c r="M316" i="7"/>
  <c r="L316" i="7"/>
  <c r="K316" i="7"/>
  <c r="J316" i="7"/>
  <c r="I316" i="7"/>
  <c r="H316" i="7"/>
  <c r="G316" i="7"/>
  <c r="F316" i="7"/>
  <c r="E316" i="7"/>
  <c r="D316" i="7"/>
  <c r="C316" i="7"/>
  <c r="B316" i="7"/>
  <c r="N315" i="7"/>
  <c r="M315" i="7"/>
  <c r="L315" i="7"/>
  <c r="K315" i="7"/>
  <c r="J315" i="7"/>
  <c r="I315" i="7"/>
  <c r="H315" i="7"/>
  <c r="G315" i="7"/>
  <c r="F315" i="7"/>
  <c r="E315" i="7"/>
  <c r="D315" i="7"/>
  <c r="C315" i="7"/>
  <c r="B315" i="7"/>
  <c r="N314" i="7"/>
  <c r="M314" i="7"/>
  <c r="L314" i="7"/>
  <c r="K314" i="7"/>
  <c r="J314" i="7"/>
  <c r="I314" i="7"/>
  <c r="H314" i="7"/>
  <c r="G314" i="7"/>
  <c r="F314" i="7"/>
  <c r="E314" i="7"/>
  <c r="D314" i="7"/>
  <c r="C314" i="7"/>
  <c r="B314" i="7"/>
  <c r="N313" i="7"/>
  <c r="M313" i="7"/>
  <c r="L313" i="7"/>
  <c r="K313" i="7"/>
  <c r="J313" i="7"/>
  <c r="I313" i="7"/>
  <c r="H313" i="7"/>
  <c r="G313" i="7"/>
  <c r="F313" i="7"/>
  <c r="E313" i="7"/>
  <c r="D313" i="7"/>
  <c r="C313" i="7"/>
  <c r="B313" i="7"/>
  <c r="N312" i="7"/>
  <c r="M312" i="7"/>
  <c r="L312" i="7"/>
  <c r="K312" i="7"/>
  <c r="J312" i="7"/>
  <c r="I312" i="7"/>
  <c r="H312" i="7"/>
  <c r="G312" i="7"/>
  <c r="F312" i="7"/>
  <c r="E312" i="7"/>
  <c r="D312" i="7"/>
  <c r="C312" i="7"/>
  <c r="B312" i="7"/>
  <c r="N311" i="7"/>
  <c r="M311" i="7"/>
  <c r="L311" i="7"/>
  <c r="K311" i="7"/>
  <c r="J311" i="7"/>
  <c r="I311" i="7"/>
  <c r="H311" i="7"/>
  <c r="G311" i="7"/>
  <c r="F311" i="7"/>
  <c r="E311" i="7"/>
  <c r="D311" i="7"/>
  <c r="C311" i="7"/>
  <c r="B311" i="7"/>
  <c r="N310" i="7"/>
  <c r="M310" i="7"/>
  <c r="L310" i="7"/>
  <c r="K310" i="7"/>
  <c r="J310" i="7"/>
  <c r="I310" i="7"/>
  <c r="H310" i="7"/>
  <c r="G310" i="7"/>
  <c r="F310" i="7"/>
  <c r="E310" i="7"/>
  <c r="D310" i="7"/>
  <c r="C310" i="7"/>
  <c r="B310" i="7"/>
  <c r="N309" i="7"/>
  <c r="M309" i="7"/>
  <c r="L309" i="7"/>
  <c r="K309" i="7"/>
  <c r="J309" i="7"/>
  <c r="I309" i="7"/>
  <c r="H309" i="7"/>
  <c r="G309" i="7"/>
  <c r="F309" i="7"/>
  <c r="E309" i="7"/>
  <c r="D309" i="7"/>
  <c r="C309" i="7"/>
  <c r="B309" i="7"/>
  <c r="N308" i="7"/>
  <c r="M308" i="7"/>
  <c r="L308" i="7"/>
  <c r="K308" i="7"/>
  <c r="J308" i="7"/>
  <c r="I308" i="7"/>
  <c r="H308" i="7"/>
  <c r="G308" i="7"/>
  <c r="F308" i="7"/>
  <c r="E308" i="7"/>
  <c r="D308" i="7"/>
  <c r="C308" i="7"/>
  <c r="B308" i="7"/>
  <c r="N307" i="7"/>
  <c r="M307" i="7"/>
  <c r="L307" i="7"/>
  <c r="K307" i="7"/>
  <c r="J307" i="7"/>
  <c r="I307" i="7"/>
  <c r="H307" i="7"/>
  <c r="G307" i="7"/>
  <c r="F307" i="7"/>
  <c r="E307" i="7"/>
  <c r="D307" i="7"/>
  <c r="C307" i="7"/>
  <c r="B307" i="7"/>
  <c r="N306" i="7"/>
  <c r="M306" i="7"/>
  <c r="L306" i="7"/>
  <c r="K306" i="7"/>
  <c r="J306" i="7"/>
  <c r="I306" i="7"/>
  <c r="H306" i="7"/>
  <c r="G306" i="7"/>
  <c r="F306" i="7"/>
  <c r="E306" i="7"/>
  <c r="D306" i="7"/>
  <c r="C306" i="7"/>
  <c r="B306" i="7"/>
  <c r="N305" i="7"/>
  <c r="M305" i="7"/>
  <c r="L305" i="7"/>
  <c r="K305" i="7"/>
  <c r="J305" i="7"/>
  <c r="I305" i="7"/>
  <c r="H305" i="7"/>
  <c r="G305" i="7"/>
  <c r="F305" i="7"/>
  <c r="E305" i="7"/>
  <c r="D305" i="7"/>
  <c r="C305" i="7"/>
  <c r="B305" i="7"/>
  <c r="N304" i="7"/>
  <c r="M304" i="7"/>
  <c r="L304" i="7"/>
  <c r="K304" i="7"/>
  <c r="J304" i="7"/>
  <c r="I304" i="7"/>
  <c r="H304" i="7"/>
  <c r="G304" i="7"/>
  <c r="F304" i="7"/>
  <c r="E304" i="7"/>
  <c r="D304" i="7"/>
  <c r="C304" i="7"/>
  <c r="B304" i="7"/>
  <c r="N303" i="7"/>
  <c r="M303" i="7"/>
  <c r="L303" i="7"/>
  <c r="K303" i="7"/>
  <c r="J303" i="7"/>
  <c r="I303" i="7"/>
  <c r="H303" i="7"/>
  <c r="G303" i="7"/>
  <c r="F303" i="7"/>
  <c r="E303" i="7"/>
  <c r="D303" i="7"/>
  <c r="C303" i="7"/>
  <c r="B303" i="7"/>
  <c r="N302" i="7"/>
  <c r="M302" i="7"/>
  <c r="L302" i="7"/>
  <c r="K302" i="7"/>
  <c r="J302" i="7"/>
  <c r="I302" i="7"/>
  <c r="H302" i="7"/>
  <c r="G302" i="7"/>
  <c r="F302" i="7"/>
  <c r="E302" i="7"/>
  <c r="D302" i="7"/>
  <c r="C302" i="7"/>
  <c r="B302" i="7"/>
  <c r="N301" i="7"/>
  <c r="M301" i="7"/>
  <c r="L301" i="7"/>
  <c r="K301" i="7"/>
  <c r="J301" i="7"/>
  <c r="I301" i="7"/>
  <c r="H301" i="7"/>
  <c r="G301" i="7"/>
  <c r="F301" i="7"/>
  <c r="E301" i="7"/>
  <c r="D301" i="7"/>
  <c r="C301" i="7"/>
  <c r="B301" i="7"/>
  <c r="N300" i="7"/>
  <c r="M300" i="7"/>
  <c r="L300" i="7"/>
  <c r="K300" i="7"/>
  <c r="J300" i="7"/>
  <c r="I300" i="7"/>
  <c r="H300" i="7"/>
  <c r="G300" i="7"/>
  <c r="F300" i="7"/>
  <c r="E300" i="7"/>
  <c r="D300" i="7"/>
  <c r="C300" i="7"/>
  <c r="B300" i="7"/>
  <c r="N299" i="7"/>
  <c r="M299" i="7"/>
  <c r="L299" i="7"/>
  <c r="K299" i="7"/>
  <c r="J299" i="7"/>
  <c r="I299" i="7"/>
  <c r="H299" i="7"/>
  <c r="G299" i="7"/>
  <c r="F299" i="7"/>
  <c r="E299" i="7"/>
  <c r="D299" i="7"/>
  <c r="C299" i="7"/>
  <c r="B299" i="7"/>
  <c r="N298" i="7"/>
  <c r="M298" i="7"/>
  <c r="L298" i="7"/>
  <c r="K298" i="7"/>
  <c r="J298" i="7"/>
  <c r="I298" i="7"/>
  <c r="H298" i="7"/>
  <c r="G298" i="7"/>
  <c r="F298" i="7"/>
  <c r="E298" i="7"/>
  <c r="D298" i="7"/>
  <c r="C298" i="7"/>
  <c r="B298" i="7"/>
  <c r="N297" i="7"/>
  <c r="M297" i="7"/>
  <c r="L297" i="7"/>
  <c r="K297" i="7"/>
  <c r="J297" i="7"/>
  <c r="I297" i="7"/>
  <c r="H297" i="7"/>
  <c r="G297" i="7"/>
  <c r="F297" i="7"/>
  <c r="E297" i="7"/>
  <c r="D297" i="7"/>
  <c r="C297" i="7"/>
  <c r="B297" i="7"/>
  <c r="N296" i="7"/>
  <c r="M296" i="7"/>
  <c r="L296" i="7"/>
  <c r="K296" i="7"/>
  <c r="J296" i="7"/>
  <c r="I296" i="7"/>
  <c r="H296" i="7"/>
  <c r="G296" i="7"/>
  <c r="F296" i="7"/>
  <c r="E296" i="7"/>
  <c r="D296" i="7"/>
  <c r="C296" i="7"/>
  <c r="B296" i="7"/>
  <c r="N295" i="7"/>
  <c r="M295" i="7"/>
  <c r="L295" i="7"/>
  <c r="K295" i="7"/>
  <c r="J295" i="7"/>
  <c r="I295" i="7"/>
  <c r="H295" i="7"/>
  <c r="G295" i="7"/>
  <c r="F295" i="7"/>
  <c r="E295" i="7"/>
  <c r="D295" i="7"/>
  <c r="C295" i="7"/>
  <c r="B295" i="7"/>
  <c r="N294" i="7"/>
  <c r="M294" i="7"/>
  <c r="L294" i="7"/>
  <c r="K294" i="7"/>
  <c r="J294" i="7"/>
  <c r="I294" i="7"/>
  <c r="H294" i="7"/>
  <c r="G294" i="7"/>
  <c r="F294" i="7"/>
  <c r="E294" i="7"/>
  <c r="D294" i="7"/>
  <c r="C294" i="7"/>
  <c r="B294" i="7"/>
  <c r="N293" i="7"/>
  <c r="M293" i="7"/>
  <c r="L293" i="7"/>
  <c r="K293" i="7"/>
  <c r="J293" i="7"/>
  <c r="I293" i="7"/>
  <c r="H293" i="7"/>
  <c r="G293" i="7"/>
  <c r="F293" i="7"/>
  <c r="E293" i="7"/>
  <c r="D293" i="7"/>
  <c r="C293" i="7"/>
  <c r="B293" i="7"/>
  <c r="N292" i="7"/>
  <c r="M292" i="7"/>
  <c r="L292" i="7"/>
  <c r="K292" i="7"/>
  <c r="J292" i="7"/>
  <c r="I292" i="7"/>
  <c r="H292" i="7"/>
  <c r="G292" i="7"/>
  <c r="F292" i="7"/>
  <c r="E292" i="7"/>
  <c r="D292" i="7"/>
  <c r="C292" i="7"/>
  <c r="B292" i="7"/>
  <c r="N291" i="7"/>
  <c r="M291" i="7"/>
  <c r="L291" i="7"/>
  <c r="K291" i="7"/>
  <c r="J291" i="7"/>
  <c r="I291" i="7"/>
  <c r="H291" i="7"/>
  <c r="G291" i="7"/>
  <c r="F291" i="7"/>
  <c r="E291" i="7"/>
  <c r="D291" i="7"/>
  <c r="C291" i="7"/>
  <c r="B291" i="7"/>
  <c r="N290" i="7"/>
  <c r="M290" i="7"/>
  <c r="L290" i="7"/>
  <c r="K290" i="7"/>
  <c r="J290" i="7"/>
  <c r="I290" i="7"/>
  <c r="H290" i="7"/>
  <c r="G290" i="7"/>
  <c r="F290" i="7"/>
  <c r="E290" i="7"/>
  <c r="D290" i="7"/>
  <c r="C290" i="7"/>
  <c r="B290" i="7"/>
  <c r="N289" i="7"/>
  <c r="M289" i="7"/>
  <c r="L289" i="7"/>
  <c r="K289" i="7"/>
  <c r="J289" i="7"/>
  <c r="I289" i="7"/>
  <c r="H289" i="7"/>
  <c r="G289" i="7"/>
  <c r="F289" i="7"/>
  <c r="E289" i="7"/>
  <c r="D289" i="7"/>
  <c r="C289" i="7"/>
  <c r="B289" i="7"/>
  <c r="N288" i="7"/>
  <c r="M288" i="7"/>
  <c r="L288" i="7"/>
  <c r="K288" i="7"/>
  <c r="J288" i="7"/>
  <c r="I288" i="7"/>
  <c r="H288" i="7"/>
  <c r="G288" i="7"/>
  <c r="F288" i="7"/>
  <c r="E288" i="7"/>
  <c r="D288" i="7"/>
  <c r="C288" i="7"/>
  <c r="B288" i="7"/>
  <c r="N287" i="7"/>
  <c r="M287" i="7"/>
  <c r="L287" i="7"/>
  <c r="K287" i="7"/>
  <c r="J287" i="7"/>
  <c r="I287" i="7"/>
  <c r="H287" i="7"/>
  <c r="G287" i="7"/>
  <c r="F287" i="7"/>
  <c r="E287" i="7"/>
  <c r="D287" i="7"/>
  <c r="C287" i="7"/>
  <c r="B287" i="7"/>
  <c r="N286" i="7"/>
  <c r="M286" i="7"/>
  <c r="L286" i="7"/>
  <c r="K286" i="7"/>
  <c r="J286" i="7"/>
  <c r="I286" i="7"/>
  <c r="H286" i="7"/>
  <c r="G286" i="7"/>
  <c r="F286" i="7"/>
  <c r="E286" i="7"/>
  <c r="D286" i="7"/>
  <c r="C286" i="7"/>
  <c r="B286" i="7"/>
  <c r="N285" i="7"/>
  <c r="M285" i="7"/>
  <c r="L285" i="7"/>
  <c r="K285" i="7"/>
  <c r="J285" i="7"/>
  <c r="I285" i="7"/>
  <c r="H285" i="7"/>
  <c r="G285" i="7"/>
  <c r="F285" i="7"/>
  <c r="E285" i="7"/>
  <c r="D285" i="7"/>
  <c r="C285" i="7"/>
  <c r="B285" i="7"/>
  <c r="N284" i="7"/>
  <c r="M284" i="7"/>
  <c r="L284" i="7"/>
  <c r="K284" i="7"/>
  <c r="J284" i="7"/>
  <c r="I284" i="7"/>
  <c r="H284" i="7"/>
  <c r="G284" i="7"/>
  <c r="F284" i="7"/>
  <c r="E284" i="7"/>
  <c r="D284" i="7"/>
  <c r="C284" i="7"/>
  <c r="B284" i="7"/>
  <c r="N283" i="7"/>
  <c r="M283" i="7"/>
  <c r="L283" i="7"/>
  <c r="K283" i="7"/>
  <c r="J283" i="7"/>
  <c r="I283" i="7"/>
  <c r="H283" i="7"/>
  <c r="G283" i="7"/>
  <c r="F283" i="7"/>
  <c r="E283" i="7"/>
  <c r="D283" i="7"/>
  <c r="C283" i="7"/>
  <c r="B283" i="7"/>
  <c r="N282" i="7"/>
  <c r="M282" i="7"/>
  <c r="L282" i="7"/>
  <c r="K282" i="7"/>
  <c r="J282" i="7"/>
  <c r="I282" i="7"/>
  <c r="H282" i="7"/>
  <c r="G282" i="7"/>
  <c r="F282" i="7"/>
  <c r="E282" i="7"/>
  <c r="D282" i="7"/>
  <c r="C282" i="7"/>
  <c r="B282" i="7"/>
  <c r="N281" i="7"/>
  <c r="M281" i="7"/>
  <c r="L281" i="7"/>
  <c r="K281" i="7"/>
  <c r="J281" i="7"/>
  <c r="I281" i="7"/>
  <c r="H281" i="7"/>
  <c r="G281" i="7"/>
  <c r="F281" i="7"/>
  <c r="E281" i="7"/>
  <c r="D281" i="7"/>
  <c r="C281" i="7"/>
  <c r="B281" i="7"/>
  <c r="N280" i="7"/>
  <c r="M280" i="7"/>
  <c r="L280" i="7"/>
  <c r="K280" i="7"/>
  <c r="J280" i="7"/>
  <c r="I280" i="7"/>
  <c r="H280" i="7"/>
  <c r="G280" i="7"/>
  <c r="F280" i="7"/>
  <c r="E280" i="7"/>
  <c r="D280" i="7"/>
  <c r="C280" i="7"/>
  <c r="B280" i="7"/>
  <c r="N279" i="7"/>
  <c r="M279" i="7"/>
  <c r="L279" i="7"/>
  <c r="K279" i="7"/>
  <c r="J279" i="7"/>
  <c r="I279" i="7"/>
  <c r="H279" i="7"/>
  <c r="G279" i="7"/>
  <c r="F279" i="7"/>
  <c r="E279" i="7"/>
  <c r="D279" i="7"/>
  <c r="C279" i="7"/>
  <c r="B279" i="7"/>
  <c r="N278" i="7"/>
  <c r="M278" i="7"/>
  <c r="L278" i="7"/>
  <c r="K278" i="7"/>
  <c r="J278" i="7"/>
  <c r="I278" i="7"/>
  <c r="H278" i="7"/>
  <c r="G278" i="7"/>
  <c r="F278" i="7"/>
  <c r="E278" i="7"/>
  <c r="D278" i="7"/>
  <c r="C278" i="7"/>
  <c r="B278" i="7"/>
  <c r="N277" i="7"/>
  <c r="M277" i="7"/>
  <c r="L277" i="7"/>
  <c r="K277" i="7"/>
  <c r="J277" i="7"/>
  <c r="I277" i="7"/>
  <c r="H277" i="7"/>
  <c r="G277" i="7"/>
  <c r="F277" i="7"/>
  <c r="E277" i="7"/>
  <c r="D277" i="7"/>
  <c r="C277" i="7"/>
  <c r="B277" i="7"/>
  <c r="N276" i="7"/>
  <c r="M276" i="7"/>
  <c r="L276" i="7"/>
  <c r="K276" i="7"/>
  <c r="J276" i="7"/>
  <c r="I276" i="7"/>
  <c r="H276" i="7"/>
  <c r="G276" i="7"/>
  <c r="F276" i="7"/>
  <c r="E276" i="7"/>
  <c r="D276" i="7"/>
  <c r="C276" i="7"/>
  <c r="B276" i="7"/>
  <c r="N275" i="7"/>
  <c r="M275" i="7"/>
  <c r="L275" i="7"/>
  <c r="K275" i="7"/>
  <c r="J275" i="7"/>
  <c r="I275" i="7"/>
  <c r="H275" i="7"/>
  <c r="G275" i="7"/>
  <c r="F275" i="7"/>
  <c r="E275" i="7"/>
  <c r="D275" i="7"/>
  <c r="C275" i="7"/>
  <c r="B275" i="7"/>
  <c r="N274" i="7"/>
  <c r="M274" i="7"/>
  <c r="L274" i="7"/>
  <c r="K274" i="7"/>
  <c r="J274" i="7"/>
  <c r="I274" i="7"/>
  <c r="H274" i="7"/>
  <c r="G274" i="7"/>
  <c r="F274" i="7"/>
  <c r="E274" i="7"/>
  <c r="D274" i="7"/>
  <c r="C274" i="7"/>
  <c r="B274" i="7"/>
  <c r="N273" i="7"/>
  <c r="M273" i="7"/>
  <c r="L273" i="7"/>
  <c r="K273" i="7"/>
  <c r="J273" i="7"/>
  <c r="I273" i="7"/>
  <c r="H273" i="7"/>
  <c r="G273" i="7"/>
  <c r="F273" i="7"/>
  <c r="E273" i="7"/>
  <c r="D273" i="7"/>
  <c r="C273" i="7"/>
  <c r="B273" i="7"/>
  <c r="N272" i="7"/>
  <c r="M272" i="7"/>
  <c r="L272" i="7"/>
  <c r="K272" i="7"/>
  <c r="J272" i="7"/>
  <c r="I272" i="7"/>
  <c r="H272" i="7"/>
  <c r="G272" i="7"/>
  <c r="F272" i="7"/>
  <c r="E272" i="7"/>
  <c r="D272" i="7"/>
  <c r="C272" i="7"/>
  <c r="B272" i="7"/>
  <c r="N271" i="7"/>
  <c r="M271" i="7"/>
  <c r="L271" i="7"/>
  <c r="K271" i="7"/>
  <c r="J271" i="7"/>
  <c r="I271" i="7"/>
  <c r="H271" i="7"/>
  <c r="G271" i="7"/>
  <c r="F271" i="7"/>
  <c r="E271" i="7"/>
  <c r="D271" i="7"/>
  <c r="C271" i="7"/>
  <c r="B271" i="7"/>
  <c r="N270" i="7"/>
  <c r="M270" i="7"/>
  <c r="L270" i="7"/>
  <c r="K270" i="7"/>
  <c r="J270" i="7"/>
  <c r="I270" i="7"/>
  <c r="H270" i="7"/>
  <c r="G270" i="7"/>
  <c r="F270" i="7"/>
  <c r="E270" i="7"/>
  <c r="D270" i="7"/>
  <c r="C270" i="7"/>
  <c r="B270" i="7"/>
  <c r="N269" i="7"/>
  <c r="M269" i="7"/>
  <c r="L269" i="7"/>
  <c r="K269" i="7"/>
  <c r="J269" i="7"/>
  <c r="I269" i="7"/>
  <c r="H269" i="7"/>
  <c r="G269" i="7"/>
  <c r="F269" i="7"/>
  <c r="E269" i="7"/>
  <c r="D269" i="7"/>
  <c r="C269" i="7"/>
  <c r="B269" i="7"/>
  <c r="N268" i="7"/>
  <c r="M268" i="7"/>
  <c r="L268" i="7"/>
  <c r="K268" i="7"/>
  <c r="J268" i="7"/>
  <c r="I268" i="7"/>
  <c r="H268" i="7"/>
  <c r="G268" i="7"/>
  <c r="F268" i="7"/>
  <c r="E268" i="7"/>
  <c r="D268" i="7"/>
  <c r="C268" i="7"/>
  <c r="B268" i="7"/>
  <c r="N267" i="7"/>
  <c r="M267" i="7"/>
  <c r="L267" i="7"/>
  <c r="K267" i="7"/>
  <c r="J267" i="7"/>
  <c r="I267" i="7"/>
  <c r="H267" i="7"/>
  <c r="G267" i="7"/>
  <c r="F267" i="7"/>
  <c r="E267" i="7"/>
  <c r="D267" i="7"/>
  <c r="C267" i="7"/>
  <c r="B267" i="7"/>
  <c r="N266" i="7"/>
  <c r="M266" i="7"/>
  <c r="L266" i="7"/>
  <c r="K266" i="7"/>
  <c r="J266" i="7"/>
  <c r="I266" i="7"/>
  <c r="H266" i="7"/>
  <c r="G266" i="7"/>
  <c r="F266" i="7"/>
  <c r="E266" i="7"/>
  <c r="D266" i="7"/>
  <c r="C266" i="7"/>
  <c r="B266" i="7"/>
  <c r="N265" i="7"/>
  <c r="M265" i="7"/>
  <c r="L265" i="7"/>
  <c r="K265" i="7"/>
  <c r="J265" i="7"/>
  <c r="I265" i="7"/>
  <c r="H265" i="7"/>
  <c r="G265" i="7"/>
  <c r="F265" i="7"/>
  <c r="E265" i="7"/>
  <c r="D265" i="7"/>
  <c r="C265" i="7"/>
  <c r="B265" i="7"/>
  <c r="N264" i="7"/>
  <c r="M264" i="7"/>
  <c r="L264" i="7"/>
  <c r="K264" i="7"/>
  <c r="J264" i="7"/>
  <c r="I264" i="7"/>
  <c r="H264" i="7"/>
  <c r="G264" i="7"/>
  <c r="F264" i="7"/>
  <c r="E264" i="7"/>
  <c r="D264" i="7"/>
  <c r="C264" i="7"/>
  <c r="B264" i="7"/>
  <c r="N263" i="7"/>
  <c r="M263" i="7"/>
  <c r="L263" i="7"/>
  <c r="K263" i="7"/>
  <c r="J263" i="7"/>
  <c r="I263" i="7"/>
  <c r="H263" i="7"/>
  <c r="G263" i="7"/>
  <c r="F263" i="7"/>
  <c r="E263" i="7"/>
  <c r="D263" i="7"/>
  <c r="C263" i="7"/>
  <c r="B263" i="7"/>
  <c r="N262" i="7"/>
  <c r="M262" i="7"/>
  <c r="L262" i="7"/>
  <c r="K262" i="7"/>
  <c r="J262" i="7"/>
  <c r="I262" i="7"/>
  <c r="H262" i="7"/>
  <c r="G262" i="7"/>
  <c r="F262" i="7"/>
  <c r="E262" i="7"/>
  <c r="D262" i="7"/>
  <c r="C262" i="7"/>
  <c r="B262" i="7"/>
  <c r="N261" i="7"/>
  <c r="M261" i="7"/>
  <c r="L261" i="7"/>
  <c r="K261" i="7"/>
  <c r="J261" i="7"/>
  <c r="I261" i="7"/>
  <c r="H261" i="7"/>
  <c r="G261" i="7"/>
  <c r="F261" i="7"/>
  <c r="E261" i="7"/>
  <c r="D261" i="7"/>
  <c r="C261" i="7"/>
  <c r="B261" i="7"/>
  <c r="N260" i="7"/>
  <c r="M260" i="7"/>
  <c r="L260" i="7"/>
  <c r="K260" i="7"/>
  <c r="J260" i="7"/>
  <c r="I260" i="7"/>
  <c r="H260" i="7"/>
  <c r="G260" i="7"/>
  <c r="F260" i="7"/>
  <c r="E260" i="7"/>
  <c r="D260" i="7"/>
  <c r="C260" i="7"/>
  <c r="B260" i="7"/>
  <c r="N259" i="7"/>
  <c r="M259" i="7"/>
  <c r="L259" i="7"/>
  <c r="K259" i="7"/>
  <c r="J259" i="7"/>
  <c r="I259" i="7"/>
  <c r="H259" i="7"/>
  <c r="G259" i="7"/>
  <c r="F259" i="7"/>
  <c r="E259" i="7"/>
  <c r="D259" i="7"/>
  <c r="C259" i="7"/>
  <c r="B259" i="7"/>
  <c r="N258" i="7"/>
  <c r="M258" i="7"/>
  <c r="L258" i="7"/>
  <c r="K258" i="7"/>
  <c r="J258" i="7"/>
  <c r="I258" i="7"/>
  <c r="H258" i="7"/>
  <c r="G258" i="7"/>
  <c r="F258" i="7"/>
  <c r="E258" i="7"/>
  <c r="D258" i="7"/>
  <c r="C258" i="7"/>
  <c r="B258" i="7"/>
  <c r="N257" i="7"/>
  <c r="M257" i="7"/>
  <c r="L257" i="7"/>
  <c r="K257" i="7"/>
  <c r="J257" i="7"/>
  <c r="I257" i="7"/>
  <c r="H257" i="7"/>
  <c r="G257" i="7"/>
  <c r="F257" i="7"/>
  <c r="E257" i="7"/>
  <c r="D257" i="7"/>
  <c r="C257" i="7"/>
  <c r="B257" i="7"/>
  <c r="N256" i="7"/>
  <c r="M256" i="7"/>
  <c r="L256" i="7"/>
  <c r="K256" i="7"/>
  <c r="J256" i="7"/>
  <c r="I256" i="7"/>
  <c r="H256" i="7"/>
  <c r="G256" i="7"/>
  <c r="F256" i="7"/>
  <c r="E256" i="7"/>
  <c r="D256" i="7"/>
  <c r="C256" i="7"/>
  <c r="B256" i="7"/>
  <c r="N255" i="7"/>
  <c r="M255" i="7"/>
  <c r="L255" i="7"/>
  <c r="K255" i="7"/>
  <c r="J255" i="7"/>
  <c r="I255" i="7"/>
  <c r="H255" i="7"/>
  <c r="G255" i="7"/>
  <c r="F255" i="7"/>
  <c r="E255" i="7"/>
  <c r="D255" i="7"/>
  <c r="C255" i="7"/>
  <c r="B255" i="7"/>
  <c r="N254" i="7"/>
  <c r="M254" i="7"/>
  <c r="L254" i="7"/>
  <c r="K254" i="7"/>
  <c r="J254" i="7"/>
  <c r="I254" i="7"/>
  <c r="H254" i="7"/>
  <c r="G254" i="7"/>
  <c r="F254" i="7"/>
  <c r="E254" i="7"/>
  <c r="D254" i="7"/>
  <c r="C254" i="7"/>
  <c r="B254" i="7"/>
  <c r="N253" i="7"/>
  <c r="M253" i="7"/>
  <c r="L253" i="7"/>
  <c r="K253" i="7"/>
  <c r="J253" i="7"/>
  <c r="I253" i="7"/>
  <c r="H253" i="7"/>
  <c r="G253" i="7"/>
  <c r="F253" i="7"/>
  <c r="E253" i="7"/>
  <c r="D253" i="7"/>
  <c r="C253" i="7"/>
  <c r="B253" i="7"/>
  <c r="N252" i="7"/>
  <c r="M252" i="7"/>
  <c r="L252" i="7"/>
  <c r="K252" i="7"/>
  <c r="J252" i="7"/>
  <c r="I252" i="7"/>
  <c r="H252" i="7"/>
  <c r="G252" i="7"/>
  <c r="F252" i="7"/>
  <c r="E252" i="7"/>
  <c r="D252" i="7"/>
  <c r="C252" i="7"/>
  <c r="B252" i="7"/>
  <c r="N251" i="7"/>
  <c r="M251" i="7"/>
  <c r="L251" i="7"/>
  <c r="K251" i="7"/>
  <c r="J251" i="7"/>
  <c r="I251" i="7"/>
  <c r="H251" i="7"/>
  <c r="G251" i="7"/>
  <c r="F251" i="7"/>
  <c r="E251" i="7"/>
  <c r="D251" i="7"/>
  <c r="C251" i="7"/>
  <c r="B251" i="7"/>
  <c r="N250" i="7"/>
  <c r="M250" i="7"/>
  <c r="L250" i="7"/>
  <c r="K250" i="7"/>
  <c r="J250" i="7"/>
  <c r="I250" i="7"/>
  <c r="H250" i="7"/>
  <c r="G250" i="7"/>
  <c r="F250" i="7"/>
  <c r="E250" i="7"/>
  <c r="D250" i="7"/>
  <c r="C250" i="7"/>
  <c r="B250" i="7"/>
  <c r="N249" i="7"/>
  <c r="M249" i="7"/>
  <c r="L249" i="7"/>
  <c r="K249" i="7"/>
  <c r="J249" i="7"/>
  <c r="I249" i="7"/>
  <c r="H249" i="7"/>
  <c r="G249" i="7"/>
  <c r="F249" i="7"/>
  <c r="E249" i="7"/>
  <c r="D249" i="7"/>
  <c r="C249" i="7"/>
  <c r="B249" i="7"/>
  <c r="N248" i="7"/>
  <c r="M248" i="7"/>
  <c r="L248" i="7"/>
  <c r="K248" i="7"/>
  <c r="J248" i="7"/>
  <c r="I248" i="7"/>
  <c r="H248" i="7"/>
  <c r="G248" i="7"/>
  <c r="F248" i="7"/>
  <c r="E248" i="7"/>
  <c r="D248" i="7"/>
  <c r="C248" i="7"/>
  <c r="B248" i="7"/>
  <c r="N247" i="7"/>
  <c r="M247" i="7"/>
  <c r="L247" i="7"/>
  <c r="K247" i="7"/>
  <c r="J247" i="7"/>
  <c r="I247" i="7"/>
  <c r="H247" i="7"/>
  <c r="G247" i="7"/>
  <c r="F247" i="7"/>
  <c r="E247" i="7"/>
  <c r="D247" i="7"/>
  <c r="C247" i="7"/>
  <c r="B247" i="7"/>
  <c r="N246" i="7"/>
  <c r="M246" i="7"/>
  <c r="L246" i="7"/>
  <c r="K246" i="7"/>
  <c r="J246" i="7"/>
  <c r="I246" i="7"/>
  <c r="H246" i="7"/>
  <c r="G246" i="7"/>
  <c r="F246" i="7"/>
  <c r="E246" i="7"/>
  <c r="D246" i="7"/>
  <c r="C246" i="7"/>
  <c r="B246" i="7"/>
  <c r="N245" i="7"/>
  <c r="M245" i="7"/>
  <c r="L245" i="7"/>
  <c r="K245" i="7"/>
  <c r="J245" i="7"/>
  <c r="I245" i="7"/>
  <c r="H245" i="7"/>
  <c r="G245" i="7"/>
  <c r="F245" i="7"/>
  <c r="E245" i="7"/>
  <c r="D245" i="7"/>
  <c r="C245" i="7"/>
  <c r="B245" i="7"/>
  <c r="N244" i="7"/>
  <c r="M244" i="7"/>
  <c r="L244" i="7"/>
  <c r="K244" i="7"/>
  <c r="J244" i="7"/>
  <c r="I244" i="7"/>
  <c r="H244" i="7"/>
  <c r="G244" i="7"/>
  <c r="F244" i="7"/>
  <c r="E244" i="7"/>
  <c r="D244" i="7"/>
  <c r="C244" i="7"/>
  <c r="B244" i="7"/>
  <c r="N243" i="7"/>
  <c r="M243" i="7"/>
  <c r="L243" i="7"/>
  <c r="K243" i="7"/>
  <c r="J243" i="7"/>
  <c r="I243" i="7"/>
  <c r="H243" i="7"/>
  <c r="G243" i="7"/>
  <c r="F243" i="7"/>
  <c r="E243" i="7"/>
  <c r="D243" i="7"/>
  <c r="C243" i="7"/>
  <c r="B243" i="7"/>
  <c r="N242" i="7"/>
  <c r="M242" i="7"/>
  <c r="L242" i="7"/>
  <c r="K242" i="7"/>
  <c r="J242" i="7"/>
  <c r="I242" i="7"/>
  <c r="H242" i="7"/>
  <c r="G242" i="7"/>
  <c r="F242" i="7"/>
  <c r="E242" i="7"/>
  <c r="D242" i="7"/>
  <c r="C242" i="7"/>
  <c r="B242" i="7"/>
  <c r="N241" i="7"/>
  <c r="M241" i="7"/>
  <c r="L241" i="7"/>
  <c r="K241" i="7"/>
  <c r="J241" i="7"/>
  <c r="I241" i="7"/>
  <c r="H241" i="7"/>
  <c r="G241" i="7"/>
  <c r="F241" i="7"/>
  <c r="E241" i="7"/>
  <c r="D241" i="7"/>
  <c r="C241" i="7"/>
  <c r="B241" i="7"/>
  <c r="N240" i="7"/>
  <c r="M240" i="7"/>
  <c r="L240" i="7"/>
  <c r="K240" i="7"/>
  <c r="J240" i="7"/>
  <c r="I240" i="7"/>
  <c r="H240" i="7"/>
  <c r="G240" i="7"/>
  <c r="F240" i="7"/>
  <c r="E240" i="7"/>
  <c r="D240" i="7"/>
  <c r="C240" i="7"/>
  <c r="B240" i="7"/>
  <c r="N239" i="7"/>
  <c r="M239" i="7"/>
  <c r="L239" i="7"/>
  <c r="K239" i="7"/>
  <c r="J239" i="7"/>
  <c r="I239" i="7"/>
  <c r="H239" i="7"/>
  <c r="G239" i="7"/>
  <c r="F239" i="7"/>
  <c r="E239" i="7"/>
  <c r="D239" i="7"/>
  <c r="C239" i="7"/>
  <c r="B239" i="7"/>
  <c r="N238" i="7"/>
  <c r="M238" i="7"/>
  <c r="L238" i="7"/>
  <c r="K238" i="7"/>
  <c r="J238" i="7"/>
  <c r="I238" i="7"/>
  <c r="H238" i="7"/>
  <c r="G238" i="7"/>
  <c r="F238" i="7"/>
  <c r="E238" i="7"/>
  <c r="D238" i="7"/>
  <c r="C238" i="7"/>
  <c r="B238" i="7"/>
  <c r="N237" i="7"/>
  <c r="M237" i="7"/>
  <c r="L237" i="7"/>
  <c r="K237" i="7"/>
  <c r="J237" i="7"/>
  <c r="I237" i="7"/>
  <c r="H237" i="7"/>
  <c r="G237" i="7"/>
  <c r="F237" i="7"/>
  <c r="E237" i="7"/>
  <c r="D237" i="7"/>
  <c r="C237" i="7"/>
  <c r="B237" i="7"/>
  <c r="N236" i="7"/>
  <c r="M236" i="7"/>
  <c r="L236" i="7"/>
  <c r="K236" i="7"/>
  <c r="J236" i="7"/>
  <c r="I236" i="7"/>
  <c r="H236" i="7"/>
  <c r="G236" i="7"/>
  <c r="F236" i="7"/>
  <c r="E236" i="7"/>
  <c r="D236" i="7"/>
  <c r="C236" i="7"/>
  <c r="B236" i="7"/>
  <c r="N235" i="7"/>
  <c r="M235" i="7"/>
  <c r="L235" i="7"/>
  <c r="K235" i="7"/>
  <c r="J235" i="7"/>
  <c r="I235" i="7"/>
  <c r="H235" i="7"/>
  <c r="G235" i="7"/>
  <c r="F235" i="7"/>
  <c r="E235" i="7"/>
  <c r="D235" i="7"/>
  <c r="C235" i="7"/>
  <c r="B235" i="7"/>
  <c r="N234" i="7"/>
  <c r="M234" i="7"/>
  <c r="L234" i="7"/>
  <c r="K234" i="7"/>
  <c r="J234" i="7"/>
  <c r="I234" i="7"/>
  <c r="H234" i="7"/>
  <c r="G234" i="7"/>
  <c r="F234" i="7"/>
  <c r="E234" i="7"/>
  <c r="D234" i="7"/>
  <c r="C234" i="7"/>
  <c r="B234" i="7"/>
  <c r="N233" i="7"/>
  <c r="M233" i="7"/>
  <c r="L233" i="7"/>
  <c r="K233" i="7"/>
  <c r="J233" i="7"/>
  <c r="I233" i="7"/>
  <c r="H233" i="7"/>
  <c r="G233" i="7"/>
  <c r="F233" i="7"/>
  <c r="E233" i="7"/>
  <c r="D233" i="7"/>
  <c r="C233" i="7"/>
  <c r="B233" i="7"/>
  <c r="N232" i="7"/>
  <c r="M232" i="7"/>
  <c r="L232" i="7"/>
  <c r="K232" i="7"/>
  <c r="J232" i="7"/>
  <c r="I232" i="7"/>
  <c r="H232" i="7"/>
  <c r="G232" i="7"/>
  <c r="F232" i="7"/>
  <c r="E232" i="7"/>
  <c r="D232" i="7"/>
  <c r="C232" i="7"/>
  <c r="B232" i="7"/>
  <c r="N231" i="7"/>
  <c r="M231" i="7"/>
  <c r="L231" i="7"/>
  <c r="K231" i="7"/>
  <c r="J231" i="7"/>
  <c r="I231" i="7"/>
  <c r="H231" i="7"/>
  <c r="G231" i="7"/>
  <c r="F231" i="7"/>
  <c r="E231" i="7"/>
  <c r="D231" i="7"/>
  <c r="C231" i="7"/>
  <c r="B231" i="7"/>
  <c r="N230" i="7"/>
  <c r="M230" i="7"/>
  <c r="L230" i="7"/>
  <c r="K230" i="7"/>
  <c r="J230" i="7"/>
  <c r="I230" i="7"/>
  <c r="H230" i="7"/>
  <c r="G230" i="7"/>
  <c r="F230" i="7"/>
  <c r="E230" i="7"/>
  <c r="D230" i="7"/>
  <c r="C230" i="7"/>
  <c r="B230" i="7"/>
  <c r="N229" i="7"/>
  <c r="M229" i="7"/>
  <c r="L229" i="7"/>
  <c r="K229" i="7"/>
  <c r="J229" i="7"/>
  <c r="I229" i="7"/>
  <c r="H229" i="7"/>
  <c r="G229" i="7"/>
  <c r="F229" i="7"/>
  <c r="E229" i="7"/>
  <c r="D229" i="7"/>
  <c r="C229" i="7"/>
  <c r="B229" i="7"/>
  <c r="N228" i="7"/>
  <c r="M228" i="7"/>
  <c r="L228" i="7"/>
  <c r="K228" i="7"/>
  <c r="J228" i="7"/>
  <c r="I228" i="7"/>
  <c r="H228" i="7"/>
  <c r="G228" i="7"/>
  <c r="F228" i="7"/>
  <c r="E228" i="7"/>
  <c r="D228" i="7"/>
  <c r="C228" i="7"/>
  <c r="B228" i="7"/>
  <c r="N227" i="7"/>
  <c r="M227" i="7"/>
  <c r="L227" i="7"/>
  <c r="K227" i="7"/>
  <c r="J227" i="7"/>
  <c r="I227" i="7"/>
  <c r="H227" i="7"/>
  <c r="G227" i="7"/>
  <c r="F227" i="7"/>
  <c r="E227" i="7"/>
  <c r="D227" i="7"/>
  <c r="C227" i="7"/>
  <c r="B227" i="7"/>
  <c r="N226" i="7"/>
  <c r="M226" i="7"/>
  <c r="L226" i="7"/>
  <c r="K226" i="7"/>
  <c r="J226" i="7"/>
  <c r="I226" i="7"/>
  <c r="H226" i="7"/>
  <c r="G226" i="7"/>
  <c r="F226" i="7"/>
  <c r="E226" i="7"/>
  <c r="D226" i="7"/>
  <c r="C226" i="7"/>
  <c r="B226" i="7"/>
  <c r="N225" i="7"/>
  <c r="M225" i="7"/>
  <c r="L225" i="7"/>
  <c r="K225" i="7"/>
  <c r="J225" i="7"/>
  <c r="I225" i="7"/>
  <c r="H225" i="7"/>
  <c r="G225" i="7"/>
  <c r="F225" i="7"/>
  <c r="E225" i="7"/>
  <c r="D225" i="7"/>
  <c r="C225" i="7"/>
  <c r="B225" i="7"/>
  <c r="N224" i="7"/>
  <c r="M224" i="7"/>
  <c r="L224" i="7"/>
  <c r="K224" i="7"/>
  <c r="J224" i="7"/>
  <c r="I224" i="7"/>
  <c r="H224" i="7"/>
  <c r="G224" i="7"/>
  <c r="F224" i="7"/>
  <c r="E224" i="7"/>
  <c r="D224" i="7"/>
  <c r="C224" i="7"/>
  <c r="B224" i="7"/>
  <c r="N223" i="7"/>
  <c r="M223" i="7"/>
  <c r="L223" i="7"/>
  <c r="K223" i="7"/>
  <c r="J223" i="7"/>
  <c r="I223" i="7"/>
  <c r="H223" i="7"/>
  <c r="G223" i="7"/>
  <c r="F223" i="7"/>
  <c r="E223" i="7"/>
  <c r="D223" i="7"/>
  <c r="C223" i="7"/>
  <c r="B223" i="7"/>
  <c r="N222" i="7"/>
  <c r="M222" i="7"/>
  <c r="L222" i="7"/>
  <c r="K222" i="7"/>
  <c r="J222" i="7"/>
  <c r="I222" i="7"/>
  <c r="H222" i="7"/>
  <c r="G222" i="7"/>
  <c r="F222" i="7"/>
  <c r="E222" i="7"/>
  <c r="D222" i="7"/>
  <c r="C222" i="7"/>
  <c r="B222" i="7"/>
  <c r="N221" i="7"/>
  <c r="M221" i="7"/>
  <c r="L221" i="7"/>
  <c r="K221" i="7"/>
  <c r="J221" i="7"/>
  <c r="I221" i="7"/>
  <c r="H221" i="7"/>
  <c r="G221" i="7"/>
  <c r="F221" i="7"/>
  <c r="E221" i="7"/>
  <c r="D221" i="7"/>
  <c r="C221" i="7"/>
  <c r="B221" i="7"/>
  <c r="N220" i="7"/>
  <c r="M220" i="7"/>
  <c r="L220" i="7"/>
  <c r="K220" i="7"/>
  <c r="J220" i="7"/>
  <c r="I220" i="7"/>
  <c r="H220" i="7"/>
  <c r="G220" i="7"/>
  <c r="F220" i="7"/>
  <c r="E220" i="7"/>
  <c r="D220" i="7"/>
  <c r="C220" i="7"/>
  <c r="B220" i="7"/>
  <c r="N219" i="7"/>
  <c r="M219" i="7"/>
  <c r="L219" i="7"/>
  <c r="K219" i="7"/>
  <c r="J219" i="7"/>
  <c r="I219" i="7"/>
  <c r="H219" i="7"/>
  <c r="G219" i="7"/>
  <c r="F219" i="7"/>
  <c r="E219" i="7"/>
  <c r="D219" i="7"/>
  <c r="C219" i="7"/>
  <c r="B219" i="7"/>
  <c r="N218" i="7"/>
  <c r="M218" i="7"/>
  <c r="L218" i="7"/>
  <c r="K218" i="7"/>
  <c r="J218" i="7"/>
  <c r="I218" i="7"/>
  <c r="H218" i="7"/>
  <c r="G218" i="7"/>
  <c r="F218" i="7"/>
  <c r="E218" i="7"/>
  <c r="D218" i="7"/>
  <c r="C218" i="7"/>
  <c r="B218" i="7"/>
  <c r="N217" i="7"/>
  <c r="M217" i="7"/>
  <c r="L217" i="7"/>
  <c r="K217" i="7"/>
  <c r="J217" i="7"/>
  <c r="I217" i="7"/>
  <c r="H217" i="7"/>
  <c r="G217" i="7"/>
  <c r="F217" i="7"/>
  <c r="E217" i="7"/>
  <c r="D217" i="7"/>
  <c r="C217" i="7"/>
  <c r="B217" i="7"/>
  <c r="N216" i="7"/>
  <c r="M216" i="7"/>
  <c r="L216" i="7"/>
  <c r="K216" i="7"/>
  <c r="J216" i="7"/>
  <c r="I216" i="7"/>
  <c r="H216" i="7"/>
  <c r="G216" i="7"/>
  <c r="F216" i="7"/>
  <c r="E216" i="7"/>
  <c r="D216" i="7"/>
  <c r="C216" i="7"/>
  <c r="B216" i="7"/>
  <c r="N215" i="7"/>
  <c r="M215" i="7"/>
  <c r="L215" i="7"/>
  <c r="K215" i="7"/>
  <c r="J215" i="7"/>
  <c r="I215" i="7"/>
  <c r="H215" i="7"/>
  <c r="G215" i="7"/>
  <c r="F215" i="7"/>
  <c r="E215" i="7"/>
  <c r="D215" i="7"/>
  <c r="C215" i="7"/>
  <c r="B215" i="7"/>
  <c r="N214" i="7"/>
  <c r="M214" i="7"/>
  <c r="L214" i="7"/>
  <c r="K214" i="7"/>
  <c r="J214" i="7"/>
  <c r="I214" i="7"/>
  <c r="H214" i="7"/>
  <c r="G214" i="7"/>
  <c r="F214" i="7"/>
  <c r="E214" i="7"/>
  <c r="D214" i="7"/>
  <c r="C214" i="7"/>
  <c r="B214" i="7"/>
  <c r="N213" i="7"/>
  <c r="M213" i="7"/>
  <c r="L213" i="7"/>
  <c r="K213" i="7"/>
  <c r="J213" i="7"/>
  <c r="I213" i="7"/>
  <c r="H213" i="7"/>
  <c r="G213" i="7"/>
  <c r="F213" i="7"/>
  <c r="E213" i="7"/>
  <c r="D213" i="7"/>
  <c r="C213" i="7"/>
  <c r="B213" i="7"/>
  <c r="N212" i="7"/>
  <c r="M212" i="7"/>
  <c r="L212" i="7"/>
  <c r="K212" i="7"/>
  <c r="J212" i="7"/>
  <c r="I212" i="7"/>
  <c r="H212" i="7"/>
  <c r="G212" i="7"/>
  <c r="F212" i="7"/>
  <c r="E212" i="7"/>
  <c r="D212" i="7"/>
  <c r="C212" i="7"/>
  <c r="B212" i="7"/>
  <c r="N211" i="7"/>
  <c r="M211" i="7"/>
  <c r="L211" i="7"/>
  <c r="K211" i="7"/>
  <c r="J211" i="7"/>
  <c r="I211" i="7"/>
  <c r="H211" i="7"/>
  <c r="G211" i="7"/>
  <c r="F211" i="7"/>
  <c r="E211" i="7"/>
  <c r="D211" i="7"/>
  <c r="C211" i="7"/>
  <c r="B211" i="7"/>
  <c r="N210" i="7"/>
  <c r="M210" i="7"/>
  <c r="L210" i="7"/>
  <c r="K210" i="7"/>
  <c r="J210" i="7"/>
  <c r="I210" i="7"/>
  <c r="H210" i="7"/>
  <c r="G210" i="7"/>
  <c r="F210" i="7"/>
  <c r="E210" i="7"/>
  <c r="D210" i="7"/>
  <c r="C210" i="7"/>
  <c r="B210" i="7"/>
  <c r="N209" i="7"/>
  <c r="M209" i="7"/>
  <c r="L209" i="7"/>
  <c r="K209" i="7"/>
  <c r="J209" i="7"/>
  <c r="I209" i="7"/>
  <c r="H209" i="7"/>
  <c r="G209" i="7"/>
  <c r="F209" i="7"/>
  <c r="E209" i="7"/>
  <c r="D209" i="7"/>
  <c r="C209" i="7"/>
  <c r="B209" i="7"/>
  <c r="N208" i="7"/>
  <c r="M208" i="7"/>
  <c r="L208" i="7"/>
  <c r="K208" i="7"/>
  <c r="J208" i="7"/>
  <c r="I208" i="7"/>
  <c r="H208" i="7"/>
  <c r="G208" i="7"/>
  <c r="F208" i="7"/>
  <c r="E208" i="7"/>
  <c r="D208" i="7"/>
  <c r="C208" i="7"/>
  <c r="B208" i="7"/>
  <c r="N207" i="7"/>
  <c r="M207" i="7"/>
  <c r="L207" i="7"/>
  <c r="K207" i="7"/>
  <c r="J207" i="7"/>
  <c r="I207" i="7"/>
  <c r="H207" i="7"/>
  <c r="G207" i="7"/>
  <c r="F207" i="7"/>
  <c r="E207" i="7"/>
  <c r="D207" i="7"/>
  <c r="C207" i="7"/>
  <c r="B207" i="7"/>
  <c r="N206" i="7"/>
  <c r="M206" i="7"/>
  <c r="L206" i="7"/>
  <c r="K206" i="7"/>
  <c r="J206" i="7"/>
  <c r="I206" i="7"/>
  <c r="H206" i="7"/>
  <c r="G206" i="7"/>
  <c r="F206" i="7"/>
  <c r="E206" i="7"/>
  <c r="D206" i="7"/>
  <c r="C206" i="7"/>
  <c r="B206" i="7"/>
  <c r="N205" i="7"/>
  <c r="M205" i="7"/>
  <c r="L205" i="7"/>
  <c r="K205" i="7"/>
  <c r="J205" i="7"/>
  <c r="I205" i="7"/>
  <c r="H205" i="7"/>
  <c r="G205" i="7"/>
  <c r="F205" i="7"/>
  <c r="E205" i="7"/>
  <c r="D205" i="7"/>
  <c r="C205" i="7"/>
  <c r="B205" i="7"/>
  <c r="N204" i="7"/>
  <c r="M204" i="7"/>
  <c r="L204" i="7"/>
  <c r="K204" i="7"/>
  <c r="J204" i="7"/>
  <c r="I204" i="7"/>
  <c r="H204" i="7"/>
  <c r="G204" i="7"/>
  <c r="F204" i="7"/>
  <c r="E204" i="7"/>
  <c r="D204" i="7"/>
  <c r="C204" i="7"/>
  <c r="B204" i="7"/>
  <c r="N203" i="7"/>
  <c r="M203" i="7"/>
  <c r="L203" i="7"/>
  <c r="K203" i="7"/>
  <c r="J203" i="7"/>
  <c r="I203" i="7"/>
  <c r="H203" i="7"/>
  <c r="G203" i="7"/>
  <c r="F203" i="7"/>
  <c r="E203" i="7"/>
  <c r="D203" i="7"/>
  <c r="C203" i="7"/>
  <c r="B203" i="7"/>
  <c r="N202" i="7"/>
  <c r="M202" i="7"/>
  <c r="L202" i="7"/>
  <c r="K202" i="7"/>
  <c r="J202" i="7"/>
  <c r="I202" i="7"/>
  <c r="H202" i="7"/>
  <c r="G202" i="7"/>
  <c r="F202" i="7"/>
  <c r="E202" i="7"/>
  <c r="D202" i="7"/>
  <c r="C202" i="7"/>
  <c r="B202" i="7"/>
  <c r="N201" i="7"/>
  <c r="M201" i="7"/>
  <c r="L201" i="7"/>
  <c r="K201" i="7"/>
  <c r="J201" i="7"/>
  <c r="I201" i="7"/>
  <c r="H201" i="7"/>
  <c r="G201" i="7"/>
  <c r="F201" i="7"/>
  <c r="E201" i="7"/>
  <c r="D201" i="7"/>
  <c r="C201" i="7"/>
  <c r="B201" i="7"/>
  <c r="N200" i="7"/>
  <c r="M200" i="7"/>
  <c r="L200" i="7"/>
  <c r="K200" i="7"/>
  <c r="J200" i="7"/>
  <c r="I200" i="7"/>
  <c r="H200" i="7"/>
  <c r="G200" i="7"/>
  <c r="F200" i="7"/>
  <c r="E200" i="7"/>
  <c r="D200" i="7"/>
  <c r="C200" i="7"/>
  <c r="B200" i="7"/>
  <c r="N199" i="7"/>
  <c r="M199" i="7"/>
  <c r="L199" i="7"/>
  <c r="K199" i="7"/>
  <c r="J199" i="7"/>
  <c r="I199" i="7"/>
  <c r="H199" i="7"/>
  <c r="G199" i="7"/>
  <c r="F199" i="7"/>
  <c r="E199" i="7"/>
  <c r="D199" i="7"/>
  <c r="C199" i="7"/>
  <c r="B199" i="7"/>
  <c r="N198" i="7"/>
  <c r="M198" i="7"/>
  <c r="L198" i="7"/>
  <c r="K198" i="7"/>
  <c r="J198" i="7"/>
  <c r="I198" i="7"/>
  <c r="H198" i="7"/>
  <c r="G198" i="7"/>
  <c r="F198" i="7"/>
  <c r="E198" i="7"/>
  <c r="D198" i="7"/>
  <c r="C198" i="7"/>
  <c r="B198" i="7"/>
  <c r="N197" i="7"/>
  <c r="M197" i="7"/>
  <c r="L197" i="7"/>
  <c r="K197" i="7"/>
  <c r="J197" i="7"/>
  <c r="I197" i="7"/>
  <c r="H197" i="7"/>
  <c r="G197" i="7"/>
  <c r="F197" i="7"/>
  <c r="E197" i="7"/>
  <c r="D197" i="7"/>
  <c r="C197" i="7"/>
  <c r="B197" i="7"/>
  <c r="N196" i="7"/>
  <c r="M196" i="7"/>
  <c r="L196" i="7"/>
  <c r="K196" i="7"/>
  <c r="J196" i="7"/>
  <c r="I196" i="7"/>
  <c r="H196" i="7"/>
  <c r="G196" i="7"/>
  <c r="F196" i="7"/>
  <c r="E196" i="7"/>
  <c r="D196" i="7"/>
  <c r="C196" i="7"/>
  <c r="B196" i="7"/>
  <c r="N195" i="7"/>
  <c r="M195" i="7"/>
  <c r="L195" i="7"/>
  <c r="K195" i="7"/>
  <c r="J195" i="7"/>
  <c r="I195" i="7"/>
  <c r="H195" i="7"/>
  <c r="G195" i="7"/>
  <c r="F195" i="7"/>
  <c r="E195" i="7"/>
  <c r="D195" i="7"/>
  <c r="C195" i="7"/>
  <c r="B195" i="7"/>
  <c r="N194" i="7"/>
  <c r="M194" i="7"/>
  <c r="L194" i="7"/>
  <c r="K194" i="7"/>
  <c r="J194" i="7"/>
  <c r="I194" i="7"/>
  <c r="H194" i="7"/>
  <c r="G194" i="7"/>
  <c r="F194" i="7"/>
  <c r="E194" i="7"/>
  <c r="D194" i="7"/>
  <c r="C194" i="7"/>
  <c r="B194" i="7"/>
  <c r="N193" i="7"/>
  <c r="M193" i="7"/>
  <c r="L193" i="7"/>
  <c r="K193" i="7"/>
  <c r="J193" i="7"/>
  <c r="I193" i="7"/>
  <c r="H193" i="7"/>
  <c r="G193" i="7"/>
  <c r="F193" i="7"/>
  <c r="E193" i="7"/>
  <c r="D193" i="7"/>
  <c r="C193" i="7"/>
  <c r="B193" i="7"/>
  <c r="N192" i="7"/>
  <c r="M192" i="7"/>
  <c r="L192" i="7"/>
  <c r="K192" i="7"/>
  <c r="J192" i="7"/>
  <c r="I192" i="7"/>
  <c r="H192" i="7"/>
  <c r="G192" i="7"/>
  <c r="F192" i="7"/>
  <c r="E192" i="7"/>
  <c r="D192" i="7"/>
  <c r="C192" i="7"/>
  <c r="B192" i="7"/>
  <c r="N191" i="7"/>
  <c r="M191" i="7"/>
  <c r="L191" i="7"/>
  <c r="K191" i="7"/>
  <c r="J191" i="7"/>
  <c r="I191" i="7"/>
  <c r="H191" i="7"/>
  <c r="G191" i="7"/>
  <c r="F191" i="7"/>
  <c r="E191" i="7"/>
  <c r="D191" i="7"/>
  <c r="C191" i="7"/>
  <c r="B191" i="7"/>
  <c r="N190" i="7"/>
  <c r="M190" i="7"/>
  <c r="L190" i="7"/>
  <c r="K190" i="7"/>
  <c r="J190" i="7"/>
  <c r="I190" i="7"/>
  <c r="H190" i="7"/>
  <c r="G190" i="7"/>
  <c r="F190" i="7"/>
  <c r="E190" i="7"/>
  <c r="D190" i="7"/>
  <c r="C190" i="7"/>
  <c r="B190" i="7"/>
  <c r="N189" i="7"/>
  <c r="M189" i="7"/>
  <c r="L189" i="7"/>
  <c r="K189" i="7"/>
  <c r="J189" i="7"/>
  <c r="I189" i="7"/>
  <c r="H189" i="7"/>
  <c r="G189" i="7"/>
  <c r="F189" i="7"/>
  <c r="E189" i="7"/>
  <c r="D189" i="7"/>
  <c r="C189" i="7"/>
  <c r="B189" i="7"/>
  <c r="N188" i="7"/>
  <c r="M188" i="7"/>
  <c r="L188" i="7"/>
  <c r="K188" i="7"/>
  <c r="J188" i="7"/>
  <c r="I188" i="7"/>
  <c r="H188" i="7"/>
  <c r="G188" i="7"/>
  <c r="F188" i="7"/>
  <c r="E188" i="7"/>
  <c r="D188" i="7"/>
  <c r="C188" i="7"/>
  <c r="B188" i="7"/>
  <c r="N187" i="7"/>
  <c r="M187" i="7"/>
  <c r="L187" i="7"/>
  <c r="K187" i="7"/>
  <c r="J187" i="7"/>
  <c r="I187" i="7"/>
  <c r="H187" i="7"/>
  <c r="G187" i="7"/>
  <c r="F187" i="7"/>
  <c r="E187" i="7"/>
  <c r="D187" i="7"/>
  <c r="C187" i="7"/>
  <c r="B187" i="7"/>
  <c r="N186" i="7"/>
  <c r="M186" i="7"/>
  <c r="L186" i="7"/>
  <c r="K186" i="7"/>
  <c r="J186" i="7"/>
  <c r="I186" i="7"/>
  <c r="H186" i="7"/>
  <c r="G186" i="7"/>
  <c r="F186" i="7"/>
  <c r="E186" i="7"/>
  <c r="D186" i="7"/>
  <c r="C186" i="7"/>
  <c r="B186" i="7"/>
  <c r="N185" i="7"/>
  <c r="M185" i="7"/>
  <c r="L185" i="7"/>
  <c r="K185" i="7"/>
  <c r="J185" i="7"/>
  <c r="I185" i="7"/>
  <c r="H185" i="7"/>
  <c r="G185" i="7"/>
  <c r="F185" i="7"/>
  <c r="E185" i="7"/>
  <c r="D185" i="7"/>
  <c r="C185" i="7"/>
  <c r="B185" i="7"/>
  <c r="N184" i="7"/>
  <c r="M184" i="7"/>
  <c r="L184" i="7"/>
  <c r="K184" i="7"/>
  <c r="J184" i="7"/>
  <c r="I184" i="7"/>
  <c r="H184" i="7"/>
  <c r="G184" i="7"/>
  <c r="F184" i="7"/>
  <c r="E184" i="7"/>
  <c r="D184" i="7"/>
  <c r="C184" i="7"/>
  <c r="B184" i="7"/>
  <c r="N183" i="7"/>
  <c r="M183" i="7"/>
  <c r="L183" i="7"/>
  <c r="K183" i="7"/>
  <c r="J183" i="7"/>
  <c r="I183" i="7"/>
  <c r="H183" i="7"/>
  <c r="G183" i="7"/>
  <c r="F183" i="7"/>
  <c r="E183" i="7"/>
  <c r="D183" i="7"/>
  <c r="C183" i="7"/>
  <c r="B183" i="7"/>
  <c r="N182" i="7"/>
  <c r="M182" i="7"/>
  <c r="L182" i="7"/>
  <c r="K182" i="7"/>
  <c r="J182" i="7"/>
  <c r="I182" i="7"/>
  <c r="H182" i="7"/>
  <c r="G182" i="7"/>
  <c r="F182" i="7"/>
  <c r="E182" i="7"/>
  <c r="D182" i="7"/>
  <c r="C182" i="7"/>
  <c r="B182" i="7"/>
  <c r="N181" i="7"/>
  <c r="M181" i="7"/>
  <c r="L181" i="7"/>
  <c r="K181" i="7"/>
  <c r="J181" i="7"/>
  <c r="I181" i="7"/>
  <c r="H181" i="7"/>
  <c r="G181" i="7"/>
  <c r="F181" i="7"/>
  <c r="E181" i="7"/>
  <c r="D181" i="7"/>
  <c r="C181" i="7"/>
  <c r="B181" i="7"/>
  <c r="N180" i="7"/>
  <c r="M180" i="7"/>
  <c r="L180" i="7"/>
  <c r="K180" i="7"/>
  <c r="J180" i="7"/>
  <c r="I180" i="7"/>
  <c r="H180" i="7"/>
  <c r="G180" i="7"/>
  <c r="F180" i="7"/>
  <c r="E180" i="7"/>
  <c r="D180" i="7"/>
  <c r="C180" i="7"/>
  <c r="B180" i="7"/>
  <c r="N179" i="7"/>
  <c r="M179" i="7"/>
  <c r="L179" i="7"/>
  <c r="K179" i="7"/>
  <c r="J179" i="7"/>
  <c r="I179" i="7"/>
  <c r="H179" i="7"/>
  <c r="G179" i="7"/>
  <c r="F179" i="7"/>
  <c r="E179" i="7"/>
  <c r="D179" i="7"/>
  <c r="C179" i="7"/>
  <c r="B179" i="7"/>
  <c r="N178" i="7"/>
  <c r="M178" i="7"/>
  <c r="L178" i="7"/>
  <c r="K178" i="7"/>
  <c r="J178" i="7"/>
  <c r="I178" i="7"/>
  <c r="H178" i="7"/>
  <c r="G178" i="7"/>
  <c r="F178" i="7"/>
  <c r="E178" i="7"/>
  <c r="D178" i="7"/>
  <c r="C178" i="7"/>
  <c r="B178" i="7"/>
  <c r="N177" i="7"/>
  <c r="M177" i="7"/>
  <c r="L177" i="7"/>
  <c r="K177" i="7"/>
  <c r="J177" i="7"/>
  <c r="I177" i="7"/>
  <c r="H177" i="7"/>
  <c r="G177" i="7"/>
  <c r="F177" i="7"/>
  <c r="E177" i="7"/>
  <c r="D177" i="7"/>
  <c r="C177" i="7"/>
  <c r="B177" i="7"/>
  <c r="N176" i="7"/>
  <c r="M176" i="7"/>
  <c r="L176" i="7"/>
  <c r="K176" i="7"/>
  <c r="J176" i="7"/>
  <c r="I176" i="7"/>
  <c r="H176" i="7"/>
  <c r="G176" i="7"/>
  <c r="F176" i="7"/>
  <c r="E176" i="7"/>
  <c r="D176" i="7"/>
  <c r="C176" i="7"/>
  <c r="B176" i="7"/>
  <c r="N175" i="7"/>
  <c r="M175" i="7"/>
  <c r="L175" i="7"/>
  <c r="K175" i="7"/>
  <c r="J175" i="7"/>
  <c r="I175" i="7"/>
  <c r="H175" i="7"/>
  <c r="G175" i="7"/>
  <c r="F175" i="7"/>
  <c r="E175" i="7"/>
  <c r="D175" i="7"/>
  <c r="C175" i="7"/>
  <c r="B175" i="7"/>
  <c r="N174" i="7"/>
  <c r="M174" i="7"/>
  <c r="L174" i="7"/>
  <c r="K174" i="7"/>
  <c r="J174" i="7"/>
  <c r="I174" i="7"/>
  <c r="H174" i="7"/>
  <c r="G174" i="7"/>
  <c r="F174" i="7"/>
  <c r="E174" i="7"/>
  <c r="D174" i="7"/>
  <c r="C174" i="7"/>
  <c r="B174" i="7"/>
  <c r="N173" i="7"/>
  <c r="M173" i="7"/>
  <c r="L173" i="7"/>
  <c r="K173" i="7"/>
  <c r="J173" i="7"/>
  <c r="I173" i="7"/>
  <c r="H173" i="7"/>
  <c r="G173" i="7"/>
  <c r="F173" i="7"/>
  <c r="E173" i="7"/>
  <c r="D173" i="7"/>
  <c r="C173" i="7"/>
  <c r="B173" i="7"/>
  <c r="N172" i="7"/>
  <c r="M172" i="7"/>
  <c r="L172" i="7"/>
  <c r="K172" i="7"/>
  <c r="J172" i="7"/>
  <c r="I172" i="7"/>
  <c r="H172" i="7"/>
  <c r="G172" i="7"/>
  <c r="F172" i="7"/>
  <c r="E172" i="7"/>
  <c r="D172" i="7"/>
  <c r="C172" i="7"/>
  <c r="B172" i="7"/>
  <c r="N171" i="7"/>
  <c r="M171" i="7"/>
  <c r="L171" i="7"/>
  <c r="K171" i="7"/>
  <c r="J171" i="7"/>
  <c r="I171" i="7"/>
  <c r="H171" i="7"/>
  <c r="G171" i="7"/>
  <c r="F171" i="7"/>
  <c r="E171" i="7"/>
  <c r="D171" i="7"/>
  <c r="C171" i="7"/>
  <c r="B171" i="7"/>
  <c r="N170" i="7"/>
  <c r="M170" i="7"/>
  <c r="L170" i="7"/>
  <c r="K170" i="7"/>
  <c r="J170" i="7"/>
  <c r="I170" i="7"/>
  <c r="H170" i="7"/>
  <c r="G170" i="7"/>
  <c r="F170" i="7"/>
  <c r="E170" i="7"/>
  <c r="D170" i="7"/>
  <c r="C170" i="7"/>
  <c r="B170" i="7"/>
  <c r="N169" i="7"/>
  <c r="M169" i="7"/>
  <c r="L169" i="7"/>
  <c r="K169" i="7"/>
  <c r="J169" i="7"/>
  <c r="I169" i="7"/>
  <c r="H169" i="7"/>
  <c r="G169" i="7"/>
  <c r="F169" i="7"/>
  <c r="E169" i="7"/>
  <c r="D169" i="7"/>
  <c r="C169" i="7"/>
  <c r="B169" i="7"/>
  <c r="N168" i="7"/>
  <c r="M168" i="7"/>
  <c r="L168" i="7"/>
  <c r="K168" i="7"/>
  <c r="J168" i="7"/>
  <c r="I168" i="7"/>
  <c r="H168" i="7"/>
  <c r="G168" i="7"/>
  <c r="F168" i="7"/>
  <c r="E168" i="7"/>
  <c r="D168" i="7"/>
  <c r="C168" i="7"/>
  <c r="B168" i="7"/>
  <c r="N167" i="7"/>
  <c r="M167" i="7"/>
  <c r="L167" i="7"/>
  <c r="K167" i="7"/>
  <c r="J167" i="7"/>
  <c r="I167" i="7"/>
  <c r="H167" i="7"/>
  <c r="G167" i="7"/>
  <c r="F167" i="7"/>
  <c r="E167" i="7"/>
  <c r="D167" i="7"/>
  <c r="C167" i="7"/>
  <c r="B167" i="7"/>
  <c r="N166" i="7"/>
  <c r="M166" i="7"/>
  <c r="L166" i="7"/>
  <c r="K166" i="7"/>
  <c r="J166" i="7"/>
  <c r="I166" i="7"/>
  <c r="H166" i="7"/>
  <c r="G166" i="7"/>
  <c r="F166" i="7"/>
  <c r="E166" i="7"/>
  <c r="D166" i="7"/>
  <c r="C166" i="7"/>
  <c r="B166" i="7"/>
  <c r="N165" i="7"/>
  <c r="M165" i="7"/>
  <c r="L165" i="7"/>
  <c r="K165" i="7"/>
  <c r="J165" i="7"/>
  <c r="I165" i="7"/>
  <c r="H165" i="7"/>
  <c r="G165" i="7"/>
  <c r="F165" i="7"/>
  <c r="E165" i="7"/>
  <c r="D165" i="7"/>
  <c r="C165" i="7"/>
  <c r="B165" i="7"/>
  <c r="N164" i="7"/>
  <c r="M164" i="7"/>
  <c r="L164" i="7"/>
  <c r="K164" i="7"/>
  <c r="J164" i="7"/>
  <c r="I164" i="7"/>
  <c r="H164" i="7"/>
  <c r="G164" i="7"/>
  <c r="F164" i="7"/>
  <c r="E164" i="7"/>
  <c r="D164" i="7"/>
  <c r="C164" i="7"/>
  <c r="B164" i="7"/>
  <c r="N163" i="7"/>
  <c r="M163" i="7"/>
  <c r="L163" i="7"/>
  <c r="K163" i="7"/>
  <c r="J163" i="7"/>
  <c r="I163" i="7"/>
  <c r="H163" i="7"/>
  <c r="G163" i="7"/>
  <c r="F163" i="7"/>
  <c r="E163" i="7"/>
  <c r="D163" i="7"/>
  <c r="C163" i="7"/>
  <c r="B163" i="7"/>
  <c r="N162" i="7"/>
  <c r="M162" i="7"/>
  <c r="L162" i="7"/>
  <c r="K162" i="7"/>
  <c r="J162" i="7"/>
  <c r="I162" i="7"/>
  <c r="H162" i="7"/>
  <c r="G162" i="7"/>
  <c r="F162" i="7"/>
  <c r="E162" i="7"/>
  <c r="D162" i="7"/>
  <c r="C162" i="7"/>
  <c r="B162" i="7"/>
  <c r="N161" i="7"/>
  <c r="M161" i="7"/>
  <c r="L161" i="7"/>
  <c r="K161" i="7"/>
  <c r="J161" i="7"/>
  <c r="I161" i="7"/>
  <c r="H161" i="7"/>
  <c r="G161" i="7"/>
  <c r="F161" i="7"/>
  <c r="E161" i="7"/>
  <c r="D161" i="7"/>
  <c r="C161" i="7"/>
  <c r="B161" i="7"/>
  <c r="N160" i="7"/>
  <c r="M160" i="7"/>
  <c r="L160" i="7"/>
  <c r="K160" i="7"/>
  <c r="J160" i="7"/>
  <c r="I160" i="7"/>
  <c r="H160" i="7"/>
  <c r="G160" i="7"/>
  <c r="F160" i="7"/>
  <c r="E160" i="7"/>
  <c r="D160" i="7"/>
  <c r="C160" i="7"/>
  <c r="B160" i="7"/>
  <c r="N159" i="7"/>
  <c r="M159" i="7"/>
  <c r="L159" i="7"/>
  <c r="K159" i="7"/>
  <c r="J159" i="7"/>
  <c r="I159" i="7"/>
  <c r="H159" i="7"/>
  <c r="G159" i="7"/>
  <c r="F159" i="7"/>
  <c r="E159" i="7"/>
  <c r="D159" i="7"/>
  <c r="C159" i="7"/>
  <c r="B159" i="7"/>
  <c r="N158" i="7"/>
  <c r="M158" i="7"/>
  <c r="L158" i="7"/>
  <c r="K158" i="7"/>
  <c r="J158" i="7"/>
  <c r="I158" i="7"/>
  <c r="H158" i="7"/>
  <c r="G158" i="7"/>
  <c r="F158" i="7"/>
  <c r="E158" i="7"/>
  <c r="D158" i="7"/>
  <c r="C158" i="7"/>
  <c r="B158" i="7"/>
  <c r="N157" i="7"/>
  <c r="M157" i="7"/>
  <c r="L157" i="7"/>
  <c r="K157" i="7"/>
  <c r="J157" i="7"/>
  <c r="I157" i="7"/>
  <c r="H157" i="7"/>
  <c r="G157" i="7"/>
  <c r="F157" i="7"/>
  <c r="E157" i="7"/>
  <c r="D157" i="7"/>
  <c r="C157" i="7"/>
  <c r="B157" i="7"/>
  <c r="N156" i="7"/>
  <c r="M156" i="7"/>
  <c r="L156" i="7"/>
  <c r="K156" i="7"/>
  <c r="J156" i="7"/>
  <c r="I156" i="7"/>
  <c r="H156" i="7"/>
  <c r="G156" i="7"/>
  <c r="F156" i="7"/>
  <c r="E156" i="7"/>
  <c r="D156" i="7"/>
  <c r="C156" i="7"/>
  <c r="B156" i="7"/>
  <c r="N155" i="7"/>
  <c r="M155" i="7"/>
  <c r="L155" i="7"/>
  <c r="K155" i="7"/>
  <c r="J155" i="7"/>
  <c r="I155" i="7"/>
  <c r="H155" i="7"/>
  <c r="G155" i="7"/>
  <c r="F155" i="7"/>
  <c r="E155" i="7"/>
  <c r="D155" i="7"/>
  <c r="C155" i="7"/>
  <c r="B155" i="7"/>
  <c r="N154" i="7"/>
  <c r="M154" i="7"/>
  <c r="L154" i="7"/>
  <c r="K154" i="7"/>
  <c r="J154" i="7"/>
  <c r="I154" i="7"/>
  <c r="H154" i="7"/>
  <c r="G154" i="7"/>
  <c r="F154" i="7"/>
  <c r="E154" i="7"/>
  <c r="D154" i="7"/>
  <c r="C154" i="7"/>
  <c r="B154" i="7"/>
  <c r="N153" i="7"/>
  <c r="M153" i="7"/>
  <c r="L153" i="7"/>
  <c r="K153" i="7"/>
  <c r="J153" i="7"/>
  <c r="I153" i="7"/>
  <c r="H153" i="7"/>
  <c r="G153" i="7"/>
  <c r="F153" i="7"/>
  <c r="E153" i="7"/>
  <c r="D153" i="7"/>
  <c r="C153" i="7"/>
  <c r="B153" i="7"/>
  <c r="N152" i="7"/>
  <c r="M152" i="7"/>
  <c r="L152" i="7"/>
  <c r="K152" i="7"/>
  <c r="J152" i="7"/>
  <c r="I152" i="7"/>
  <c r="H152" i="7"/>
  <c r="G152" i="7"/>
  <c r="F152" i="7"/>
  <c r="E152" i="7"/>
  <c r="D152" i="7"/>
  <c r="C152" i="7"/>
  <c r="B152" i="7"/>
  <c r="N151" i="7"/>
  <c r="M151" i="7"/>
  <c r="L151" i="7"/>
  <c r="K151" i="7"/>
  <c r="J151" i="7"/>
  <c r="I151" i="7"/>
  <c r="H151" i="7"/>
  <c r="G151" i="7"/>
  <c r="F151" i="7"/>
  <c r="E151" i="7"/>
  <c r="D151" i="7"/>
  <c r="C151" i="7"/>
  <c r="B151" i="7"/>
  <c r="N150" i="7"/>
  <c r="M150" i="7"/>
  <c r="L150" i="7"/>
  <c r="K150" i="7"/>
  <c r="J150" i="7"/>
  <c r="I150" i="7"/>
  <c r="H150" i="7"/>
  <c r="G150" i="7"/>
  <c r="F150" i="7"/>
  <c r="E150" i="7"/>
  <c r="D150" i="7"/>
  <c r="C150" i="7"/>
  <c r="B150" i="7"/>
  <c r="N149" i="7"/>
  <c r="M149" i="7"/>
  <c r="L149" i="7"/>
  <c r="K149" i="7"/>
  <c r="J149" i="7"/>
  <c r="I149" i="7"/>
  <c r="H149" i="7"/>
  <c r="G149" i="7"/>
  <c r="F149" i="7"/>
  <c r="E149" i="7"/>
  <c r="D149" i="7"/>
  <c r="C149" i="7"/>
  <c r="B149" i="7"/>
  <c r="N148" i="7"/>
  <c r="M148" i="7"/>
  <c r="L148" i="7"/>
  <c r="K148" i="7"/>
  <c r="J148" i="7"/>
  <c r="I148" i="7"/>
  <c r="H148" i="7"/>
  <c r="G148" i="7"/>
  <c r="F148" i="7"/>
  <c r="E148" i="7"/>
  <c r="D148" i="7"/>
  <c r="C148" i="7"/>
  <c r="B148" i="7"/>
  <c r="N147" i="7"/>
  <c r="M147" i="7"/>
  <c r="L147" i="7"/>
  <c r="K147" i="7"/>
  <c r="J147" i="7"/>
  <c r="I147" i="7"/>
  <c r="H147" i="7"/>
  <c r="G147" i="7"/>
  <c r="F147" i="7"/>
  <c r="E147" i="7"/>
  <c r="D147" i="7"/>
  <c r="C147" i="7"/>
  <c r="B147" i="7"/>
  <c r="N146" i="7"/>
  <c r="M146" i="7"/>
  <c r="L146" i="7"/>
  <c r="K146" i="7"/>
  <c r="J146" i="7"/>
  <c r="I146" i="7"/>
  <c r="H146" i="7"/>
  <c r="G146" i="7"/>
  <c r="F146" i="7"/>
  <c r="E146" i="7"/>
  <c r="D146" i="7"/>
  <c r="C146" i="7"/>
  <c r="B146" i="7"/>
  <c r="N145" i="7"/>
  <c r="M145" i="7"/>
  <c r="L145" i="7"/>
  <c r="K145" i="7"/>
  <c r="J145" i="7"/>
  <c r="I145" i="7"/>
  <c r="H145" i="7"/>
  <c r="G145" i="7"/>
  <c r="F145" i="7"/>
  <c r="E145" i="7"/>
  <c r="D145" i="7"/>
  <c r="C145" i="7"/>
  <c r="B145" i="7"/>
  <c r="N144" i="7"/>
  <c r="M144" i="7"/>
  <c r="L144" i="7"/>
  <c r="K144" i="7"/>
  <c r="J144" i="7"/>
  <c r="I144" i="7"/>
  <c r="H144" i="7"/>
  <c r="G144" i="7"/>
  <c r="F144" i="7"/>
  <c r="E144" i="7"/>
  <c r="D144" i="7"/>
  <c r="C144" i="7"/>
  <c r="B144" i="7"/>
  <c r="N143" i="7"/>
  <c r="M143" i="7"/>
  <c r="L143" i="7"/>
  <c r="K143" i="7"/>
  <c r="J143" i="7"/>
  <c r="I143" i="7"/>
  <c r="H143" i="7"/>
  <c r="G143" i="7"/>
  <c r="F143" i="7"/>
  <c r="E143" i="7"/>
  <c r="D143" i="7"/>
  <c r="C143" i="7"/>
  <c r="B143" i="7"/>
  <c r="N142" i="7"/>
  <c r="M142" i="7"/>
  <c r="L142" i="7"/>
  <c r="K142" i="7"/>
  <c r="J142" i="7"/>
  <c r="I142" i="7"/>
  <c r="H142" i="7"/>
  <c r="G142" i="7"/>
  <c r="F142" i="7"/>
  <c r="E142" i="7"/>
  <c r="D142" i="7"/>
  <c r="C142" i="7"/>
  <c r="B142" i="7"/>
  <c r="N141" i="7"/>
  <c r="M141" i="7"/>
  <c r="L141" i="7"/>
  <c r="K141" i="7"/>
  <c r="J141" i="7"/>
  <c r="I141" i="7"/>
  <c r="H141" i="7"/>
  <c r="G141" i="7"/>
  <c r="F141" i="7"/>
  <c r="E141" i="7"/>
  <c r="D141" i="7"/>
  <c r="C141" i="7"/>
  <c r="B141" i="7"/>
  <c r="N140" i="7"/>
  <c r="M140" i="7"/>
  <c r="L140" i="7"/>
  <c r="K140" i="7"/>
  <c r="J140" i="7"/>
  <c r="I140" i="7"/>
  <c r="H140" i="7"/>
  <c r="G140" i="7"/>
  <c r="F140" i="7"/>
  <c r="E140" i="7"/>
  <c r="D140" i="7"/>
  <c r="C140" i="7"/>
  <c r="B140" i="7"/>
  <c r="N139" i="7"/>
  <c r="M139" i="7"/>
  <c r="L139" i="7"/>
  <c r="K139" i="7"/>
  <c r="J139" i="7"/>
  <c r="I139" i="7"/>
  <c r="H139" i="7"/>
  <c r="G139" i="7"/>
  <c r="F139" i="7"/>
  <c r="E139" i="7"/>
  <c r="D139" i="7"/>
  <c r="C139" i="7"/>
  <c r="B139" i="7"/>
  <c r="N138" i="7"/>
  <c r="M138" i="7"/>
  <c r="L138" i="7"/>
  <c r="K138" i="7"/>
  <c r="J138" i="7"/>
  <c r="I138" i="7"/>
  <c r="H138" i="7"/>
  <c r="G138" i="7"/>
  <c r="F138" i="7"/>
  <c r="E138" i="7"/>
  <c r="D138" i="7"/>
  <c r="C138" i="7"/>
  <c r="B138" i="7"/>
  <c r="N137" i="7"/>
  <c r="M137" i="7"/>
  <c r="L137" i="7"/>
  <c r="K137" i="7"/>
  <c r="J137" i="7"/>
  <c r="I137" i="7"/>
  <c r="H137" i="7"/>
  <c r="G137" i="7"/>
  <c r="F137" i="7"/>
  <c r="E137" i="7"/>
  <c r="D137" i="7"/>
  <c r="C137" i="7"/>
  <c r="B137" i="7"/>
  <c r="N136" i="7"/>
  <c r="M136" i="7"/>
  <c r="L136" i="7"/>
  <c r="K136" i="7"/>
  <c r="J136" i="7"/>
  <c r="I136" i="7"/>
  <c r="H136" i="7"/>
  <c r="G136" i="7"/>
  <c r="F136" i="7"/>
  <c r="E136" i="7"/>
  <c r="D136" i="7"/>
  <c r="C136" i="7"/>
  <c r="B136" i="7"/>
  <c r="N135" i="7"/>
  <c r="M135" i="7"/>
  <c r="L135" i="7"/>
  <c r="K135" i="7"/>
  <c r="J135" i="7"/>
  <c r="I135" i="7"/>
  <c r="H135" i="7"/>
  <c r="G135" i="7"/>
  <c r="F135" i="7"/>
  <c r="E135" i="7"/>
  <c r="D135" i="7"/>
  <c r="C135" i="7"/>
  <c r="B135" i="7"/>
  <c r="N134" i="7"/>
  <c r="M134" i="7"/>
  <c r="L134" i="7"/>
  <c r="K134" i="7"/>
  <c r="J134" i="7"/>
  <c r="I134" i="7"/>
  <c r="H134" i="7"/>
  <c r="G134" i="7"/>
  <c r="F134" i="7"/>
  <c r="E134" i="7"/>
  <c r="D134" i="7"/>
  <c r="C134" i="7"/>
  <c r="B134" i="7"/>
  <c r="N133" i="7"/>
  <c r="M133" i="7"/>
  <c r="L133" i="7"/>
  <c r="K133" i="7"/>
  <c r="J133" i="7"/>
  <c r="I133" i="7"/>
  <c r="H133" i="7"/>
  <c r="G133" i="7"/>
  <c r="F133" i="7"/>
  <c r="E133" i="7"/>
  <c r="D133" i="7"/>
  <c r="C133" i="7"/>
  <c r="B133" i="7"/>
  <c r="N132" i="7"/>
  <c r="M132" i="7"/>
  <c r="L132" i="7"/>
  <c r="K132" i="7"/>
  <c r="J132" i="7"/>
  <c r="I132" i="7"/>
  <c r="H132" i="7"/>
  <c r="G132" i="7"/>
  <c r="F132" i="7"/>
  <c r="E132" i="7"/>
  <c r="D132" i="7"/>
  <c r="C132" i="7"/>
  <c r="B132" i="7"/>
  <c r="N131" i="7"/>
  <c r="M131" i="7"/>
  <c r="L131" i="7"/>
  <c r="K131" i="7"/>
  <c r="J131" i="7"/>
  <c r="I131" i="7"/>
  <c r="H131" i="7"/>
  <c r="G131" i="7"/>
  <c r="F131" i="7"/>
  <c r="E131" i="7"/>
  <c r="D131" i="7"/>
  <c r="C131" i="7"/>
  <c r="B131" i="7"/>
  <c r="N130" i="7"/>
  <c r="M130" i="7"/>
  <c r="L130" i="7"/>
  <c r="K130" i="7"/>
  <c r="J130" i="7"/>
  <c r="I130" i="7"/>
  <c r="H130" i="7"/>
  <c r="G130" i="7"/>
  <c r="F130" i="7"/>
  <c r="E130" i="7"/>
  <c r="D130" i="7"/>
  <c r="C130" i="7"/>
  <c r="B130" i="7"/>
  <c r="N129" i="7"/>
  <c r="M129" i="7"/>
  <c r="L129" i="7"/>
  <c r="K129" i="7"/>
  <c r="J129" i="7"/>
  <c r="I129" i="7"/>
  <c r="H129" i="7"/>
  <c r="G129" i="7"/>
  <c r="F129" i="7"/>
  <c r="E129" i="7"/>
  <c r="D129" i="7"/>
  <c r="C129" i="7"/>
  <c r="B129" i="7"/>
  <c r="N128" i="7"/>
  <c r="M128" i="7"/>
  <c r="L128" i="7"/>
  <c r="K128" i="7"/>
  <c r="J128" i="7"/>
  <c r="I128" i="7"/>
  <c r="H128" i="7"/>
  <c r="G128" i="7"/>
  <c r="F128" i="7"/>
  <c r="E128" i="7"/>
  <c r="D128" i="7"/>
  <c r="C128" i="7"/>
  <c r="B128" i="7"/>
  <c r="N127" i="7"/>
  <c r="M127" i="7"/>
  <c r="L127" i="7"/>
  <c r="K127" i="7"/>
  <c r="J127" i="7"/>
  <c r="I127" i="7"/>
  <c r="H127" i="7"/>
  <c r="G127" i="7"/>
  <c r="F127" i="7"/>
  <c r="E127" i="7"/>
  <c r="D127" i="7"/>
  <c r="C127" i="7"/>
  <c r="B127" i="7"/>
  <c r="N126" i="7"/>
  <c r="M126" i="7"/>
  <c r="L126" i="7"/>
  <c r="K126" i="7"/>
  <c r="J126" i="7"/>
  <c r="I126" i="7"/>
  <c r="H126" i="7"/>
  <c r="G126" i="7"/>
  <c r="F126" i="7"/>
  <c r="E126" i="7"/>
  <c r="D126" i="7"/>
  <c r="C126" i="7"/>
  <c r="B126" i="7"/>
  <c r="N125" i="7"/>
  <c r="M125" i="7"/>
  <c r="L125" i="7"/>
  <c r="K125" i="7"/>
  <c r="J125" i="7"/>
  <c r="I125" i="7"/>
  <c r="H125" i="7"/>
  <c r="G125" i="7"/>
  <c r="F125" i="7"/>
  <c r="E125" i="7"/>
  <c r="D125" i="7"/>
  <c r="C125" i="7"/>
  <c r="B125" i="7"/>
  <c r="N124" i="7"/>
  <c r="M124" i="7"/>
  <c r="L124" i="7"/>
  <c r="K124" i="7"/>
  <c r="J124" i="7"/>
  <c r="I124" i="7"/>
  <c r="H124" i="7"/>
  <c r="G124" i="7"/>
  <c r="F124" i="7"/>
  <c r="E124" i="7"/>
  <c r="D124" i="7"/>
  <c r="C124" i="7"/>
  <c r="B124" i="7"/>
  <c r="N123" i="7"/>
  <c r="M123" i="7"/>
  <c r="L123" i="7"/>
  <c r="K123" i="7"/>
  <c r="J123" i="7"/>
  <c r="I123" i="7"/>
  <c r="H123" i="7"/>
  <c r="G123" i="7"/>
  <c r="F123" i="7"/>
  <c r="E123" i="7"/>
  <c r="D123" i="7"/>
  <c r="C123" i="7"/>
  <c r="B123" i="7"/>
  <c r="N122" i="7"/>
  <c r="M122" i="7"/>
  <c r="L122" i="7"/>
  <c r="K122" i="7"/>
  <c r="J122" i="7"/>
  <c r="I122" i="7"/>
  <c r="H122" i="7"/>
  <c r="G122" i="7"/>
  <c r="F122" i="7"/>
  <c r="E122" i="7"/>
  <c r="D122" i="7"/>
  <c r="C122" i="7"/>
  <c r="B122" i="7"/>
  <c r="N121" i="7"/>
  <c r="M121" i="7"/>
  <c r="L121" i="7"/>
  <c r="K121" i="7"/>
  <c r="J121" i="7"/>
  <c r="I121" i="7"/>
  <c r="H121" i="7"/>
  <c r="G121" i="7"/>
  <c r="F121" i="7"/>
  <c r="E121" i="7"/>
  <c r="D121" i="7"/>
  <c r="C121" i="7"/>
  <c r="B121" i="7"/>
  <c r="N120" i="7"/>
  <c r="M120" i="7"/>
  <c r="L120" i="7"/>
  <c r="K120" i="7"/>
  <c r="J120" i="7"/>
  <c r="I120" i="7"/>
  <c r="H120" i="7"/>
  <c r="G120" i="7"/>
  <c r="F120" i="7"/>
  <c r="E120" i="7"/>
  <c r="D120" i="7"/>
  <c r="C120" i="7"/>
  <c r="B120" i="7"/>
  <c r="N119" i="7"/>
  <c r="M119" i="7"/>
  <c r="L119" i="7"/>
  <c r="K119" i="7"/>
  <c r="J119" i="7"/>
  <c r="I119" i="7"/>
  <c r="H119" i="7"/>
  <c r="G119" i="7"/>
  <c r="F119" i="7"/>
  <c r="E119" i="7"/>
  <c r="D119" i="7"/>
  <c r="C119" i="7"/>
  <c r="B119" i="7"/>
  <c r="N118" i="7"/>
  <c r="M118" i="7"/>
  <c r="L118" i="7"/>
  <c r="K118" i="7"/>
  <c r="J118" i="7"/>
  <c r="I118" i="7"/>
  <c r="H118" i="7"/>
  <c r="G118" i="7"/>
  <c r="F118" i="7"/>
  <c r="E118" i="7"/>
  <c r="D118" i="7"/>
  <c r="C118" i="7"/>
  <c r="B118" i="7"/>
  <c r="N117" i="7"/>
  <c r="M117" i="7"/>
  <c r="L117" i="7"/>
  <c r="K117" i="7"/>
  <c r="J117" i="7"/>
  <c r="I117" i="7"/>
  <c r="H117" i="7"/>
  <c r="G117" i="7"/>
  <c r="F117" i="7"/>
  <c r="E117" i="7"/>
  <c r="D117" i="7"/>
  <c r="C117" i="7"/>
  <c r="B117" i="7"/>
  <c r="N116" i="7"/>
  <c r="M116" i="7"/>
  <c r="L116" i="7"/>
  <c r="K116" i="7"/>
  <c r="J116" i="7"/>
  <c r="I116" i="7"/>
  <c r="H116" i="7"/>
  <c r="G116" i="7"/>
  <c r="F116" i="7"/>
  <c r="E116" i="7"/>
  <c r="D116" i="7"/>
  <c r="C116" i="7"/>
  <c r="B116" i="7"/>
  <c r="N115" i="7"/>
  <c r="M115" i="7"/>
  <c r="L115" i="7"/>
  <c r="K115" i="7"/>
  <c r="J115" i="7"/>
  <c r="I115" i="7"/>
  <c r="H115" i="7"/>
  <c r="G115" i="7"/>
  <c r="F115" i="7"/>
  <c r="E115" i="7"/>
  <c r="D115" i="7"/>
  <c r="C115" i="7"/>
  <c r="B115" i="7"/>
  <c r="N114" i="7"/>
  <c r="M114" i="7"/>
  <c r="L114" i="7"/>
  <c r="K114" i="7"/>
  <c r="J114" i="7"/>
  <c r="I114" i="7"/>
  <c r="H114" i="7"/>
  <c r="G114" i="7"/>
  <c r="F114" i="7"/>
  <c r="E114" i="7"/>
  <c r="D114" i="7"/>
  <c r="C114" i="7"/>
  <c r="B114" i="7"/>
  <c r="N113" i="7"/>
  <c r="M113" i="7"/>
  <c r="L113" i="7"/>
  <c r="K113" i="7"/>
  <c r="J113" i="7"/>
  <c r="I113" i="7"/>
  <c r="H113" i="7"/>
  <c r="G113" i="7"/>
  <c r="F113" i="7"/>
  <c r="E113" i="7"/>
  <c r="D113" i="7"/>
  <c r="C113" i="7"/>
  <c r="B113" i="7"/>
  <c r="N112" i="7"/>
  <c r="M112" i="7"/>
  <c r="L112" i="7"/>
  <c r="K112" i="7"/>
  <c r="J112" i="7"/>
  <c r="I112" i="7"/>
  <c r="H112" i="7"/>
  <c r="G112" i="7"/>
  <c r="F112" i="7"/>
  <c r="E112" i="7"/>
  <c r="D112" i="7"/>
  <c r="C112" i="7"/>
  <c r="B112" i="7"/>
  <c r="N111" i="7"/>
  <c r="M111" i="7"/>
  <c r="L111" i="7"/>
  <c r="K111" i="7"/>
  <c r="J111" i="7"/>
  <c r="I111" i="7"/>
  <c r="H111" i="7"/>
  <c r="G111" i="7"/>
  <c r="F111" i="7"/>
  <c r="E111" i="7"/>
  <c r="D111" i="7"/>
  <c r="C111" i="7"/>
  <c r="B111" i="7"/>
  <c r="N110" i="7"/>
  <c r="M110" i="7"/>
  <c r="L110" i="7"/>
  <c r="K110" i="7"/>
  <c r="J110" i="7"/>
  <c r="I110" i="7"/>
  <c r="H110" i="7"/>
  <c r="G110" i="7"/>
  <c r="F110" i="7"/>
  <c r="E110" i="7"/>
  <c r="D110" i="7"/>
  <c r="C110" i="7"/>
  <c r="B110" i="7"/>
  <c r="N109" i="7"/>
  <c r="M109" i="7"/>
  <c r="L109" i="7"/>
  <c r="K109" i="7"/>
  <c r="J109" i="7"/>
  <c r="I109" i="7"/>
  <c r="H109" i="7"/>
  <c r="G109" i="7"/>
  <c r="F109" i="7"/>
  <c r="E109" i="7"/>
  <c r="D109" i="7"/>
  <c r="C109" i="7"/>
  <c r="B109" i="7"/>
  <c r="N108" i="7"/>
  <c r="M108" i="7"/>
  <c r="L108" i="7"/>
  <c r="K108" i="7"/>
  <c r="J108" i="7"/>
  <c r="I108" i="7"/>
  <c r="H108" i="7"/>
  <c r="G108" i="7"/>
  <c r="F108" i="7"/>
  <c r="E108" i="7"/>
  <c r="D108" i="7"/>
  <c r="C108" i="7"/>
  <c r="B108" i="7"/>
  <c r="N107" i="7"/>
  <c r="M107" i="7"/>
  <c r="L107" i="7"/>
  <c r="K107" i="7"/>
  <c r="J107" i="7"/>
  <c r="I107" i="7"/>
  <c r="H107" i="7"/>
  <c r="G107" i="7"/>
  <c r="F107" i="7"/>
  <c r="E107" i="7"/>
  <c r="D107" i="7"/>
  <c r="C107" i="7"/>
  <c r="B107" i="7"/>
  <c r="N106" i="7"/>
  <c r="M106" i="7"/>
  <c r="L106" i="7"/>
  <c r="K106" i="7"/>
  <c r="J106" i="7"/>
  <c r="I106" i="7"/>
  <c r="H106" i="7"/>
  <c r="G106" i="7"/>
  <c r="F106" i="7"/>
  <c r="E106" i="7"/>
  <c r="D106" i="7"/>
  <c r="C106" i="7"/>
  <c r="B106" i="7"/>
  <c r="N105" i="7"/>
  <c r="M105" i="7"/>
  <c r="L105" i="7"/>
  <c r="K105" i="7"/>
  <c r="J105" i="7"/>
  <c r="I105" i="7"/>
  <c r="H105" i="7"/>
  <c r="G105" i="7"/>
  <c r="F105" i="7"/>
  <c r="E105" i="7"/>
  <c r="D105" i="7"/>
  <c r="C105" i="7"/>
  <c r="B105" i="7"/>
  <c r="N104" i="7"/>
  <c r="M104" i="7"/>
  <c r="L104" i="7"/>
  <c r="K104" i="7"/>
  <c r="J104" i="7"/>
  <c r="I104" i="7"/>
  <c r="H104" i="7"/>
  <c r="G104" i="7"/>
  <c r="F104" i="7"/>
  <c r="E104" i="7"/>
  <c r="D104" i="7"/>
  <c r="C104" i="7"/>
  <c r="B104" i="7"/>
  <c r="N103" i="7"/>
  <c r="M103" i="7"/>
  <c r="L103" i="7"/>
  <c r="K103" i="7"/>
  <c r="J103" i="7"/>
  <c r="I103" i="7"/>
  <c r="H103" i="7"/>
  <c r="G103" i="7"/>
  <c r="F103" i="7"/>
  <c r="E103" i="7"/>
  <c r="D103" i="7"/>
  <c r="C103" i="7"/>
  <c r="B103" i="7"/>
  <c r="N102" i="7"/>
  <c r="M102" i="7"/>
  <c r="L102" i="7"/>
  <c r="K102" i="7"/>
  <c r="J102" i="7"/>
  <c r="I102" i="7"/>
  <c r="H102" i="7"/>
  <c r="G102" i="7"/>
  <c r="F102" i="7"/>
  <c r="E102" i="7"/>
  <c r="D102" i="7"/>
  <c r="C102" i="7"/>
  <c r="B102" i="7"/>
  <c r="N101" i="7"/>
  <c r="M101" i="7"/>
  <c r="L101" i="7"/>
  <c r="K101" i="7"/>
  <c r="J101" i="7"/>
  <c r="I101" i="7"/>
  <c r="H101" i="7"/>
  <c r="G101" i="7"/>
  <c r="F101" i="7"/>
  <c r="E101" i="7"/>
  <c r="D101" i="7"/>
  <c r="C101" i="7"/>
  <c r="B101" i="7"/>
  <c r="N100" i="7"/>
  <c r="M100" i="7"/>
  <c r="L100" i="7"/>
  <c r="K100" i="7"/>
  <c r="J100" i="7"/>
  <c r="I100" i="7"/>
  <c r="H100" i="7"/>
  <c r="G100" i="7"/>
  <c r="F100" i="7"/>
  <c r="E100" i="7"/>
  <c r="D100" i="7"/>
  <c r="C100" i="7"/>
  <c r="B100" i="7"/>
  <c r="N99" i="7"/>
  <c r="M99" i="7"/>
  <c r="L99" i="7"/>
  <c r="K99" i="7"/>
  <c r="J99" i="7"/>
  <c r="I99" i="7"/>
  <c r="H99" i="7"/>
  <c r="G99" i="7"/>
  <c r="F99" i="7"/>
  <c r="E99" i="7"/>
  <c r="D99" i="7"/>
  <c r="C99" i="7"/>
  <c r="B99" i="7"/>
  <c r="N98" i="7"/>
  <c r="M98" i="7"/>
  <c r="L98" i="7"/>
  <c r="K98" i="7"/>
  <c r="J98" i="7"/>
  <c r="I98" i="7"/>
  <c r="H98" i="7"/>
  <c r="G98" i="7"/>
  <c r="F98" i="7"/>
  <c r="E98" i="7"/>
  <c r="D98" i="7"/>
  <c r="C98" i="7"/>
  <c r="B98" i="7"/>
  <c r="N97" i="7"/>
  <c r="M97" i="7"/>
  <c r="L97" i="7"/>
  <c r="K97" i="7"/>
  <c r="J97" i="7"/>
  <c r="I97" i="7"/>
  <c r="H97" i="7"/>
  <c r="G97" i="7"/>
  <c r="F97" i="7"/>
  <c r="E97" i="7"/>
  <c r="D97" i="7"/>
  <c r="C97" i="7"/>
  <c r="B97" i="7"/>
  <c r="N96" i="7"/>
  <c r="M96" i="7"/>
  <c r="L96" i="7"/>
  <c r="K96" i="7"/>
  <c r="J96" i="7"/>
  <c r="I96" i="7"/>
  <c r="H96" i="7"/>
  <c r="G96" i="7"/>
  <c r="F96" i="7"/>
  <c r="E96" i="7"/>
  <c r="D96" i="7"/>
  <c r="C96" i="7"/>
  <c r="B96" i="7"/>
  <c r="N95" i="7"/>
  <c r="M95" i="7"/>
  <c r="L95" i="7"/>
  <c r="K95" i="7"/>
  <c r="J95" i="7"/>
  <c r="I95" i="7"/>
  <c r="H95" i="7"/>
  <c r="G95" i="7"/>
  <c r="F95" i="7"/>
  <c r="E95" i="7"/>
  <c r="D95" i="7"/>
  <c r="C95" i="7"/>
  <c r="B95" i="7"/>
  <c r="N94" i="7"/>
  <c r="M94" i="7"/>
  <c r="L94" i="7"/>
  <c r="K94" i="7"/>
  <c r="J94" i="7"/>
  <c r="I94" i="7"/>
  <c r="H94" i="7"/>
  <c r="G94" i="7"/>
  <c r="F94" i="7"/>
  <c r="E94" i="7"/>
  <c r="D94" i="7"/>
  <c r="C94" i="7"/>
  <c r="B94" i="7"/>
  <c r="N93" i="7"/>
  <c r="M93" i="7"/>
  <c r="L93" i="7"/>
  <c r="K93" i="7"/>
  <c r="J93" i="7"/>
  <c r="I93" i="7"/>
  <c r="H93" i="7"/>
  <c r="G93" i="7"/>
  <c r="F93" i="7"/>
  <c r="E93" i="7"/>
  <c r="D93" i="7"/>
  <c r="C93" i="7"/>
  <c r="B93" i="7"/>
  <c r="N92" i="7"/>
  <c r="M92" i="7"/>
  <c r="L92" i="7"/>
  <c r="K92" i="7"/>
  <c r="J92" i="7"/>
  <c r="I92" i="7"/>
  <c r="H92" i="7"/>
  <c r="G92" i="7"/>
  <c r="F92" i="7"/>
  <c r="E92" i="7"/>
  <c r="D92" i="7"/>
  <c r="C92" i="7"/>
  <c r="B92" i="7"/>
  <c r="N91" i="7"/>
  <c r="M91" i="7"/>
  <c r="L91" i="7"/>
  <c r="K91" i="7"/>
  <c r="J91" i="7"/>
  <c r="I91" i="7"/>
  <c r="H91" i="7"/>
  <c r="G91" i="7"/>
  <c r="F91" i="7"/>
  <c r="E91" i="7"/>
  <c r="D91" i="7"/>
  <c r="C91" i="7"/>
  <c r="B91" i="7"/>
  <c r="N90" i="7"/>
  <c r="M90" i="7"/>
  <c r="L90" i="7"/>
  <c r="K90" i="7"/>
  <c r="J90" i="7"/>
  <c r="I90" i="7"/>
  <c r="H90" i="7"/>
  <c r="G90" i="7"/>
  <c r="F90" i="7"/>
  <c r="E90" i="7"/>
  <c r="D90" i="7"/>
  <c r="C90" i="7"/>
  <c r="B90" i="7"/>
  <c r="N89" i="7"/>
  <c r="M89" i="7"/>
  <c r="L89" i="7"/>
  <c r="K89" i="7"/>
  <c r="J89" i="7"/>
  <c r="I89" i="7"/>
  <c r="H89" i="7"/>
  <c r="G89" i="7"/>
  <c r="F89" i="7"/>
  <c r="E89" i="7"/>
  <c r="D89" i="7"/>
  <c r="C89" i="7"/>
  <c r="B89" i="7"/>
  <c r="N88" i="7"/>
  <c r="M88" i="7"/>
  <c r="L88" i="7"/>
  <c r="K88" i="7"/>
  <c r="J88" i="7"/>
  <c r="I88" i="7"/>
  <c r="H88" i="7"/>
  <c r="G88" i="7"/>
  <c r="F88" i="7"/>
  <c r="E88" i="7"/>
  <c r="D88" i="7"/>
  <c r="C88" i="7"/>
  <c r="B88" i="7"/>
  <c r="N87" i="7"/>
  <c r="M87" i="7"/>
  <c r="L87" i="7"/>
  <c r="K87" i="7"/>
  <c r="J87" i="7"/>
  <c r="I87" i="7"/>
  <c r="H87" i="7"/>
  <c r="G87" i="7"/>
  <c r="F87" i="7"/>
  <c r="E87" i="7"/>
  <c r="D87" i="7"/>
  <c r="C87" i="7"/>
  <c r="B87" i="7"/>
  <c r="N86" i="7"/>
  <c r="M86" i="7"/>
  <c r="L86" i="7"/>
  <c r="K86" i="7"/>
  <c r="J86" i="7"/>
  <c r="I86" i="7"/>
  <c r="H86" i="7"/>
  <c r="G86" i="7"/>
  <c r="F86" i="7"/>
  <c r="E86" i="7"/>
  <c r="D86" i="7"/>
  <c r="C86" i="7"/>
  <c r="B86" i="7"/>
  <c r="N85" i="7"/>
  <c r="M85" i="7"/>
  <c r="L85" i="7"/>
  <c r="K85" i="7"/>
  <c r="J85" i="7"/>
  <c r="I85" i="7"/>
  <c r="H85" i="7"/>
  <c r="G85" i="7"/>
  <c r="F85" i="7"/>
  <c r="E85" i="7"/>
  <c r="D85" i="7"/>
  <c r="C85" i="7"/>
  <c r="B85" i="7"/>
  <c r="N84" i="7"/>
  <c r="M84" i="7"/>
  <c r="L84" i="7"/>
  <c r="K84" i="7"/>
  <c r="J84" i="7"/>
  <c r="I84" i="7"/>
  <c r="H84" i="7"/>
  <c r="G84" i="7"/>
  <c r="F84" i="7"/>
  <c r="E84" i="7"/>
  <c r="D84" i="7"/>
  <c r="C84" i="7"/>
  <c r="B84" i="7"/>
  <c r="N83" i="7"/>
  <c r="M83" i="7"/>
  <c r="L83" i="7"/>
  <c r="K83" i="7"/>
  <c r="J83" i="7"/>
  <c r="I83" i="7"/>
  <c r="H83" i="7"/>
  <c r="G83" i="7"/>
  <c r="F83" i="7"/>
  <c r="E83" i="7"/>
  <c r="D83" i="7"/>
  <c r="C83" i="7"/>
  <c r="B83" i="7"/>
  <c r="N82" i="7"/>
  <c r="M82" i="7"/>
  <c r="L82" i="7"/>
  <c r="K82" i="7"/>
  <c r="J82" i="7"/>
  <c r="I82" i="7"/>
  <c r="H82" i="7"/>
  <c r="G82" i="7"/>
  <c r="F82" i="7"/>
  <c r="E82" i="7"/>
  <c r="D82" i="7"/>
  <c r="C82" i="7"/>
  <c r="B82" i="7"/>
  <c r="N81" i="7"/>
  <c r="M81" i="7"/>
  <c r="L81" i="7"/>
  <c r="K81" i="7"/>
  <c r="J81" i="7"/>
  <c r="I81" i="7"/>
  <c r="H81" i="7"/>
  <c r="G81" i="7"/>
  <c r="F81" i="7"/>
  <c r="E81" i="7"/>
  <c r="D81" i="7"/>
  <c r="C81" i="7"/>
  <c r="B81" i="7"/>
  <c r="N80" i="7"/>
  <c r="M80" i="7"/>
  <c r="L80" i="7"/>
  <c r="K80" i="7"/>
  <c r="J80" i="7"/>
  <c r="I80" i="7"/>
  <c r="H80" i="7"/>
  <c r="G80" i="7"/>
  <c r="F80" i="7"/>
  <c r="E80" i="7"/>
  <c r="D80" i="7"/>
  <c r="C80" i="7"/>
  <c r="B80" i="7"/>
  <c r="N79" i="7"/>
  <c r="M79" i="7"/>
  <c r="L79" i="7"/>
  <c r="K79" i="7"/>
  <c r="J79" i="7"/>
  <c r="I79" i="7"/>
  <c r="H79" i="7"/>
  <c r="G79" i="7"/>
  <c r="F79" i="7"/>
  <c r="E79" i="7"/>
  <c r="D79" i="7"/>
  <c r="C79" i="7"/>
  <c r="B79" i="7"/>
  <c r="N78" i="7"/>
  <c r="M78" i="7"/>
  <c r="L78" i="7"/>
  <c r="K78" i="7"/>
  <c r="J78" i="7"/>
  <c r="I78" i="7"/>
  <c r="H78" i="7"/>
  <c r="G78" i="7"/>
  <c r="F78" i="7"/>
  <c r="E78" i="7"/>
  <c r="D78" i="7"/>
  <c r="C78" i="7"/>
  <c r="B78" i="7"/>
  <c r="N77" i="7"/>
  <c r="M77" i="7"/>
  <c r="L77" i="7"/>
  <c r="K77" i="7"/>
  <c r="J77" i="7"/>
  <c r="I77" i="7"/>
  <c r="H77" i="7"/>
  <c r="G77" i="7"/>
  <c r="F77" i="7"/>
  <c r="E77" i="7"/>
  <c r="D77" i="7"/>
  <c r="C77" i="7"/>
  <c r="B77" i="7"/>
  <c r="N76" i="7"/>
  <c r="M76" i="7"/>
  <c r="L76" i="7"/>
  <c r="K76" i="7"/>
  <c r="J76" i="7"/>
  <c r="I76" i="7"/>
  <c r="H76" i="7"/>
  <c r="G76" i="7"/>
  <c r="F76" i="7"/>
  <c r="E76" i="7"/>
  <c r="D76" i="7"/>
  <c r="C76" i="7"/>
  <c r="B76" i="7"/>
  <c r="N75" i="7"/>
  <c r="M75" i="7"/>
  <c r="L75" i="7"/>
  <c r="K75" i="7"/>
  <c r="J75" i="7"/>
  <c r="I75" i="7"/>
  <c r="H75" i="7"/>
  <c r="G75" i="7"/>
  <c r="F75" i="7"/>
  <c r="E75" i="7"/>
  <c r="D75" i="7"/>
  <c r="C75" i="7"/>
  <c r="B75" i="7"/>
  <c r="N74" i="7"/>
  <c r="M74" i="7"/>
  <c r="L74" i="7"/>
  <c r="K74" i="7"/>
  <c r="J74" i="7"/>
  <c r="I74" i="7"/>
  <c r="H74" i="7"/>
  <c r="G74" i="7"/>
  <c r="F74" i="7"/>
  <c r="E74" i="7"/>
  <c r="D74" i="7"/>
  <c r="C74" i="7"/>
  <c r="B74" i="7"/>
  <c r="N73" i="7"/>
  <c r="M73" i="7"/>
  <c r="L73" i="7"/>
  <c r="K73" i="7"/>
  <c r="J73" i="7"/>
  <c r="I73" i="7"/>
  <c r="H73" i="7"/>
  <c r="G73" i="7"/>
  <c r="F73" i="7"/>
  <c r="E73" i="7"/>
  <c r="D73" i="7"/>
  <c r="C73" i="7"/>
  <c r="B73" i="7"/>
  <c r="N72" i="7"/>
  <c r="M72" i="7"/>
  <c r="L72" i="7"/>
  <c r="K72" i="7"/>
  <c r="J72" i="7"/>
  <c r="I72" i="7"/>
  <c r="H72" i="7"/>
  <c r="G72" i="7"/>
  <c r="F72" i="7"/>
  <c r="E72" i="7"/>
  <c r="D72" i="7"/>
  <c r="C72" i="7"/>
  <c r="B72" i="7"/>
  <c r="N71" i="7"/>
  <c r="M71" i="7"/>
  <c r="L71" i="7"/>
  <c r="K71" i="7"/>
  <c r="J71" i="7"/>
  <c r="I71" i="7"/>
  <c r="H71" i="7"/>
  <c r="G71" i="7"/>
  <c r="F71" i="7"/>
  <c r="E71" i="7"/>
  <c r="D71" i="7"/>
  <c r="C71" i="7"/>
  <c r="B71" i="7"/>
  <c r="N70" i="7"/>
  <c r="M70" i="7"/>
  <c r="L70" i="7"/>
  <c r="K70" i="7"/>
  <c r="J70" i="7"/>
  <c r="I70" i="7"/>
  <c r="H70" i="7"/>
  <c r="G70" i="7"/>
  <c r="F70" i="7"/>
  <c r="E70" i="7"/>
  <c r="D70" i="7"/>
  <c r="C70" i="7"/>
  <c r="B70" i="7"/>
  <c r="N69" i="7"/>
  <c r="M69" i="7"/>
  <c r="L69" i="7"/>
  <c r="K69" i="7"/>
  <c r="J69" i="7"/>
  <c r="I69" i="7"/>
  <c r="H69" i="7"/>
  <c r="G69" i="7"/>
  <c r="F69" i="7"/>
  <c r="E69" i="7"/>
  <c r="D69" i="7"/>
  <c r="C69" i="7"/>
  <c r="B69" i="7"/>
  <c r="N68" i="7"/>
  <c r="M68" i="7"/>
  <c r="L68" i="7"/>
  <c r="K68" i="7"/>
  <c r="J68" i="7"/>
  <c r="I68" i="7"/>
  <c r="H68" i="7"/>
  <c r="G68" i="7"/>
  <c r="F68" i="7"/>
  <c r="E68" i="7"/>
  <c r="D68" i="7"/>
  <c r="C68" i="7"/>
  <c r="B68" i="7"/>
  <c r="N67" i="7"/>
  <c r="M67" i="7"/>
  <c r="L67" i="7"/>
  <c r="K67" i="7"/>
  <c r="J67" i="7"/>
  <c r="I67" i="7"/>
  <c r="H67" i="7"/>
  <c r="G67" i="7"/>
  <c r="F67" i="7"/>
  <c r="E67" i="7"/>
  <c r="D67" i="7"/>
  <c r="C67" i="7"/>
  <c r="B67" i="7"/>
  <c r="N66" i="7"/>
  <c r="M66" i="7"/>
  <c r="L66" i="7"/>
  <c r="K66" i="7"/>
  <c r="J66" i="7"/>
  <c r="I66" i="7"/>
  <c r="H66" i="7"/>
  <c r="G66" i="7"/>
  <c r="F66" i="7"/>
  <c r="E66" i="7"/>
  <c r="D66" i="7"/>
  <c r="C66" i="7"/>
  <c r="B66" i="7"/>
  <c r="N65" i="7"/>
  <c r="M65" i="7"/>
  <c r="L65" i="7"/>
  <c r="K65" i="7"/>
  <c r="J65" i="7"/>
  <c r="I65" i="7"/>
  <c r="H65" i="7"/>
  <c r="G65" i="7"/>
  <c r="F65" i="7"/>
  <c r="E65" i="7"/>
  <c r="D65" i="7"/>
  <c r="C65" i="7"/>
  <c r="B65" i="7"/>
  <c r="N64" i="7"/>
  <c r="M64" i="7"/>
  <c r="L64" i="7"/>
  <c r="K64" i="7"/>
  <c r="J64" i="7"/>
  <c r="I64" i="7"/>
  <c r="H64" i="7"/>
  <c r="G64" i="7"/>
  <c r="F64" i="7"/>
  <c r="E64" i="7"/>
  <c r="D64" i="7"/>
  <c r="C64" i="7"/>
  <c r="B64" i="7"/>
  <c r="N63" i="7"/>
  <c r="M63" i="7"/>
  <c r="L63" i="7"/>
  <c r="K63" i="7"/>
  <c r="J63" i="7"/>
  <c r="I63" i="7"/>
  <c r="H63" i="7"/>
  <c r="G63" i="7"/>
  <c r="F63" i="7"/>
  <c r="E63" i="7"/>
  <c r="D63" i="7"/>
  <c r="C63" i="7"/>
  <c r="B63" i="7"/>
  <c r="N62" i="7"/>
  <c r="M62" i="7"/>
  <c r="L62" i="7"/>
  <c r="K62" i="7"/>
  <c r="J62" i="7"/>
  <c r="I62" i="7"/>
  <c r="H62" i="7"/>
  <c r="G62" i="7"/>
  <c r="F62" i="7"/>
  <c r="E62" i="7"/>
  <c r="D62" i="7"/>
  <c r="C62" i="7"/>
  <c r="B62" i="7"/>
  <c r="N61" i="7"/>
  <c r="M61" i="7"/>
  <c r="L61" i="7"/>
  <c r="K61" i="7"/>
  <c r="J61" i="7"/>
  <c r="I61" i="7"/>
  <c r="H61" i="7"/>
  <c r="G61" i="7"/>
  <c r="F61" i="7"/>
  <c r="E61" i="7"/>
  <c r="D61" i="7"/>
  <c r="C61" i="7"/>
  <c r="B61" i="7"/>
  <c r="N60" i="7"/>
  <c r="M60" i="7"/>
  <c r="L60" i="7"/>
  <c r="K60" i="7"/>
  <c r="J60" i="7"/>
  <c r="I60" i="7"/>
  <c r="H60" i="7"/>
  <c r="G60" i="7"/>
  <c r="F60" i="7"/>
  <c r="E60" i="7"/>
  <c r="D60" i="7"/>
  <c r="C60" i="7"/>
  <c r="B60" i="7"/>
  <c r="N59" i="7"/>
  <c r="M59" i="7"/>
  <c r="L59" i="7"/>
  <c r="K59" i="7"/>
  <c r="J59" i="7"/>
  <c r="I59" i="7"/>
  <c r="H59" i="7"/>
  <c r="G59" i="7"/>
  <c r="F59" i="7"/>
  <c r="E59" i="7"/>
  <c r="D59" i="7"/>
  <c r="C59" i="7"/>
  <c r="B59" i="7"/>
  <c r="N58" i="7"/>
  <c r="M58" i="7"/>
  <c r="L58" i="7"/>
  <c r="K58" i="7"/>
  <c r="J58" i="7"/>
  <c r="I58" i="7"/>
  <c r="H58" i="7"/>
  <c r="G58" i="7"/>
  <c r="F58" i="7"/>
  <c r="E58" i="7"/>
  <c r="D58" i="7"/>
  <c r="C58" i="7"/>
  <c r="B58" i="7"/>
  <c r="N57" i="7"/>
  <c r="M57" i="7"/>
  <c r="L57" i="7"/>
  <c r="K57" i="7"/>
  <c r="J57" i="7"/>
  <c r="I57" i="7"/>
  <c r="H57" i="7"/>
  <c r="G57" i="7"/>
  <c r="F57" i="7"/>
  <c r="E57" i="7"/>
  <c r="D57" i="7"/>
  <c r="C57" i="7"/>
  <c r="B57" i="7"/>
  <c r="N56" i="7"/>
  <c r="M56" i="7"/>
  <c r="L56" i="7"/>
  <c r="K56" i="7"/>
  <c r="J56" i="7"/>
  <c r="I56" i="7"/>
  <c r="H56" i="7"/>
  <c r="G56" i="7"/>
  <c r="F56" i="7"/>
  <c r="E56" i="7"/>
  <c r="D56" i="7"/>
  <c r="C56" i="7"/>
  <c r="B56" i="7"/>
  <c r="N55" i="7"/>
  <c r="M55" i="7"/>
  <c r="L55" i="7"/>
  <c r="K55" i="7"/>
  <c r="J55" i="7"/>
  <c r="I55" i="7"/>
  <c r="H55" i="7"/>
  <c r="G55" i="7"/>
  <c r="F55" i="7"/>
  <c r="E55" i="7"/>
  <c r="D55" i="7"/>
  <c r="C55" i="7"/>
  <c r="B55" i="7"/>
  <c r="N54" i="7"/>
  <c r="M54" i="7"/>
  <c r="L54" i="7"/>
  <c r="K54" i="7"/>
  <c r="J54" i="7"/>
  <c r="I54" i="7"/>
  <c r="H54" i="7"/>
  <c r="G54" i="7"/>
  <c r="F54" i="7"/>
  <c r="E54" i="7"/>
  <c r="D54" i="7"/>
  <c r="C54" i="7"/>
  <c r="B54" i="7"/>
  <c r="N53" i="7"/>
  <c r="M53" i="7"/>
  <c r="L53" i="7"/>
  <c r="K53" i="7"/>
  <c r="J53" i="7"/>
  <c r="I53" i="7"/>
  <c r="H53" i="7"/>
  <c r="G53" i="7"/>
  <c r="F53" i="7"/>
  <c r="E53" i="7"/>
  <c r="D53" i="7"/>
  <c r="C53" i="7"/>
  <c r="B53" i="7"/>
  <c r="N52" i="7"/>
  <c r="M52" i="7"/>
  <c r="L52" i="7"/>
  <c r="K52" i="7"/>
  <c r="J52" i="7"/>
  <c r="I52" i="7"/>
  <c r="H52" i="7"/>
  <c r="G52" i="7"/>
  <c r="F52" i="7"/>
  <c r="E52" i="7"/>
  <c r="D52" i="7"/>
  <c r="C52" i="7"/>
  <c r="B52" i="7"/>
  <c r="N51" i="7"/>
  <c r="M51" i="7"/>
  <c r="L51" i="7"/>
  <c r="K51" i="7"/>
  <c r="J51" i="7"/>
  <c r="I51" i="7"/>
  <c r="H51" i="7"/>
  <c r="G51" i="7"/>
  <c r="F51" i="7"/>
  <c r="E51" i="7"/>
  <c r="D51" i="7"/>
  <c r="C51" i="7"/>
  <c r="B51" i="7"/>
  <c r="N50" i="7"/>
  <c r="M50" i="7"/>
  <c r="L50" i="7"/>
  <c r="K50" i="7"/>
  <c r="J50" i="7"/>
  <c r="I50" i="7"/>
  <c r="H50" i="7"/>
  <c r="G50" i="7"/>
  <c r="F50" i="7"/>
  <c r="E50" i="7"/>
  <c r="D50" i="7"/>
  <c r="C50" i="7"/>
  <c r="B50" i="7"/>
  <c r="N49" i="7"/>
  <c r="M49" i="7"/>
  <c r="L49" i="7"/>
  <c r="K49" i="7"/>
  <c r="J49" i="7"/>
  <c r="I49" i="7"/>
  <c r="H49" i="7"/>
  <c r="G49" i="7"/>
  <c r="F49" i="7"/>
  <c r="E49" i="7"/>
  <c r="D49" i="7"/>
  <c r="C49" i="7"/>
  <c r="B49" i="7"/>
  <c r="N48" i="7"/>
  <c r="M48" i="7"/>
  <c r="L48" i="7"/>
  <c r="K48" i="7"/>
  <c r="J48" i="7"/>
  <c r="I48" i="7"/>
  <c r="H48" i="7"/>
  <c r="G48" i="7"/>
  <c r="F48" i="7"/>
  <c r="E48" i="7"/>
  <c r="D48" i="7"/>
  <c r="C48" i="7"/>
  <c r="B48" i="7"/>
  <c r="N47" i="7"/>
  <c r="M47" i="7"/>
  <c r="L47" i="7"/>
  <c r="K47" i="7"/>
  <c r="J47" i="7"/>
  <c r="I47" i="7"/>
  <c r="H47" i="7"/>
  <c r="G47" i="7"/>
  <c r="F47" i="7"/>
  <c r="E47" i="7"/>
  <c r="D47" i="7"/>
  <c r="C47" i="7"/>
  <c r="B47" i="7"/>
  <c r="N46" i="7"/>
  <c r="M46" i="7"/>
  <c r="L46" i="7"/>
  <c r="K46" i="7"/>
  <c r="J46" i="7"/>
  <c r="I46" i="7"/>
  <c r="H46" i="7"/>
  <c r="G46" i="7"/>
  <c r="F46" i="7"/>
  <c r="E46" i="7"/>
  <c r="D46" i="7"/>
  <c r="C46" i="7"/>
  <c r="B46" i="7"/>
  <c r="N45" i="7"/>
  <c r="M45" i="7"/>
  <c r="L45" i="7"/>
  <c r="K45" i="7"/>
  <c r="J45" i="7"/>
  <c r="I45" i="7"/>
  <c r="H45" i="7"/>
  <c r="G45" i="7"/>
  <c r="F45" i="7"/>
  <c r="E45" i="7"/>
  <c r="D45" i="7"/>
  <c r="C45" i="7"/>
  <c r="B45" i="7"/>
  <c r="N44" i="7"/>
  <c r="M44" i="7"/>
  <c r="L44" i="7"/>
  <c r="K44" i="7"/>
  <c r="J44" i="7"/>
  <c r="I44" i="7"/>
  <c r="H44" i="7"/>
  <c r="G44" i="7"/>
  <c r="F44" i="7"/>
  <c r="E44" i="7"/>
  <c r="D44" i="7"/>
  <c r="C44" i="7"/>
  <c r="B44" i="7"/>
  <c r="N43" i="7"/>
  <c r="M43" i="7"/>
  <c r="L43" i="7"/>
  <c r="K43" i="7"/>
  <c r="J43" i="7"/>
  <c r="I43" i="7"/>
  <c r="H43" i="7"/>
  <c r="G43" i="7"/>
  <c r="F43" i="7"/>
  <c r="E43" i="7"/>
  <c r="D43" i="7"/>
  <c r="C43" i="7"/>
  <c r="B43" i="7"/>
  <c r="N42" i="7"/>
  <c r="M42" i="7"/>
  <c r="L42" i="7"/>
  <c r="K42" i="7"/>
  <c r="J42" i="7"/>
  <c r="I42" i="7"/>
  <c r="H42" i="7"/>
  <c r="G42" i="7"/>
  <c r="F42" i="7"/>
  <c r="E42" i="7"/>
  <c r="D42" i="7"/>
  <c r="C42" i="7"/>
  <c r="B42" i="7"/>
  <c r="N41" i="7"/>
  <c r="M41" i="7"/>
  <c r="L41" i="7"/>
  <c r="K41" i="7"/>
  <c r="J41" i="7"/>
  <c r="I41" i="7"/>
  <c r="H41" i="7"/>
  <c r="G41" i="7"/>
  <c r="F41" i="7"/>
  <c r="E41" i="7"/>
  <c r="D41" i="7"/>
  <c r="C41" i="7"/>
  <c r="B41" i="7"/>
  <c r="N40" i="7"/>
  <c r="M40" i="7"/>
  <c r="L40" i="7"/>
  <c r="K40" i="7"/>
  <c r="J40" i="7"/>
  <c r="I40" i="7"/>
  <c r="H40" i="7"/>
  <c r="G40" i="7"/>
  <c r="F40" i="7"/>
  <c r="E40" i="7"/>
  <c r="D40" i="7"/>
  <c r="C40" i="7"/>
  <c r="B40" i="7"/>
  <c r="N39" i="7"/>
  <c r="M39" i="7"/>
  <c r="L39" i="7"/>
  <c r="K39" i="7"/>
  <c r="J39" i="7"/>
  <c r="I39" i="7"/>
  <c r="H39" i="7"/>
  <c r="G39" i="7"/>
  <c r="F39" i="7"/>
  <c r="E39" i="7"/>
  <c r="D39" i="7"/>
  <c r="C39" i="7"/>
  <c r="B39" i="7"/>
  <c r="N38" i="7"/>
  <c r="M38" i="7"/>
  <c r="L38" i="7"/>
  <c r="K38" i="7"/>
  <c r="J38" i="7"/>
  <c r="I38" i="7"/>
  <c r="H38" i="7"/>
  <c r="G38" i="7"/>
  <c r="F38" i="7"/>
  <c r="E38" i="7"/>
  <c r="D38" i="7"/>
  <c r="C38" i="7"/>
  <c r="B38" i="7"/>
  <c r="N37" i="7"/>
  <c r="M37" i="7"/>
  <c r="L37" i="7"/>
  <c r="K37" i="7"/>
  <c r="J37" i="7"/>
  <c r="I37" i="7"/>
  <c r="H37" i="7"/>
  <c r="G37" i="7"/>
  <c r="F37" i="7"/>
  <c r="E37" i="7"/>
  <c r="D37" i="7"/>
  <c r="C37" i="7"/>
  <c r="B37" i="7"/>
  <c r="N36" i="7"/>
  <c r="M36" i="7"/>
  <c r="L36" i="7"/>
  <c r="K36" i="7"/>
  <c r="J36" i="7"/>
  <c r="I36" i="7"/>
  <c r="H36" i="7"/>
  <c r="G36" i="7"/>
  <c r="F36" i="7"/>
  <c r="E36" i="7"/>
  <c r="D36" i="7"/>
  <c r="C36" i="7"/>
  <c r="B36" i="7"/>
  <c r="N35" i="7"/>
  <c r="M35" i="7"/>
  <c r="L35" i="7"/>
  <c r="K35" i="7"/>
  <c r="J35" i="7"/>
  <c r="I35" i="7"/>
  <c r="H35" i="7"/>
  <c r="G35" i="7"/>
  <c r="F35" i="7"/>
  <c r="E35" i="7"/>
  <c r="D35" i="7"/>
  <c r="C35" i="7"/>
  <c r="B35" i="7"/>
  <c r="N34" i="7"/>
  <c r="M34" i="7"/>
  <c r="L34" i="7"/>
  <c r="K34" i="7"/>
  <c r="J34" i="7"/>
  <c r="I34" i="7"/>
  <c r="H34" i="7"/>
  <c r="G34" i="7"/>
  <c r="F34" i="7"/>
  <c r="E34" i="7"/>
  <c r="D34" i="7"/>
  <c r="C34" i="7"/>
  <c r="B34" i="7"/>
  <c r="N33" i="7"/>
  <c r="M33" i="7"/>
  <c r="L33" i="7"/>
  <c r="K33" i="7"/>
  <c r="J33" i="7"/>
  <c r="I33" i="7"/>
  <c r="H33" i="7"/>
  <c r="G33" i="7"/>
  <c r="F33" i="7"/>
  <c r="E33" i="7"/>
  <c r="D33" i="7"/>
  <c r="C33" i="7"/>
  <c r="B33" i="7"/>
  <c r="N32" i="7"/>
  <c r="M32" i="7"/>
  <c r="L32" i="7"/>
  <c r="K32" i="7"/>
  <c r="J32" i="7"/>
  <c r="I32" i="7"/>
  <c r="H32" i="7"/>
  <c r="G32" i="7"/>
  <c r="F32" i="7"/>
  <c r="E32" i="7"/>
  <c r="D32" i="7"/>
  <c r="C32" i="7"/>
  <c r="B32" i="7"/>
  <c r="N31" i="7"/>
  <c r="M31" i="7"/>
  <c r="L31" i="7"/>
  <c r="K31" i="7"/>
  <c r="J31" i="7"/>
  <c r="I31" i="7"/>
  <c r="H31" i="7"/>
  <c r="G31" i="7"/>
  <c r="F31" i="7"/>
  <c r="E31" i="7"/>
  <c r="D31" i="7"/>
  <c r="C31" i="7"/>
  <c r="B31" i="7"/>
  <c r="N30" i="7"/>
  <c r="M30" i="7"/>
  <c r="L30" i="7"/>
  <c r="K30" i="7"/>
  <c r="J30" i="7"/>
  <c r="I30" i="7"/>
  <c r="H30" i="7"/>
  <c r="G30" i="7"/>
  <c r="F30" i="7"/>
  <c r="E30" i="7"/>
  <c r="D30" i="7"/>
  <c r="C30" i="7"/>
  <c r="B30" i="7"/>
  <c r="N29" i="7"/>
  <c r="M29" i="7"/>
  <c r="L29" i="7"/>
  <c r="K29" i="7"/>
  <c r="J29" i="7"/>
  <c r="I29" i="7"/>
  <c r="H29" i="7"/>
  <c r="G29" i="7"/>
  <c r="F29" i="7"/>
  <c r="E29" i="7"/>
  <c r="D29" i="7"/>
  <c r="C29" i="7"/>
  <c r="B29" i="7"/>
  <c r="N28" i="7"/>
  <c r="M28" i="7"/>
  <c r="L28" i="7"/>
  <c r="K28" i="7"/>
  <c r="J28" i="7"/>
  <c r="I28" i="7"/>
  <c r="H28" i="7"/>
  <c r="G28" i="7"/>
  <c r="F28" i="7"/>
  <c r="E28" i="7"/>
  <c r="D28" i="7"/>
  <c r="C28" i="7"/>
  <c r="B28" i="7"/>
  <c r="N27" i="7"/>
  <c r="M27" i="7"/>
  <c r="L27" i="7"/>
  <c r="K27" i="7"/>
  <c r="J27" i="7"/>
  <c r="I27" i="7"/>
  <c r="H27" i="7"/>
  <c r="G27" i="7"/>
  <c r="F27" i="7"/>
  <c r="E27" i="7"/>
  <c r="D27" i="7"/>
  <c r="C27" i="7"/>
  <c r="B27" i="7"/>
  <c r="N26" i="7"/>
  <c r="M26" i="7"/>
  <c r="L26" i="7"/>
  <c r="K26" i="7"/>
  <c r="J26" i="7"/>
  <c r="I26" i="7"/>
  <c r="H26" i="7"/>
  <c r="G26" i="7"/>
  <c r="F26" i="7"/>
  <c r="E26" i="7"/>
  <c r="D26" i="7"/>
  <c r="C26" i="7"/>
  <c r="B26" i="7"/>
  <c r="N25" i="7"/>
  <c r="M25" i="7"/>
  <c r="L25" i="7"/>
  <c r="K25" i="7"/>
  <c r="J25" i="7"/>
  <c r="I25" i="7"/>
  <c r="H25" i="7"/>
  <c r="G25" i="7"/>
  <c r="F25" i="7"/>
  <c r="E25" i="7"/>
  <c r="D25" i="7"/>
  <c r="C25" i="7"/>
  <c r="B25" i="7"/>
  <c r="N24" i="7"/>
  <c r="M24" i="7"/>
  <c r="L24" i="7"/>
  <c r="K24" i="7"/>
  <c r="J24" i="7"/>
  <c r="I24" i="7"/>
  <c r="H24" i="7"/>
  <c r="G24" i="7"/>
  <c r="F24" i="7"/>
  <c r="E24" i="7"/>
  <c r="D24" i="7"/>
  <c r="C24" i="7"/>
  <c r="B24" i="7"/>
  <c r="N23" i="7"/>
  <c r="M23" i="7"/>
  <c r="L23" i="7"/>
  <c r="K23" i="7"/>
  <c r="J23" i="7"/>
  <c r="I23" i="7"/>
  <c r="H23" i="7"/>
  <c r="G23" i="7"/>
  <c r="F23" i="7"/>
  <c r="E23" i="7"/>
  <c r="D23" i="7"/>
  <c r="C23" i="7"/>
  <c r="B23" i="7"/>
  <c r="N22" i="7"/>
  <c r="M22" i="7"/>
  <c r="L22" i="7"/>
  <c r="K22" i="7"/>
  <c r="J22" i="7"/>
  <c r="I22" i="7"/>
  <c r="H22" i="7"/>
  <c r="G22" i="7"/>
  <c r="F22" i="7"/>
  <c r="E22" i="7"/>
  <c r="D22" i="7"/>
  <c r="C22" i="7"/>
  <c r="B22" i="7"/>
  <c r="N21" i="7"/>
  <c r="M21" i="7"/>
  <c r="L21" i="7"/>
  <c r="K21" i="7"/>
  <c r="J21" i="7"/>
  <c r="I21" i="7"/>
  <c r="H21" i="7"/>
  <c r="G21" i="7"/>
  <c r="F21" i="7"/>
  <c r="E21" i="7"/>
  <c r="D21" i="7"/>
  <c r="C21" i="7"/>
  <c r="B21" i="7"/>
  <c r="N20" i="7"/>
  <c r="M20" i="7"/>
  <c r="L20" i="7"/>
  <c r="K20" i="7"/>
  <c r="J20" i="7"/>
  <c r="I20" i="7"/>
  <c r="H20" i="7"/>
  <c r="G20" i="7"/>
  <c r="F20" i="7"/>
  <c r="E20" i="7"/>
  <c r="D20" i="7"/>
  <c r="C20" i="7"/>
  <c r="B20" i="7"/>
  <c r="N19" i="7"/>
  <c r="M19" i="7"/>
  <c r="L19" i="7"/>
  <c r="K19" i="7"/>
  <c r="J19" i="7"/>
  <c r="I19" i="7"/>
  <c r="H19" i="7"/>
  <c r="G19" i="7"/>
  <c r="F19" i="7"/>
  <c r="E19" i="7"/>
  <c r="D19" i="7"/>
  <c r="C19" i="7"/>
  <c r="B19" i="7"/>
  <c r="N18" i="7"/>
  <c r="M18" i="7"/>
  <c r="L18" i="7"/>
  <c r="K18" i="7"/>
  <c r="J18" i="7"/>
  <c r="I18" i="7"/>
  <c r="H18" i="7"/>
  <c r="G18" i="7"/>
  <c r="F18" i="7"/>
  <c r="E18" i="7"/>
  <c r="D18" i="7"/>
  <c r="C18" i="7"/>
  <c r="B18" i="7"/>
  <c r="N17" i="7"/>
  <c r="M17" i="7"/>
  <c r="L17" i="7"/>
  <c r="K17" i="7"/>
  <c r="J17" i="7"/>
  <c r="I17" i="7"/>
  <c r="H17" i="7"/>
  <c r="G17" i="7"/>
  <c r="F17" i="7"/>
  <c r="E17" i="7"/>
  <c r="D17" i="7"/>
  <c r="C17" i="7"/>
  <c r="B17" i="7"/>
  <c r="N16" i="7"/>
  <c r="M16" i="7"/>
  <c r="L16" i="7"/>
  <c r="K16" i="7"/>
  <c r="J16" i="7"/>
  <c r="I16" i="7"/>
  <c r="H16" i="7"/>
  <c r="G16" i="7"/>
  <c r="F16" i="7"/>
  <c r="E16" i="7"/>
  <c r="D16" i="7"/>
  <c r="C16" i="7"/>
  <c r="B16" i="7"/>
  <c r="N15" i="7"/>
  <c r="M15" i="7"/>
  <c r="L15" i="7"/>
  <c r="K15" i="7"/>
  <c r="J15" i="7"/>
  <c r="I15" i="7"/>
  <c r="H15" i="7"/>
  <c r="G15" i="7"/>
  <c r="F15" i="7"/>
  <c r="E15" i="7"/>
  <c r="D15" i="7"/>
  <c r="C15" i="7"/>
  <c r="B15" i="7"/>
  <c r="N14" i="7"/>
  <c r="M14" i="7"/>
  <c r="L14" i="7"/>
  <c r="K14" i="7"/>
  <c r="J14" i="7"/>
  <c r="I14" i="7"/>
  <c r="H14" i="7"/>
  <c r="G14" i="7"/>
  <c r="F14" i="7"/>
  <c r="E14" i="7"/>
  <c r="D14" i="7"/>
  <c r="C14" i="7"/>
  <c r="B14" i="7"/>
  <c r="N13" i="7"/>
  <c r="M13" i="7"/>
  <c r="L13" i="7"/>
  <c r="K13" i="7"/>
  <c r="J13" i="7"/>
  <c r="I13" i="7"/>
  <c r="H13" i="7"/>
  <c r="G13" i="7"/>
  <c r="F13" i="7"/>
  <c r="E13" i="7"/>
  <c r="D13" i="7"/>
  <c r="C13" i="7"/>
  <c r="B13" i="7"/>
  <c r="N12" i="7"/>
  <c r="M12" i="7"/>
  <c r="L12" i="7"/>
  <c r="K12" i="7"/>
  <c r="J12" i="7"/>
  <c r="I12" i="7"/>
  <c r="H12" i="7"/>
  <c r="G12" i="7"/>
  <c r="F12" i="7"/>
  <c r="E12" i="7"/>
  <c r="D12" i="7"/>
  <c r="C12" i="7"/>
  <c r="B12" i="7"/>
  <c r="N11" i="7"/>
  <c r="M11" i="7"/>
  <c r="L11" i="7"/>
  <c r="K11" i="7"/>
  <c r="J11" i="7"/>
  <c r="I11" i="7"/>
  <c r="H11" i="7"/>
  <c r="G11" i="7"/>
  <c r="F11" i="7"/>
  <c r="E11" i="7"/>
  <c r="D11" i="7"/>
  <c r="C11" i="7"/>
  <c r="B11" i="7"/>
  <c r="N10" i="7"/>
  <c r="M10" i="7"/>
  <c r="L10" i="7"/>
  <c r="K10" i="7"/>
  <c r="J10" i="7"/>
  <c r="I10" i="7"/>
  <c r="H10" i="7"/>
  <c r="G10" i="7"/>
  <c r="F10" i="7"/>
  <c r="E10" i="7"/>
  <c r="D10" i="7"/>
  <c r="C10" i="7"/>
  <c r="B10" i="7"/>
  <c r="N9" i="7"/>
  <c r="M9" i="7"/>
  <c r="L9" i="7"/>
  <c r="K9" i="7"/>
  <c r="J9" i="7"/>
  <c r="I9" i="7"/>
  <c r="H9" i="7"/>
  <c r="G9" i="7"/>
  <c r="F9" i="7"/>
  <c r="E9" i="7"/>
  <c r="D9" i="7"/>
  <c r="C9" i="7"/>
  <c r="B9" i="7"/>
  <c r="N8" i="7"/>
  <c r="M8" i="7"/>
  <c r="L8" i="7"/>
  <c r="K8" i="7"/>
  <c r="J8" i="7"/>
  <c r="I8" i="7"/>
  <c r="H8" i="7"/>
  <c r="G8" i="7"/>
  <c r="F8" i="7"/>
  <c r="E8" i="7"/>
  <c r="D8" i="7"/>
  <c r="C8" i="7"/>
  <c r="B8" i="7"/>
  <c r="N7" i="7"/>
  <c r="M7" i="7"/>
  <c r="L7" i="7"/>
  <c r="K7" i="7"/>
  <c r="J7" i="7"/>
  <c r="I7" i="7"/>
  <c r="H7" i="7"/>
  <c r="G7" i="7"/>
  <c r="F7" i="7"/>
  <c r="E7" i="7"/>
  <c r="D7" i="7"/>
  <c r="C7" i="7"/>
  <c r="B7" i="7"/>
  <c r="N6" i="7"/>
  <c r="M6" i="7"/>
  <c r="L6" i="7"/>
  <c r="K6" i="7"/>
  <c r="J6" i="7"/>
  <c r="I6" i="7"/>
  <c r="H6" i="7"/>
  <c r="G6" i="7"/>
  <c r="F6" i="7"/>
  <c r="E6" i="7"/>
  <c r="D6" i="7"/>
  <c r="C6" i="7"/>
  <c r="B6" i="7"/>
  <c r="N5" i="7"/>
  <c r="M5" i="7"/>
  <c r="L5" i="7"/>
  <c r="K5" i="7"/>
  <c r="J5" i="7"/>
  <c r="I5" i="7"/>
  <c r="H5" i="7"/>
  <c r="G5" i="7"/>
  <c r="F5" i="7"/>
  <c r="E5" i="7"/>
  <c r="D5" i="7"/>
  <c r="C5" i="7"/>
  <c r="B5" i="7"/>
  <c r="N4" i="7"/>
  <c r="M4" i="7"/>
  <c r="L4" i="7"/>
  <c r="K4" i="7"/>
  <c r="J4" i="7"/>
  <c r="I4" i="7"/>
  <c r="H4" i="7"/>
  <c r="G4" i="7"/>
  <c r="F4" i="7"/>
  <c r="E4" i="7"/>
  <c r="D4" i="7"/>
  <c r="C4" i="7"/>
  <c r="B4" i="7"/>
  <c r="N3" i="7"/>
  <c r="M3" i="7"/>
  <c r="L3" i="7"/>
  <c r="K3" i="7"/>
  <c r="J3" i="7"/>
  <c r="I3" i="7"/>
  <c r="H3" i="7"/>
  <c r="G3" i="7"/>
  <c r="F3" i="7"/>
  <c r="E3" i="7"/>
  <c r="D3" i="7"/>
  <c r="C3" i="7"/>
  <c r="B3" i="7"/>
  <c r="N2" i="7"/>
  <c r="M2" i="7"/>
  <c r="L2" i="7"/>
  <c r="K2" i="7"/>
  <c r="J2" i="7"/>
  <c r="I2" i="7"/>
  <c r="H2" i="7"/>
  <c r="G2" i="7"/>
  <c r="F2" i="7"/>
  <c r="E2" i="7"/>
  <c r="D2" i="7"/>
  <c r="C2" i="7"/>
  <c r="B2" i="7"/>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D60" i="4"/>
  <c r="D46" i="4"/>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2" i="1"/>
  <c r="E3" i="1"/>
  <c r="N3" i="1" s="1"/>
  <c r="E4" i="1"/>
  <c r="N4" i="1" s="1"/>
  <c r="E5" i="1"/>
  <c r="N5" i="1" s="1"/>
  <c r="E6" i="1"/>
  <c r="N6" i="1" s="1"/>
  <c r="E7" i="1"/>
  <c r="N7" i="1" s="1"/>
  <c r="E8" i="1"/>
  <c r="N8" i="1" s="1"/>
  <c r="E9" i="1"/>
  <c r="N9" i="1" s="1"/>
  <c r="E10" i="1"/>
  <c r="N10" i="1" s="1"/>
  <c r="E11" i="1"/>
  <c r="N11" i="1" s="1"/>
  <c r="E12" i="1"/>
  <c r="N12" i="1" s="1"/>
  <c r="E13" i="1"/>
  <c r="N13" i="1" s="1"/>
  <c r="E14" i="1"/>
  <c r="N14" i="1" s="1"/>
  <c r="E15" i="1"/>
  <c r="N15" i="1" s="1"/>
  <c r="E16" i="1"/>
  <c r="N16" i="1" s="1"/>
  <c r="E17" i="1"/>
  <c r="N17" i="1" s="1"/>
  <c r="E18" i="1"/>
  <c r="N18" i="1" s="1"/>
  <c r="E19" i="1"/>
  <c r="N19" i="1" s="1"/>
  <c r="E20" i="1"/>
  <c r="N20" i="1" s="1"/>
  <c r="E21" i="1"/>
  <c r="N21" i="1" s="1"/>
  <c r="E22" i="1"/>
  <c r="N22" i="1" s="1"/>
  <c r="E23" i="1"/>
  <c r="N23" i="1" s="1"/>
  <c r="E24" i="1"/>
  <c r="N24" i="1" s="1"/>
  <c r="E25" i="1"/>
  <c r="N25" i="1" s="1"/>
  <c r="E26" i="1"/>
  <c r="N26" i="1" s="1"/>
  <c r="E27" i="1"/>
  <c r="N27" i="1" s="1"/>
  <c r="E28" i="1"/>
  <c r="N28" i="1" s="1"/>
  <c r="E29" i="1"/>
  <c r="N29" i="1" s="1"/>
  <c r="E30" i="1"/>
  <c r="N30" i="1" s="1"/>
  <c r="E31" i="1"/>
  <c r="N31" i="1" s="1"/>
  <c r="E32" i="1"/>
  <c r="N32" i="1" s="1"/>
  <c r="E33" i="1"/>
  <c r="N33" i="1" s="1"/>
  <c r="E34" i="1"/>
  <c r="N34" i="1" s="1"/>
  <c r="E35" i="1"/>
  <c r="N35" i="1" s="1"/>
  <c r="E36" i="1"/>
  <c r="N36" i="1" s="1"/>
  <c r="E37" i="1"/>
  <c r="N37" i="1" s="1"/>
  <c r="E38" i="1"/>
  <c r="N38" i="1" s="1"/>
  <c r="E39" i="1"/>
  <c r="N39" i="1" s="1"/>
  <c r="E40" i="1"/>
  <c r="N40" i="1" s="1"/>
  <c r="E41" i="1"/>
  <c r="N41" i="1" s="1"/>
  <c r="E42" i="1"/>
  <c r="N42" i="1" s="1"/>
  <c r="E43" i="1"/>
  <c r="N43" i="1" s="1"/>
  <c r="E44" i="1"/>
  <c r="N44" i="1" s="1"/>
  <c r="E45" i="1"/>
  <c r="N45" i="1" s="1"/>
  <c r="E46" i="1"/>
  <c r="N46" i="1" s="1"/>
  <c r="E47" i="1"/>
  <c r="N47" i="1" s="1"/>
  <c r="E48" i="1"/>
  <c r="N48" i="1" s="1"/>
  <c r="E49" i="1"/>
  <c r="N49" i="1" s="1"/>
  <c r="E50" i="1"/>
  <c r="N50" i="1" s="1"/>
  <c r="E51" i="1"/>
  <c r="N51" i="1" s="1"/>
  <c r="E52" i="1"/>
  <c r="N52" i="1" s="1"/>
  <c r="E53" i="1"/>
  <c r="N53" i="1" s="1"/>
  <c r="E54" i="1"/>
  <c r="N54" i="1" s="1"/>
  <c r="E55" i="1"/>
  <c r="N55" i="1" s="1"/>
  <c r="E56" i="1"/>
  <c r="N56" i="1" s="1"/>
  <c r="E57" i="1"/>
  <c r="N57" i="1" s="1"/>
  <c r="E58" i="1"/>
  <c r="N58" i="1" s="1"/>
  <c r="E59" i="1"/>
  <c r="N59" i="1" s="1"/>
  <c r="E60" i="1"/>
  <c r="N60" i="1" s="1"/>
  <c r="E61" i="1"/>
  <c r="N61" i="1" s="1"/>
  <c r="E62" i="1"/>
  <c r="N62" i="1" s="1"/>
  <c r="E63" i="1"/>
  <c r="N63" i="1" s="1"/>
  <c r="E64" i="1"/>
  <c r="N64" i="1" s="1"/>
  <c r="E65" i="1"/>
  <c r="N65" i="1" s="1"/>
  <c r="E66" i="1"/>
  <c r="N66" i="1" s="1"/>
  <c r="E67" i="1"/>
  <c r="N67" i="1" s="1"/>
  <c r="E68" i="1"/>
  <c r="N68" i="1" s="1"/>
  <c r="E69" i="1"/>
  <c r="N69" i="1" s="1"/>
  <c r="E70" i="1"/>
  <c r="N70" i="1" s="1"/>
  <c r="E71" i="1"/>
  <c r="N71" i="1" s="1"/>
  <c r="E72" i="1"/>
  <c r="N72" i="1" s="1"/>
  <c r="E73" i="1"/>
  <c r="N73" i="1" s="1"/>
  <c r="E74" i="1"/>
  <c r="N74" i="1" s="1"/>
  <c r="E75" i="1"/>
  <c r="N75" i="1" s="1"/>
  <c r="E76" i="1"/>
  <c r="N76" i="1" s="1"/>
  <c r="E77" i="1"/>
  <c r="N77" i="1" s="1"/>
  <c r="E78" i="1"/>
  <c r="N78" i="1" s="1"/>
  <c r="E79" i="1"/>
  <c r="N79" i="1" s="1"/>
  <c r="E80" i="1"/>
  <c r="N80" i="1" s="1"/>
  <c r="E81" i="1"/>
  <c r="N81" i="1" s="1"/>
  <c r="E82" i="1"/>
  <c r="N82" i="1" s="1"/>
  <c r="E83" i="1"/>
  <c r="N83" i="1" s="1"/>
  <c r="E84" i="1"/>
  <c r="N84" i="1" s="1"/>
  <c r="E85" i="1"/>
  <c r="N85" i="1" s="1"/>
  <c r="E86" i="1"/>
  <c r="N86" i="1" s="1"/>
  <c r="E87" i="1"/>
  <c r="N87" i="1" s="1"/>
  <c r="E88" i="1"/>
  <c r="N88" i="1" s="1"/>
  <c r="E89" i="1"/>
  <c r="N89" i="1" s="1"/>
  <c r="E90" i="1"/>
  <c r="N90" i="1" s="1"/>
  <c r="E91" i="1"/>
  <c r="N91" i="1" s="1"/>
  <c r="E92" i="1"/>
  <c r="N92" i="1" s="1"/>
  <c r="E93" i="1"/>
  <c r="N93" i="1" s="1"/>
  <c r="E94" i="1"/>
  <c r="N94" i="1" s="1"/>
  <c r="E95" i="1"/>
  <c r="N95" i="1" s="1"/>
  <c r="E96" i="1"/>
  <c r="N96" i="1" s="1"/>
  <c r="E97" i="1"/>
  <c r="N97" i="1" s="1"/>
  <c r="E98" i="1"/>
  <c r="N98" i="1" s="1"/>
  <c r="E99" i="1"/>
  <c r="N99" i="1" s="1"/>
  <c r="E100" i="1"/>
  <c r="N100" i="1" s="1"/>
  <c r="E101" i="1"/>
  <c r="N101" i="1" s="1"/>
  <c r="E102" i="1"/>
  <c r="N102" i="1" s="1"/>
  <c r="E103" i="1"/>
  <c r="N103" i="1" s="1"/>
  <c r="E104" i="1"/>
  <c r="N104" i="1" s="1"/>
  <c r="E105" i="1"/>
  <c r="N105" i="1" s="1"/>
  <c r="E106" i="1"/>
  <c r="N106" i="1" s="1"/>
  <c r="E107" i="1"/>
  <c r="N107" i="1" s="1"/>
  <c r="E108" i="1"/>
  <c r="N108" i="1" s="1"/>
  <c r="E109" i="1"/>
  <c r="N109" i="1" s="1"/>
  <c r="E110" i="1"/>
  <c r="N110" i="1" s="1"/>
  <c r="E111" i="1"/>
  <c r="N111" i="1" s="1"/>
  <c r="E112" i="1"/>
  <c r="N112" i="1" s="1"/>
  <c r="E113" i="1"/>
  <c r="N113" i="1" s="1"/>
  <c r="E114" i="1"/>
  <c r="N114" i="1" s="1"/>
  <c r="E115" i="1"/>
  <c r="N115" i="1" s="1"/>
  <c r="E116" i="1"/>
  <c r="N116" i="1" s="1"/>
  <c r="E117" i="1"/>
  <c r="N117" i="1" s="1"/>
  <c r="E118" i="1"/>
  <c r="N118" i="1" s="1"/>
  <c r="E119" i="1"/>
  <c r="N119" i="1" s="1"/>
  <c r="E120" i="1"/>
  <c r="N120" i="1" s="1"/>
  <c r="E121" i="1"/>
  <c r="N121" i="1" s="1"/>
  <c r="E122" i="1"/>
  <c r="N122" i="1" s="1"/>
  <c r="E123" i="1"/>
  <c r="N123" i="1" s="1"/>
  <c r="E124" i="1"/>
  <c r="N124" i="1" s="1"/>
  <c r="E125" i="1"/>
  <c r="N125" i="1" s="1"/>
  <c r="E126" i="1"/>
  <c r="N126" i="1" s="1"/>
  <c r="E127" i="1"/>
  <c r="N127" i="1" s="1"/>
  <c r="E128" i="1"/>
  <c r="N128" i="1" s="1"/>
  <c r="E129" i="1"/>
  <c r="N129" i="1" s="1"/>
  <c r="E130" i="1"/>
  <c r="N130" i="1" s="1"/>
  <c r="E131" i="1"/>
  <c r="N131" i="1" s="1"/>
  <c r="E132" i="1"/>
  <c r="N132" i="1" s="1"/>
  <c r="E133" i="1"/>
  <c r="N133" i="1" s="1"/>
  <c r="E134" i="1"/>
  <c r="N134" i="1" s="1"/>
  <c r="E135" i="1"/>
  <c r="N135" i="1" s="1"/>
  <c r="E136" i="1"/>
  <c r="N136" i="1" s="1"/>
  <c r="E137" i="1"/>
  <c r="N137" i="1" s="1"/>
  <c r="E138" i="1"/>
  <c r="N138" i="1" s="1"/>
  <c r="E139" i="1"/>
  <c r="N139" i="1" s="1"/>
  <c r="E140" i="1"/>
  <c r="N140" i="1" s="1"/>
  <c r="E141" i="1"/>
  <c r="N141" i="1" s="1"/>
  <c r="E142" i="1"/>
  <c r="N142" i="1" s="1"/>
  <c r="E143" i="1"/>
  <c r="N143" i="1" s="1"/>
  <c r="E144" i="1"/>
  <c r="N144" i="1" s="1"/>
  <c r="E145" i="1"/>
  <c r="N145" i="1" s="1"/>
  <c r="E146" i="1"/>
  <c r="N146" i="1" s="1"/>
  <c r="E147" i="1"/>
  <c r="N147" i="1" s="1"/>
  <c r="E148" i="1"/>
  <c r="N148" i="1" s="1"/>
  <c r="E149" i="1"/>
  <c r="N149" i="1" s="1"/>
  <c r="E150" i="1"/>
  <c r="N150" i="1" s="1"/>
  <c r="E151" i="1"/>
  <c r="N151" i="1" s="1"/>
  <c r="E152" i="1"/>
  <c r="N152" i="1" s="1"/>
  <c r="E153" i="1"/>
  <c r="N153" i="1" s="1"/>
  <c r="E154" i="1"/>
  <c r="N154" i="1" s="1"/>
  <c r="E155" i="1"/>
  <c r="N155" i="1" s="1"/>
  <c r="E156" i="1"/>
  <c r="N156" i="1" s="1"/>
  <c r="E157" i="1"/>
  <c r="N157" i="1" s="1"/>
  <c r="E158" i="1"/>
  <c r="N158" i="1" s="1"/>
  <c r="E159" i="1"/>
  <c r="N159" i="1" s="1"/>
  <c r="E160" i="1"/>
  <c r="N160" i="1" s="1"/>
  <c r="E161" i="1"/>
  <c r="N161" i="1" s="1"/>
  <c r="E162" i="1"/>
  <c r="N162" i="1" s="1"/>
  <c r="E163" i="1"/>
  <c r="N163" i="1" s="1"/>
  <c r="E164" i="1"/>
  <c r="N164" i="1" s="1"/>
  <c r="E165" i="1"/>
  <c r="N165" i="1" s="1"/>
  <c r="E166" i="1"/>
  <c r="N166" i="1" s="1"/>
  <c r="E167" i="1"/>
  <c r="N167" i="1" s="1"/>
  <c r="E168" i="1"/>
  <c r="N168" i="1" s="1"/>
  <c r="E169" i="1"/>
  <c r="N169" i="1" s="1"/>
  <c r="E170" i="1"/>
  <c r="N170" i="1" s="1"/>
  <c r="E171" i="1"/>
  <c r="N171" i="1" s="1"/>
  <c r="E172" i="1"/>
  <c r="N172" i="1" s="1"/>
  <c r="E173" i="1"/>
  <c r="N173" i="1" s="1"/>
  <c r="E174" i="1"/>
  <c r="N174" i="1" s="1"/>
  <c r="E175" i="1"/>
  <c r="N175" i="1" s="1"/>
  <c r="E176" i="1"/>
  <c r="N176" i="1" s="1"/>
  <c r="E177" i="1"/>
  <c r="N177" i="1" s="1"/>
  <c r="E178" i="1"/>
  <c r="N178" i="1" s="1"/>
  <c r="E179" i="1"/>
  <c r="N179" i="1" s="1"/>
  <c r="E180" i="1"/>
  <c r="N180" i="1" s="1"/>
  <c r="E181" i="1"/>
  <c r="N181" i="1" s="1"/>
  <c r="E182" i="1"/>
  <c r="N182" i="1" s="1"/>
  <c r="E183" i="1"/>
  <c r="N183" i="1" s="1"/>
  <c r="E184" i="1"/>
  <c r="N184" i="1" s="1"/>
  <c r="E185" i="1"/>
  <c r="N185" i="1" s="1"/>
  <c r="E186" i="1"/>
  <c r="N186" i="1" s="1"/>
  <c r="E187" i="1"/>
  <c r="N187" i="1" s="1"/>
  <c r="E188" i="1"/>
  <c r="N188" i="1" s="1"/>
  <c r="E189" i="1"/>
  <c r="N189" i="1" s="1"/>
  <c r="E190" i="1"/>
  <c r="N190" i="1" s="1"/>
  <c r="E191" i="1"/>
  <c r="N191" i="1" s="1"/>
  <c r="E192" i="1"/>
  <c r="N192" i="1" s="1"/>
  <c r="E193" i="1"/>
  <c r="N193" i="1" s="1"/>
  <c r="E194" i="1"/>
  <c r="N194" i="1" s="1"/>
  <c r="E195" i="1"/>
  <c r="N195" i="1" s="1"/>
  <c r="E196" i="1"/>
  <c r="N196" i="1" s="1"/>
  <c r="E197" i="1"/>
  <c r="N197" i="1" s="1"/>
  <c r="E198" i="1"/>
  <c r="N198" i="1" s="1"/>
  <c r="E199" i="1"/>
  <c r="N199" i="1" s="1"/>
  <c r="E200" i="1"/>
  <c r="N200" i="1" s="1"/>
  <c r="E201" i="1"/>
  <c r="N201" i="1" s="1"/>
  <c r="E202" i="1"/>
  <c r="N202" i="1" s="1"/>
  <c r="E203" i="1"/>
  <c r="N203" i="1" s="1"/>
  <c r="E204" i="1"/>
  <c r="N204" i="1" s="1"/>
  <c r="E205" i="1"/>
  <c r="N205" i="1" s="1"/>
  <c r="E206" i="1"/>
  <c r="N206" i="1" s="1"/>
  <c r="E207" i="1"/>
  <c r="N207" i="1" s="1"/>
  <c r="E208" i="1"/>
  <c r="N208" i="1" s="1"/>
  <c r="E209" i="1"/>
  <c r="N209" i="1" s="1"/>
  <c r="E210" i="1"/>
  <c r="N210" i="1" s="1"/>
  <c r="E211" i="1"/>
  <c r="N211" i="1" s="1"/>
  <c r="E212" i="1"/>
  <c r="N212" i="1" s="1"/>
  <c r="E213" i="1"/>
  <c r="N213" i="1" s="1"/>
  <c r="E214" i="1"/>
  <c r="N214" i="1" s="1"/>
  <c r="E215" i="1"/>
  <c r="N215" i="1" s="1"/>
  <c r="E216" i="1"/>
  <c r="N216" i="1" s="1"/>
  <c r="E217" i="1"/>
  <c r="N217" i="1" s="1"/>
  <c r="E218" i="1"/>
  <c r="N218" i="1" s="1"/>
  <c r="E219" i="1"/>
  <c r="N219" i="1" s="1"/>
  <c r="E220" i="1"/>
  <c r="N220" i="1" s="1"/>
  <c r="E221" i="1"/>
  <c r="N221" i="1" s="1"/>
  <c r="E222" i="1"/>
  <c r="N222" i="1" s="1"/>
  <c r="E223" i="1"/>
  <c r="N223" i="1" s="1"/>
  <c r="E224" i="1"/>
  <c r="N224" i="1" s="1"/>
  <c r="E225" i="1"/>
  <c r="N225" i="1" s="1"/>
  <c r="E226" i="1"/>
  <c r="N226" i="1" s="1"/>
  <c r="E227" i="1"/>
  <c r="N227" i="1" s="1"/>
  <c r="E228" i="1"/>
  <c r="N228" i="1" s="1"/>
  <c r="E229" i="1"/>
  <c r="N229" i="1" s="1"/>
  <c r="E230" i="1"/>
  <c r="N230" i="1" s="1"/>
  <c r="E231" i="1"/>
  <c r="N231" i="1" s="1"/>
  <c r="E232" i="1"/>
  <c r="N232" i="1" s="1"/>
  <c r="E233" i="1"/>
  <c r="N233" i="1" s="1"/>
  <c r="E234" i="1"/>
  <c r="N234" i="1" s="1"/>
  <c r="E235" i="1"/>
  <c r="N235" i="1" s="1"/>
  <c r="E236" i="1"/>
  <c r="N236" i="1" s="1"/>
  <c r="E237" i="1"/>
  <c r="N237" i="1" s="1"/>
  <c r="E238" i="1"/>
  <c r="N238" i="1" s="1"/>
  <c r="E239" i="1"/>
  <c r="N239" i="1" s="1"/>
  <c r="E240" i="1"/>
  <c r="N240" i="1" s="1"/>
  <c r="E241" i="1"/>
  <c r="N241" i="1" s="1"/>
  <c r="E242" i="1"/>
  <c r="N242" i="1" s="1"/>
  <c r="E243" i="1"/>
  <c r="N243" i="1" s="1"/>
  <c r="E244" i="1"/>
  <c r="N244" i="1" s="1"/>
  <c r="E245" i="1"/>
  <c r="N245" i="1" s="1"/>
  <c r="E246" i="1"/>
  <c r="N246" i="1" s="1"/>
  <c r="E247" i="1"/>
  <c r="N247" i="1" s="1"/>
  <c r="E248" i="1"/>
  <c r="N248" i="1" s="1"/>
  <c r="E249" i="1"/>
  <c r="N249" i="1" s="1"/>
  <c r="E250" i="1"/>
  <c r="N250" i="1" s="1"/>
  <c r="E251" i="1"/>
  <c r="N251" i="1" s="1"/>
  <c r="E252" i="1"/>
  <c r="N252" i="1" s="1"/>
  <c r="E253" i="1"/>
  <c r="N253" i="1" s="1"/>
  <c r="E254" i="1"/>
  <c r="N254" i="1" s="1"/>
  <c r="E255" i="1"/>
  <c r="N255" i="1" s="1"/>
  <c r="E256" i="1"/>
  <c r="N256" i="1" s="1"/>
  <c r="E257" i="1"/>
  <c r="N257" i="1" s="1"/>
  <c r="E258" i="1"/>
  <c r="N258" i="1" s="1"/>
  <c r="E259" i="1"/>
  <c r="N259" i="1" s="1"/>
  <c r="E260" i="1"/>
  <c r="N260" i="1" s="1"/>
  <c r="E261" i="1"/>
  <c r="N261" i="1" s="1"/>
  <c r="E262" i="1"/>
  <c r="N262" i="1" s="1"/>
  <c r="E263" i="1"/>
  <c r="N263" i="1" s="1"/>
  <c r="E264" i="1"/>
  <c r="N264" i="1" s="1"/>
  <c r="E265" i="1"/>
  <c r="N265" i="1" s="1"/>
  <c r="E266" i="1"/>
  <c r="N266" i="1" s="1"/>
  <c r="E267" i="1"/>
  <c r="N267" i="1" s="1"/>
  <c r="E268" i="1"/>
  <c r="N268" i="1" s="1"/>
  <c r="E269" i="1"/>
  <c r="N269" i="1" s="1"/>
  <c r="E270" i="1"/>
  <c r="N270" i="1" s="1"/>
  <c r="E271" i="1"/>
  <c r="N271" i="1" s="1"/>
  <c r="E272" i="1"/>
  <c r="N272" i="1" s="1"/>
  <c r="E273" i="1"/>
  <c r="N273" i="1" s="1"/>
  <c r="E274" i="1"/>
  <c r="N274" i="1" s="1"/>
  <c r="E275" i="1"/>
  <c r="N275" i="1" s="1"/>
  <c r="E276" i="1"/>
  <c r="N276" i="1" s="1"/>
  <c r="E277" i="1"/>
  <c r="N277" i="1" s="1"/>
  <c r="E278" i="1"/>
  <c r="N278" i="1" s="1"/>
  <c r="E279" i="1"/>
  <c r="N279" i="1" s="1"/>
  <c r="E280" i="1"/>
  <c r="N280" i="1" s="1"/>
  <c r="E281" i="1"/>
  <c r="N281" i="1" s="1"/>
  <c r="E282" i="1"/>
  <c r="N282" i="1" s="1"/>
  <c r="E283" i="1"/>
  <c r="N283" i="1" s="1"/>
  <c r="E284" i="1"/>
  <c r="N284" i="1" s="1"/>
  <c r="E285" i="1"/>
  <c r="N285" i="1" s="1"/>
  <c r="E286" i="1"/>
  <c r="N286" i="1" s="1"/>
  <c r="E287" i="1"/>
  <c r="N287" i="1" s="1"/>
  <c r="E288" i="1"/>
  <c r="N288" i="1" s="1"/>
  <c r="E289" i="1"/>
  <c r="N289" i="1" s="1"/>
  <c r="E290" i="1"/>
  <c r="N290" i="1" s="1"/>
  <c r="E291" i="1"/>
  <c r="N291" i="1" s="1"/>
  <c r="E292" i="1"/>
  <c r="N292" i="1" s="1"/>
  <c r="E293" i="1"/>
  <c r="N293" i="1" s="1"/>
  <c r="E294" i="1"/>
  <c r="N294" i="1" s="1"/>
  <c r="E295" i="1"/>
  <c r="N295" i="1" s="1"/>
  <c r="E296" i="1"/>
  <c r="N296" i="1" s="1"/>
  <c r="E297" i="1"/>
  <c r="N297" i="1" s="1"/>
  <c r="E298" i="1"/>
  <c r="N298" i="1" s="1"/>
  <c r="E299" i="1"/>
  <c r="N299" i="1" s="1"/>
  <c r="E300" i="1"/>
  <c r="N300" i="1" s="1"/>
  <c r="E301" i="1"/>
  <c r="N301" i="1" s="1"/>
  <c r="E302" i="1"/>
  <c r="N302" i="1" s="1"/>
  <c r="E303" i="1"/>
  <c r="N303" i="1" s="1"/>
  <c r="E304" i="1"/>
  <c r="N304" i="1" s="1"/>
  <c r="E305" i="1"/>
  <c r="N305" i="1" s="1"/>
  <c r="E306" i="1"/>
  <c r="N306" i="1" s="1"/>
  <c r="E307" i="1"/>
  <c r="N307" i="1" s="1"/>
  <c r="E308" i="1"/>
  <c r="N308" i="1" s="1"/>
  <c r="E309" i="1"/>
  <c r="N309" i="1" s="1"/>
  <c r="E310" i="1"/>
  <c r="N310" i="1" s="1"/>
  <c r="E311" i="1"/>
  <c r="N311" i="1" s="1"/>
  <c r="E312" i="1"/>
  <c r="N312" i="1" s="1"/>
  <c r="E313" i="1"/>
  <c r="N313" i="1" s="1"/>
  <c r="E314" i="1"/>
  <c r="N314" i="1" s="1"/>
  <c r="E315" i="1"/>
  <c r="N315" i="1" s="1"/>
  <c r="E316" i="1"/>
  <c r="N316" i="1" s="1"/>
  <c r="E317" i="1"/>
  <c r="N317" i="1" s="1"/>
  <c r="E318" i="1"/>
  <c r="N318" i="1" s="1"/>
  <c r="E319" i="1"/>
  <c r="N319" i="1" s="1"/>
  <c r="E320" i="1"/>
  <c r="N320" i="1" s="1"/>
  <c r="E321" i="1"/>
  <c r="N321" i="1" s="1"/>
  <c r="E322" i="1"/>
  <c r="N322" i="1" s="1"/>
  <c r="E323" i="1"/>
  <c r="N323" i="1" s="1"/>
  <c r="E324" i="1"/>
  <c r="N324" i="1" s="1"/>
  <c r="E325" i="1"/>
  <c r="N325" i="1" s="1"/>
  <c r="E326" i="1"/>
  <c r="N326" i="1" s="1"/>
  <c r="E327" i="1"/>
  <c r="N327" i="1" s="1"/>
  <c r="E328" i="1"/>
  <c r="N328" i="1" s="1"/>
  <c r="E329" i="1"/>
  <c r="N329" i="1" s="1"/>
  <c r="E330" i="1"/>
  <c r="N330" i="1" s="1"/>
  <c r="E331" i="1"/>
  <c r="N331" i="1" s="1"/>
  <c r="E332" i="1"/>
  <c r="N332" i="1" s="1"/>
  <c r="E333" i="1"/>
  <c r="N333" i="1" s="1"/>
  <c r="E334" i="1"/>
  <c r="N334" i="1" s="1"/>
  <c r="E335" i="1"/>
  <c r="N335" i="1" s="1"/>
  <c r="E336" i="1"/>
  <c r="N336" i="1" s="1"/>
  <c r="E337" i="1"/>
  <c r="N337" i="1" s="1"/>
  <c r="E338" i="1"/>
  <c r="N338" i="1" s="1"/>
  <c r="E339" i="1"/>
  <c r="N339" i="1" s="1"/>
  <c r="E340" i="1"/>
  <c r="N340" i="1" s="1"/>
  <c r="E341" i="1"/>
  <c r="N341" i="1" s="1"/>
  <c r="E342" i="1"/>
  <c r="N342" i="1" s="1"/>
  <c r="E343" i="1"/>
  <c r="N343" i="1" s="1"/>
  <c r="E344" i="1"/>
  <c r="N344" i="1" s="1"/>
  <c r="E345" i="1"/>
  <c r="N345" i="1" s="1"/>
  <c r="E346" i="1"/>
  <c r="N346" i="1" s="1"/>
  <c r="E347" i="1"/>
  <c r="N347" i="1" s="1"/>
  <c r="E348" i="1"/>
  <c r="N348" i="1" s="1"/>
  <c r="E349" i="1"/>
  <c r="N349" i="1" s="1"/>
  <c r="E350" i="1"/>
  <c r="N350" i="1" s="1"/>
  <c r="E351" i="1"/>
  <c r="N351" i="1" s="1"/>
  <c r="E352" i="1"/>
  <c r="N352" i="1" s="1"/>
  <c r="E353" i="1"/>
  <c r="N353" i="1" s="1"/>
  <c r="E354" i="1"/>
  <c r="N354" i="1" s="1"/>
  <c r="E355" i="1"/>
  <c r="N355" i="1" s="1"/>
  <c r="E356" i="1"/>
  <c r="N356" i="1" s="1"/>
  <c r="E357" i="1"/>
  <c r="N357" i="1" s="1"/>
  <c r="E358" i="1"/>
  <c r="N358" i="1" s="1"/>
  <c r="E359" i="1"/>
  <c r="N359" i="1" s="1"/>
  <c r="E360" i="1"/>
  <c r="N360" i="1" s="1"/>
  <c r="E361" i="1"/>
  <c r="N361" i="1" s="1"/>
  <c r="E362" i="1"/>
  <c r="N362" i="1" s="1"/>
  <c r="E363" i="1"/>
  <c r="N363" i="1" s="1"/>
  <c r="E364" i="1"/>
  <c r="N364" i="1" s="1"/>
  <c r="E365" i="1"/>
  <c r="N365" i="1" s="1"/>
  <c r="E366" i="1"/>
  <c r="N366" i="1" s="1"/>
  <c r="E367" i="1"/>
  <c r="N367" i="1" s="1"/>
  <c r="E368" i="1"/>
  <c r="N368" i="1" s="1"/>
  <c r="E369" i="1"/>
  <c r="N369" i="1" s="1"/>
  <c r="E370" i="1"/>
  <c r="N370" i="1" s="1"/>
  <c r="E371" i="1"/>
  <c r="N371" i="1" s="1"/>
  <c r="E372" i="1"/>
  <c r="N372" i="1" s="1"/>
  <c r="E373" i="1"/>
  <c r="N373" i="1" s="1"/>
  <c r="E374" i="1"/>
  <c r="N374" i="1" s="1"/>
  <c r="E375" i="1"/>
  <c r="N375" i="1" s="1"/>
  <c r="E376" i="1"/>
  <c r="N376" i="1" s="1"/>
  <c r="E377" i="1"/>
  <c r="N377" i="1" s="1"/>
  <c r="E378" i="1"/>
  <c r="N378" i="1" s="1"/>
  <c r="E379" i="1"/>
  <c r="N379" i="1" s="1"/>
  <c r="E380" i="1"/>
  <c r="N380" i="1" s="1"/>
  <c r="E381" i="1"/>
  <c r="N381" i="1" s="1"/>
  <c r="E382" i="1"/>
  <c r="N382" i="1" s="1"/>
  <c r="E383" i="1"/>
  <c r="N383" i="1" s="1"/>
  <c r="E384" i="1"/>
  <c r="N384" i="1" s="1"/>
  <c r="E385" i="1"/>
  <c r="N385" i="1" s="1"/>
  <c r="E386" i="1"/>
  <c r="N386" i="1" s="1"/>
  <c r="E387" i="1"/>
  <c r="N387" i="1" s="1"/>
  <c r="E388" i="1"/>
  <c r="N388" i="1" s="1"/>
  <c r="E389" i="1"/>
  <c r="N389" i="1" s="1"/>
  <c r="E390" i="1"/>
  <c r="N390" i="1" s="1"/>
  <c r="E391" i="1"/>
  <c r="N391" i="1" s="1"/>
  <c r="E392" i="1"/>
  <c r="N392" i="1" s="1"/>
  <c r="E393" i="1"/>
  <c r="N393" i="1" s="1"/>
  <c r="E394" i="1"/>
  <c r="N394" i="1" s="1"/>
  <c r="E395" i="1"/>
  <c r="N395" i="1" s="1"/>
  <c r="E396" i="1"/>
  <c r="N396" i="1" s="1"/>
  <c r="E397" i="1"/>
  <c r="N397" i="1" s="1"/>
  <c r="E398" i="1"/>
  <c r="N398" i="1" s="1"/>
  <c r="E399" i="1"/>
  <c r="N399" i="1" s="1"/>
  <c r="E400" i="1"/>
  <c r="N400" i="1" s="1"/>
  <c r="E401" i="1"/>
  <c r="N401" i="1" s="1"/>
  <c r="E402" i="1"/>
  <c r="N402" i="1" s="1"/>
  <c r="E403" i="1"/>
  <c r="N403" i="1" s="1"/>
  <c r="E404" i="1"/>
  <c r="N404" i="1" s="1"/>
  <c r="E405" i="1"/>
  <c r="N405" i="1" s="1"/>
  <c r="E406" i="1"/>
  <c r="N406" i="1" s="1"/>
  <c r="E407" i="1"/>
  <c r="N407" i="1" s="1"/>
  <c r="E408" i="1"/>
  <c r="N408" i="1" s="1"/>
  <c r="E409" i="1"/>
  <c r="N409" i="1" s="1"/>
  <c r="E410" i="1"/>
  <c r="N410" i="1" s="1"/>
  <c r="E411" i="1"/>
  <c r="N411" i="1" s="1"/>
  <c r="E412" i="1"/>
  <c r="N412" i="1" s="1"/>
  <c r="E413" i="1"/>
  <c r="N413" i="1" s="1"/>
  <c r="E414" i="1"/>
  <c r="N414" i="1" s="1"/>
  <c r="E415" i="1"/>
  <c r="N415" i="1" s="1"/>
  <c r="E416" i="1"/>
  <c r="N416" i="1" s="1"/>
  <c r="E417" i="1"/>
  <c r="N417" i="1" s="1"/>
  <c r="E418" i="1"/>
  <c r="N418" i="1" s="1"/>
  <c r="E419" i="1"/>
  <c r="N419" i="1" s="1"/>
  <c r="E420" i="1"/>
  <c r="N420" i="1" s="1"/>
  <c r="E421" i="1"/>
  <c r="N421" i="1" s="1"/>
  <c r="E422" i="1"/>
  <c r="N422" i="1" s="1"/>
  <c r="E423" i="1"/>
  <c r="N423" i="1" s="1"/>
  <c r="E424" i="1"/>
  <c r="N424" i="1" s="1"/>
  <c r="E425" i="1"/>
  <c r="N425" i="1" s="1"/>
  <c r="E426" i="1"/>
  <c r="N426" i="1" s="1"/>
  <c r="E427" i="1"/>
  <c r="N427" i="1" s="1"/>
  <c r="E428" i="1"/>
  <c r="N428" i="1" s="1"/>
  <c r="E429" i="1"/>
  <c r="N429" i="1" s="1"/>
  <c r="E430" i="1"/>
  <c r="N430" i="1" s="1"/>
  <c r="E431" i="1"/>
  <c r="N431" i="1" s="1"/>
  <c r="E432" i="1"/>
  <c r="N432" i="1" s="1"/>
  <c r="E433" i="1"/>
  <c r="N433" i="1" s="1"/>
  <c r="E434" i="1"/>
  <c r="N434" i="1" s="1"/>
  <c r="E435" i="1"/>
  <c r="N435" i="1" s="1"/>
  <c r="E436" i="1"/>
  <c r="N436" i="1" s="1"/>
  <c r="E437" i="1"/>
  <c r="N437" i="1" s="1"/>
  <c r="E438" i="1"/>
  <c r="N438" i="1" s="1"/>
  <c r="E439" i="1"/>
  <c r="N439" i="1" s="1"/>
  <c r="E440" i="1"/>
  <c r="N440" i="1" s="1"/>
  <c r="E441" i="1"/>
  <c r="N441" i="1" s="1"/>
  <c r="E442" i="1"/>
  <c r="N442" i="1" s="1"/>
  <c r="E443" i="1"/>
  <c r="N443" i="1" s="1"/>
  <c r="E444" i="1"/>
  <c r="N444" i="1" s="1"/>
  <c r="E445" i="1"/>
  <c r="N445" i="1" s="1"/>
  <c r="E446" i="1"/>
  <c r="N446" i="1" s="1"/>
  <c r="E447" i="1"/>
  <c r="N447" i="1" s="1"/>
  <c r="E448" i="1"/>
  <c r="N448" i="1" s="1"/>
  <c r="E449" i="1"/>
  <c r="N449" i="1" s="1"/>
  <c r="E450" i="1"/>
  <c r="N450" i="1" s="1"/>
  <c r="E451" i="1"/>
  <c r="N451" i="1" s="1"/>
  <c r="E452" i="1"/>
  <c r="N452" i="1" s="1"/>
  <c r="E453" i="1"/>
  <c r="N453" i="1" s="1"/>
  <c r="E454" i="1"/>
  <c r="N454" i="1" s="1"/>
  <c r="E455" i="1"/>
  <c r="N455" i="1" s="1"/>
  <c r="E456" i="1"/>
  <c r="N456" i="1" s="1"/>
  <c r="E457" i="1"/>
  <c r="N457" i="1" s="1"/>
  <c r="E458" i="1"/>
  <c r="N458" i="1" s="1"/>
  <c r="E459" i="1"/>
  <c r="N459" i="1" s="1"/>
  <c r="E460" i="1"/>
  <c r="N460" i="1" s="1"/>
  <c r="E461" i="1"/>
  <c r="N461" i="1" s="1"/>
  <c r="E462" i="1"/>
  <c r="N462" i="1" s="1"/>
  <c r="E463" i="1"/>
  <c r="N463" i="1" s="1"/>
  <c r="E464" i="1"/>
  <c r="N464" i="1" s="1"/>
  <c r="E465" i="1"/>
  <c r="N465" i="1" s="1"/>
  <c r="E466" i="1"/>
  <c r="N466" i="1" s="1"/>
  <c r="E467" i="1"/>
  <c r="N467" i="1" s="1"/>
  <c r="E468" i="1"/>
  <c r="N468" i="1" s="1"/>
  <c r="E469" i="1"/>
  <c r="N469" i="1" s="1"/>
  <c r="E470" i="1"/>
  <c r="N470" i="1" s="1"/>
  <c r="E471" i="1"/>
  <c r="N471" i="1" s="1"/>
  <c r="E472" i="1"/>
  <c r="N472" i="1" s="1"/>
  <c r="E473" i="1"/>
  <c r="N473" i="1" s="1"/>
  <c r="E474" i="1"/>
  <c r="N474" i="1" s="1"/>
  <c r="E475" i="1"/>
  <c r="N475" i="1" s="1"/>
  <c r="E476" i="1"/>
  <c r="N476" i="1" s="1"/>
  <c r="E477" i="1"/>
  <c r="N477" i="1" s="1"/>
  <c r="E478" i="1"/>
  <c r="N478" i="1" s="1"/>
  <c r="E479" i="1"/>
  <c r="N479" i="1" s="1"/>
  <c r="E480" i="1"/>
  <c r="N480" i="1" s="1"/>
  <c r="E481" i="1"/>
  <c r="N481" i="1" s="1"/>
  <c r="E482" i="1"/>
  <c r="N482" i="1" s="1"/>
  <c r="E483" i="1"/>
  <c r="N483" i="1" s="1"/>
  <c r="E484" i="1"/>
  <c r="N484" i="1" s="1"/>
  <c r="E485" i="1"/>
  <c r="N485" i="1" s="1"/>
  <c r="E486" i="1"/>
  <c r="N486" i="1" s="1"/>
  <c r="E487" i="1"/>
  <c r="N487" i="1" s="1"/>
  <c r="E488" i="1"/>
  <c r="N488" i="1" s="1"/>
  <c r="E489" i="1"/>
  <c r="N489" i="1" s="1"/>
  <c r="E490" i="1"/>
  <c r="N490" i="1" s="1"/>
  <c r="E491" i="1"/>
  <c r="N491" i="1" s="1"/>
  <c r="E492" i="1"/>
  <c r="N492" i="1" s="1"/>
  <c r="E493" i="1"/>
  <c r="N493" i="1" s="1"/>
  <c r="E494" i="1"/>
  <c r="N494" i="1" s="1"/>
  <c r="E495" i="1"/>
  <c r="N495" i="1" s="1"/>
  <c r="E496" i="1"/>
  <c r="N496" i="1" s="1"/>
  <c r="E497" i="1"/>
  <c r="N497" i="1" s="1"/>
  <c r="E498" i="1"/>
  <c r="N498" i="1" s="1"/>
  <c r="E499" i="1"/>
  <c r="N499" i="1" s="1"/>
  <c r="E500" i="1"/>
  <c r="N500" i="1" s="1"/>
  <c r="E501" i="1"/>
  <c r="N501" i="1" s="1"/>
  <c r="E502" i="1"/>
  <c r="N502" i="1" s="1"/>
  <c r="E503" i="1"/>
  <c r="N503" i="1" s="1"/>
  <c r="E504" i="1"/>
  <c r="N504" i="1" s="1"/>
  <c r="E505" i="1"/>
  <c r="N505" i="1" s="1"/>
  <c r="E506" i="1"/>
  <c r="N506" i="1" s="1"/>
  <c r="E507" i="1"/>
  <c r="N507" i="1" s="1"/>
  <c r="E508" i="1"/>
  <c r="N508" i="1" s="1"/>
  <c r="E509" i="1"/>
  <c r="N509" i="1" s="1"/>
  <c r="E510" i="1"/>
  <c r="N510" i="1" s="1"/>
  <c r="E511" i="1"/>
  <c r="N511" i="1" s="1"/>
  <c r="E512" i="1"/>
  <c r="N512" i="1" s="1"/>
  <c r="E513" i="1"/>
  <c r="N513" i="1" s="1"/>
  <c r="E514" i="1"/>
  <c r="N514" i="1" s="1"/>
  <c r="E515" i="1"/>
  <c r="N515" i="1" s="1"/>
  <c r="E516" i="1"/>
  <c r="N516" i="1" s="1"/>
  <c r="E517" i="1"/>
  <c r="N517" i="1" s="1"/>
  <c r="E518" i="1"/>
  <c r="N518" i="1" s="1"/>
  <c r="E519" i="1"/>
  <c r="N519" i="1" s="1"/>
  <c r="E520" i="1"/>
  <c r="N520" i="1" s="1"/>
  <c r="E521" i="1"/>
  <c r="N521" i="1" s="1"/>
  <c r="E522" i="1"/>
  <c r="N522" i="1" s="1"/>
  <c r="E523" i="1"/>
  <c r="N523" i="1" s="1"/>
  <c r="E524" i="1"/>
  <c r="N524" i="1" s="1"/>
  <c r="E525" i="1"/>
  <c r="N525" i="1" s="1"/>
  <c r="E526" i="1"/>
  <c r="N526" i="1" s="1"/>
  <c r="E527" i="1"/>
  <c r="N527" i="1" s="1"/>
  <c r="E528" i="1"/>
  <c r="N528" i="1" s="1"/>
  <c r="E529" i="1"/>
  <c r="N529" i="1" s="1"/>
  <c r="E530" i="1"/>
  <c r="N530" i="1" s="1"/>
  <c r="E531" i="1"/>
  <c r="N531" i="1" s="1"/>
  <c r="E532" i="1"/>
  <c r="N532" i="1" s="1"/>
  <c r="E533" i="1"/>
  <c r="N533" i="1" s="1"/>
  <c r="E534" i="1"/>
  <c r="N534" i="1" s="1"/>
  <c r="E535" i="1"/>
  <c r="N535" i="1" s="1"/>
  <c r="E536" i="1"/>
  <c r="N536" i="1" s="1"/>
  <c r="E537" i="1"/>
  <c r="N537" i="1" s="1"/>
  <c r="E538" i="1"/>
  <c r="N538" i="1" s="1"/>
  <c r="E539" i="1"/>
  <c r="N539" i="1" s="1"/>
  <c r="E540" i="1"/>
  <c r="N540" i="1" s="1"/>
  <c r="E541" i="1"/>
  <c r="N541" i="1" s="1"/>
  <c r="E542" i="1"/>
  <c r="N542" i="1" s="1"/>
  <c r="E543" i="1"/>
  <c r="N543" i="1" s="1"/>
  <c r="E544" i="1"/>
  <c r="N544" i="1" s="1"/>
  <c r="E545" i="1"/>
  <c r="N545" i="1" s="1"/>
  <c r="E546" i="1"/>
  <c r="N546" i="1" s="1"/>
  <c r="E547" i="1"/>
  <c r="N547" i="1" s="1"/>
  <c r="E548" i="1"/>
  <c r="N548" i="1" s="1"/>
  <c r="E549" i="1"/>
  <c r="N549" i="1" s="1"/>
  <c r="E550" i="1"/>
  <c r="N550" i="1" s="1"/>
  <c r="E551" i="1"/>
  <c r="N551" i="1" s="1"/>
  <c r="E552" i="1"/>
  <c r="N552" i="1" s="1"/>
  <c r="E553" i="1"/>
  <c r="N553" i="1" s="1"/>
  <c r="E554" i="1"/>
  <c r="N554" i="1" s="1"/>
  <c r="E555" i="1"/>
  <c r="N555" i="1" s="1"/>
  <c r="E556" i="1"/>
  <c r="N556" i="1" s="1"/>
  <c r="E557" i="1"/>
  <c r="N557" i="1" s="1"/>
  <c r="E558" i="1"/>
  <c r="N558" i="1" s="1"/>
  <c r="E559" i="1"/>
  <c r="N559" i="1" s="1"/>
  <c r="E560" i="1"/>
  <c r="N560" i="1" s="1"/>
  <c r="E561" i="1"/>
  <c r="N561" i="1" s="1"/>
  <c r="E562" i="1"/>
  <c r="N562" i="1" s="1"/>
  <c r="E563" i="1"/>
  <c r="N563" i="1" s="1"/>
  <c r="E564" i="1"/>
  <c r="N564" i="1" s="1"/>
  <c r="E565" i="1"/>
  <c r="N565" i="1" s="1"/>
  <c r="E566" i="1"/>
  <c r="N566" i="1" s="1"/>
  <c r="E567" i="1"/>
  <c r="N567" i="1" s="1"/>
  <c r="E568" i="1"/>
  <c r="N568" i="1" s="1"/>
  <c r="E569" i="1"/>
  <c r="N569" i="1" s="1"/>
  <c r="E570" i="1"/>
  <c r="N570" i="1" s="1"/>
  <c r="E571" i="1"/>
  <c r="N571" i="1" s="1"/>
  <c r="E572" i="1"/>
  <c r="N572" i="1" s="1"/>
  <c r="E573" i="1"/>
  <c r="N573" i="1" s="1"/>
  <c r="E574" i="1"/>
  <c r="N574" i="1" s="1"/>
  <c r="E575" i="1"/>
  <c r="N575" i="1" s="1"/>
  <c r="E576" i="1"/>
  <c r="N576" i="1" s="1"/>
  <c r="E577" i="1"/>
  <c r="N577" i="1" s="1"/>
  <c r="E578" i="1"/>
  <c r="N578" i="1" s="1"/>
  <c r="E579" i="1"/>
  <c r="N579" i="1" s="1"/>
  <c r="E580" i="1"/>
  <c r="N580" i="1" s="1"/>
  <c r="E581" i="1"/>
  <c r="N581" i="1" s="1"/>
  <c r="E582" i="1"/>
  <c r="N582" i="1" s="1"/>
  <c r="E583" i="1"/>
  <c r="N583" i="1" s="1"/>
  <c r="E584" i="1"/>
  <c r="N584" i="1" s="1"/>
  <c r="E585" i="1"/>
  <c r="N585" i="1" s="1"/>
  <c r="E586" i="1"/>
  <c r="N586" i="1" s="1"/>
  <c r="E587" i="1"/>
  <c r="N587" i="1" s="1"/>
  <c r="E588" i="1"/>
  <c r="N588" i="1" s="1"/>
  <c r="E589" i="1"/>
  <c r="N589" i="1" s="1"/>
  <c r="E590" i="1"/>
  <c r="N590" i="1" s="1"/>
  <c r="E591" i="1"/>
  <c r="N591" i="1" s="1"/>
  <c r="E592" i="1"/>
  <c r="N592" i="1" s="1"/>
  <c r="E593" i="1"/>
  <c r="N593" i="1" s="1"/>
  <c r="E594" i="1"/>
  <c r="N594" i="1" s="1"/>
  <c r="E595" i="1"/>
  <c r="N595" i="1" s="1"/>
  <c r="E596" i="1"/>
  <c r="N596" i="1" s="1"/>
  <c r="E597" i="1"/>
  <c r="N597" i="1" s="1"/>
  <c r="E598" i="1"/>
  <c r="N598" i="1" s="1"/>
  <c r="E599" i="1"/>
  <c r="N599" i="1" s="1"/>
  <c r="E600" i="1"/>
  <c r="N600" i="1" s="1"/>
  <c r="E601" i="1"/>
  <c r="N601" i="1" s="1"/>
  <c r="E602" i="1"/>
  <c r="N602" i="1" s="1"/>
  <c r="E603" i="1"/>
  <c r="N603" i="1" s="1"/>
  <c r="E604" i="1"/>
  <c r="N604" i="1" s="1"/>
  <c r="E605" i="1"/>
  <c r="N605" i="1" s="1"/>
  <c r="E606" i="1"/>
  <c r="N606" i="1" s="1"/>
  <c r="E607" i="1"/>
  <c r="N607" i="1" s="1"/>
  <c r="E608" i="1"/>
  <c r="N608" i="1" s="1"/>
  <c r="E609" i="1"/>
  <c r="N609" i="1" s="1"/>
  <c r="E610" i="1"/>
  <c r="N610" i="1" s="1"/>
  <c r="E611" i="1"/>
  <c r="N611" i="1" s="1"/>
  <c r="E2" i="1"/>
  <c r="N2" i="1" s="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2"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3" i="1"/>
  <c r="I4" i="1"/>
  <c r="I5" i="1"/>
  <c r="I6" i="1"/>
  <c r="I7" i="1"/>
  <c r="I8" i="1"/>
  <c r="I9" i="1"/>
  <c r="I10" i="1"/>
  <c r="I11" i="1"/>
  <c r="I12" i="1"/>
  <c r="I13" i="1"/>
  <c r="I14" i="1"/>
  <c r="I15" i="1"/>
  <c r="I16" i="1"/>
  <c r="I17" i="1"/>
  <c r="I18" i="1"/>
  <c r="I19" i="1"/>
  <c r="I20" i="1"/>
  <c r="I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2" i="1"/>
  <c r="B71" i="3"/>
  <c r="B67" i="3"/>
  <c r="B60" i="3"/>
  <c r="B50" i="3"/>
  <c r="B45" i="3"/>
  <c r="B39" i="3"/>
  <c r="B34" i="3"/>
  <c r="B30" i="3"/>
  <c r="B25" i="3"/>
  <c r="B19" i="3"/>
  <c r="B10" i="3"/>
  <c r="G611" i="1"/>
  <c r="G610" i="1"/>
  <c r="G609" i="1"/>
  <c r="G608" i="1"/>
  <c r="G607" i="1"/>
  <c r="G606" i="1"/>
  <c r="G605" i="1"/>
  <c r="G604" i="1"/>
  <c r="G603" i="1"/>
  <c r="G602" i="1"/>
  <c r="G601" i="1"/>
  <c r="G600" i="1"/>
  <c r="G599" i="1"/>
  <c r="G598" i="1"/>
  <c r="G597" i="1"/>
  <c r="G596" i="1"/>
  <c r="G595" i="1"/>
  <c r="G594" i="1"/>
  <c r="G593" i="1"/>
  <c r="G592" i="1"/>
  <c r="G591" i="1"/>
  <c r="G590" i="1"/>
  <c r="G589" i="1"/>
  <c r="G588" i="1"/>
  <c r="G587" i="1"/>
  <c r="G586" i="1"/>
  <c r="G585" i="1"/>
  <c r="G584" i="1"/>
  <c r="G583" i="1"/>
  <c r="G582" i="1"/>
  <c r="G581" i="1"/>
  <c r="G580" i="1"/>
  <c r="G579" i="1"/>
  <c r="G578" i="1"/>
  <c r="G577" i="1"/>
  <c r="G576" i="1"/>
  <c r="G575" i="1"/>
  <c r="G574" i="1"/>
  <c r="G573" i="1"/>
  <c r="G572" i="1"/>
  <c r="G571" i="1"/>
  <c r="G570" i="1"/>
  <c r="G569" i="1"/>
  <c r="G568" i="1"/>
  <c r="G567" i="1"/>
  <c r="G566" i="1"/>
  <c r="G565" i="1"/>
  <c r="G564" i="1"/>
  <c r="G563" i="1"/>
  <c r="G562" i="1"/>
  <c r="G561" i="1"/>
  <c r="G560" i="1"/>
  <c r="G559" i="1"/>
  <c r="G558" i="1"/>
  <c r="G557" i="1"/>
  <c r="G556" i="1"/>
  <c r="G555" i="1"/>
  <c r="G554" i="1"/>
  <c r="G553" i="1"/>
  <c r="G552" i="1"/>
  <c r="G551" i="1"/>
  <c r="G550" i="1"/>
  <c r="G549" i="1"/>
  <c r="G548" i="1"/>
  <c r="G547" i="1"/>
  <c r="G546" i="1"/>
  <c r="G545" i="1"/>
  <c r="G544" i="1"/>
  <c r="G543" i="1"/>
  <c r="G542" i="1"/>
  <c r="G541" i="1"/>
  <c r="G540" i="1"/>
  <c r="G539" i="1"/>
  <c r="G538" i="1"/>
  <c r="G537" i="1"/>
  <c r="G536" i="1"/>
  <c r="G535" i="1"/>
  <c r="G534" i="1"/>
  <c r="G533" i="1"/>
  <c r="G532" i="1"/>
  <c r="G531" i="1"/>
  <c r="G530" i="1"/>
  <c r="G529" i="1"/>
  <c r="G528" i="1"/>
  <c r="G527" i="1"/>
  <c r="G526" i="1"/>
  <c r="G525" i="1"/>
  <c r="G524" i="1"/>
  <c r="G523" i="1"/>
  <c r="G522" i="1"/>
  <c r="G521" i="1"/>
  <c r="G520" i="1"/>
  <c r="G519" i="1"/>
  <c r="G518" i="1"/>
  <c r="G517" i="1"/>
  <c r="G516" i="1"/>
  <c r="G515" i="1"/>
  <c r="G514" i="1"/>
  <c r="G513" i="1"/>
  <c r="G512" i="1"/>
  <c r="G511" i="1"/>
  <c r="G510" i="1"/>
  <c r="G509" i="1"/>
  <c r="G508" i="1"/>
  <c r="G507" i="1"/>
  <c r="G506" i="1"/>
  <c r="G505" i="1"/>
  <c r="G504" i="1"/>
  <c r="G503" i="1"/>
  <c r="G502" i="1"/>
  <c r="G501" i="1"/>
  <c r="G500" i="1"/>
  <c r="G499" i="1"/>
  <c r="G498" i="1"/>
  <c r="G497" i="1"/>
  <c r="G496" i="1"/>
  <c r="G495" i="1"/>
  <c r="G494" i="1"/>
  <c r="G493" i="1"/>
  <c r="G492" i="1"/>
  <c r="G491" i="1"/>
  <c r="G490" i="1"/>
  <c r="G489" i="1"/>
  <c r="G488" i="1"/>
  <c r="G487" i="1"/>
  <c r="G486" i="1"/>
  <c r="G485" i="1"/>
  <c r="G484" i="1"/>
  <c r="G483" i="1"/>
  <c r="G482" i="1"/>
  <c r="G481" i="1"/>
  <c r="G480" i="1"/>
  <c r="G479" i="1"/>
  <c r="G478" i="1"/>
  <c r="G477" i="1"/>
  <c r="G476" i="1"/>
  <c r="G475" i="1"/>
  <c r="G474" i="1"/>
  <c r="G473" i="1"/>
  <c r="G472" i="1"/>
  <c r="G471" i="1"/>
  <c r="G470" i="1"/>
  <c r="G469" i="1"/>
  <c r="G468" i="1"/>
  <c r="G467" i="1"/>
  <c r="G466" i="1"/>
  <c r="G465" i="1"/>
  <c r="G464" i="1"/>
  <c r="G463" i="1"/>
  <c r="G462" i="1"/>
  <c r="G461" i="1"/>
  <c r="G460" i="1"/>
  <c r="G459" i="1"/>
  <c r="G458" i="1"/>
  <c r="G457" i="1"/>
  <c r="G456" i="1"/>
  <c r="G455" i="1"/>
  <c r="G454" i="1"/>
  <c r="G453" i="1"/>
  <c r="G452" i="1"/>
  <c r="G451" i="1"/>
  <c r="G450" i="1"/>
  <c r="G449" i="1"/>
  <c r="G448" i="1"/>
  <c r="G447" i="1"/>
  <c r="G446" i="1"/>
  <c r="G445" i="1"/>
  <c r="G444" i="1"/>
  <c r="G443" i="1"/>
  <c r="G442" i="1"/>
  <c r="G441" i="1"/>
  <c r="G440" i="1"/>
  <c r="G439" i="1"/>
  <c r="G438" i="1"/>
  <c r="G437" i="1"/>
  <c r="G436" i="1"/>
  <c r="G435" i="1"/>
  <c r="G434" i="1"/>
  <c r="G433" i="1"/>
  <c r="G432" i="1"/>
  <c r="G431" i="1"/>
  <c r="G430" i="1"/>
  <c r="G429" i="1"/>
  <c r="G428" i="1"/>
  <c r="G427" i="1"/>
  <c r="G426" i="1"/>
  <c r="G425" i="1"/>
  <c r="G424" i="1"/>
  <c r="G423" i="1"/>
  <c r="G422" i="1"/>
  <c r="G421" i="1"/>
  <c r="G420" i="1"/>
  <c r="G419" i="1"/>
  <c r="G418" i="1"/>
  <c r="G417" i="1"/>
  <c r="G416" i="1"/>
  <c r="G415" i="1"/>
  <c r="G414" i="1"/>
  <c r="G413" i="1"/>
  <c r="G412" i="1"/>
  <c r="G411" i="1"/>
  <c r="G410" i="1"/>
  <c r="G409" i="1"/>
  <c r="G408" i="1"/>
  <c r="G407" i="1"/>
  <c r="G406" i="1"/>
  <c r="G405" i="1"/>
  <c r="G404" i="1"/>
  <c r="G403" i="1"/>
  <c r="G402" i="1"/>
  <c r="G401" i="1"/>
  <c r="G400" i="1"/>
  <c r="G399" i="1"/>
  <c r="G398" i="1"/>
  <c r="G397" i="1"/>
  <c r="G396" i="1"/>
  <c r="G395" i="1"/>
  <c r="G394" i="1"/>
  <c r="G393" i="1"/>
  <c r="G392" i="1"/>
  <c r="G391" i="1"/>
  <c r="G390" i="1"/>
  <c r="G389" i="1"/>
  <c r="G388" i="1"/>
  <c r="G387" i="1"/>
  <c r="G386" i="1"/>
  <c r="G385" i="1"/>
  <c r="G384" i="1"/>
  <c r="G383" i="1"/>
  <c r="G382" i="1"/>
  <c r="G381" i="1"/>
  <c r="G380" i="1"/>
  <c r="G379" i="1"/>
  <c r="G378" i="1"/>
  <c r="G377" i="1"/>
  <c r="G376" i="1"/>
  <c r="G375" i="1"/>
  <c r="G374" i="1"/>
  <c r="G373" i="1"/>
  <c r="G372" i="1"/>
  <c r="G371" i="1"/>
  <c r="G370" i="1"/>
  <c r="G369" i="1"/>
  <c r="G368" i="1"/>
  <c r="G367" i="1"/>
  <c r="G366" i="1"/>
  <c r="G365" i="1"/>
  <c r="G364" i="1"/>
  <c r="G363" i="1"/>
  <c r="G362" i="1"/>
  <c r="G361" i="1"/>
  <c r="G360" i="1"/>
  <c r="G359" i="1"/>
  <c r="G358" i="1"/>
  <c r="G357" i="1"/>
  <c r="G356" i="1"/>
  <c r="G355" i="1"/>
  <c r="G354" i="1"/>
  <c r="G353" i="1"/>
  <c r="G352" i="1"/>
  <c r="G351" i="1"/>
  <c r="G350" i="1"/>
  <c r="G349" i="1"/>
  <c r="G348" i="1"/>
  <c r="G347" i="1"/>
  <c r="G346" i="1"/>
  <c r="G345" i="1"/>
  <c r="G344" i="1"/>
  <c r="G343" i="1"/>
  <c r="G342" i="1"/>
  <c r="G341" i="1"/>
  <c r="G340" i="1"/>
  <c r="G339" i="1"/>
  <c r="G338" i="1"/>
  <c r="G337" i="1"/>
  <c r="G336" i="1"/>
  <c r="G335" i="1"/>
  <c r="G334" i="1"/>
  <c r="G333" i="1"/>
  <c r="G332" i="1"/>
  <c r="G331" i="1"/>
  <c r="G330" i="1"/>
  <c r="G329" i="1"/>
  <c r="G328" i="1"/>
  <c r="G327" i="1"/>
  <c r="G326" i="1"/>
  <c r="G325" i="1"/>
  <c r="G324" i="1"/>
  <c r="G323" i="1"/>
  <c r="G322" i="1"/>
  <c r="G321" i="1"/>
  <c r="G320" i="1"/>
  <c r="G319" i="1"/>
  <c r="G318" i="1"/>
  <c r="G317" i="1"/>
  <c r="G316" i="1"/>
  <c r="G315" i="1"/>
  <c r="G314" i="1"/>
  <c r="G313" i="1"/>
  <c r="G312" i="1"/>
  <c r="G311" i="1"/>
  <c r="G310" i="1"/>
  <c r="G309" i="1"/>
  <c r="G308" i="1"/>
  <c r="G307" i="1"/>
  <c r="G306" i="1"/>
  <c r="G305" i="1"/>
  <c r="G304" i="1"/>
  <c r="G303" i="1"/>
  <c r="G302" i="1"/>
  <c r="G301" i="1"/>
  <c r="G300" i="1"/>
  <c r="G299" i="1"/>
  <c r="G298" i="1"/>
  <c r="G297" i="1"/>
  <c r="G296" i="1"/>
  <c r="G295" i="1"/>
  <c r="G294" i="1"/>
  <c r="G293" i="1"/>
  <c r="G292" i="1"/>
  <c r="G291" i="1"/>
  <c r="G290" i="1"/>
  <c r="G289" i="1"/>
  <c r="G288" i="1"/>
  <c r="G287" i="1"/>
  <c r="G286" i="1"/>
  <c r="G285" i="1"/>
  <c r="G284" i="1"/>
  <c r="G283" i="1"/>
  <c r="G282" i="1"/>
  <c r="G281" i="1"/>
  <c r="G280" i="1"/>
  <c r="G279" i="1"/>
  <c r="G278" i="1"/>
  <c r="G277" i="1"/>
  <c r="G276" i="1"/>
  <c r="G275" i="1"/>
  <c r="G274" i="1"/>
  <c r="G273" i="1"/>
  <c r="G272" i="1"/>
  <c r="G271" i="1"/>
  <c r="G270" i="1"/>
  <c r="G269" i="1"/>
  <c r="G268" i="1"/>
  <c r="G267" i="1"/>
  <c r="G266" i="1"/>
  <c r="G265" i="1"/>
  <c r="G264" i="1"/>
  <c r="G263" i="1"/>
  <c r="G262" i="1"/>
  <c r="G261" i="1"/>
  <c r="G260" i="1"/>
  <c r="G259" i="1"/>
  <c r="G258" i="1"/>
  <c r="G257" i="1"/>
  <c r="G256" i="1"/>
  <c r="G255" i="1"/>
  <c r="G254" i="1"/>
  <c r="G253" i="1"/>
  <c r="G252"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G116" i="1"/>
  <c r="G115" i="1"/>
  <c r="G114" i="1"/>
  <c r="G113" i="1"/>
  <c r="G112" i="1"/>
  <c r="G1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3" i="1"/>
  <c r="G4" i="1"/>
  <c r="G5" i="1"/>
  <c r="G6" i="1"/>
  <c r="G7" i="1"/>
  <c r="G8" i="1"/>
  <c r="G9" i="1"/>
  <c r="G10" i="1"/>
  <c r="G11" i="1"/>
  <c r="G12" i="1"/>
  <c r="G13" i="1"/>
  <c r="G14" i="1"/>
  <c r="G15" i="1"/>
  <c r="G16" i="1"/>
  <c r="G17" i="1"/>
  <c r="G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2"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16" i="1"/>
  <c r="C17" i="1"/>
  <c r="C18" i="1"/>
  <c r="C3" i="1"/>
  <c r="C4" i="1"/>
  <c r="C5" i="1"/>
  <c r="C6" i="1"/>
  <c r="C7" i="1"/>
  <c r="C8" i="1"/>
  <c r="C9" i="1"/>
  <c r="C10" i="1"/>
  <c r="C11" i="1"/>
  <c r="C12" i="1"/>
  <c r="C13" i="1"/>
  <c r="C14" i="1"/>
  <c r="C15" i="1"/>
  <c r="C2" i="1"/>
  <c r="B2"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3" i="1"/>
  <c r="B4" i="1"/>
  <c r="B5" i="1"/>
  <c r="B6" i="1"/>
  <c r="B7" i="1"/>
  <c r="B8" i="1"/>
  <c r="B9" i="1"/>
  <c r="B10" i="1"/>
  <c r="B11" i="1"/>
  <c r="B12" i="1"/>
  <c r="B13" i="1"/>
  <c r="B14" i="1"/>
  <c r="B15" i="1"/>
  <c r="D26" i="4" l="1"/>
  <c r="G25" i="4"/>
  <c r="G24" i="4"/>
  <c r="D25" i="4"/>
  <c r="D24" i="4"/>
  <c r="D27" i="4"/>
  <c r="G23" i="4"/>
  <c r="D23" i="4"/>
  <c r="G26" i="4" l="1"/>
</calcChain>
</file>

<file path=xl/sharedStrings.xml><?xml version="1.0" encoding="utf-8"?>
<sst xmlns="http://schemas.openxmlformats.org/spreadsheetml/2006/main" count="207" uniqueCount="93">
  <si>
    <t>cnt</t>
  </si>
  <si>
    <t>registered</t>
  </si>
  <si>
    <t>casual</t>
  </si>
  <si>
    <t>windspeed</t>
  </si>
  <si>
    <t>hum</t>
  </si>
  <si>
    <t>atemp</t>
  </si>
  <si>
    <t>temp</t>
  </si>
  <si>
    <t>weathersit</t>
  </si>
  <si>
    <t>weekday</t>
  </si>
  <si>
    <t>holiday</t>
  </si>
  <si>
    <t>hr</t>
  </si>
  <si>
    <t>dteday</t>
  </si>
  <si>
    <t>instant</t>
  </si>
  <si>
    <t>Row Labels</t>
  </si>
  <si>
    <t>Grand Total</t>
  </si>
  <si>
    <t>Sum of cnt</t>
  </si>
  <si>
    <t>KPI CALCULATIONS</t>
  </si>
  <si>
    <t xml:space="preserve">Total Visitors </t>
  </si>
  <si>
    <t>Total Registered Visitors</t>
  </si>
  <si>
    <t>Total casual visitors</t>
  </si>
  <si>
    <t>Average visitor per day</t>
  </si>
  <si>
    <t>peak hour with max visitors</t>
  </si>
  <si>
    <t>Busiest Day of week</t>
  </si>
  <si>
    <t>Demand Volatility</t>
  </si>
  <si>
    <t>Holiday Impact %</t>
  </si>
  <si>
    <t>Sum of casual</t>
  </si>
  <si>
    <t>Sum of registered</t>
  </si>
  <si>
    <t>FALSE</t>
  </si>
  <si>
    <t>TRUE</t>
  </si>
  <si>
    <t>Average of cnt</t>
  </si>
  <si>
    <t>Jan</t>
  </si>
  <si>
    <t>Feb</t>
  </si>
  <si>
    <t>Column Labels</t>
  </si>
  <si>
    <t>Hourly visitors</t>
  </si>
  <si>
    <t>WEAKLY VISITORS</t>
  </si>
  <si>
    <t>REGISTERED VS CASUAL</t>
  </si>
  <si>
    <t>IMPACT OF HOLIDAY</t>
  </si>
  <si>
    <t>WEATHER SITUATION VS VISITOR</t>
  </si>
  <si>
    <t>IMPACT OF TEMPERATURE</t>
  </si>
  <si>
    <t>Day Type</t>
  </si>
  <si>
    <t>Weekend avg visitors</t>
  </si>
  <si>
    <t>Weekday Avg Visitors</t>
  </si>
  <si>
    <t>Weekend lift %</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</si>
  <si>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</si>
  <si>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</si>
  <si>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</si>
  <si>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</si>
  <si>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</si>
  <si>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</si>
  <si>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</si>
  <si>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</si>
  <si>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</si>
  <si>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</si>
  <si>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</si>
  <si>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</si>
  <si>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</si>
  <si>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</si>
  <si>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</si>
  <si>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</si>
  <si>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</si>
  <si>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</si>
  <si>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</si>
  <si>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</si>
  <si>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</si>
  <si>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</si>
  <si>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</si>
  <si>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</si>
  <si>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</si>
  <si>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</si>
  <si>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</si>
  <si>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</si>
  <si>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</si>
  <si>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</si>
  <si>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</si>
  <si>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</si>
  <si>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</si>
  <si>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</si>
  <si>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</si>
  <si>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</si>
  <si>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</si>
  <si>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</si>
  <si>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</si>
  <si>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</si>
  <si>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</si>
  <si>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</si>
  <si>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</si>
  <si>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</si>
  <si>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</si>
  <si>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VISITORS FORECAST</t>
  </si>
  <si>
    <t>HEAT MAP</t>
  </si>
  <si>
    <t>Bike Rental Insights</t>
  </si>
  <si>
    <t>IMPACT OF HUMIDITY</t>
  </si>
  <si>
    <t>Impact of Windspeed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</si>
</sst>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0" x14ac:knownFonts="1">
    <font>
      <sz val="11"/>
      <color theme="1"/>
      <name val="Calibri"/>
      <family val="2"/>
      <scheme val="minor"/>
    </font>
    <font>
      <sz val="10"/>
      <color theme="1"/>
      <name val="Arial"/>
      <family val="2"/>
    </font>
    <font>
      <b/>
      <sz val="16"/>
      <color theme="1"/>
      <name val="Calibri"/>
      <family val="2"/>
      <scheme val="minor"/>
    </font>
    <font>
      <sz val="11"/>
      <color rgb="FFC00000"/>
      <name val="Calibri"/>
      <family val="2"/>
      <scheme val="minor"/>
    </font>
    <font>
      <b/>
      <sz val="28"/>
      <color theme="0"/>
      <name val="Calibri"/>
      <family val="2"/>
      <scheme val="minor"/>
    </font>
    <font>
      <b/>
      <sz val="10"/>
      <color theme="0"/>
      <name val="Arial"/>
      <family val="2"/>
    </font>
    <font>
      <b/>
      <sz val="26"/>
      <color theme="1"/>
      <name val="Times New Roman"/>
      <family val="1"/>
    </font>
    <font>
      <b/>
      <sz val="14"/>
      <color theme="1"/>
      <name val="Calibri"/>
      <family val="2"/>
      <scheme val="minor"/>
    </font>
    <font>
      <sz val="14"/>
      <color theme="1"/>
      <name val="Calibri"/>
      <family val="2"/>
      <scheme val="minor"/>
    </font>
    <font>
      <b/>
      <sz val="16"/>
      <color rgb="FF595959"/>
      <name val="Calibri"/>
      <family val="2"/>
      <scheme val="minor"/>
    </font>
  </fonts>
  <fills count="7">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s>
  <borders count="12">
    <border>
      <left/>
      <right/>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style="medium">
        <color rgb="FFCCCCCC"/>
      </right>
      <top style="medium">
        <color rgb="FFCCCCCC"/>
      </top>
      <bottom/>
      <diagonal/>
    </border>
    <border>
      <left style="medium">
        <color rgb="FFCCCCCC"/>
      </left>
      <right/>
      <top style="medium">
        <color rgb="FFCCCCCC"/>
      </top>
      <bottom/>
      <diagonal/>
    </border>
    <border>
      <left style="medium">
        <color rgb="FFCCCCCC"/>
      </left>
      <right style="medium">
        <color rgb="FFCCCCCC"/>
      </right>
      <top style="thin">
        <color theme="4" tint="0.39997558519241921"/>
      </top>
      <bottom style="medium">
        <color rgb="FFCCCCCC"/>
      </bottom>
      <diagonal/>
    </border>
    <border>
      <left style="medium">
        <color rgb="FFCCCCCC"/>
      </left>
      <right style="medium">
        <color rgb="FFCCCCCC"/>
      </right>
      <top style="medium">
        <color rgb="FFCCCCCC"/>
      </top>
      <bottom style="thin">
        <color theme="4" tint="0.39997558519241921"/>
      </bottom>
      <diagonal/>
    </border>
  </borders>
  <cellStyleXfs count="1">
    <xf numFmtId="0" fontId="0" fillId="0" borderId="0"/>
  </cellStyleXfs>
  <cellXfs count="62">
    <xf numFmtId="0" fontId="0" fillId="0" borderId="0" xfId="0"/>
    <xf numFmtId="0" fontId="1" fillId="0" borderId="1" xfId="0" applyFont="1" applyBorder="1" applyAlignment="1">
      <alignment horizontal="right"/>
    </xf>
    <xf numFmtId="0" fontId="1" fillId="0" borderId="1" xfId="0" applyFont="1" applyBorder="1" applyAlignment="1">
      <alignment horizontal="center"/>
    </xf>
    <xf numFmtId="14" fontId="1" fillId="0" borderId="1" xfId="0" applyNumberFormat="1" applyFont="1" applyBorder="1" applyAlignment="1">
      <alignment horizontal="right"/>
    </xf>
    <xf numFmtId="164" fontId="0" fillId="0" borderId="1" xfId="0" applyNumberFormat="1" applyBorder="1"/>
    <xf numFmtId="0" fontId="1" fillId="0" borderId="2" xfId="0" applyFont="1" applyBorder="1" applyAlignment="1">
      <alignment horizontal="right"/>
    </xf>
    <xf numFmtId="0" fontId="1" fillId="0" borderId="3" xfId="0" applyFont="1" applyBorder="1" applyAlignment="1">
      <alignment horizontal="right"/>
    </xf>
    <xf numFmtId="0" fontId="1" fillId="0" borderId="4" xfId="0" applyFont="1" applyBorder="1"/>
    <xf numFmtId="0" fontId="1" fillId="0" borderId="5" xfId="0" applyFont="1" applyBorder="1"/>
    <xf numFmtId="0" fontId="1" fillId="0" borderId="6" xfId="0" applyFont="1" applyBorder="1"/>
    <xf numFmtId="0" fontId="1" fillId="0" borderId="7" xfId="0" applyFont="1" applyBorder="1" applyAlignment="1">
      <alignment horizontal="right"/>
    </xf>
    <xf numFmtId="14" fontId="1" fillId="0" borderId="8" xfId="0" applyNumberFormat="1" applyFont="1" applyBorder="1" applyAlignment="1">
      <alignment horizontal="right"/>
    </xf>
    <xf numFmtId="0" fontId="1" fillId="0" borderId="8" xfId="0" applyFont="1" applyBorder="1" applyAlignment="1">
      <alignment horizontal="right"/>
    </xf>
    <xf numFmtId="0" fontId="1" fillId="0" borderId="8" xfId="0" applyFont="1" applyBorder="1" applyAlignment="1">
      <alignment horizontal="center"/>
    </xf>
    <xf numFmtId="14" fontId="0" fillId="0" borderId="0" xfId="0" applyNumberFormat="1"/>
    <xf numFmtId="0" fontId="0" fillId="0" borderId="1" xfId="0" applyBorder="1" applyAlignment="1">
      <alignment wrapText="1"/>
    </xf>
    <xf numFmtId="0" fontId="0" fillId="0" borderId="1" xfId="0" applyBorder="1" applyAlignment="1">
      <alignment horizontal="right" wrapText="1"/>
    </xf>
    <xf numFmtId="0" fontId="1" fillId="0" borderId="1" xfId="0" applyFont="1" applyBorder="1" applyAlignment="1"/>
    <xf numFmtId="0" fontId="0" fillId="0" borderId="0" xfId="0" pivotButton="1"/>
    <xf numFmtId="0" fontId="0" fillId="0" borderId="0" xfId="0" applyAlignment="1">
      <alignment horizontal="left"/>
    </xf>
    <xf numFmtId="0" fontId="0" fillId="0" borderId="0" xfId="0" applyNumberFormat="1"/>
    <xf numFmtId="2" fontId="0" fillId="0" borderId="0" xfId="0" applyNumberFormat="1"/>
    <xf numFmtId="1" fontId="0" fillId="0" borderId="0" xfId="0" applyNumberFormat="1"/>
    <xf numFmtId="2" fontId="1" fillId="0" borderId="5" xfId="0" applyNumberFormat="1" applyFont="1" applyBorder="1"/>
    <xf numFmtId="2" fontId="1" fillId="0" borderId="1" xfId="0" applyNumberFormat="1" applyFont="1" applyBorder="1" applyAlignment="1">
      <alignment horizontal="center"/>
    </xf>
    <xf numFmtId="2" fontId="1" fillId="0" borderId="1" xfId="0" applyNumberFormat="1" applyFont="1" applyBorder="1" applyAlignment="1">
      <alignment horizontal="right"/>
    </xf>
    <xf numFmtId="2" fontId="0" fillId="0" borderId="0" xfId="0" applyNumberFormat="1" applyAlignment="1">
      <alignment horizontal="left"/>
    </xf>
    <xf numFmtId="0" fontId="2" fillId="0" borderId="0" xfId="0" applyFont="1"/>
    <xf numFmtId="0" fontId="1" fillId="0" borderId="6" xfId="0" applyFont="1" applyBorder="1" applyAlignment="1">
      <alignment horizontal="right"/>
    </xf>
    <xf numFmtId="0" fontId="1" fillId="0" borderId="9" xfId="0" applyFont="1" applyBorder="1" applyAlignment="1">
      <alignment horizontal="right"/>
    </xf>
    <xf numFmtId="0" fontId="0" fillId="0" borderId="0" xfId="0" applyAlignment="1">
      <alignment horizontal="left" indent="1"/>
    </xf>
    <xf numFmtId="0" fontId="3" fillId="2" borderId="0" xfId="0" applyFont="1" applyFill="1"/>
    <xf numFmtId="0" fontId="0" fillId="2" borderId="0" xfId="0" applyFill="1"/>
    <xf numFmtId="0" fontId="2" fillId="3" borderId="0" xfId="0" applyFont="1" applyFill="1"/>
    <xf numFmtId="0" fontId="0" fillId="3" borderId="0" xfId="0" applyFill="1"/>
    <xf numFmtId="0" fontId="1" fillId="3" borderId="5" xfId="0" applyFont="1" applyFill="1" applyBorder="1"/>
    <xf numFmtId="0" fontId="2" fillId="3" borderId="5" xfId="0" applyFont="1" applyFill="1" applyBorder="1"/>
    <xf numFmtId="2" fontId="1" fillId="0" borderId="8" xfId="0" applyNumberFormat="1" applyFont="1" applyBorder="1" applyAlignment="1">
      <alignment horizontal="right"/>
    </xf>
    <xf numFmtId="0" fontId="1" fillId="0" borderId="9" xfId="0" applyNumberFormat="1" applyFont="1" applyBorder="1" applyAlignment="1">
      <alignment horizontal="right"/>
    </xf>
    <xf numFmtId="0" fontId="5" fillId="4" borderId="1" xfId="0" applyFont="1" applyFill="1" applyBorder="1"/>
    <xf numFmtId="2" fontId="5" fillId="4" borderId="1" xfId="0" applyNumberFormat="1" applyFont="1" applyFill="1" applyBorder="1"/>
    <xf numFmtId="0" fontId="5" fillId="4" borderId="3" xfId="0" applyFont="1" applyFill="1" applyBorder="1"/>
    <xf numFmtId="0" fontId="1" fillId="5" borderId="1" xfId="0" applyFont="1" applyFill="1" applyBorder="1" applyAlignment="1">
      <alignment horizontal="right"/>
    </xf>
    <xf numFmtId="14" fontId="1" fillId="5" borderId="1" xfId="0" applyNumberFormat="1" applyFont="1" applyFill="1" applyBorder="1" applyAlignment="1">
      <alignment horizontal="right"/>
    </xf>
    <xf numFmtId="0" fontId="1" fillId="5" borderId="1" xfId="0" applyFont="1" applyFill="1" applyBorder="1" applyAlignment="1">
      <alignment horizontal="center"/>
    </xf>
    <xf numFmtId="2" fontId="1" fillId="5" borderId="1" xfId="0" applyNumberFormat="1" applyFont="1" applyFill="1" applyBorder="1" applyAlignment="1">
      <alignment horizontal="center"/>
    </xf>
    <xf numFmtId="0" fontId="1" fillId="5" borderId="3" xfId="0" applyFont="1" applyFill="1" applyBorder="1" applyAlignment="1">
      <alignment horizontal="right"/>
    </xf>
    <xf numFmtId="0" fontId="1" fillId="5" borderId="10" xfId="0" applyFont="1" applyFill="1" applyBorder="1" applyAlignment="1">
      <alignment horizontal="right"/>
    </xf>
    <xf numFmtId="0" fontId="1" fillId="0" borderId="11" xfId="0" applyFont="1" applyBorder="1" applyAlignment="1">
      <alignment horizontal="right"/>
    </xf>
    <xf numFmtId="14" fontId="1" fillId="0" borderId="11" xfId="0" applyNumberFormat="1" applyFont="1" applyBorder="1" applyAlignment="1">
      <alignment horizontal="right"/>
    </xf>
    <xf numFmtId="0" fontId="1" fillId="0" borderId="11" xfId="0" applyFont="1" applyBorder="1" applyAlignment="1">
      <alignment horizontal="center"/>
    </xf>
    <xf numFmtId="0" fontId="1" fillId="5" borderId="11" xfId="0" applyFont="1" applyFill="1" applyBorder="1" applyAlignment="1">
      <alignment horizontal="right"/>
    </xf>
    <xf numFmtId="14" fontId="1" fillId="5" borderId="11" xfId="0" applyNumberFormat="1" applyFont="1" applyFill="1" applyBorder="1" applyAlignment="1">
      <alignment horizontal="right"/>
    </xf>
    <xf numFmtId="0" fontId="1" fillId="5" borderId="11" xfId="0" applyFont="1" applyFill="1" applyBorder="1" applyAlignment="1">
      <alignment horizontal="center"/>
    </xf>
    <xf numFmtId="2" fontId="1" fillId="5" borderId="1" xfId="0" applyNumberFormat="1" applyFont="1" applyFill="1" applyBorder="1" applyAlignment="1">
      <alignment horizontal="right"/>
    </xf>
    <xf numFmtId="164" fontId="0" fillId="0" borderId="0" xfId="0" applyNumberFormat="1"/>
    <xf numFmtId="0" fontId="7" fillId="3" borderId="0" xfId="0" applyFont="1" applyFill="1"/>
    <xf numFmtId="0" fontId="8" fillId="3" borderId="0" xfId="0" applyFont="1" applyFill="1"/>
    <xf numFmtId="0" fontId="2" fillId="3" borderId="0" xfId="0" applyFont="1" applyFill="1" applyAlignment="1"/>
    <xf numFmtId="0" fontId="6" fillId="6" borderId="0" xfId="0" applyFont="1" applyFill="1" applyAlignment="1">
      <alignment horizontal="center"/>
    </xf>
    <xf numFmtId="0" fontId="4" fillId="2" borderId="0" xfId="0" applyFont="1" applyFill="1" applyAlignment="1">
      <alignment horizontal="center" vertical="center"/>
    </xf>
    <xf numFmtId="0" fontId="9" fillId="3" borderId="0" xfId="0" applyFont="1" applyFill="1" applyAlignment="1">
      <alignment vertical="center" readingOrder="1"/>
    </xf>
  </cellXfs>
  <cellStyles count="1">
    <cellStyle name="Normal" xfId="0" builtinId="0"/>
  </cellStyles>
  <dxfs count="99">
    <dxf>
      <numFmt numFmtId="164" formatCode="0.000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164" formatCode="0.000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164" formatCode="0.000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164" formatCode="0.000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164" formatCode="0.0000"/>
    </dxf>
    <dxf>
      <numFmt numFmtId="2" formatCode="0.00"/>
    </dxf>
    <dxf>
      <numFmt numFmtId="2" formatCode="0.00"/>
    </dxf>
    <dxf>
      <numFmt numFmtId="2" formatCode="0.00"/>
    </dxf>
    <dxf>
      <numFmt numFmtId="2" formatCode="0.00"/>
    </dxf>
    <dxf>
      <numFmt numFmtId="1" formatCode="0"/>
    </dxf>
    <dxf>
      <numFmt numFmtId="2" formatCode="0.00"/>
    </dxf>
    <dxf>
      <numFmt numFmtId="2" formatCode="0.00"/>
    </dxf>
    <dxf>
      <font>
        <b val="0"/>
        <i val="0"/>
        <strike val="0"/>
        <condense val="0"/>
        <extend val="0"/>
        <outline val="0"/>
        <shadow val="0"/>
        <u val="none"/>
        <vertAlign val="baseline"/>
        <sz val="10"/>
        <color theme="1"/>
        <name val="Arial"/>
        <family val="2"/>
        <scheme val="none"/>
      </font>
      <numFmt numFmtId="0" formatCode="General"/>
      <alignment horizontal="right" vertical="bottom" textRotation="0" wrapText="0" indent="0" justifyLastLine="0" shrinkToFit="0" readingOrder="0"/>
      <border diagonalUp="0" diagonalDown="0" outline="0">
        <left style="medium">
          <color rgb="FFCCCCCC"/>
        </left>
        <right/>
        <top style="medium">
          <color rgb="FFCCCCCC"/>
        </top>
        <bottom/>
      </border>
    </dxf>
    <dxf>
      <font>
        <b val="0"/>
        <i val="0"/>
        <strike val="0"/>
        <condense val="0"/>
        <extend val="0"/>
        <outline val="0"/>
        <shadow val="0"/>
        <u val="none"/>
        <vertAlign val="baseline"/>
        <sz val="10"/>
        <color theme="1"/>
        <name val="Arial"/>
        <family val="2"/>
        <scheme val="none"/>
      </font>
      <numFmt numFmtId="0" formatCode="General"/>
      <alignment horizontal="right" vertical="bottom" textRotation="0" wrapText="0"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outline="0">
        <left style="medium">
          <color rgb="FFCCCCCC"/>
        </left>
        <right/>
        <top style="medium">
          <color rgb="FFCCCCCC"/>
        </top>
        <bottom/>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outline="0">
        <left style="medium">
          <color rgb="FFCCCCCC"/>
        </left>
        <right style="medium">
          <color rgb="FFCCCCCC"/>
        </right>
        <top style="medium">
          <color rgb="FFCCCCCC"/>
        </top>
        <bottom/>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outline="0">
        <left style="medium">
          <color rgb="FFCCCCCC"/>
        </left>
        <right style="medium">
          <color rgb="FFCCCCCC"/>
        </right>
        <top style="medium">
          <color rgb="FFCCCCCC"/>
        </top>
        <bottom/>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outline="0">
        <left style="medium">
          <color rgb="FFCCCCCC"/>
        </left>
        <right style="medium">
          <color rgb="FFCCCCCC"/>
        </right>
        <top style="medium">
          <color rgb="FFCCCCCC"/>
        </top>
        <bottom/>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numFmt numFmtId="2" formatCode="0.00"/>
      <alignment horizontal="right" vertical="bottom" textRotation="0" wrapText="0" indent="0" justifyLastLine="0" shrinkToFit="0" readingOrder="0"/>
      <border diagonalUp="0" diagonalDown="0" outline="0">
        <left style="medium">
          <color rgb="FFCCCCCC"/>
        </left>
        <right style="medium">
          <color rgb="FFCCCCCC"/>
        </right>
        <top style="medium">
          <color rgb="FFCCCCCC"/>
        </top>
        <bottom/>
      </border>
    </dxf>
    <dxf>
      <font>
        <b val="0"/>
        <i val="0"/>
        <strike val="0"/>
        <condense val="0"/>
        <extend val="0"/>
        <outline val="0"/>
        <shadow val="0"/>
        <u val="none"/>
        <vertAlign val="baseline"/>
        <sz val="10"/>
        <color theme="1"/>
        <name val="Arial"/>
        <family val="2"/>
        <scheme val="none"/>
      </font>
      <numFmt numFmtId="2" formatCode="0.00"/>
      <alignment horizontal="right"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outline="0">
        <left style="medium">
          <color rgb="FFCCCCCC"/>
        </left>
        <right style="medium">
          <color rgb="FFCCCCCC"/>
        </right>
        <top style="medium">
          <color rgb="FFCCCCCC"/>
        </top>
        <bottom/>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outline="0">
        <left style="medium">
          <color rgb="FFCCCCCC"/>
        </left>
        <right style="medium">
          <color rgb="FFCCCCCC"/>
        </right>
        <top style="medium">
          <color rgb="FFCCCCCC"/>
        </top>
        <bottom/>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outline="0">
        <left style="medium">
          <color rgb="FFCCCCCC"/>
        </left>
        <right style="medium">
          <color rgb="FFCCCCCC"/>
        </right>
        <top style="medium">
          <color rgb="FFCCCCCC"/>
        </top>
        <bottom/>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border diagonalUp="0" diagonalDown="0" outline="0">
        <left style="medium">
          <color rgb="FFCCCCCC"/>
        </left>
        <right style="medium">
          <color rgb="FFCCCCCC"/>
        </right>
        <top style="medium">
          <color rgb="FFCCCCCC"/>
        </top>
        <bottom/>
      </border>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outline="0">
        <left style="medium">
          <color rgb="FFCCCCCC"/>
        </left>
        <right style="medium">
          <color rgb="FFCCCCCC"/>
        </right>
        <top style="medium">
          <color rgb="FFCCCCCC"/>
        </top>
        <bottom/>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numFmt numFmtId="19" formatCode="dd/mm/yyyy"/>
      <alignment horizontal="right" vertical="bottom" textRotation="0" wrapText="0" indent="0" justifyLastLine="0" shrinkToFit="0" readingOrder="0"/>
      <border diagonalUp="0" diagonalDown="0" outline="0">
        <left style="medium">
          <color rgb="FFCCCCCC"/>
        </left>
        <right style="medium">
          <color rgb="FFCCCCCC"/>
        </right>
        <top style="medium">
          <color rgb="FFCCCCCC"/>
        </top>
        <bottom/>
      </border>
    </dxf>
    <dxf>
      <font>
        <b val="0"/>
        <i val="0"/>
        <strike val="0"/>
        <condense val="0"/>
        <extend val="0"/>
        <outline val="0"/>
        <shadow val="0"/>
        <u val="none"/>
        <vertAlign val="baseline"/>
        <sz val="10"/>
        <color theme="1"/>
        <name val="Arial"/>
        <family val="2"/>
        <scheme val="none"/>
      </font>
      <numFmt numFmtId="19" formatCode="dd/mm/yyyy"/>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outline="0">
        <left/>
        <right style="medium">
          <color rgb="FFCCCCCC"/>
        </right>
        <top style="medium">
          <color rgb="FFCCCCCC"/>
        </top>
        <bottom/>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dxf>
    <dxf>
      <border outline="0">
        <bottom style="medium">
          <color rgb="FFCCCCCC"/>
        </bottom>
      </border>
    </dxf>
    <dxf>
      <font>
        <b val="0"/>
        <i val="0"/>
        <strike val="0"/>
        <condense val="0"/>
        <extend val="0"/>
        <outline val="0"/>
        <shadow val="0"/>
        <u val="none"/>
        <vertAlign val="baseline"/>
        <sz val="10"/>
        <color theme="1"/>
        <name val="Arial"/>
        <family val="2"/>
        <scheme val="none"/>
      </font>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numFmt numFmtId="19" formatCode="dd/mm/yyyy"/>
      <alignment horizontal="right"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dxf>
    <dxf>
      <border outline="0">
        <bottom style="medium">
          <color rgb="FFCCCCCC"/>
        </bottom>
      </border>
    </dxf>
    <dxf>
      <font>
        <b val="0"/>
        <i val="0"/>
        <strike val="0"/>
        <condense val="0"/>
        <extend val="0"/>
        <outline val="0"/>
        <shadow val="0"/>
        <u val="none"/>
        <vertAlign val="baseline"/>
        <sz val="10"/>
        <color theme="1"/>
        <name val="Arial"/>
        <family val="2"/>
        <scheme val="none"/>
      </font>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Assignment.xlsm]PIVOT TABLE!PivotTable3</c:name>
    <c:fmtId val="8"/>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600"/>
              <a:t>Weakly Visitors</a:t>
            </a:r>
          </a:p>
        </c:rich>
      </c:tx>
      <c:layout>
        <c:manualLayout>
          <c:xMode val="edge"/>
          <c:yMode val="edge"/>
          <c:x val="0.33008031496062989"/>
          <c:y val="5.1359716025957805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TABLE'!$B$57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trendline>
            <c:spPr>
              <a:ln w="19050" cap="rnd">
                <a:solidFill>
                  <a:schemeClr val="accent1"/>
                </a:solidFill>
                <a:prstDash val="sysDash"/>
              </a:ln>
              <a:effectLst/>
            </c:spPr>
            <c:trendlineType val="linear"/>
            <c:dispRSqr val="0"/>
            <c:dispEq val="0"/>
          </c:trendline>
          <c:cat>
            <c:strRef>
              <c:f>'PIVOT TABLE'!$A$58:$A$65</c:f>
              <c:strCache>
                <c:ptCount val="7"/>
                <c:pt idx="0">
                  <c:v>0</c:v>
                </c:pt>
                <c:pt idx="1">
                  <c:v>1</c:v>
                </c:pt>
                <c:pt idx="2">
                  <c:v>2</c:v>
                </c:pt>
                <c:pt idx="3">
                  <c:v>3</c:v>
                </c:pt>
                <c:pt idx="4">
                  <c:v>4</c:v>
                </c:pt>
                <c:pt idx="5">
                  <c:v>5</c:v>
                </c:pt>
                <c:pt idx="6">
                  <c:v>6</c:v>
                </c:pt>
              </c:strCache>
            </c:strRef>
          </c:cat>
          <c:val>
            <c:numRef>
              <c:f>'PIVOT TABLE'!$B$58:$B$65</c:f>
              <c:numCache>
                <c:formatCode>General</c:formatCode>
                <c:ptCount val="7"/>
                <c:pt idx="0">
                  <c:v>8121</c:v>
                </c:pt>
                <c:pt idx="1">
                  <c:v>8450</c:v>
                </c:pt>
                <c:pt idx="2">
                  <c:v>8383</c:v>
                </c:pt>
                <c:pt idx="3">
                  <c:v>8049</c:v>
                </c:pt>
                <c:pt idx="4">
                  <c:v>8458</c:v>
                </c:pt>
                <c:pt idx="5">
                  <c:v>9095</c:v>
                </c:pt>
                <c:pt idx="6">
                  <c:v>7748</c:v>
                </c:pt>
              </c:numCache>
            </c:numRef>
          </c:val>
          <c:extLst>
            <c:ext xmlns:c16="http://schemas.microsoft.com/office/drawing/2014/chart" uri="{C3380CC4-5D6E-409C-BE32-E72D297353CC}">
              <c16:uniqueId val="{00000000-1C67-4017-B167-983F0C1D66CC}"/>
            </c:ext>
          </c:extLst>
        </c:ser>
        <c:dLbls>
          <c:dLblPos val="outEnd"/>
          <c:showLegendKey val="0"/>
          <c:showVal val="1"/>
          <c:showCatName val="0"/>
          <c:showSerName val="0"/>
          <c:showPercent val="0"/>
          <c:showBubbleSize val="0"/>
        </c:dLbls>
        <c:gapWidth val="100"/>
        <c:overlap val="-24"/>
        <c:axId val="211720447"/>
        <c:axId val="211724767"/>
      </c:barChart>
      <c:catAx>
        <c:axId val="211720447"/>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a:t>Week Day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1724767"/>
        <c:crosses val="autoZero"/>
        <c:auto val="1"/>
        <c:lblAlgn val="ctr"/>
        <c:lblOffset val="100"/>
        <c:noMultiLvlLbl val="0"/>
      </c:catAx>
      <c:valAx>
        <c:axId val="211724767"/>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a:t>Visitors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172044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Assignment.xlsm]PIVOT TABLE!PivotTable2</c:name>
    <c:fmtId val="6"/>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Hourly Visitors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TABLE'!$B$29</c:f>
              <c:strCache>
                <c:ptCount val="1"/>
                <c:pt idx="0">
                  <c:v>Total</c:v>
                </c:pt>
              </c:strCache>
            </c:strRef>
          </c:tx>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trendline>
            <c:spPr>
              <a:ln w="19050" cap="rnd">
                <a:solidFill>
                  <a:schemeClr val="accent1"/>
                </a:solidFill>
                <a:prstDash val="sysDash"/>
              </a:ln>
              <a:effectLst/>
            </c:spPr>
            <c:trendlineType val="linear"/>
            <c:dispRSqr val="0"/>
            <c:dispEq val="0"/>
          </c:trendline>
          <c:cat>
            <c:strRef>
              <c:f>'PIVOT TABLE'!$A$30:$A$54</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 TABLE'!$B$30:$B$54</c:f>
              <c:numCache>
                <c:formatCode>General</c:formatCode>
                <c:ptCount val="24"/>
                <c:pt idx="0">
                  <c:v>703</c:v>
                </c:pt>
                <c:pt idx="1">
                  <c:v>460</c:v>
                </c:pt>
                <c:pt idx="2">
                  <c:v>294</c:v>
                </c:pt>
                <c:pt idx="3">
                  <c:v>151</c:v>
                </c:pt>
                <c:pt idx="4">
                  <c:v>69</c:v>
                </c:pt>
                <c:pt idx="5">
                  <c:v>164</c:v>
                </c:pt>
                <c:pt idx="6">
                  <c:v>822</c:v>
                </c:pt>
                <c:pt idx="7">
                  <c:v>2339</c:v>
                </c:pt>
                <c:pt idx="8">
                  <c:v>5388</c:v>
                </c:pt>
                <c:pt idx="9">
                  <c:v>3672</c:v>
                </c:pt>
                <c:pt idx="10">
                  <c:v>2253</c:v>
                </c:pt>
                <c:pt idx="11">
                  <c:v>2494</c:v>
                </c:pt>
                <c:pt idx="12">
                  <c:v>3283</c:v>
                </c:pt>
                <c:pt idx="13">
                  <c:v>3376</c:v>
                </c:pt>
                <c:pt idx="14">
                  <c:v>3200</c:v>
                </c:pt>
                <c:pt idx="15">
                  <c:v>3352</c:v>
                </c:pt>
                <c:pt idx="16">
                  <c:v>3928</c:v>
                </c:pt>
                <c:pt idx="17">
                  <c:v>6169</c:v>
                </c:pt>
                <c:pt idx="18">
                  <c:v>5283</c:v>
                </c:pt>
                <c:pt idx="19">
                  <c:v>3661</c:v>
                </c:pt>
                <c:pt idx="20">
                  <c:v>2656</c:v>
                </c:pt>
                <c:pt idx="21">
                  <c:v>1996</c:v>
                </c:pt>
                <c:pt idx="22">
                  <c:v>1508</c:v>
                </c:pt>
                <c:pt idx="23">
                  <c:v>1083</c:v>
                </c:pt>
              </c:numCache>
            </c:numRef>
          </c:val>
          <c:smooth val="0"/>
          <c:extLst>
            <c:ext xmlns:c16="http://schemas.microsoft.com/office/drawing/2014/chart" uri="{C3380CC4-5D6E-409C-BE32-E72D297353CC}">
              <c16:uniqueId val="{00000000-35A3-4213-B6A7-7055B7644FE2}"/>
            </c:ext>
          </c:extLst>
        </c:ser>
        <c:dLbls>
          <c:dLblPos val="t"/>
          <c:showLegendKey val="0"/>
          <c:showVal val="1"/>
          <c:showCatName val="0"/>
          <c:showSerName val="0"/>
          <c:showPercent val="0"/>
          <c:showBubbleSize val="0"/>
        </c:dLbls>
        <c:marker val="1"/>
        <c:smooth val="0"/>
        <c:axId val="211725247"/>
        <c:axId val="211727167"/>
      </c:lineChart>
      <c:catAx>
        <c:axId val="211725247"/>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a:t>Hour</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1727167"/>
        <c:crosses val="autoZero"/>
        <c:auto val="1"/>
        <c:lblAlgn val="ctr"/>
        <c:lblOffset val="100"/>
        <c:noMultiLvlLbl val="0"/>
      </c:catAx>
      <c:valAx>
        <c:axId val="211727167"/>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a:t>Visitors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172524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Assignment.xlsm]PIVOT TABLE!PivotTable4</c:name>
    <c:fmtId val="13"/>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Registered V/s Casual</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TABLE'!$A$11</c:f>
              <c:strCache>
                <c:ptCount val="1"/>
                <c:pt idx="0">
                  <c:v>Sum of casual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TABLE'!$A$12</c:f>
              <c:strCache>
                <c:ptCount val="1"/>
                <c:pt idx="0">
                  <c:v>Total</c:v>
                </c:pt>
              </c:strCache>
            </c:strRef>
          </c:cat>
          <c:val>
            <c:numRef>
              <c:f>'PIVOT TABLE'!$A$12</c:f>
              <c:numCache>
                <c:formatCode>General</c:formatCode>
                <c:ptCount val="1"/>
                <c:pt idx="0">
                  <c:v>4921</c:v>
                </c:pt>
              </c:numCache>
            </c:numRef>
          </c:val>
          <c:extLst>
            <c:ext xmlns:c16="http://schemas.microsoft.com/office/drawing/2014/chart" uri="{C3380CC4-5D6E-409C-BE32-E72D297353CC}">
              <c16:uniqueId val="{00000000-4FB9-4869-9368-9F8B4D72BFA9}"/>
            </c:ext>
          </c:extLst>
        </c:ser>
        <c:ser>
          <c:idx val="1"/>
          <c:order val="1"/>
          <c:tx>
            <c:strRef>
              <c:f>'PIVOT TABLE'!$B$11</c:f>
              <c:strCache>
                <c:ptCount val="1"/>
                <c:pt idx="0">
                  <c:v>Sum of registered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TABLE'!$A$12</c:f>
              <c:strCache>
                <c:ptCount val="1"/>
                <c:pt idx="0">
                  <c:v>Total</c:v>
                </c:pt>
              </c:strCache>
            </c:strRef>
          </c:cat>
          <c:val>
            <c:numRef>
              <c:f>'PIVOT TABLE'!$B$12</c:f>
              <c:numCache>
                <c:formatCode>General</c:formatCode>
                <c:ptCount val="1"/>
                <c:pt idx="0">
                  <c:v>53383</c:v>
                </c:pt>
              </c:numCache>
            </c:numRef>
          </c:val>
          <c:extLst>
            <c:ext xmlns:c16="http://schemas.microsoft.com/office/drawing/2014/chart" uri="{C3380CC4-5D6E-409C-BE32-E72D297353CC}">
              <c16:uniqueId val="{00000001-4FB9-4869-9368-9F8B4D72BFA9}"/>
            </c:ext>
          </c:extLst>
        </c:ser>
        <c:dLbls>
          <c:dLblPos val="ctr"/>
          <c:showLegendKey val="0"/>
          <c:showVal val="1"/>
          <c:showCatName val="0"/>
          <c:showSerName val="0"/>
          <c:showPercent val="0"/>
          <c:showBubbleSize val="0"/>
        </c:dLbls>
        <c:gapWidth val="150"/>
        <c:overlap val="100"/>
        <c:axId val="2060430415"/>
        <c:axId val="2060428015"/>
      </c:barChart>
      <c:catAx>
        <c:axId val="2060430415"/>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a:t>TYPE of visitor</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60428015"/>
        <c:crosses val="autoZero"/>
        <c:auto val="1"/>
        <c:lblAlgn val="ctr"/>
        <c:lblOffset val="100"/>
        <c:noMultiLvlLbl val="0"/>
      </c:catAx>
      <c:valAx>
        <c:axId val="2060428015"/>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a:t>VISITORS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6043041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Assignment.xlsm]PIVOT TABLE!PivotTable5</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Impact of Holiday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'PIVOT TABLE'!$B$97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4C-45B4-85F6-818B93D7E39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64C-45B4-85F6-818B93D7E39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TABLE'!$A$98:$A$100</c:f>
              <c:strCache>
                <c:ptCount val="2"/>
                <c:pt idx="0">
                  <c:v>FALSE</c:v>
                </c:pt>
                <c:pt idx="1">
                  <c:v>TRUE</c:v>
                </c:pt>
              </c:strCache>
            </c:strRef>
          </c:cat>
          <c:val>
            <c:numRef>
              <c:f>'PIVOT TABLE'!$B$98:$B$100</c:f>
              <c:numCache>
                <c:formatCode>0.00</c:formatCode>
                <c:ptCount val="2"/>
                <c:pt idx="0">
                  <c:v>58.713114754098363</c:v>
                </c:pt>
                <c:pt idx="1">
                  <c:v>41.666666666666664</c:v>
                </c:pt>
              </c:numCache>
            </c:numRef>
          </c:val>
          <c:extLst>
            <c:ext xmlns:c16="http://schemas.microsoft.com/office/drawing/2014/chart" uri="{C3380CC4-5D6E-409C-BE32-E72D297353CC}">
              <c16:uniqueId val="{00000000-D879-4F77-A0F0-19B0C326B90A}"/>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Assignment.xlsm]PIVOT TABLE!PivotTable1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Weather Situation V/S Visitors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'PIVOT TABLE'!$B$2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66B-434F-99B2-9BEF0D5D9A8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66B-434F-99B2-9BEF0D5D9A8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66B-434F-99B2-9BEF0D5D9A8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66B-434F-99B2-9BEF0D5D9A8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TABLE'!$A$3:$A$7</c:f>
              <c:strCache>
                <c:ptCount val="4"/>
                <c:pt idx="0">
                  <c:v>1</c:v>
                </c:pt>
                <c:pt idx="1">
                  <c:v>2</c:v>
                </c:pt>
                <c:pt idx="2">
                  <c:v>3</c:v>
                </c:pt>
                <c:pt idx="3">
                  <c:v>4</c:v>
                </c:pt>
              </c:strCache>
            </c:strRef>
          </c:cat>
          <c:val>
            <c:numRef>
              <c:f>'PIVOT TABLE'!$B$3:$B$7</c:f>
              <c:numCache>
                <c:formatCode>General</c:formatCode>
                <c:ptCount val="4"/>
                <c:pt idx="0">
                  <c:v>37373</c:v>
                </c:pt>
                <c:pt idx="1">
                  <c:v>18106</c:v>
                </c:pt>
                <c:pt idx="2">
                  <c:v>2789</c:v>
                </c:pt>
                <c:pt idx="3">
                  <c:v>36</c:v>
                </c:pt>
              </c:numCache>
            </c:numRef>
          </c:val>
          <c:extLst>
            <c:ext xmlns:c16="http://schemas.microsoft.com/office/drawing/2014/chart" uri="{C3380CC4-5D6E-409C-BE32-E72D297353CC}">
              <c16:uniqueId val="{00000000-7A38-4628-8F26-CF31D4FA8CF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Assignment.xlsm]PIVOT TABLE!PivotTable9</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Impact</a:t>
            </a:r>
            <a:r>
              <a:rPr lang="en-US" b="1" baseline="0"/>
              <a:t> of</a:t>
            </a:r>
            <a:r>
              <a:rPr lang="en-US" b="1"/>
              <a:t> Temperature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TABLE'!$B$69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TABLE'!$A$70:$A$93</c:f>
              <c:strCache>
                <c:ptCount val="23"/>
                <c:pt idx="0">
                  <c:v>0.02</c:v>
                </c:pt>
                <c:pt idx="1">
                  <c:v>0.04</c:v>
                </c:pt>
                <c:pt idx="2">
                  <c:v>0.06</c:v>
                </c:pt>
                <c:pt idx="3">
                  <c:v>0.08</c:v>
                </c:pt>
                <c:pt idx="4">
                  <c:v>0.1</c:v>
                </c:pt>
                <c:pt idx="5">
                  <c:v>0.12</c:v>
                </c:pt>
                <c:pt idx="6">
                  <c:v>0.14</c:v>
                </c:pt>
                <c:pt idx="7">
                  <c:v>0.16</c:v>
                </c:pt>
                <c:pt idx="8">
                  <c:v>0.18</c:v>
                </c:pt>
                <c:pt idx="9">
                  <c:v>0.2</c:v>
                </c:pt>
                <c:pt idx="10">
                  <c:v>0.22</c:v>
                </c:pt>
                <c:pt idx="11">
                  <c:v>0.24</c:v>
                </c:pt>
                <c:pt idx="12">
                  <c:v>0.26</c:v>
                </c:pt>
                <c:pt idx="13">
                  <c:v>0.28</c:v>
                </c:pt>
                <c:pt idx="14">
                  <c:v>0.3</c:v>
                </c:pt>
                <c:pt idx="15">
                  <c:v>0.32</c:v>
                </c:pt>
                <c:pt idx="16">
                  <c:v>0.34</c:v>
                </c:pt>
                <c:pt idx="17">
                  <c:v>0.36</c:v>
                </c:pt>
                <c:pt idx="18">
                  <c:v>0.38</c:v>
                </c:pt>
                <c:pt idx="19">
                  <c:v>0.4</c:v>
                </c:pt>
                <c:pt idx="20">
                  <c:v>0.42</c:v>
                </c:pt>
                <c:pt idx="21">
                  <c:v>0.44</c:v>
                </c:pt>
                <c:pt idx="22">
                  <c:v>0.46</c:v>
                </c:pt>
              </c:strCache>
            </c:strRef>
          </c:cat>
          <c:val>
            <c:numRef>
              <c:f>'PIVOT TABLE'!$B$70:$B$93</c:f>
              <c:numCache>
                <c:formatCode>General</c:formatCode>
                <c:ptCount val="23"/>
                <c:pt idx="0">
                  <c:v>168</c:v>
                </c:pt>
                <c:pt idx="1">
                  <c:v>387</c:v>
                </c:pt>
                <c:pt idx="2">
                  <c:v>608</c:v>
                </c:pt>
                <c:pt idx="3">
                  <c:v>357</c:v>
                </c:pt>
                <c:pt idx="4">
                  <c:v>1259</c:v>
                </c:pt>
                <c:pt idx="5">
                  <c:v>2104</c:v>
                </c:pt>
                <c:pt idx="6">
                  <c:v>4335</c:v>
                </c:pt>
                <c:pt idx="7">
                  <c:v>7003</c:v>
                </c:pt>
                <c:pt idx="8">
                  <c:v>4045</c:v>
                </c:pt>
                <c:pt idx="9">
                  <c:v>7926</c:v>
                </c:pt>
                <c:pt idx="10">
                  <c:v>7212</c:v>
                </c:pt>
                <c:pt idx="11">
                  <c:v>5965</c:v>
                </c:pt>
                <c:pt idx="12">
                  <c:v>3157</c:v>
                </c:pt>
                <c:pt idx="13">
                  <c:v>1958</c:v>
                </c:pt>
                <c:pt idx="14">
                  <c:v>3551</c:v>
                </c:pt>
                <c:pt idx="15">
                  <c:v>1966</c:v>
                </c:pt>
                <c:pt idx="16">
                  <c:v>2478</c:v>
                </c:pt>
                <c:pt idx="17">
                  <c:v>1341</c:v>
                </c:pt>
                <c:pt idx="18">
                  <c:v>521</c:v>
                </c:pt>
                <c:pt idx="19">
                  <c:v>985</c:v>
                </c:pt>
                <c:pt idx="20">
                  <c:v>519</c:v>
                </c:pt>
                <c:pt idx="21">
                  <c:v>194</c:v>
                </c:pt>
                <c:pt idx="22">
                  <c:v>265</c:v>
                </c:pt>
              </c:numCache>
            </c:numRef>
          </c:val>
          <c:extLst>
            <c:ext xmlns:c16="http://schemas.microsoft.com/office/drawing/2014/chart" uri="{C3380CC4-5D6E-409C-BE32-E72D297353CC}">
              <c16:uniqueId val="{00000000-1449-4D84-B668-53F2296E67B7}"/>
            </c:ext>
          </c:extLst>
        </c:ser>
        <c:dLbls>
          <c:dLblPos val="outEnd"/>
          <c:showLegendKey val="0"/>
          <c:showVal val="1"/>
          <c:showCatName val="0"/>
          <c:showSerName val="0"/>
          <c:showPercent val="0"/>
          <c:showBubbleSize val="0"/>
        </c:dLbls>
        <c:gapWidth val="219"/>
        <c:overlap val="-27"/>
        <c:axId val="400811567"/>
        <c:axId val="400825967"/>
      </c:barChart>
      <c:catAx>
        <c:axId val="40081156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TEMPERATURE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825967"/>
        <c:crosses val="autoZero"/>
        <c:auto val="1"/>
        <c:lblAlgn val="ctr"/>
        <c:lblOffset val="100"/>
        <c:noMultiLvlLbl val="0"/>
      </c:catAx>
      <c:valAx>
        <c:axId val="4008259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Visitors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8115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Assignment.xlsm]PIVOT TABLE!PivotTable11</c:name>
    <c:fmtId val="1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Visitors Forecast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TABLE'!$J$2</c:f>
              <c:strCache>
                <c:ptCount val="1"/>
                <c:pt idx="0">
                  <c:v>Total</c:v>
                </c:pt>
              </c:strCache>
            </c:strRef>
          </c:tx>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trendline>
            <c:spPr>
              <a:ln w="19050" cap="rnd">
                <a:solidFill>
                  <a:schemeClr val="accent1"/>
                </a:solidFill>
                <a:prstDash val="sysDash"/>
              </a:ln>
              <a:effectLst/>
            </c:spPr>
            <c:trendlineType val="linear"/>
            <c:forward val="10"/>
            <c:dispRSqr val="0"/>
            <c:dispEq val="0"/>
          </c:trendline>
          <c:cat>
            <c:multiLvlStrRef>
              <c:f>'PIVOT TABLE'!$I$3:$I$50</c:f>
              <c:multiLvlStrCache>
                <c:ptCount val="45"/>
                <c:lvl>
                  <c:pt idx="0">
                    <c:v>01-Jan</c:v>
                  </c:pt>
                  <c:pt idx="1">
                    <c:v>02-Jan</c:v>
                  </c:pt>
                  <c:pt idx="2">
                    <c:v>03-Jan</c:v>
                  </c:pt>
                  <c:pt idx="3">
                    <c:v>04-Jan</c:v>
                  </c:pt>
                  <c:pt idx="4">
                    <c:v>05-Jan</c:v>
                  </c:pt>
                  <c:pt idx="5">
                    <c:v>06-Jan</c:v>
                  </c:pt>
                  <c:pt idx="6">
                    <c:v>07-Jan</c:v>
                  </c:pt>
                  <c:pt idx="7">
                    <c:v>08-Jan</c:v>
                  </c:pt>
                  <c:pt idx="8">
                    <c:v>09-Jan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01-Feb</c:v>
                  </c:pt>
                  <c:pt idx="32">
                    <c:v>02-Feb</c:v>
                  </c:pt>
                  <c:pt idx="33">
                    <c:v>03-Feb</c:v>
                  </c:pt>
                  <c:pt idx="34">
                    <c:v>04-Feb</c:v>
                  </c:pt>
                  <c:pt idx="35">
                    <c:v>05-Feb</c:v>
                  </c:pt>
                  <c:pt idx="36">
                    <c:v>06-Feb</c:v>
                  </c:pt>
                  <c:pt idx="37">
                    <c:v>07-Feb</c:v>
                  </c:pt>
                  <c:pt idx="38">
                    <c:v>08-Feb</c:v>
                  </c:pt>
                  <c:pt idx="39">
                    <c:v>09-Feb</c:v>
                  </c:pt>
                  <c:pt idx="40">
                    <c:v>10-Feb</c:v>
                  </c:pt>
                  <c:pt idx="41">
                    <c:v>11-Feb</c:v>
                  </c:pt>
                  <c:pt idx="42">
                    <c:v>12-Feb</c:v>
                  </c:pt>
                  <c:pt idx="43">
                    <c:v>13-Feb</c:v>
                  </c:pt>
                  <c:pt idx="44">
                    <c:v>14-Feb</c:v>
                  </c:pt>
                </c:lvl>
                <c:lvl>
                  <c:pt idx="0">
                    <c:v>Jan</c:v>
                  </c:pt>
                  <c:pt idx="31">
                    <c:v>Feb</c:v>
                  </c:pt>
                </c:lvl>
              </c:multiLvlStrCache>
            </c:multiLvlStrRef>
          </c:cat>
          <c:val>
            <c:numRef>
              <c:f>'PIVOT TABLE'!$J$3:$J$50</c:f>
              <c:numCache>
                <c:formatCode>General</c:formatCode>
                <c:ptCount val="45"/>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pt idx="44">
                  <c:v>151</c:v>
                </c:pt>
              </c:numCache>
            </c:numRef>
          </c:val>
          <c:smooth val="0"/>
          <c:extLst>
            <c:ext xmlns:c16="http://schemas.microsoft.com/office/drawing/2014/chart" uri="{C3380CC4-5D6E-409C-BE32-E72D297353CC}">
              <c16:uniqueId val="{00000001-50EC-4C51-97AF-46EAC7DE4F0E}"/>
            </c:ext>
          </c:extLst>
        </c:ser>
        <c:dLbls>
          <c:showLegendKey val="0"/>
          <c:showVal val="0"/>
          <c:showCatName val="0"/>
          <c:showSerName val="0"/>
          <c:showPercent val="0"/>
          <c:showBubbleSize val="0"/>
        </c:dLbls>
        <c:marker val="1"/>
        <c:smooth val="0"/>
        <c:axId val="1513631216"/>
        <c:axId val="1887057568"/>
      </c:lineChart>
      <c:catAx>
        <c:axId val="151363121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a:t>Date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887057568"/>
        <c:crosses val="autoZero"/>
        <c:auto val="1"/>
        <c:lblAlgn val="ctr"/>
        <c:lblOffset val="100"/>
        <c:noMultiLvlLbl val="0"/>
      </c:catAx>
      <c:valAx>
        <c:axId val="188705756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a:t>Visitors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513631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Assignment.xlsm]PIVOT TABLE!PivotTable7</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Impact of</a:t>
            </a:r>
            <a:r>
              <a:rPr lang="en-IN" b="1" baseline="0"/>
              <a:t> Humidity</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TABLE'!$B$104</c:f>
              <c:strCache>
                <c:ptCount val="1"/>
                <c:pt idx="0">
                  <c:v>Total</c:v>
                </c:pt>
              </c:strCache>
            </c:strRef>
          </c:tx>
          <c:spPr>
            <a:solidFill>
              <a:schemeClr val="accent1"/>
            </a:solidFill>
            <a:ln>
              <a:noFill/>
            </a:ln>
            <a:effectLst/>
          </c:spPr>
          <c:invertIfNegative val="0"/>
          <c:cat>
            <c:strRef>
              <c:f>'PIVOT TABLE'!$A$105:$A$169</c:f>
              <c:strCache>
                <c:ptCount val="64"/>
                <c:pt idx="0">
                  <c:v>0.21</c:v>
                </c:pt>
                <c:pt idx="1">
                  <c:v>0.24</c:v>
                </c:pt>
                <c:pt idx="2">
                  <c:v>0.25</c:v>
                </c:pt>
                <c:pt idx="3">
                  <c:v>0.26</c:v>
                </c:pt>
                <c:pt idx="4">
                  <c:v>0.27</c:v>
                </c:pt>
                <c:pt idx="5">
                  <c:v>0.28</c:v>
                </c:pt>
                <c:pt idx="6">
                  <c:v>0.29</c:v>
                </c:pt>
                <c:pt idx="7">
                  <c:v>0.3</c:v>
                </c:pt>
                <c:pt idx="8">
                  <c:v>0.31</c:v>
                </c:pt>
                <c:pt idx="9">
                  <c:v>0.32</c:v>
                </c:pt>
                <c:pt idx="10">
                  <c:v>0.33</c:v>
                </c:pt>
                <c:pt idx="11">
                  <c:v>0.34</c:v>
                </c:pt>
                <c:pt idx="12">
                  <c:v>0.35</c:v>
                </c:pt>
                <c:pt idx="13">
                  <c:v>0.36</c:v>
                </c:pt>
                <c:pt idx="14">
                  <c:v>0.37</c:v>
                </c:pt>
                <c:pt idx="15">
                  <c:v>0.38</c:v>
                </c:pt>
                <c:pt idx="16">
                  <c:v>0.39</c:v>
                </c:pt>
                <c:pt idx="17">
                  <c:v>0.4</c:v>
                </c:pt>
                <c:pt idx="18">
                  <c:v>0.41</c:v>
                </c:pt>
                <c:pt idx="19">
                  <c:v>0.42</c:v>
                </c:pt>
                <c:pt idx="20">
                  <c:v>0.43</c:v>
                </c:pt>
                <c:pt idx="21">
                  <c:v>0.44</c:v>
                </c:pt>
                <c:pt idx="22">
                  <c:v>0.45</c:v>
                </c:pt>
                <c:pt idx="23">
                  <c:v>0.46</c:v>
                </c:pt>
                <c:pt idx="24">
                  <c:v>0.47</c:v>
                </c:pt>
                <c:pt idx="25">
                  <c:v>0.48</c:v>
                </c:pt>
                <c:pt idx="26">
                  <c:v>0.49</c:v>
                </c:pt>
                <c:pt idx="27">
                  <c:v>0.5</c:v>
                </c:pt>
                <c:pt idx="28">
                  <c:v>0.51</c:v>
                </c:pt>
                <c:pt idx="29">
                  <c:v>0.52</c:v>
                </c:pt>
                <c:pt idx="30">
                  <c:v>0.53</c:v>
                </c:pt>
                <c:pt idx="31">
                  <c:v>0.54</c:v>
                </c:pt>
                <c:pt idx="32">
                  <c:v>0.55</c:v>
                </c:pt>
                <c:pt idx="33">
                  <c:v>0.56</c:v>
                </c:pt>
                <c:pt idx="34">
                  <c:v>0.57</c:v>
                </c:pt>
                <c:pt idx="35">
                  <c:v>0.58</c:v>
                </c:pt>
                <c:pt idx="36">
                  <c:v>0.59</c:v>
                </c:pt>
                <c:pt idx="37">
                  <c:v>0.6</c:v>
                </c:pt>
                <c:pt idx="38">
                  <c:v>0.61</c:v>
                </c:pt>
                <c:pt idx="39">
                  <c:v>0.62</c:v>
                </c:pt>
                <c:pt idx="40">
                  <c:v>0.63</c:v>
                </c:pt>
                <c:pt idx="41">
                  <c:v>0.64</c:v>
                </c:pt>
                <c:pt idx="42">
                  <c:v>0.65</c:v>
                </c:pt>
                <c:pt idx="43">
                  <c:v>0.66</c:v>
                </c:pt>
                <c:pt idx="44">
                  <c:v>0.68</c:v>
                </c:pt>
                <c:pt idx="45">
                  <c:v>0.69</c:v>
                </c:pt>
                <c:pt idx="46">
                  <c:v>0.7</c:v>
                </c:pt>
                <c:pt idx="47">
                  <c:v>0.71</c:v>
                </c:pt>
                <c:pt idx="48">
                  <c:v>0.72</c:v>
                </c:pt>
                <c:pt idx="49">
                  <c:v>0.73</c:v>
                </c:pt>
                <c:pt idx="50">
                  <c:v>0.74</c:v>
                </c:pt>
                <c:pt idx="51">
                  <c:v>0.75</c:v>
                </c:pt>
                <c:pt idx="52">
                  <c:v>0.76</c:v>
                </c:pt>
                <c:pt idx="53">
                  <c:v>0.77</c:v>
                </c:pt>
                <c:pt idx="54">
                  <c:v>0.8</c:v>
                </c:pt>
                <c:pt idx="55">
                  <c:v>0.81</c:v>
                </c:pt>
                <c:pt idx="56">
                  <c:v>0.82</c:v>
                </c:pt>
                <c:pt idx="57">
                  <c:v>0.86</c:v>
                </c:pt>
                <c:pt idx="58">
                  <c:v>0.87</c:v>
                </c:pt>
                <c:pt idx="59">
                  <c:v>0.88</c:v>
                </c:pt>
                <c:pt idx="60">
                  <c:v>0.92</c:v>
                </c:pt>
                <c:pt idx="61">
                  <c:v>0.93</c:v>
                </c:pt>
                <c:pt idx="62">
                  <c:v>0.94</c:v>
                </c:pt>
                <c:pt idx="63">
                  <c:v>1</c:v>
                </c:pt>
              </c:strCache>
            </c:strRef>
          </c:cat>
          <c:val>
            <c:numRef>
              <c:f>'PIVOT TABLE'!$B$105:$B$169</c:f>
              <c:numCache>
                <c:formatCode>General</c:formatCode>
                <c:ptCount val="64"/>
                <c:pt idx="0">
                  <c:v>147</c:v>
                </c:pt>
                <c:pt idx="1">
                  <c:v>211</c:v>
                </c:pt>
                <c:pt idx="2">
                  <c:v>112</c:v>
                </c:pt>
                <c:pt idx="3">
                  <c:v>531</c:v>
                </c:pt>
                <c:pt idx="4">
                  <c:v>206</c:v>
                </c:pt>
                <c:pt idx="5">
                  <c:v>1758</c:v>
                </c:pt>
                <c:pt idx="6">
                  <c:v>611</c:v>
                </c:pt>
                <c:pt idx="7">
                  <c:v>1091</c:v>
                </c:pt>
                <c:pt idx="8">
                  <c:v>354</c:v>
                </c:pt>
                <c:pt idx="9">
                  <c:v>1023</c:v>
                </c:pt>
                <c:pt idx="10">
                  <c:v>536</c:v>
                </c:pt>
                <c:pt idx="11">
                  <c:v>652</c:v>
                </c:pt>
                <c:pt idx="12">
                  <c:v>1139</c:v>
                </c:pt>
                <c:pt idx="13">
                  <c:v>670</c:v>
                </c:pt>
                <c:pt idx="14">
                  <c:v>1571</c:v>
                </c:pt>
                <c:pt idx="15">
                  <c:v>1498</c:v>
                </c:pt>
                <c:pt idx="16">
                  <c:v>1084</c:v>
                </c:pt>
                <c:pt idx="17">
                  <c:v>2475</c:v>
                </c:pt>
                <c:pt idx="18">
                  <c:v>1102</c:v>
                </c:pt>
                <c:pt idx="19">
                  <c:v>1151</c:v>
                </c:pt>
                <c:pt idx="20">
                  <c:v>809</c:v>
                </c:pt>
                <c:pt idx="21">
                  <c:v>756</c:v>
                </c:pt>
                <c:pt idx="22">
                  <c:v>1134</c:v>
                </c:pt>
                <c:pt idx="23">
                  <c:v>1325</c:v>
                </c:pt>
                <c:pt idx="24">
                  <c:v>3215</c:v>
                </c:pt>
                <c:pt idx="25">
                  <c:v>1067</c:v>
                </c:pt>
                <c:pt idx="26">
                  <c:v>1553</c:v>
                </c:pt>
                <c:pt idx="27">
                  <c:v>1955</c:v>
                </c:pt>
                <c:pt idx="28">
                  <c:v>2184</c:v>
                </c:pt>
                <c:pt idx="29">
                  <c:v>679</c:v>
                </c:pt>
                <c:pt idx="30">
                  <c:v>203</c:v>
                </c:pt>
                <c:pt idx="31">
                  <c:v>440</c:v>
                </c:pt>
                <c:pt idx="32">
                  <c:v>2021</c:v>
                </c:pt>
                <c:pt idx="33">
                  <c:v>1706</c:v>
                </c:pt>
                <c:pt idx="34">
                  <c:v>684</c:v>
                </c:pt>
                <c:pt idx="35">
                  <c:v>181</c:v>
                </c:pt>
                <c:pt idx="36">
                  <c:v>2568</c:v>
                </c:pt>
                <c:pt idx="37">
                  <c:v>993</c:v>
                </c:pt>
                <c:pt idx="38">
                  <c:v>525</c:v>
                </c:pt>
                <c:pt idx="39">
                  <c:v>186</c:v>
                </c:pt>
                <c:pt idx="40">
                  <c:v>182</c:v>
                </c:pt>
                <c:pt idx="41">
                  <c:v>1003</c:v>
                </c:pt>
                <c:pt idx="42">
                  <c:v>1114</c:v>
                </c:pt>
                <c:pt idx="43">
                  <c:v>343</c:v>
                </c:pt>
                <c:pt idx="44">
                  <c:v>186</c:v>
                </c:pt>
                <c:pt idx="45">
                  <c:v>1384</c:v>
                </c:pt>
                <c:pt idx="46">
                  <c:v>839</c:v>
                </c:pt>
                <c:pt idx="47">
                  <c:v>257</c:v>
                </c:pt>
                <c:pt idx="48">
                  <c:v>200</c:v>
                </c:pt>
                <c:pt idx="49">
                  <c:v>74</c:v>
                </c:pt>
                <c:pt idx="50">
                  <c:v>1400</c:v>
                </c:pt>
                <c:pt idx="51">
                  <c:v>904</c:v>
                </c:pt>
                <c:pt idx="52">
                  <c:v>206</c:v>
                </c:pt>
                <c:pt idx="53">
                  <c:v>196</c:v>
                </c:pt>
                <c:pt idx="54">
                  <c:v>1328</c:v>
                </c:pt>
                <c:pt idx="55">
                  <c:v>609</c:v>
                </c:pt>
                <c:pt idx="56">
                  <c:v>348</c:v>
                </c:pt>
                <c:pt idx="57">
                  <c:v>1309</c:v>
                </c:pt>
                <c:pt idx="58">
                  <c:v>719</c:v>
                </c:pt>
                <c:pt idx="59">
                  <c:v>128</c:v>
                </c:pt>
                <c:pt idx="60">
                  <c:v>90</c:v>
                </c:pt>
                <c:pt idx="61">
                  <c:v>2457</c:v>
                </c:pt>
                <c:pt idx="62">
                  <c:v>54</c:v>
                </c:pt>
                <c:pt idx="63">
                  <c:v>868</c:v>
                </c:pt>
              </c:numCache>
            </c:numRef>
          </c:val>
          <c:extLst>
            <c:ext xmlns:c16="http://schemas.microsoft.com/office/drawing/2014/chart" uri="{C3380CC4-5D6E-409C-BE32-E72D297353CC}">
              <c16:uniqueId val="{00000000-83A7-4154-AD65-C20932051205}"/>
            </c:ext>
          </c:extLst>
        </c:ser>
        <c:dLbls>
          <c:showLegendKey val="0"/>
          <c:showVal val="0"/>
          <c:showCatName val="0"/>
          <c:showSerName val="0"/>
          <c:showPercent val="0"/>
          <c:showBubbleSize val="0"/>
        </c:dLbls>
        <c:gapWidth val="219"/>
        <c:overlap val="-27"/>
        <c:axId val="714984591"/>
        <c:axId val="714984111"/>
      </c:barChart>
      <c:catAx>
        <c:axId val="71498459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Humidity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984111"/>
        <c:crosses val="autoZero"/>
        <c:auto val="1"/>
        <c:lblAlgn val="ctr"/>
        <c:lblOffset val="100"/>
        <c:noMultiLvlLbl val="0"/>
      </c:catAx>
      <c:valAx>
        <c:axId val="7149841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Visitors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984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Assignment.xlsm]PIVOT TABLE!PivotTable8</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Impact</a:t>
            </a:r>
            <a:r>
              <a:rPr lang="en-US" b="1" baseline="0"/>
              <a:t> of Windspeed</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TABLE'!$B$173</c:f>
              <c:strCache>
                <c:ptCount val="1"/>
                <c:pt idx="0">
                  <c:v>Total</c:v>
                </c:pt>
              </c:strCache>
            </c:strRef>
          </c:tx>
          <c:spPr>
            <a:solidFill>
              <a:schemeClr val="accent1"/>
            </a:solidFill>
            <a:ln>
              <a:noFill/>
            </a:ln>
            <a:effectLst/>
          </c:spPr>
          <c:invertIfNegative val="0"/>
          <c:cat>
            <c:strRef>
              <c:f>'PIVOT TABLE'!$A$174:$A$194</c:f>
              <c:strCache>
                <c:ptCount val="20"/>
                <c:pt idx="0">
                  <c:v>0</c:v>
                </c:pt>
                <c:pt idx="1">
                  <c:v>0.0896</c:v>
                </c:pt>
                <c:pt idx="2">
                  <c:v>0.1045</c:v>
                </c:pt>
                <c:pt idx="3">
                  <c:v>0.1343</c:v>
                </c:pt>
                <c:pt idx="4">
                  <c:v>0.1642</c:v>
                </c:pt>
                <c:pt idx="5">
                  <c:v>0.194</c:v>
                </c:pt>
                <c:pt idx="6">
                  <c:v>0.2239</c:v>
                </c:pt>
                <c:pt idx="7">
                  <c:v>0.2537</c:v>
                </c:pt>
                <c:pt idx="8">
                  <c:v>0.2836</c:v>
                </c:pt>
                <c:pt idx="9">
                  <c:v>0.2985</c:v>
                </c:pt>
                <c:pt idx="10">
                  <c:v>0.3284</c:v>
                </c:pt>
                <c:pt idx="11">
                  <c:v>0.3582</c:v>
                </c:pt>
                <c:pt idx="12">
                  <c:v>0.3881</c:v>
                </c:pt>
                <c:pt idx="13">
                  <c:v>0.4179</c:v>
                </c:pt>
                <c:pt idx="14">
                  <c:v>0.4478</c:v>
                </c:pt>
                <c:pt idx="15">
                  <c:v>0.4627</c:v>
                </c:pt>
                <c:pt idx="16">
                  <c:v>0.4925</c:v>
                </c:pt>
                <c:pt idx="17">
                  <c:v>0.5224</c:v>
                </c:pt>
                <c:pt idx="18">
                  <c:v>0.5522</c:v>
                </c:pt>
                <c:pt idx="19">
                  <c:v>0.5821</c:v>
                </c:pt>
              </c:strCache>
            </c:strRef>
          </c:cat>
          <c:val>
            <c:numRef>
              <c:f>'PIVOT TABLE'!$B$174:$B$194</c:f>
              <c:numCache>
                <c:formatCode>General</c:formatCode>
                <c:ptCount val="20"/>
                <c:pt idx="0">
                  <c:v>7845</c:v>
                </c:pt>
                <c:pt idx="1">
                  <c:v>4149</c:v>
                </c:pt>
                <c:pt idx="2">
                  <c:v>4350</c:v>
                </c:pt>
                <c:pt idx="3">
                  <c:v>5261</c:v>
                </c:pt>
                <c:pt idx="4">
                  <c:v>5609</c:v>
                </c:pt>
                <c:pt idx="5">
                  <c:v>4668</c:v>
                </c:pt>
                <c:pt idx="6">
                  <c:v>3546</c:v>
                </c:pt>
                <c:pt idx="7">
                  <c:v>4074</c:v>
                </c:pt>
                <c:pt idx="8">
                  <c:v>3516</c:v>
                </c:pt>
                <c:pt idx="9">
                  <c:v>2872</c:v>
                </c:pt>
                <c:pt idx="10">
                  <c:v>3608</c:v>
                </c:pt>
                <c:pt idx="11">
                  <c:v>2069</c:v>
                </c:pt>
                <c:pt idx="12">
                  <c:v>1250</c:v>
                </c:pt>
                <c:pt idx="13">
                  <c:v>1432</c:v>
                </c:pt>
                <c:pt idx="14">
                  <c:v>1107</c:v>
                </c:pt>
                <c:pt idx="15">
                  <c:v>881</c:v>
                </c:pt>
                <c:pt idx="16">
                  <c:v>629</c:v>
                </c:pt>
                <c:pt idx="17">
                  <c:v>682</c:v>
                </c:pt>
                <c:pt idx="18">
                  <c:v>374</c:v>
                </c:pt>
                <c:pt idx="19">
                  <c:v>382</c:v>
                </c:pt>
              </c:numCache>
            </c:numRef>
          </c:val>
          <c:extLst>
            <c:ext xmlns:c16="http://schemas.microsoft.com/office/drawing/2014/chart" uri="{C3380CC4-5D6E-409C-BE32-E72D297353CC}">
              <c16:uniqueId val="{00000000-FB36-455B-9556-24B260441706}"/>
            </c:ext>
          </c:extLst>
        </c:ser>
        <c:dLbls>
          <c:showLegendKey val="0"/>
          <c:showVal val="0"/>
          <c:showCatName val="0"/>
          <c:showSerName val="0"/>
          <c:showPercent val="0"/>
          <c:showBubbleSize val="0"/>
        </c:dLbls>
        <c:gapWidth val="219"/>
        <c:overlap val="-27"/>
        <c:axId val="1609896287"/>
        <c:axId val="1609896767"/>
      </c:barChart>
      <c:catAx>
        <c:axId val="160989628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Wind</a:t>
                </a:r>
                <a:r>
                  <a:rPr lang="en-IN" baseline="0"/>
                  <a:t> Speed</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9896767"/>
        <c:crosses val="autoZero"/>
        <c:auto val="1"/>
        <c:lblAlgn val="ctr"/>
        <c:lblOffset val="100"/>
        <c:noMultiLvlLbl val="0"/>
      </c:catAx>
      <c:valAx>
        <c:axId val="16098967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Visitors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9896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30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17</xdr:col>
      <xdr:colOff>459687</xdr:colOff>
      <xdr:row>3</xdr:row>
      <xdr:rowOff>162560</xdr:rowOff>
    </xdr:from>
    <xdr:to>
      <xdr:col>20</xdr:col>
      <xdr:colOff>379506</xdr:colOff>
      <xdr:row>8</xdr:row>
      <xdr:rowOff>40640</xdr:rowOff>
    </xdr:to>
    <xdr:sp macro="" textlink="'PIVOT TABLE'!G23">
      <xdr:nvSpPr>
        <xdr:cNvPr id="32" name="Flowchart: Alternate Process 31">
          <a:extLst>
            <a:ext uri="{FF2B5EF4-FFF2-40B4-BE49-F238E27FC236}">
              <a16:creationId xmlns:a16="http://schemas.microsoft.com/office/drawing/2014/main" id="{5FDAC3C3-DDEA-4CDA-850A-FBFD9AB6700A}"/>
            </a:ext>
          </a:extLst>
        </xdr:cNvPr>
        <xdr:cNvSpPr/>
      </xdr:nvSpPr>
      <xdr:spPr>
        <a:xfrm>
          <a:off x="10822887" y="711200"/>
          <a:ext cx="1748619" cy="792480"/>
        </a:xfrm>
        <a:prstGeom prst="flowChartAlternateProcess">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u="none" strike="noStrike" baseline="0">
              <a:solidFill>
                <a:srgbClr val="000000"/>
              </a:solidFill>
              <a:latin typeface="Calibri"/>
              <a:ea typeface="Calibri"/>
              <a:cs typeface="Calibri"/>
            </a:rPr>
            <a:t>Holiday Impact % </a:t>
          </a:r>
        </a:p>
        <a:p>
          <a:pPr algn="ctr"/>
          <a:fld id="{E01DD952-C92F-4B2E-84F3-82F025452968}" type="TxLink">
            <a:rPr lang="en-US" sz="1600" b="1" i="0" u="none" strike="noStrike" baseline="0">
              <a:solidFill>
                <a:srgbClr val="000000"/>
              </a:solidFill>
              <a:latin typeface="Calibri"/>
              <a:ea typeface="Calibri"/>
              <a:cs typeface="Calibri"/>
            </a:rPr>
            <a:pPr algn="ctr"/>
            <a:t>-0.29</a:t>
          </a:fld>
          <a:endParaRPr lang="en-US" sz="2800" b="1" i="0" u="none" strike="noStrike" baseline="0">
            <a:solidFill>
              <a:srgbClr val="000000"/>
            </a:solidFill>
            <a:latin typeface="Calibri"/>
            <a:ea typeface="Calibri"/>
            <a:cs typeface="Calibri"/>
          </a:endParaRPr>
        </a:p>
      </xdr:txBody>
    </xdr:sp>
    <xdr:clientData/>
  </xdr:twoCellAnchor>
  <xdr:twoCellAnchor>
    <xdr:from>
      <xdr:col>1</xdr:col>
      <xdr:colOff>442260</xdr:colOff>
      <xdr:row>3</xdr:row>
      <xdr:rowOff>162560</xdr:rowOff>
    </xdr:from>
    <xdr:to>
      <xdr:col>4</xdr:col>
      <xdr:colOff>155387</xdr:colOff>
      <xdr:row>8</xdr:row>
      <xdr:rowOff>40640</xdr:rowOff>
    </xdr:to>
    <xdr:sp macro="" textlink="'PIVOT TABLE'!D23">
      <xdr:nvSpPr>
        <xdr:cNvPr id="2" name="Flowchart: Alternate Process 1">
          <a:extLst>
            <a:ext uri="{FF2B5EF4-FFF2-40B4-BE49-F238E27FC236}">
              <a16:creationId xmlns:a16="http://schemas.microsoft.com/office/drawing/2014/main" id="{34914564-17C8-B738-FE33-FD6E72EB8636}"/>
            </a:ext>
          </a:extLst>
        </xdr:cNvPr>
        <xdr:cNvSpPr/>
      </xdr:nvSpPr>
      <xdr:spPr>
        <a:xfrm>
          <a:off x="1051860" y="711200"/>
          <a:ext cx="1541927" cy="792480"/>
        </a:xfrm>
        <a:prstGeom prst="flowChartAlternateProcess">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u="none" strike="noStrike">
              <a:solidFill>
                <a:srgbClr val="000000"/>
              </a:solidFill>
              <a:latin typeface="Calibri"/>
              <a:ea typeface="Calibri"/>
              <a:cs typeface="Calibri"/>
            </a:rPr>
            <a:t>Total</a:t>
          </a:r>
          <a:r>
            <a:rPr lang="en-US" sz="1600" b="1" i="0" u="none" strike="noStrike" baseline="0">
              <a:solidFill>
                <a:srgbClr val="000000"/>
              </a:solidFill>
              <a:latin typeface="Calibri"/>
              <a:ea typeface="Calibri"/>
              <a:cs typeface="Calibri"/>
            </a:rPr>
            <a:t> Visitors</a:t>
          </a:r>
        </a:p>
        <a:p>
          <a:pPr algn="ctr"/>
          <a:fld id="{1DCEF839-AE4C-4F05-BE32-7C05F43E849D}" type="TxLink">
            <a:rPr lang="en-US" sz="1600" b="1" i="0" u="none" strike="noStrike">
              <a:solidFill>
                <a:srgbClr val="000000"/>
              </a:solidFill>
              <a:latin typeface="Calibri"/>
              <a:ea typeface="Calibri"/>
              <a:cs typeface="Calibri"/>
            </a:rPr>
            <a:pPr algn="ctr"/>
            <a:t>58304</a:t>
          </a:fld>
          <a:endParaRPr lang="en-US" sz="2400" b="1">
            <a:solidFill>
              <a:schemeClr val="tx1"/>
            </a:solidFill>
            <a:latin typeface="+mn-lt"/>
          </a:endParaRPr>
        </a:p>
      </xdr:txBody>
    </xdr:sp>
    <xdr:clientData/>
  </xdr:twoCellAnchor>
  <xdr:twoCellAnchor>
    <xdr:from>
      <xdr:col>4</xdr:col>
      <xdr:colOff>169486</xdr:colOff>
      <xdr:row>3</xdr:row>
      <xdr:rowOff>162560</xdr:rowOff>
    </xdr:from>
    <xdr:to>
      <xdr:col>7</xdr:col>
      <xdr:colOff>182282</xdr:colOff>
      <xdr:row>8</xdr:row>
      <xdr:rowOff>40640</xdr:rowOff>
    </xdr:to>
    <xdr:sp macro="" textlink="'PIVOT TABLE'!D24">
      <xdr:nvSpPr>
        <xdr:cNvPr id="5" name="Flowchart: Alternate Process 4">
          <a:extLst>
            <a:ext uri="{FF2B5EF4-FFF2-40B4-BE49-F238E27FC236}">
              <a16:creationId xmlns:a16="http://schemas.microsoft.com/office/drawing/2014/main" id="{D4EFCD70-171B-4475-893C-CE397488E396}"/>
            </a:ext>
          </a:extLst>
        </xdr:cNvPr>
        <xdr:cNvSpPr/>
      </xdr:nvSpPr>
      <xdr:spPr>
        <a:xfrm>
          <a:off x="2607886" y="711200"/>
          <a:ext cx="1841596" cy="792480"/>
        </a:xfrm>
        <a:prstGeom prst="flowChartAlternateProcess">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u="none" strike="noStrike">
              <a:solidFill>
                <a:srgbClr val="000000"/>
              </a:solidFill>
              <a:latin typeface="Calibri"/>
              <a:ea typeface="Calibri"/>
              <a:cs typeface="Calibri"/>
            </a:rPr>
            <a:t>Registered Visitors</a:t>
          </a:r>
        </a:p>
        <a:p>
          <a:pPr algn="ctr"/>
          <a:fld id="{91BB02A2-27BD-47F8-8FFD-BCD2D2E377D8}" type="TxLink">
            <a:rPr lang="en-US" sz="1600" b="1" i="0" u="none" strike="noStrike">
              <a:solidFill>
                <a:srgbClr val="000000"/>
              </a:solidFill>
              <a:latin typeface="Calibri"/>
              <a:ea typeface="Calibri"/>
              <a:cs typeface="Calibri"/>
            </a:rPr>
            <a:pPr algn="ctr"/>
            <a:t>53383</a:t>
          </a:fld>
          <a:endParaRPr lang="en-IN" sz="3200" b="1"/>
        </a:p>
      </xdr:txBody>
    </xdr:sp>
    <xdr:clientData/>
  </xdr:twoCellAnchor>
  <xdr:twoCellAnchor>
    <xdr:from>
      <xdr:col>7</xdr:col>
      <xdr:colOff>202702</xdr:colOff>
      <xdr:row>3</xdr:row>
      <xdr:rowOff>162560</xdr:rowOff>
    </xdr:from>
    <xdr:to>
      <xdr:col>10</xdr:col>
      <xdr:colOff>20917</xdr:colOff>
      <xdr:row>8</xdr:row>
      <xdr:rowOff>40640</xdr:rowOff>
    </xdr:to>
    <xdr:sp macro="" textlink="'PIVOT TABLE'!D25">
      <xdr:nvSpPr>
        <xdr:cNvPr id="6" name="Flowchart: Alternate Process 5">
          <a:extLst>
            <a:ext uri="{FF2B5EF4-FFF2-40B4-BE49-F238E27FC236}">
              <a16:creationId xmlns:a16="http://schemas.microsoft.com/office/drawing/2014/main" id="{8D9E6C13-E819-4711-A46C-7EF0AFD1DB66}"/>
            </a:ext>
          </a:extLst>
        </xdr:cNvPr>
        <xdr:cNvSpPr/>
      </xdr:nvSpPr>
      <xdr:spPr>
        <a:xfrm>
          <a:off x="4469902" y="711200"/>
          <a:ext cx="1647015" cy="792480"/>
        </a:xfrm>
        <a:prstGeom prst="flowChartAlternateProcess">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u="none" strike="noStrike">
              <a:solidFill>
                <a:srgbClr val="000000"/>
              </a:solidFill>
              <a:latin typeface="Calibri"/>
              <a:ea typeface="Calibri"/>
              <a:cs typeface="Calibri"/>
            </a:rPr>
            <a:t>Casual</a:t>
          </a:r>
          <a:r>
            <a:rPr lang="en-US" sz="1600" b="1" i="0" u="none" strike="noStrike" baseline="0">
              <a:solidFill>
                <a:srgbClr val="000000"/>
              </a:solidFill>
              <a:latin typeface="Calibri"/>
              <a:ea typeface="Calibri"/>
              <a:cs typeface="Calibri"/>
            </a:rPr>
            <a:t> Visitors </a:t>
          </a:r>
          <a:fld id="{02A7B099-7EDA-46BD-AD44-C6FA3646451F}" type="TxLink">
            <a:rPr lang="en-US" sz="1600" b="1" i="0" u="none" strike="noStrike">
              <a:solidFill>
                <a:srgbClr val="000000"/>
              </a:solidFill>
              <a:latin typeface="Calibri"/>
              <a:ea typeface="Calibri"/>
              <a:cs typeface="Calibri"/>
            </a:rPr>
            <a:pPr algn="ctr"/>
            <a:t>4921</a:t>
          </a:fld>
          <a:endParaRPr lang="en-IN" sz="3200" b="1"/>
        </a:p>
      </xdr:txBody>
    </xdr:sp>
    <xdr:clientData/>
  </xdr:twoCellAnchor>
  <xdr:twoCellAnchor>
    <xdr:from>
      <xdr:col>10</xdr:col>
      <xdr:colOff>35266</xdr:colOff>
      <xdr:row>3</xdr:row>
      <xdr:rowOff>170180</xdr:rowOff>
    </xdr:from>
    <xdr:to>
      <xdr:col>13</xdr:col>
      <xdr:colOff>180046</xdr:colOff>
      <xdr:row>8</xdr:row>
      <xdr:rowOff>48260</xdr:rowOff>
    </xdr:to>
    <xdr:sp macro="" textlink="'PIVOT TABLE'!D26">
      <xdr:nvSpPr>
        <xdr:cNvPr id="7" name="Flowchart: Alternate Process 6">
          <a:extLst>
            <a:ext uri="{FF2B5EF4-FFF2-40B4-BE49-F238E27FC236}">
              <a16:creationId xmlns:a16="http://schemas.microsoft.com/office/drawing/2014/main" id="{683ED76A-68F4-4C52-8397-86350B5F255C}"/>
            </a:ext>
          </a:extLst>
        </xdr:cNvPr>
        <xdr:cNvSpPr/>
      </xdr:nvSpPr>
      <xdr:spPr>
        <a:xfrm>
          <a:off x="6131266" y="718820"/>
          <a:ext cx="1973580" cy="792480"/>
        </a:xfrm>
        <a:prstGeom prst="flowChartAlternateProcess">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u="none" strike="noStrike">
              <a:solidFill>
                <a:srgbClr val="000000"/>
              </a:solidFill>
              <a:latin typeface="Calibri"/>
              <a:ea typeface="Calibri"/>
              <a:cs typeface="Calibri"/>
            </a:rPr>
            <a:t>Average visitor/</a:t>
          </a:r>
          <a:r>
            <a:rPr lang="en-US" sz="1600" b="1" i="0" u="none" strike="noStrike" baseline="0">
              <a:solidFill>
                <a:srgbClr val="000000"/>
              </a:solidFill>
              <a:latin typeface="Calibri"/>
              <a:ea typeface="Calibri"/>
              <a:cs typeface="Calibri"/>
            </a:rPr>
            <a:t>Day </a:t>
          </a:r>
        </a:p>
        <a:p>
          <a:pPr algn="ctr"/>
          <a:fld id="{671214F2-5EC1-4C18-A7C4-16FC43E1A6AA}" type="TxLink">
            <a:rPr lang="en-US" sz="1600" b="1" i="0" u="none" strike="noStrike">
              <a:solidFill>
                <a:srgbClr val="000000"/>
              </a:solidFill>
              <a:latin typeface="Calibri"/>
              <a:ea typeface="Calibri"/>
              <a:cs typeface="Calibri"/>
            </a:rPr>
            <a:pPr algn="ctr"/>
            <a:t>58.30</a:t>
          </a:fld>
          <a:endParaRPr lang="en-IN" sz="3200" b="1"/>
        </a:p>
      </xdr:txBody>
    </xdr:sp>
    <xdr:clientData/>
  </xdr:twoCellAnchor>
  <xdr:twoCellAnchor>
    <xdr:from>
      <xdr:col>13</xdr:col>
      <xdr:colOff>201201</xdr:colOff>
      <xdr:row>3</xdr:row>
      <xdr:rowOff>170180</xdr:rowOff>
    </xdr:from>
    <xdr:to>
      <xdr:col>15</xdr:col>
      <xdr:colOff>271929</xdr:colOff>
      <xdr:row>8</xdr:row>
      <xdr:rowOff>48260</xdr:rowOff>
    </xdr:to>
    <xdr:sp macro="" textlink="'PIVOT TABLE'!D46">
      <xdr:nvSpPr>
        <xdr:cNvPr id="8" name="Flowchart: Alternate Process 7">
          <a:extLst>
            <a:ext uri="{FF2B5EF4-FFF2-40B4-BE49-F238E27FC236}">
              <a16:creationId xmlns:a16="http://schemas.microsoft.com/office/drawing/2014/main" id="{97102E91-71E0-4F50-A751-C77F9D3ADB81}"/>
            </a:ext>
          </a:extLst>
        </xdr:cNvPr>
        <xdr:cNvSpPr/>
      </xdr:nvSpPr>
      <xdr:spPr>
        <a:xfrm>
          <a:off x="8126001" y="718820"/>
          <a:ext cx="1289928" cy="792480"/>
        </a:xfrm>
        <a:prstGeom prst="flowChartAlternateProcess">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u="none" strike="noStrike">
              <a:solidFill>
                <a:srgbClr val="000000"/>
              </a:solidFill>
              <a:latin typeface="Calibri"/>
              <a:ea typeface="Calibri"/>
              <a:cs typeface="Calibri"/>
            </a:rPr>
            <a:t>Peak Hour </a:t>
          </a:r>
        </a:p>
        <a:p>
          <a:pPr algn="ctr"/>
          <a:fld id="{A7EAFCFF-ADF0-4D21-B1B9-E85271CF4263}" type="TxLink">
            <a:rPr lang="en-US" sz="1600" b="1" i="0" u="none" strike="noStrike">
              <a:solidFill>
                <a:srgbClr val="000000"/>
              </a:solidFill>
              <a:latin typeface="Calibri"/>
              <a:ea typeface="Calibri"/>
              <a:cs typeface="Calibri"/>
            </a:rPr>
            <a:pPr algn="ctr"/>
            <a:t>17</a:t>
          </a:fld>
          <a:endParaRPr lang="en-IN" sz="4000" b="1"/>
        </a:p>
      </xdr:txBody>
    </xdr:sp>
    <xdr:clientData/>
  </xdr:twoCellAnchor>
  <xdr:twoCellAnchor>
    <xdr:from>
      <xdr:col>15</xdr:col>
      <xdr:colOff>289364</xdr:colOff>
      <xdr:row>3</xdr:row>
      <xdr:rowOff>170180</xdr:rowOff>
    </xdr:from>
    <xdr:to>
      <xdr:col>17</xdr:col>
      <xdr:colOff>442259</xdr:colOff>
      <xdr:row>8</xdr:row>
      <xdr:rowOff>48260</xdr:rowOff>
    </xdr:to>
    <xdr:sp macro="" textlink="'PIVOT TABLE'!D60">
      <xdr:nvSpPr>
        <xdr:cNvPr id="9" name="Flowchart: Alternate Process 8">
          <a:extLst>
            <a:ext uri="{FF2B5EF4-FFF2-40B4-BE49-F238E27FC236}">
              <a16:creationId xmlns:a16="http://schemas.microsoft.com/office/drawing/2014/main" id="{C1767409-3D45-48E7-874E-3A5B068F0048}"/>
            </a:ext>
          </a:extLst>
        </xdr:cNvPr>
        <xdr:cNvSpPr/>
      </xdr:nvSpPr>
      <xdr:spPr>
        <a:xfrm>
          <a:off x="9433364" y="718820"/>
          <a:ext cx="1372095" cy="792480"/>
        </a:xfrm>
        <a:prstGeom prst="flowChartAlternateProcess">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u="none" strike="noStrike">
              <a:solidFill>
                <a:srgbClr val="000000"/>
              </a:solidFill>
              <a:latin typeface="Calibri"/>
              <a:ea typeface="Calibri"/>
              <a:cs typeface="Calibri"/>
            </a:rPr>
            <a:t>Busiest</a:t>
          </a:r>
          <a:r>
            <a:rPr lang="en-US" sz="1600" b="1" i="0" u="none" strike="noStrike" baseline="0">
              <a:solidFill>
                <a:srgbClr val="000000"/>
              </a:solidFill>
              <a:latin typeface="Calibri"/>
              <a:ea typeface="Calibri"/>
              <a:cs typeface="Calibri"/>
            </a:rPr>
            <a:t> day</a:t>
          </a:r>
        </a:p>
        <a:p>
          <a:pPr algn="ctr"/>
          <a:fld id="{14E48A25-DB75-4422-AE18-41C20C289720}" type="TxLink">
            <a:rPr lang="en-US" sz="1600" b="1" i="0" u="none" strike="noStrike">
              <a:solidFill>
                <a:srgbClr val="000000"/>
              </a:solidFill>
              <a:latin typeface="Calibri"/>
              <a:ea typeface="Calibri"/>
              <a:cs typeface="Calibri"/>
            </a:rPr>
            <a:pPr algn="ctr"/>
            <a:t>5</a:t>
          </a:fld>
          <a:endParaRPr lang="en-IN" sz="4000" b="1"/>
        </a:p>
      </xdr:txBody>
    </xdr:sp>
    <xdr:clientData/>
  </xdr:twoCellAnchor>
  <xdr:twoCellAnchor>
    <xdr:from>
      <xdr:col>1</xdr:col>
      <xdr:colOff>386080</xdr:colOff>
      <xdr:row>8</xdr:row>
      <xdr:rowOff>42576</xdr:rowOff>
    </xdr:from>
    <xdr:to>
      <xdr:col>7</xdr:col>
      <xdr:colOff>538480</xdr:colOff>
      <xdr:row>20</xdr:row>
      <xdr:rowOff>140547</xdr:rowOff>
    </xdr:to>
    <xdr:graphicFrame macro="">
      <xdr:nvGraphicFramePr>
        <xdr:cNvPr id="18" name="Chart 17">
          <a:extLst>
            <a:ext uri="{FF2B5EF4-FFF2-40B4-BE49-F238E27FC236}">
              <a16:creationId xmlns:a16="http://schemas.microsoft.com/office/drawing/2014/main" id="{32A5A5CF-872B-4E7F-8544-89E94B3183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548640</xdr:colOff>
      <xdr:row>8</xdr:row>
      <xdr:rowOff>45493</xdr:rowOff>
    </xdr:from>
    <xdr:to>
      <xdr:col>23</xdr:col>
      <xdr:colOff>17145</xdr:colOff>
      <xdr:row>20</xdr:row>
      <xdr:rowOff>149511</xdr:rowOff>
    </xdr:to>
    <xdr:graphicFrame macro="">
      <xdr:nvGraphicFramePr>
        <xdr:cNvPr id="19" name="Chart 18">
          <a:extLst>
            <a:ext uri="{FF2B5EF4-FFF2-40B4-BE49-F238E27FC236}">
              <a16:creationId xmlns:a16="http://schemas.microsoft.com/office/drawing/2014/main" id="{583235B3-75EE-48B6-ADE8-AD89C2B105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121920</xdr:colOff>
      <xdr:row>20</xdr:row>
      <xdr:rowOff>150705</xdr:rowOff>
    </xdr:from>
    <xdr:to>
      <xdr:col>11</xdr:col>
      <xdr:colOff>308187</xdr:colOff>
      <xdr:row>34</xdr:row>
      <xdr:rowOff>114722</xdr:rowOff>
    </xdr:to>
    <xdr:graphicFrame macro="">
      <xdr:nvGraphicFramePr>
        <xdr:cNvPr id="21" name="Chart 20">
          <a:extLst>
            <a:ext uri="{FF2B5EF4-FFF2-40B4-BE49-F238E27FC236}">
              <a16:creationId xmlns:a16="http://schemas.microsoft.com/office/drawing/2014/main" id="{7989ADD1-C1A8-45FA-9A8F-3D08895EA4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389467</xdr:colOff>
      <xdr:row>20</xdr:row>
      <xdr:rowOff>140544</xdr:rowOff>
    </xdr:from>
    <xdr:to>
      <xdr:col>6</xdr:col>
      <xdr:colOff>110067</xdr:colOff>
      <xdr:row>34</xdr:row>
      <xdr:rowOff>106680</xdr:rowOff>
    </xdr:to>
    <xdr:graphicFrame macro="">
      <xdr:nvGraphicFramePr>
        <xdr:cNvPr id="22" name="Chart 21">
          <a:extLst>
            <a:ext uri="{FF2B5EF4-FFF2-40B4-BE49-F238E27FC236}">
              <a16:creationId xmlns:a16="http://schemas.microsoft.com/office/drawing/2014/main" id="{5EF673DF-9022-4043-889F-D1104BC480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313267</xdr:colOff>
      <xdr:row>20</xdr:row>
      <xdr:rowOff>140546</xdr:rowOff>
    </xdr:from>
    <xdr:to>
      <xdr:col>18</xdr:col>
      <xdr:colOff>8467</xdr:colOff>
      <xdr:row>34</xdr:row>
      <xdr:rowOff>106680</xdr:rowOff>
    </xdr:to>
    <xdr:graphicFrame macro="">
      <xdr:nvGraphicFramePr>
        <xdr:cNvPr id="23" name="Chart 22">
          <a:extLst>
            <a:ext uri="{FF2B5EF4-FFF2-40B4-BE49-F238E27FC236}">
              <a16:creationId xmlns:a16="http://schemas.microsoft.com/office/drawing/2014/main" id="{403044A0-1EA8-4BD3-9395-9E886ADF95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8466</xdr:colOff>
      <xdr:row>20</xdr:row>
      <xdr:rowOff>140546</xdr:rowOff>
    </xdr:from>
    <xdr:to>
      <xdr:col>26</xdr:col>
      <xdr:colOff>186267</xdr:colOff>
      <xdr:row>34</xdr:row>
      <xdr:rowOff>106680</xdr:rowOff>
    </xdr:to>
    <xdr:graphicFrame macro="">
      <xdr:nvGraphicFramePr>
        <xdr:cNvPr id="24" name="Chart 23">
          <a:extLst>
            <a:ext uri="{FF2B5EF4-FFF2-40B4-BE49-F238E27FC236}">
              <a16:creationId xmlns:a16="http://schemas.microsoft.com/office/drawing/2014/main" id="{EA35C32B-9F71-47AA-86DC-A91CB95D02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23</xdr:col>
      <xdr:colOff>31325</xdr:colOff>
      <xdr:row>15</xdr:row>
      <xdr:rowOff>154942</xdr:rowOff>
    </xdr:from>
    <xdr:to>
      <xdr:col>26</xdr:col>
      <xdr:colOff>177800</xdr:colOff>
      <xdr:row>20</xdr:row>
      <xdr:rowOff>132081</xdr:rowOff>
    </xdr:to>
    <mc:AlternateContent xmlns:mc="http://schemas.openxmlformats.org/markup-compatibility/2006" xmlns:a14="http://schemas.microsoft.com/office/drawing/2010/main">
      <mc:Choice Requires="a14">
        <xdr:graphicFrame macro="">
          <xdr:nvGraphicFramePr>
            <xdr:cNvPr id="26" name="holiday">
              <a:extLst>
                <a:ext uri="{FF2B5EF4-FFF2-40B4-BE49-F238E27FC236}">
                  <a16:creationId xmlns:a16="http://schemas.microsoft.com/office/drawing/2014/main" id="{C7884CAD-E817-460A-8A4A-0DE634940506}"/>
                </a:ext>
              </a:extLst>
            </xdr:cNvPr>
            <xdr:cNvGraphicFramePr/>
          </xdr:nvGraphicFramePr>
          <xdr:xfrm>
            <a:off x="0" y="0"/>
            <a:ext cx="0" cy="0"/>
          </xdr:xfrm>
          <a:graphic>
            <a:graphicData uri="http://schemas.microsoft.com/office/drawing/2010/slicer">
              <sle:slicer xmlns:sle="http://schemas.microsoft.com/office/drawing/2010/slicer" name="holiday"/>
            </a:graphicData>
          </a:graphic>
        </xdr:graphicFrame>
      </mc:Choice>
      <mc:Fallback xmlns="">
        <xdr:sp macro="" textlink="">
          <xdr:nvSpPr>
            <xdr:cNvPr id="0" name=""/>
            <xdr:cNvSpPr>
              <a:spLocks noTextEdit="1"/>
            </xdr:cNvSpPr>
          </xdr:nvSpPr>
          <xdr:spPr>
            <a:xfrm>
              <a:off x="14052125" y="2898142"/>
              <a:ext cx="1975275" cy="8915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28786</xdr:colOff>
      <xdr:row>8</xdr:row>
      <xdr:rowOff>42330</xdr:rowOff>
    </xdr:from>
    <xdr:to>
      <xdr:col>26</xdr:col>
      <xdr:colOff>177800</xdr:colOff>
      <xdr:row>15</xdr:row>
      <xdr:rowOff>149014</xdr:rowOff>
    </xdr:to>
    <mc:AlternateContent xmlns:mc="http://schemas.openxmlformats.org/markup-compatibility/2006" xmlns:a14="http://schemas.microsoft.com/office/drawing/2010/main">
      <mc:Choice Requires="a14">
        <xdr:graphicFrame macro="">
          <xdr:nvGraphicFramePr>
            <xdr:cNvPr id="27" name="weathersit">
              <a:extLst>
                <a:ext uri="{FF2B5EF4-FFF2-40B4-BE49-F238E27FC236}">
                  <a16:creationId xmlns:a16="http://schemas.microsoft.com/office/drawing/2014/main" id="{5D2527E4-D5A1-496B-96CE-451F518A72CE}"/>
                </a:ext>
              </a:extLst>
            </xdr:cNvPr>
            <xdr:cNvGraphicFramePr/>
          </xdr:nvGraphicFramePr>
          <xdr:xfrm>
            <a:off x="0" y="0"/>
            <a:ext cx="0" cy="0"/>
          </xdr:xfrm>
          <a:graphic>
            <a:graphicData uri="http://schemas.microsoft.com/office/drawing/2010/slicer">
              <sle:slicer xmlns:sle="http://schemas.microsoft.com/office/drawing/2010/slicer" name="weathersit"/>
            </a:graphicData>
          </a:graphic>
        </xdr:graphicFrame>
      </mc:Choice>
      <mc:Fallback xmlns="">
        <xdr:sp macro="" textlink="">
          <xdr:nvSpPr>
            <xdr:cNvPr id="0" name=""/>
            <xdr:cNvSpPr>
              <a:spLocks noTextEdit="1"/>
            </xdr:cNvSpPr>
          </xdr:nvSpPr>
          <xdr:spPr>
            <a:xfrm>
              <a:off x="14049586" y="1505370"/>
              <a:ext cx="1977814" cy="138684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178647</xdr:colOff>
      <xdr:row>13</xdr:row>
      <xdr:rowOff>16085</xdr:rowOff>
    </xdr:from>
    <xdr:to>
      <xdr:col>29</xdr:col>
      <xdr:colOff>178647</xdr:colOff>
      <xdr:row>65</xdr:row>
      <xdr:rowOff>10160</xdr:rowOff>
    </xdr:to>
    <mc:AlternateContent xmlns:mc="http://schemas.openxmlformats.org/markup-compatibility/2006">
      <mc:Choice xmlns:a14="http://schemas.microsoft.com/office/drawing/2010/main" Requires="a14">
        <xdr:graphicFrame macro="">
          <xdr:nvGraphicFramePr>
            <xdr:cNvPr id="28" name="Days (dteday)">
              <a:extLst>
                <a:ext uri="{FF2B5EF4-FFF2-40B4-BE49-F238E27FC236}">
                  <a16:creationId xmlns:a16="http://schemas.microsoft.com/office/drawing/2014/main" id="{D682672C-6381-4DC4-B4DB-4A9CEABACE78}"/>
                </a:ext>
              </a:extLst>
            </xdr:cNvPr>
            <xdr:cNvGraphicFramePr/>
          </xdr:nvGraphicFramePr>
          <xdr:xfrm>
            <a:off x="0" y="0"/>
            <a:ext cx="0" cy="0"/>
          </xdr:xfrm>
          <a:graphic>
            <a:graphicData uri="http://schemas.microsoft.com/office/drawing/2010/slicer">
              <sle:slicer xmlns:sle="http://schemas.microsoft.com/office/drawing/2010/slicer" name="Days (dteday)"/>
            </a:graphicData>
          </a:graphic>
        </xdr:graphicFrame>
      </mc:Choice>
      <mc:Fallback>
        <xdr:sp macro="" textlink="">
          <xdr:nvSpPr>
            <xdr:cNvPr id="0" name=""/>
            <xdr:cNvSpPr>
              <a:spLocks noTextEdit="1"/>
            </xdr:cNvSpPr>
          </xdr:nvSpPr>
          <xdr:spPr>
            <a:xfrm>
              <a:off x="16028247" y="2393525"/>
              <a:ext cx="1828800" cy="95038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184573</xdr:colOff>
      <xdr:row>8</xdr:row>
      <xdr:rowOff>45721</xdr:rowOff>
    </xdr:from>
    <xdr:to>
      <xdr:col>29</xdr:col>
      <xdr:colOff>184573</xdr:colOff>
      <xdr:row>13</xdr:row>
      <xdr:rowOff>5080</xdr:rowOff>
    </xdr:to>
    <mc:AlternateContent xmlns:mc="http://schemas.openxmlformats.org/markup-compatibility/2006" xmlns:a14="http://schemas.microsoft.com/office/drawing/2010/main">
      <mc:Choice Requires="a14">
        <xdr:graphicFrame macro="">
          <xdr:nvGraphicFramePr>
            <xdr:cNvPr id="29" name="Months (dteday)">
              <a:extLst>
                <a:ext uri="{FF2B5EF4-FFF2-40B4-BE49-F238E27FC236}">
                  <a16:creationId xmlns:a16="http://schemas.microsoft.com/office/drawing/2014/main" id="{A95DAF70-344A-4215-8639-89902250FF03}"/>
                </a:ext>
              </a:extLst>
            </xdr:cNvPr>
            <xdr:cNvGraphicFramePr/>
          </xdr:nvGraphicFramePr>
          <xdr:xfrm>
            <a:off x="0" y="0"/>
            <a:ext cx="0" cy="0"/>
          </xdr:xfrm>
          <a:graphic>
            <a:graphicData uri="http://schemas.microsoft.com/office/drawing/2010/slicer">
              <sle:slicer xmlns:sle="http://schemas.microsoft.com/office/drawing/2010/slicer" name="Months (dteday)"/>
            </a:graphicData>
          </a:graphic>
        </xdr:graphicFrame>
      </mc:Choice>
      <mc:Fallback xmlns="">
        <xdr:sp macro="" textlink="">
          <xdr:nvSpPr>
            <xdr:cNvPr id="0" name=""/>
            <xdr:cNvSpPr>
              <a:spLocks noTextEdit="1"/>
            </xdr:cNvSpPr>
          </xdr:nvSpPr>
          <xdr:spPr>
            <a:xfrm>
              <a:off x="16034173" y="1508761"/>
              <a:ext cx="1828800" cy="8737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396934</xdr:colOff>
      <xdr:row>3</xdr:row>
      <xdr:rowOff>162560</xdr:rowOff>
    </xdr:from>
    <xdr:to>
      <xdr:col>23</xdr:col>
      <xdr:colOff>355600</xdr:colOff>
      <xdr:row>8</xdr:row>
      <xdr:rowOff>40640</xdr:rowOff>
    </xdr:to>
    <xdr:sp macro="" textlink="'PIVOT TABLE'!G25">
      <xdr:nvSpPr>
        <xdr:cNvPr id="3" name="Flowchart: Alternate Process 2">
          <a:extLst>
            <a:ext uri="{FF2B5EF4-FFF2-40B4-BE49-F238E27FC236}">
              <a16:creationId xmlns:a16="http://schemas.microsoft.com/office/drawing/2014/main" id="{AC3B2FA6-3340-401D-B78E-941D02B11615}"/>
            </a:ext>
          </a:extLst>
        </xdr:cNvPr>
        <xdr:cNvSpPr/>
      </xdr:nvSpPr>
      <xdr:spPr>
        <a:xfrm>
          <a:off x="12588934" y="711200"/>
          <a:ext cx="1787466" cy="792480"/>
        </a:xfrm>
        <a:prstGeom prst="flowChartAlternateProcess">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u="none" strike="noStrike">
              <a:solidFill>
                <a:srgbClr val="000000"/>
              </a:solidFill>
              <a:latin typeface="Calibri"/>
              <a:ea typeface="Calibri"/>
              <a:cs typeface="Calibri"/>
            </a:rPr>
            <a:t>Weekday</a:t>
          </a:r>
          <a:r>
            <a:rPr lang="en-US" sz="1600" b="1" i="0" u="none" strike="noStrike" baseline="0">
              <a:solidFill>
                <a:srgbClr val="000000"/>
              </a:solidFill>
              <a:latin typeface="Calibri"/>
              <a:ea typeface="Calibri"/>
              <a:cs typeface="Calibri"/>
            </a:rPr>
            <a:t> Visitors</a:t>
          </a:r>
        </a:p>
        <a:p>
          <a:pPr algn="ctr"/>
          <a:fld id="{9C912605-653C-4D34-9A53-1AC426C40F17}" type="TxLink">
            <a:rPr lang="en-US" sz="1600" b="1" i="0" u="none" strike="noStrike">
              <a:solidFill>
                <a:srgbClr val="000000"/>
              </a:solidFill>
              <a:latin typeface="Calibri"/>
              <a:ea typeface="Calibri"/>
              <a:cs typeface="Calibri"/>
            </a:rPr>
            <a:pPr algn="ctr"/>
            <a:t>63.34</a:t>
          </a:fld>
          <a:endParaRPr lang="en-IN" sz="6000" b="1"/>
        </a:p>
      </xdr:txBody>
    </xdr:sp>
    <xdr:clientData/>
  </xdr:twoCellAnchor>
  <xdr:twoCellAnchor>
    <xdr:from>
      <xdr:col>23</xdr:col>
      <xdr:colOff>377707</xdr:colOff>
      <xdr:row>3</xdr:row>
      <xdr:rowOff>162560</xdr:rowOff>
    </xdr:from>
    <xdr:to>
      <xdr:col>26</xdr:col>
      <xdr:colOff>297031</xdr:colOff>
      <xdr:row>8</xdr:row>
      <xdr:rowOff>40640</xdr:rowOff>
    </xdr:to>
    <xdr:sp macro="" textlink="'PIVOT TABLE'!G24">
      <xdr:nvSpPr>
        <xdr:cNvPr id="4" name="Flowchart: Alternate Process 3">
          <a:extLst>
            <a:ext uri="{FF2B5EF4-FFF2-40B4-BE49-F238E27FC236}">
              <a16:creationId xmlns:a16="http://schemas.microsoft.com/office/drawing/2014/main" id="{7030AE76-DA82-4D78-9E2F-B0442FF610A9}"/>
            </a:ext>
          </a:extLst>
        </xdr:cNvPr>
        <xdr:cNvSpPr/>
      </xdr:nvSpPr>
      <xdr:spPr>
        <a:xfrm>
          <a:off x="14398507" y="711200"/>
          <a:ext cx="1748124" cy="792480"/>
        </a:xfrm>
        <a:prstGeom prst="flowChartAlternateProcess">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u="none" strike="noStrike" baseline="0">
              <a:solidFill>
                <a:srgbClr val="000000"/>
              </a:solidFill>
              <a:latin typeface="Calibri"/>
              <a:ea typeface="Calibri"/>
              <a:cs typeface="Calibri"/>
            </a:rPr>
            <a:t>Weekend Visitors</a:t>
          </a:r>
        </a:p>
        <a:p>
          <a:pPr algn="ctr"/>
          <a:fld id="{3B168E54-67EE-457A-8D23-7E70D6622EAE}" type="TxLink">
            <a:rPr lang="en-US" sz="1600" b="1" i="0" u="none" strike="noStrike" baseline="0">
              <a:solidFill>
                <a:srgbClr val="000000"/>
              </a:solidFill>
              <a:latin typeface="Calibri"/>
              <a:ea typeface="Calibri"/>
              <a:cs typeface="Calibri"/>
            </a:rPr>
            <a:pPr algn="ctr"/>
            <a:t>48.09</a:t>
          </a:fld>
          <a:endParaRPr lang="en-US" sz="4000" b="1" i="0" u="none" strike="noStrike" baseline="0">
            <a:solidFill>
              <a:srgbClr val="000000"/>
            </a:solidFill>
            <a:latin typeface="Calibri"/>
            <a:ea typeface="Calibri"/>
            <a:cs typeface="Calibri"/>
          </a:endParaRPr>
        </a:p>
      </xdr:txBody>
    </xdr:sp>
    <xdr:clientData/>
  </xdr:twoCellAnchor>
  <xdr:twoCellAnchor>
    <xdr:from>
      <xdr:col>26</xdr:col>
      <xdr:colOff>314461</xdr:colOff>
      <xdr:row>3</xdr:row>
      <xdr:rowOff>162560</xdr:rowOff>
    </xdr:from>
    <xdr:to>
      <xdr:col>29</xdr:col>
      <xdr:colOff>90843</xdr:colOff>
      <xdr:row>8</xdr:row>
      <xdr:rowOff>40640</xdr:rowOff>
    </xdr:to>
    <xdr:sp macro="" textlink="'PIVOT TABLE'!G26">
      <xdr:nvSpPr>
        <xdr:cNvPr id="10" name="Flowchart: Alternate Process 9">
          <a:extLst>
            <a:ext uri="{FF2B5EF4-FFF2-40B4-BE49-F238E27FC236}">
              <a16:creationId xmlns:a16="http://schemas.microsoft.com/office/drawing/2014/main" id="{27133B27-E177-42C1-A1B6-2D358F7A10A9}"/>
            </a:ext>
          </a:extLst>
        </xdr:cNvPr>
        <xdr:cNvSpPr/>
      </xdr:nvSpPr>
      <xdr:spPr>
        <a:xfrm>
          <a:off x="16164061" y="711200"/>
          <a:ext cx="1605182" cy="792480"/>
        </a:xfrm>
        <a:prstGeom prst="flowChartAlternateProcess">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u="none" strike="noStrike">
              <a:solidFill>
                <a:srgbClr val="000000"/>
              </a:solidFill>
              <a:latin typeface="Calibri"/>
              <a:ea typeface="Calibri"/>
              <a:cs typeface="Calibri"/>
            </a:rPr>
            <a:t>Weekend Lift %</a:t>
          </a:r>
        </a:p>
        <a:p>
          <a:pPr algn="ctr"/>
          <a:fld id="{52CB0A8E-C77B-4C9A-91D0-AA9AAFB843A2}" type="TxLink">
            <a:rPr lang="en-US" sz="1600" b="1" i="0" u="none" strike="noStrike">
              <a:solidFill>
                <a:srgbClr val="000000"/>
              </a:solidFill>
              <a:latin typeface="Calibri"/>
              <a:ea typeface="Calibri"/>
              <a:cs typeface="Calibri"/>
            </a:rPr>
            <a:pPr algn="ctr"/>
            <a:t>-0.24</a:t>
          </a:fld>
          <a:endParaRPr lang="en-IN" sz="8000" b="1"/>
        </a:p>
      </xdr:txBody>
    </xdr:sp>
    <xdr:clientData/>
  </xdr:twoCellAnchor>
  <xdr:twoCellAnchor>
    <xdr:from>
      <xdr:col>1</xdr:col>
      <xdr:colOff>386080</xdr:colOff>
      <xdr:row>49</xdr:row>
      <xdr:rowOff>125504</xdr:rowOff>
    </xdr:from>
    <xdr:to>
      <xdr:col>26</xdr:col>
      <xdr:colOff>161962</xdr:colOff>
      <xdr:row>64</xdr:row>
      <xdr:rowOff>179293</xdr:rowOff>
    </xdr:to>
    <xdr:graphicFrame macro="">
      <xdr:nvGraphicFramePr>
        <xdr:cNvPr id="12" name="Chart 11">
          <a:extLst>
            <a:ext uri="{FF2B5EF4-FFF2-40B4-BE49-F238E27FC236}">
              <a16:creationId xmlns:a16="http://schemas.microsoft.com/office/drawing/2014/main" id="{818F5DBB-B9A2-4EDC-8AD8-3BC08EAAD6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386080</xdr:colOff>
      <xdr:row>34</xdr:row>
      <xdr:rowOff>111760</xdr:rowOff>
    </xdr:from>
    <xdr:to>
      <xdr:col>19</xdr:col>
      <xdr:colOff>223520</xdr:colOff>
      <xdr:row>49</xdr:row>
      <xdr:rowOff>111760</xdr:rowOff>
    </xdr:to>
    <xdr:graphicFrame macro="">
      <xdr:nvGraphicFramePr>
        <xdr:cNvPr id="11" name="Chart 10">
          <a:extLst>
            <a:ext uri="{FF2B5EF4-FFF2-40B4-BE49-F238E27FC236}">
              <a16:creationId xmlns:a16="http://schemas.microsoft.com/office/drawing/2014/main" id="{5864D966-98E7-49AB-8390-471D93346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19</xdr:col>
      <xdr:colOff>233680</xdr:colOff>
      <xdr:row>34</xdr:row>
      <xdr:rowOff>111761</xdr:rowOff>
    </xdr:from>
    <xdr:to>
      <xdr:col>26</xdr:col>
      <xdr:colOff>172720</xdr:colOff>
      <xdr:row>49</xdr:row>
      <xdr:rowOff>111760</xdr:rowOff>
    </xdr:to>
    <xdr:graphicFrame macro="">
      <xdr:nvGraphicFramePr>
        <xdr:cNvPr id="14" name="Chart 13">
          <a:extLst>
            <a:ext uri="{FF2B5EF4-FFF2-40B4-BE49-F238E27FC236}">
              <a16:creationId xmlns:a16="http://schemas.microsoft.com/office/drawing/2014/main" id="{14BA183C-37F3-437B-BDF2-4C31028857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ESH KOUL" refreshedDate="46016.884658449075" createdVersion="8" refreshedVersion="8" minRefreshableVersion="3" recordCount="1000" xr:uid="{5D8AC42C-36E9-47A0-A786-021F4DA5F36E}">
  <cacheSource type="worksheet">
    <worksheetSource name="Table3"/>
  </cacheSource>
  <cacheFields count="16">
    <cacheField name="instant" numFmtId="0">
      <sharedItems containsSemiMixedTypes="0" containsString="0" containsNumber="1" containsInteger="1" minValue="1" maxValue="1000"/>
    </cacheField>
    <cacheField name="dteday" numFmtId="14">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fieldGroup par="15"/>
    </cacheField>
    <cacheField name="hr" numFmtId="0">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holiday" numFmtId="0">
      <sharedItems count="2">
        <b v="0"/>
        <b v="1"/>
      </sharedItems>
    </cacheField>
    <cacheField name="weekday" numFmtId="0">
      <sharedItems containsSemiMixedTypes="0" containsString="0" containsNumber="1" containsInteger="1" minValue="0" maxValue="6" count="7">
        <n v="6"/>
        <n v="0"/>
        <n v="1"/>
        <n v="2"/>
        <n v="3"/>
        <n v="4"/>
        <n v="5"/>
      </sharedItems>
    </cacheField>
    <cacheField name="weathersit" numFmtId="0">
      <sharedItems containsSemiMixedTypes="0" containsString="0" containsNumber="1" containsInteger="1" minValue="1" maxValue="4" count="4">
        <n v="1"/>
        <n v="2"/>
        <n v="3"/>
        <n v="4"/>
      </sharedItems>
    </cacheField>
    <cacheField name="temp" numFmtId="0">
      <sharedItems containsSemiMixedTypes="0" containsString="0" containsNumber="1" minValue="0.02" maxValue="0.46" count="23">
        <n v="0.24"/>
        <n v="0.22"/>
        <n v="0.2"/>
        <n v="0.32"/>
        <n v="0.38"/>
        <n v="0.36"/>
        <n v="0.42"/>
        <n v="0.46"/>
        <n v="0.44"/>
        <n v="0.4"/>
        <n v="0.34"/>
        <n v="0.3"/>
        <n v="0.26"/>
        <n v="0.16"/>
        <n v="0.14000000000000001"/>
        <n v="0.18"/>
        <n v="0.12"/>
        <n v="0.28000000000000003"/>
        <n v="0.1"/>
        <n v="0.08"/>
        <n v="0.06"/>
        <n v="0.04"/>
        <n v="0.02"/>
      </sharedItems>
    </cacheField>
    <cacheField name="atemp" numFmtId="2">
      <sharedItems containsSemiMixedTypes="0" containsString="0" containsNumber="1" minValue="0" maxValue="0.45450000000000002"/>
    </cacheField>
    <cacheField name="hum" numFmtId="0">
      <sharedItems containsSemiMixedTypes="0" containsString="0" containsNumber="1" minValue="0.21" maxValue="1" count="64">
        <n v="0.81"/>
        <n v="0.8"/>
        <n v="0.75"/>
        <n v="0.86"/>
        <n v="0.76"/>
        <n v="0.77"/>
        <n v="0.72"/>
        <n v="0.82"/>
        <n v="0.88"/>
        <n v="0.87"/>
        <n v="0.94"/>
        <n v="1"/>
        <n v="0.71"/>
        <n v="0.66"/>
        <n v="0.56999999999999995"/>
        <n v="0.46"/>
        <n v="0.42"/>
        <n v="0.39"/>
        <n v="0.44"/>
        <n v="0.47"/>
        <n v="0.5"/>
        <n v="0.43"/>
        <n v="0.4"/>
        <n v="0.35"/>
        <n v="0.3"/>
        <n v="0.32"/>
        <n v="0.64"/>
        <n v="0.69"/>
        <n v="0.55000000000000004"/>
        <n v="0.59"/>
        <n v="0.63"/>
        <n v="0.68"/>
        <n v="0.74"/>
        <n v="0.51"/>
        <n v="0.56000000000000005"/>
        <n v="0.52"/>
        <n v="0.49"/>
        <n v="0.48"/>
        <n v="0.37"/>
        <n v="0.33"/>
        <n v="0.28000000000000003"/>
        <n v="0.38"/>
        <n v="0.36"/>
        <n v="0.93"/>
        <n v="0.28999999999999998"/>
        <n v="0.53"/>
        <n v="0.34"/>
        <n v="0.54"/>
        <n v="0.41"/>
        <n v="0.45"/>
        <n v="0.92"/>
        <n v="0.62"/>
        <n v="0.57999999999999996"/>
        <n v="0.61"/>
        <n v="0.6"/>
        <n v="0.65"/>
        <n v="0.7"/>
        <n v="0.27"/>
        <n v="0.21"/>
        <n v="0.25"/>
        <n v="0.26"/>
        <n v="0.31"/>
        <n v="0.73"/>
        <n v="0.24"/>
      </sharedItems>
    </cacheField>
    <cacheField name="windspeed" numFmtId="0">
      <sharedItems containsSemiMixedTypes="0" containsString="0" containsNumber="1" minValue="0" maxValue="0.58209999999999995" count="20">
        <n v="0"/>
        <n v="8.9599999999999999E-2"/>
        <n v="0.25369999999999998"/>
        <n v="0.28360000000000002"/>
        <n v="0.29849999999999999"/>
        <n v="0.19400000000000001"/>
        <n v="0.22389999999999999"/>
        <n v="0.1343"/>
        <n v="0.16420000000000001"/>
        <n v="0.32840000000000003"/>
        <n v="0.44779999999999998"/>
        <n v="0.35820000000000002"/>
        <n v="0.41789999999999999"/>
        <n v="0.3881"/>
        <n v="0.1045"/>
        <n v="0.49249999999999999"/>
        <n v="0.55220000000000002"/>
        <n v="0.4627"/>
        <n v="0.52239999999999998"/>
        <n v="0.58209999999999995"/>
      </sharedItems>
    </cacheField>
    <cacheField name="casual" numFmtId="0">
      <sharedItems containsSemiMixedTypes="0" containsString="0" containsNumber="1" containsInteger="1" minValue="0" maxValue="62"/>
    </cacheField>
    <cacheField name="registered" numFmtId="0">
      <sharedItems containsSemiMixedTypes="0" containsString="0" containsNumber="1" containsInteger="1" minValue="0" maxValue="247"/>
    </cacheField>
    <cacheField name="cnt" numFmtId="0">
      <sharedItems containsSemiMixedTypes="0" containsString="0" containsNumber="1" containsInteger="1" minValue="1" maxValue="249"/>
    </cacheField>
    <cacheField name="Day Type" numFmtId="0">
      <sharedItems/>
    </cacheField>
    <cacheField name="Days (dteday)" numFmtId="0" databaseField="0">
      <fieldGroup base="1">
        <rangePr groupBy="days" startDate="2011-01-01T00:00:00" endDate="2011-02-15T00:00:00"/>
        <groupItems count="368">
          <s v="&lt;01-01-201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5-02-2011"/>
        </groupItems>
      </fieldGroup>
    </cacheField>
    <cacheField name="Months (dteday)" numFmtId="0" databaseField="0">
      <fieldGroup base="1">
        <rangePr groupBy="months" startDate="2011-01-01T00:00:00" endDate="2011-02-15T00:00:00"/>
        <groupItems count="14">
          <s v="&lt;01-01-2011"/>
          <s v="Jan"/>
          <s v="Feb"/>
          <s v="Mar"/>
          <s v="Apr"/>
          <s v="May"/>
          <s v="Jun"/>
          <s v="Jul"/>
          <s v="Aug"/>
          <s v="Sep"/>
          <s v="Oct"/>
          <s v="Nov"/>
          <s v="Dec"/>
          <s v="&gt;15-02-2011"/>
        </groupItems>
      </fieldGroup>
    </cacheField>
  </cacheFields>
  <extLst>
    <ext xmlns:x14="http://schemas.microsoft.com/office/spreadsheetml/2009/9/main" uri="{725AE2AE-9491-48be-B2B4-4EB974FC3084}">
      <x14:pivotCacheDefinition pivotCacheId="16660382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x v="0"/>
    <x v="0"/>
    <x v="0"/>
    <x v="0"/>
    <x v="0"/>
    <x v="0"/>
    <n v="0.28789999999999999"/>
    <x v="0"/>
    <x v="0"/>
    <n v="3"/>
    <n v="13"/>
    <n v="16"/>
    <s v="Weekend"/>
  </r>
  <r>
    <n v="2"/>
    <x v="0"/>
    <x v="1"/>
    <x v="0"/>
    <x v="0"/>
    <x v="0"/>
    <x v="1"/>
    <n v="0.2727"/>
    <x v="1"/>
    <x v="0"/>
    <n v="8"/>
    <n v="32"/>
    <n v="40"/>
    <s v="Weekend"/>
  </r>
  <r>
    <n v="3"/>
    <x v="0"/>
    <x v="2"/>
    <x v="0"/>
    <x v="0"/>
    <x v="0"/>
    <x v="1"/>
    <n v="0.2727"/>
    <x v="1"/>
    <x v="0"/>
    <n v="5"/>
    <n v="27"/>
    <n v="32"/>
    <s v="Weekend"/>
  </r>
  <r>
    <n v="4"/>
    <x v="0"/>
    <x v="3"/>
    <x v="0"/>
    <x v="0"/>
    <x v="0"/>
    <x v="0"/>
    <n v="0.28789999999999999"/>
    <x v="2"/>
    <x v="0"/>
    <n v="3"/>
    <n v="10"/>
    <n v="13"/>
    <s v="Weekend"/>
  </r>
  <r>
    <n v="5"/>
    <x v="0"/>
    <x v="4"/>
    <x v="0"/>
    <x v="0"/>
    <x v="0"/>
    <x v="0"/>
    <n v="0.28789999999999999"/>
    <x v="2"/>
    <x v="0"/>
    <n v="0"/>
    <n v="1"/>
    <n v="1"/>
    <s v="Weekend"/>
  </r>
  <r>
    <n v="6"/>
    <x v="0"/>
    <x v="5"/>
    <x v="0"/>
    <x v="0"/>
    <x v="1"/>
    <x v="0"/>
    <n v="0.2576"/>
    <x v="2"/>
    <x v="1"/>
    <n v="0"/>
    <n v="1"/>
    <n v="1"/>
    <s v="Weekend"/>
  </r>
  <r>
    <n v="7"/>
    <x v="0"/>
    <x v="6"/>
    <x v="0"/>
    <x v="0"/>
    <x v="0"/>
    <x v="1"/>
    <n v="0.2727"/>
    <x v="1"/>
    <x v="0"/>
    <n v="2"/>
    <n v="0"/>
    <n v="2"/>
    <s v="Weekend"/>
  </r>
  <r>
    <n v="8"/>
    <x v="0"/>
    <x v="7"/>
    <x v="0"/>
    <x v="0"/>
    <x v="0"/>
    <x v="2"/>
    <n v="0.2576"/>
    <x v="3"/>
    <x v="0"/>
    <n v="1"/>
    <n v="2"/>
    <n v="3"/>
    <s v="Weekend"/>
  </r>
  <r>
    <n v="9"/>
    <x v="0"/>
    <x v="8"/>
    <x v="0"/>
    <x v="0"/>
    <x v="0"/>
    <x v="0"/>
    <n v="0.19993489148580987"/>
    <x v="2"/>
    <x v="0"/>
    <n v="1"/>
    <n v="7"/>
    <n v="8"/>
    <s v="Weekend"/>
  </r>
  <r>
    <n v="10"/>
    <x v="0"/>
    <x v="9"/>
    <x v="0"/>
    <x v="0"/>
    <x v="0"/>
    <x v="3"/>
    <n v="0.34849999999999998"/>
    <x v="4"/>
    <x v="0"/>
    <n v="8"/>
    <n v="6"/>
    <n v="14"/>
    <s v="Weekend"/>
  </r>
  <r>
    <n v="11"/>
    <x v="0"/>
    <x v="10"/>
    <x v="0"/>
    <x v="0"/>
    <x v="0"/>
    <x v="4"/>
    <n v="0.39389999999999997"/>
    <x v="4"/>
    <x v="2"/>
    <n v="12"/>
    <n v="24"/>
    <n v="36"/>
    <s v="Weekend"/>
  </r>
  <r>
    <n v="12"/>
    <x v="0"/>
    <x v="11"/>
    <x v="0"/>
    <x v="0"/>
    <x v="0"/>
    <x v="5"/>
    <n v="0.33329999999999999"/>
    <x v="0"/>
    <x v="3"/>
    <n v="26"/>
    <n v="30"/>
    <n v="56"/>
    <s v="Weekend"/>
  </r>
  <r>
    <n v="13"/>
    <x v="0"/>
    <x v="12"/>
    <x v="0"/>
    <x v="0"/>
    <x v="0"/>
    <x v="6"/>
    <n v="0.42420000000000002"/>
    <x v="5"/>
    <x v="3"/>
    <n v="29"/>
    <n v="55"/>
    <n v="84"/>
    <s v="Weekend"/>
  </r>
  <r>
    <n v="14"/>
    <x v="0"/>
    <x v="13"/>
    <x v="0"/>
    <x v="0"/>
    <x v="1"/>
    <x v="7"/>
    <n v="0.45450000000000002"/>
    <x v="6"/>
    <x v="4"/>
    <n v="47"/>
    <n v="47"/>
    <n v="94"/>
    <s v="Weekend"/>
  </r>
  <r>
    <n v="15"/>
    <x v="0"/>
    <x v="14"/>
    <x v="0"/>
    <x v="0"/>
    <x v="1"/>
    <x v="7"/>
    <n v="0.45450000000000002"/>
    <x v="6"/>
    <x v="3"/>
    <n v="35"/>
    <n v="71"/>
    <n v="106"/>
    <s v="Weekend"/>
  </r>
  <r>
    <n v="16"/>
    <x v="0"/>
    <x v="15"/>
    <x v="0"/>
    <x v="0"/>
    <x v="1"/>
    <x v="8"/>
    <n v="0.43940000000000001"/>
    <x v="5"/>
    <x v="4"/>
    <n v="40"/>
    <n v="70"/>
    <n v="110"/>
    <s v="Weekend"/>
  </r>
  <r>
    <n v="17"/>
    <x v="0"/>
    <x v="16"/>
    <x v="0"/>
    <x v="0"/>
    <x v="1"/>
    <x v="6"/>
    <n v="0.42420000000000002"/>
    <x v="7"/>
    <x v="4"/>
    <n v="41"/>
    <n v="52"/>
    <n v="93"/>
    <s v="Weekend"/>
  </r>
  <r>
    <n v="18"/>
    <x v="0"/>
    <x v="17"/>
    <x v="0"/>
    <x v="0"/>
    <x v="1"/>
    <x v="8"/>
    <n v="0.19993489148580987"/>
    <x v="7"/>
    <x v="3"/>
    <n v="15"/>
    <n v="52"/>
    <n v="67"/>
    <s v="Weekend"/>
  </r>
  <r>
    <n v="19"/>
    <x v="0"/>
    <x v="18"/>
    <x v="0"/>
    <x v="0"/>
    <x v="2"/>
    <x v="6"/>
    <n v="0.42420000000000002"/>
    <x v="8"/>
    <x v="2"/>
    <n v="9"/>
    <n v="26"/>
    <n v="35"/>
    <s v="Weekend"/>
  </r>
  <r>
    <n v="20"/>
    <x v="0"/>
    <x v="19"/>
    <x v="0"/>
    <x v="0"/>
    <x v="2"/>
    <x v="6"/>
    <n v="0.42420000000000002"/>
    <x v="8"/>
    <x v="2"/>
    <n v="6"/>
    <n v="31"/>
    <n v="37"/>
    <s v="Weekend"/>
  </r>
  <r>
    <n v="21"/>
    <x v="0"/>
    <x v="20"/>
    <x v="0"/>
    <x v="0"/>
    <x v="1"/>
    <x v="9"/>
    <n v="0.40910000000000002"/>
    <x v="9"/>
    <x v="2"/>
    <n v="11"/>
    <n v="25"/>
    <n v="36"/>
    <s v="Weekend"/>
  </r>
  <r>
    <n v="22"/>
    <x v="0"/>
    <x v="21"/>
    <x v="0"/>
    <x v="0"/>
    <x v="1"/>
    <x v="9"/>
    <n v="0.40910000000000002"/>
    <x v="9"/>
    <x v="5"/>
    <n v="3"/>
    <n v="31"/>
    <n v="34"/>
    <s v="Weekend"/>
  </r>
  <r>
    <n v="23"/>
    <x v="0"/>
    <x v="22"/>
    <x v="0"/>
    <x v="0"/>
    <x v="1"/>
    <x v="9"/>
    <n v="0.40910000000000002"/>
    <x v="10"/>
    <x v="6"/>
    <n v="11"/>
    <n v="17"/>
    <n v="28"/>
    <s v="Weekend"/>
  </r>
  <r>
    <n v="24"/>
    <x v="0"/>
    <x v="23"/>
    <x v="0"/>
    <x v="0"/>
    <x v="1"/>
    <x v="7"/>
    <n v="0.1999348914858099"/>
    <x v="8"/>
    <x v="4"/>
    <n v="15"/>
    <n v="24"/>
    <n v="39"/>
    <s v="Weekend"/>
  </r>
  <r>
    <n v="25"/>
    <x v="1"/>
    <x v="0"/>
    <x v="0"/>
    <x v="1"/>
    <x v="1"/>
    <x v="7"/>
    <n v="0.45450000000000002"/>
    <x v="8"/>
    <x v="4"/>
    <n v="4"/>
    <n v="13"/>
    <n v="17"/>
    <s v="Weekend"/>
  </r>
  <r>
    <n v="26"/>
    <x v="1"/>
    <x v="1"/>
    <x v="0"/>
    <x v="1"/>
    <x v="1"/>
    <x v="8"/>
    <n v="0.43940000000000001"/>
    <x v="10"/>
    <x v="2"/>
    <n v="1"/>
    <n v="16"/>
    <n v="17"/>
    <s v="Weekend"/>
  </r>
  <r>
    <n v="27"/>
    <x v="1"/>
    <x v="2"/>
    <x v="0"/>
    <x v="1"/>
    <x v="1"/>
    <x v="6"/>
    <n v="0.42420000000000002"/>
    <x v="11"/>
    <x v="3"/>
    <n v="1"/>
    <n v="8"/>
    <n v="9"/>
    <s v="Weekend"/>
  </r>
  <r>
    <n v="28"/>
    <x v="1"/>
    <x v="3"/>
    <x v="0"/>
    <x v="1"/>
    <x v="1"/>
    <x v="7"/>
    <n v="0.45450000000000002"/>
    <x v="10"/>
    <x v="5"/>
    <n v="2"/>
    <n v="4"/>
    <n v="6"/>
    <s v="Weekend"/>
  </r>
  <r>
    <n v="29"/>
    <x v="1"/>
    <x v="4"/>
    <x v="0"/>
    <x v="1"/>
    <x v="1"/>
    <x v="7"/>
    <n v="0.19993489148580987"/>
    <x v="10"/>
    <x v="5"/>
    <n v="2"/>
    <n v="1"/>
    <n v="3"/>
    <s v="Weekend"/>
  </r>
  <r>
    <n v="30"/>
    <x v="1"/>
    <x v="6"/>
    <x v="0"/>
    <x v="1"/>
    <x v="2"/>
    <x v="6"/>
    <n v="0.42420000000000002"/>
    <x v="5"/>
    <x v="4"/>
    <n v="0"/>
    <n v="2"/>
    <n v="2"/>
    <s v="Weekend"/>
  </r>
  <r>
    <n v="31"/>
    <x v="1"/>
    <x v="7"/>
    <x v="0"/>
    <x v="1"/>
    <x v="1"/>
    <x v="9"/>
    <n v="0.40910000000000002"/>
    <x v="4"/>
    <x v="5"/>
    <n v="0"/>
    <n v="1"/>
    <n v="1"/>
    <s v="Weekend"/>
  </r>
  <r>
    <n v="32"/>
    <x v="1"/>
    <x v="8"/>
    <x v="0"/>
    <x v="1"/>
    <x v="2"/>
    <x v="9"/>
    <n v="0.40910000000000002"/>
    <x v="12"/>
    <x v="6"/>
    <n v="0"/>
    <n v="8"/>
    <n v="8"/>
    <s v="Weekend"/>
  </r>
  <r>
    <n v="33"/>
    <x v="1"/>
    <x v="9"/>
    <x v="0"/>
    <x v="1"/>
    <x v="1"/>
    <x v="4"/>
    <n v="0.19993489148580984"/>
    <x v="4"/>
    <x v="6"/>
    <n v="1"/>
    <n v="19"/>
    <n v="20"/>
    <s v="Weekend"/>
  </r>
  <r>
    <n v="34"/>
    <x v="1"/>
    <x v="10"/>
    <x v="0"/>
    <x v="1"/>
    <x v="1"/>
    <x v="5"/>
    <n v="0.34849999999999998"/>
    <x v="0"/>
    <x v="6"/>
    <n v="7"/>
    <n v="46"/>
    <n v="53"/>
    <s v="Weekend"/>
  </r>
  <r>
    <n v="35"/>
    <x v="1"/>
    <x v="11"/>
    <x v="0"/>
    <x v="1"/>
    <x v="1"/>
    <x v="5"/>
    <n v="0.33329999999999999"/>
    <x v="12"/>
    <x v="2"/>
    <n v="16"/>
    <n v="54"/>
    <n v="70"/>
    <s v="Weekend"/>
  </r>
  <r>
    <n v="36"/>
    <x v="1"/>
    <x v="12"/>
    <x v="0"/>
    <x v="1"/>
    <x v="1"/>
    <x v="5"/>
    <n v="0.33329999999999999"/>
    <x v="13"/>
    <x v="4"/>
    <n v="20"/>
    <n v="73"/>
    <n v="93"/>
    <s v="Weekend"/>
  </r>
  <r>
    <n v="37"/>
    <x v="1"/>
    <x v="13"/>
    <x v="0"/>
    <x v="1"/>
    <x v="1"/>
    <x v="5"/>
    <n v="0.34849999999999998"/>
    <x v="13"/>
    <x v="7"/>
    <n v="11"/>
    <n v="64"/>
    <n v="75"/>
    <s v="Weekend"/>
  </r>
  <r>
    <n v="38"/>
    <x v="1"/>
    <x v="14"/>
    <x v="0"/>
    <x v="1"/>
    <x v="2"/>
    <x v="5"/>
    <n v="0.19993489148580984"/>
    <x v="4"/>
    <x v="5"/>
    <n v="4"/>
    <n v="55"/>
    <n v="59"/>
    <s v="Weekend"/>
  </r>
  <r>
    <n v="39"/>
    <x v="1"/>
    <x v="15"/>
    <x v="0"/>
    <x v="1"/>
    <x v="2"/>
    <x v="10"/>
    <n v="0.33329999999999999"/>
    <x v="0"/>
    <x v="8"/>
    <n v="19"/>
    <n v="55"/>
    <n v="74"/>
    <s v="Weekend"/>
  </r>
  <r>
    <n v="40"/>
    <x v="1"/>
    <x v="16"/>
    <x v="0"/>
    <x v="1"/>
    <x v="2"/>
    <x v="10"/>
    <n v="0.33329999999999999"/>
    <x v="12"/>
    <x v="8"/>
    <n v="9"/>
    <n v="67"/>
    <n v="76"/>
    <s v="Weekend"/>
  </r>
  <r>
    <n v="41"/>
    <x v="1"/>
    <x v="17"/>
    <x v="0"/>
    <x v="1"/>
    <x v="0"/>
    <x v="10"/>
    <n v="0.33329999999999999"/>
    <x v="14"/>
    <x v="5"/>
    <n v="7"/>
    <n v="58"/>
    <n v="65"/>
    <s v="Weekend"/>
  </r>
  <r>
    <n v="42"/>
    <x v="1"/>
    <x v="18"/>
    <x v="0"/>
    <x v="1"/>
    <x v="1"/>
    <x v="5"/>
    <n v="0.33329999999999999"/>
    <x v="15"/>
    <x v="9"/>
    <n v="10"/>
    <n v="43"/>
    <n v="53"/>
    <s v="Weekend"/>
  </r>
  <r>
    <n v="43"/>
    <x v="1"/>
    <x v="19"/>
    <x v="0"/>
    <x v="1"/>
    <x v="0"/>
    <x v="3"/>
    <n v="0.28789999999999999"/>
    <x v="16"/>
    <x v="10"/>
    <n v="1"/>
    <n v="29"/>
    <n v="30"/>
    <s v="Weekend"/>
  </r>
  <r>
    <n v="44"/>
    <x v="1"/>
    <x v="20"/>
    <x v="0"/>
    <x v="1"/>
    <x v="0"/>
    <x v="11"/>
    <n v="0.19993489148580984"/>
    <x v="17"/>
    <x v="11"/>
    <n v="5"/>
    <n v="17"/>
    <n v="22"/>
    <s v="Weekend"/>
  </r>
  <r>
    <n v="45"/>
    <x v="1"/>
    <x v="21"/>
    <x v="0"/>
    <x v="1"/>
    <x v="0"/>
    <x v="12"/>
    <n v="0.2273"/>
    <x v="18"/>
    <x v="9"/>
    <n v="11"/>
    <n v="20"/>
    <n v="31"/>
    <s v="Weekend"/>
  </r>
  <r>
    <n v="46"/>
    <x v="1"/>
    <x v="22"/>
    <x v="0"/>
    <x v="1"/>
    <x v="0"/>
    <x v="0"/>
    <n v="0.21210000000000001"/>
    <x v="18"/>
    <x v="4"/>
    <n v="0"/>
    <n v="9"/>
    <n v="9"/>
    <s v="Weekend"/>
  </r>
  <r>
    <n v="47"/>
    <x v="1"/>
    <x v="23"/>
    <x v="0"/>
    <x v="1"/>
    <x v="0"/>
    <x v="1"/>
    <n v="0.2273"/>
    <x v="19"/>
    <x v="8"/>
    <n v="0"/>
    <n v="8"/>
    <n v="8"/>
    <s v="Weekend"/>
  </r>
  <r>
    <n v="48"/>
    <x v="2"/>
    <x v="0"/>
    <x v="0"/>
    <x v="2"/>
    <x v="0"/>
    <x v="1"/>
    <n v="0.19700000000000001"/>
    <x v="18"/>
    <x v="11"/>
    <n v="0"/>
    <n v="5"/>
    <n v="5"/>
    <s v="Weekday"/>
  </r>
  <r>
    <n v="49"/>
    <x v="2"/>
    <x v="1"/>
    <x v="0"/>
    <x v="2"/>
    <x v="0"/>
    <x v="2"/>
    <n v="0.19993489148580987"/>
    <x v="18"/>
    <x v="12"/>
    <n v="0"/>
    <n v="2"/>
    <n v="2"/>
    <s v="Weekday"/>
  </r>
  <r>
    <n v="50"/>
    <x v="2"/>
    <x v="4"/>
    <x v="0"/>
    <x v="2"/>
    <x v="0"/>
    <x v="13"/>
    <n v="0.13639999999999999"/>
    <x v="19"/>
    <x v="13"/>
    <n v="0"/>
    <n v="1"/>
    <n v="1"/>
    <s v="Weekday"/>
  </r>
  <r>
    <n v="51"/>
    <x v="2"/>
    <x v="5"/>
    <x v="0"/>
    <x v="2"/>
    <x v="0"/>
    <x v="13"/>
    <n v="0.13639999999999999"/>
    <x v="19"/>
    <x v="3"/>
    <n v="0"/>
    <n v="3"/>
    <n v="3"/>
    <s v="Weekday"/>
  </r>
  <r>
    <n v="52"/>
    <x v="2"/>
    <x v="6"/>
    <x v="0"/>
    <x v="2"/>
    <x v="0"/>
    <x v="14"/>
    <n v="0.1061"/>
    <x v="20"/>
    <x v="13"/>
    <n v="0"/>
    <n v="30"/>
    <n v="30"/>
    <s v="Weekday"/>
  </r>
  <r>
    <n v="53"/>
    <x v="2"/>
    <x v="7"/>
    <x v="0"/>
    <x v="2"/>
    <x v="0"/>
    <x v="14"/>
    <n v="0.13639999999999999"/>
    <x v="20"/>
    <x v="5"/>
    <n v="1"/>
    <n v="63"/>
    <n v="64"/>
    <s v="Weekday"/>
  </r>
  <r>
    <n v="54"/>
    <x v="2"/>
    <x v="8"/>
    <x v="0"/>
    <x v="2"/>
    <x v="0"/>
    <x v="14"/>
    <n v="0.1212"/>
    <x v="20"/>
    <x v="3"/>
    <n v="1"/>
    <n v="153"/>
    <n v="154"/>
    <s v="Weekday"/>
  </r>
  <r>
    <n v="55"/>
    <x v="2"/>
    <x v="9"/>
    <x v="0"/>
    <x v="2"/>
    <x v="0"/>
    <x v="13"/>
    <n v="0.13639999999999999"/>
    <x v="21"/>
    <x v="13"/>
    <n v="7"/>
    <n v="81"/>
    <n v="88"/>
    <s v="Weekday"/>
  </r>
  <r>
    <n v="56"/>
    <x v="2"/>
    <x v="10"/>
    <x v="0"/>
    <x v="2"/>
    <x v="0"/>
    <x v="15"/>
    <n v="0.16669999999999999"/>
    <x v="21"/>
    <x v="2"/>
    <n v="11"/>
    <n v="33"/>
    <n v="44"/>
    <s v="Weekday"/>
  </r>
  <r>
    <n v="57"/>
    <x v="2"/>
    <x v="11"/>
    <x v="0"/>
    <x v="2"/>
    <x v="0"/>
    <x v="2"/>
    <n v="0.18179999999999999"/>
    <x v="22"/>
    <x v="9"/>
    <n v="10"/>
    <n v="41"/>
    <n v="51"/>
    <s v="Weekday"/>
  </r>
  <r>
    <n v="58"/>
    <x v="2"/>
    <x v="12"/>
    <x v="0"/>
    <x v="2"/>
    <x v="0"/>
    <x v="1"/>
    <n v="0.21210000000000001"/>
    <x v="23"/>
    <x v="4"/>
    <n v="13"/>
    <n v="48"/>
    <n v="61"/>
    <s v="Weekday"/>
  </r>
  <r>
    <n v="59"/>
    <x v="2"/>
    <x v="13"/>
    <x v="0"/>
    <x v="2"/>
    <x v="0"/>
    <x v="0"/>
    <n v="0.19993489148580987"/>
    <x v="23"/>
    <x v="3"/>
    <n v="8"/>
    <n v="53"/>
    <n v="61"/>
    <s v="Weekday"/>
  </r>
  <r>
    <n v="60"/>
    <x v="2"/>
    <x v="14"/>
    <x v="0"/>
    <x v="2"/>
    <x v="0"/>
    <x v="12"/>
    <n v="0.2424"/>
    <x v="24"/>
    <x v="3"/>
    <n v="11"/>
    <n v="66"/>
    <n v="77"/>
    <s v="Weekday"/>
  </r>
  <r>
    <n v="61"/>
    <x v="2"/>
    <x v="15"/>
    <x v="0"/>
    <x v="2"/>
    <x v="0"/>
    <x v="12"/>
    <n v="0.2424"/>
    <x v="24"/>
    <x v="2"/>
    <n v="14"/>
    <n v="58"/>
    <n v="72"/>
    <s v="Weekday"/>
  </r>
  <r>
    <n v="62"/>
    <x v="2"/>
    <x v="16"/>
    <x v="0"/>
    <x v="2"/>
    <x v="0"/>
    <x v="12"/>
    <n v="0.2424"/>
    <x v="24"/>
    <x v="2"/>
    <n v="9"/>
    <n v="67"/>
    <n v="76"/>
    <s v="Weekday"/>
  </r>
  <r>
    <n v="63"/>
    <x v="2"/>
    <x v="17"/>
    <x v="0"/>
    <x v="2"/>
    <x v="0"/>
    <x v="0"/>
    <n v="0.2273"/>
    <x v="24"/>
    <x v="6"/>
    <n v="11"/>
    <n v="146"/>
    <n v="157"/>
    <s v="Weekday"/>
  </r>
  <r>
    <n v="64"/>
    <x v="2"/>
    <x v="18"/>
    <x v="0"/>
    <x v="2"/>
    <x v="0"/>
    <x v="0"/>
    <n v="0.2576"/>
    <x v="25"/>
    <x v="14"/>
    <n v="9"/>
    <n v="148"/>
    <n v="157"/>
    <s v="Weekday"/>
  </r>
  <r>
    <n v="65"/>
    <x v="2"/>
    <x v="19"/>
    <x v="0"/>
    <x v="2"/>
    <x v="0"/>
    <x v="2"/>
    <n v="0.2576"/>
    <x v="19"/>
    <x v="0"/>
    <n v="8"/>
    <n v="102"/>
    <n v="110"/>
    <s v="Weekday"/>
  </r>
  <r>
    <n v="66"/>
    <x v="2"/>
    <x v="20"/>
    <x v="0"/>
    <x v="2"/>
    <x v="0"/>
    <x v="2"/>
    <n v="0.19993489148580984"/>
    <x v="19"/>
    <x v="14"/>
    <n v="3"/>
    <n v="49"/>
    <n v="52"/>
    <s v="Weekday"/>
  </r>
  <r>
    <n v="67"/>
    <x v="2"/>
    <x v="21"/>
    <x v="0"/>
    <x v="2"/>
    <x v="0"/>
    <x v="15"/>
    <n v="0.19700000000000001"/>
    <x v="26"/>
    <x v="7"/>
    <n v="3"/>
    <n v="49"/>
    <n v="52"/>
    <s v="Weekday"/>
  </r>
  <r>
    <n v="68"/>
    <x v="2"/>
    <x v="22"/>
    <x v="0"/>
    <x v="2"/>
    <x v="0"/>
    <x v="14"/>
    <n v="0.1515"/>
    <x v="27"/>
    <x v="7"/>
    <n v="0"/>
    <n v="20"/>
    <n v="20"/>
    <s v="Weekday"/>
  </r>
  <r>
    <n v="69"/>
    <x v="2"/>
    <x v="23"/>
    <x v="0"/>
    <x v="2"/>
    <x v="0"/>
    <x v="15"/>
    <n v="0.21210000000000001"/>
    <x v="28"/>
    <x v="14"/>
    <n v="1"/>
    <n v="11"/>
    <n v="12"/>
    <s v="Weekday"/>
  </r>
  <r>
    <n v="70"/>
    <x v="3"/>
    <x v="0"/>
    <x v="0"/>
    <x v="3"/>
    <x v="0"/>
    <x v="13"/>
    <n v="0.19993489148580984"/>
    <x v="28"/>
    <x v="14"/>
    <n v="0"/>
    <n v="5"/>
    <n v="5"/>
    <s v="Weekday"/>
  </r>
  <r>
    <n v="71"/>
    <x v="3"/>
    <x v="1"/>
    <x v="0"/>
    <x v="3"/>
    <x v="0"/>
    <x v="13"/>
    <n v="0.18179999999999999"/>
    <x v="29"/>
    <x v="14"/>
    <n v="0"/>
    <n v="2"/>
    <n v="2"/>
    <s v="Weekday"/>
  </r>
  <r>
    <n v="72"/>
    <x v="3"/>
    <x v="2"/>
    <x v="0"/>
    <x v="3"/>
    <x v="0"/>
    <x v="14"/>
    <n v="0.1515"/>
    <x v="30"/>
    <x v="7"/>
    <n v="0"/>
    <n v="1"/>
    <n v="1"/>
    <s v="Weekday"/>
  </r>
  <r>
    <n v="73"/>
    <x v="3"/>
    <x v="4"/>
    <x v="0"/>
    <x v="3"/>
    <x v="0"/>
    <x v="14"/>
    <n v="0.18179999999999999"/>
    <x v="30"/>
    <x v="1"/>
    <n v="0"/>
    <n v="2"/>
    <n v="2"/>
    <s v="Weekday"/>
  </r>
  <r>
    <n v="74"/>
    <x v="3"/>
    <x v="5"/>
    <x v="0"/>
    <x v="3"/>
    <x v="0"/>
    <x v="16"/>
    <n v="0.1515"/>
    <x v="31"/>
    <x v="14"/>
    <n v="0"/>
    <n v="4"/>
    <n v="4"/>
    <s v="Weekday"/>
  </r>
  <r>
    <n v="75"/>
    <x v="3"/>
    <x v="6"/>
    <x v="0"/>
    <x v="3"/>
    <x v="0"/>
    <x v="16"/>
    <n v="0.1515"/>
    <x v="32"/>
    <x v="14"/>
    <n v="0"/>
    <n v="36"/>
    <n v="36"/>
    <s v="Weekday"/>
  </r>
  <r>
    <n v="76"/>
    <x v="3"/>
    <x v="7"/>
    <x v="0"/>
    <x v="3"/>
    <x v="0"/>
    <x v="16"/>
    <n v="0.1515"/>
    <x v="32"/>
    <x v="7"/>
    <n v="2"/>
    <n v="92"/>
    <n v="94"/>
    <s v="Weekday"/>
  </r>
  <r>
    <n v="77"/>
    <x v="3"/>
    <x v="8"/>
    <x v="0"/>
    <x v="3"/>
    <x v="0"/>
    <x v="14"/>
    <n v="0.1515"/>
    <x v="27"/>
    <x v="8"/>
    <n v="2"/>
    <n v="177"/>
    <n v="179"/>
    <s v="Weekday"/>
  </r>
  <r>
    <n v="78"/>
    <x v="3"/>
    <x v="9"/>
    <x v="0"/>
    <x v="3"/>
    <x v="0"/>
    <x v="13"/>
    <n v="0.1515"/>
    <x v="26"/>
    <x v="6"/>
    <n v="2"/>
    <n v="98"/>
    <n v="100"/>
    <s v="Weekday"/>
  </r>
  <r>
    <n v="79"/>
    <x v="3"/>
    <x v="10"/>
    <x v="0"/>
    <x v="3"/>
    <x v="1"/>
    <x v="13"/>
    <n v="0.13639999999999999"/>
    <x v="27"/>
    <x v="9"/>
    <n v="5"/>
    <n v="37"/>
    <n v="42"/>
    <s v="Weekday"/>
  </r>
  <r>
    <n v="80"/>
    <x v="3"/>
    <x v="11"/>
    <x v="0"/>
    <x v="3"/>
    <x v="0"/>
    <x v="1"/>
    <n v="0.21210000000000001"/>
    <x v="33"/>
    <x v="4"/>
    <n v="7"/>
    <n v="50"/>
    <n v="57"/>
    <s v="Weekday"/>
  </r>
  <r>
    <n v="81"/>
    <x v="3"/>
    <x v="12"/>
    <x v="0"/>
    <x v="3"/>
    <x v="0"/>
    <x v="1"/>
    <n v="0.2273"/>
    <x v="33"/>
    <x v="8"/>
    <n v="12"/>
    <n v="66"/>
    <n v="78"/>
    <s v="Weekday"/>
  </r>
  <r>
    <n v="82"/>
    <x v="3"/>
    <x v="13"/>
    <x v="0"/>
    <x v="3"/>
    <x v="0"/>
    <x v="0"/>
    <n v="0.2273"/>
    <x v="34"/>
    <x v="5"/>
    <n v="18"/>
    <n v="79"/>
    <n v="97"/>
    <s v="Weekday"/>
  </r>
  <r>
    <n v="83"/>
    <x v="3"/>
    <x v="14"/>
    <x v="0"/>
    <x v="3"/>
    <x v="0"/>
    <x v="12"/>
    <n v="0.2576"/>
    <x v="35"/>
    <x v="6"/>
    <n v="9"/>
    <n v="54"/>
    <n v="63"/>
    <s v="Weekday"/>
  </r>
  <r>
    <n v="84"/>
    <x v="3"/>
    <x v="15"/>
    <x v="0"/>
    <x v="3"/>
    <x v="0"/>
    <x v="17"/>
    <n v="0.2727"/>
    <x v="35"/>
    <x v="2"/>
    <n v="17"/>
    <n v="48"/>
    <n v="65"/>
    <s v="Weekday"/>
  </r>
  <r>
    <n v="85"/>
    <x v="3"/>
    <x v="16"/>
    <x v="0"/>
    <x v="3"/>
    <x v="0"/>
    <x v="11"/>
    <n v="0.28789999999999999"/>
    <x v="36"/>
    <x v="2"/>
    <n v="15"/>
    <n v="68"/>
    <n v="83"/>
    <s v="Weekday"/>
  </r>
  <r>
    <n v="86"/>
    <x v="3"/>
    <x v="17"/>
    <x v="0"/>
    <x v="3"/>
    <x v="0"/>
    <x v="17"/>
    <n v="0.2727"/>
    <x v="37"/>
    <x v="6"/>
    <n v="10"/>
    <n v="202"/>
    <n v="212"/>
    <s v="Weekday"/>
  </r>
  <r>
    <n v="87"/>
    <x v="3"/>
    <x v="18"/>
    <x v="0"/>
    <x v="3"/>
    <x v="0"/>
    <x v="12"/>
    <n v="0.2576"/>
    <x v="37"/>
    <x v="5"/>
    <n v="3"/>
    <n v="179"/>
    <n v="182"/>
    <s v="Weekday"/>
  </r>
  <r>
    <n v="88"/>
    <x v="3"/>
    <x v="19"/>
    <x v="0"/>
    <x v="3"/>
    <x v="0"/>
    <x v="0"/>
    <n v="0.2576"/>
    <x v="37"/>
    <x v="14"/>
    <n v="2"/>
    <n v="110"/>
    <n v="112"/>
    <s v="Weekday"/>
  </r>
  <r>
    <n v="89"/>
    <x v="3"/>
    <x v="20"/>
    <x v="0"/>
    <x v="3"/>
    <x v="0"/>
    <x v="0"/>
    <n v="0.2576"/>
    <x v="37"/>
    <x v="14"/>
    <n v="1"/>
    <n v="53"/>
    <n v="54"/>
    <s v="Weekday"/>
  </r>
  <r>
    <n v="90"/>
    <x v="3"/>
    <x v="21"/>
    <x v="0"/>
    <x v="3"/>
    <x v="0"/>
    <x v="1"/>
    <n v="0.2727"/>
    <x v="26"/>
    <x v="0"/>
    <n v="0"/>
    <n v="48"/>
    <n v="48"/>
    <s v="Weekday"/>
  </r>
  <r>
    <n v="91"/>
    <x v="3"/>
    <x v="22"/>
    <x v="0"/>
    <x v="3"/>
    <x v="0"/>
    <x v="1"/>
    <n v="0.2576"/>
    <x v="26"/>
    <x v="1"/>
    <n v="1"/>
    <n v="34"/>
    <n v="35"/>
    <s v="Weekday"/>
  </r>
  <r>
    <n v="92"/>
    <x v="3"/>
    <x v="23"/>
    <x v="0"/>
    <x v="3"/>
    <x v="0"/>
    <x v="2"/>
    <n v="0.2273"/>
    <x v="27"/>
    <x v="1"/>
    <n v="2"/>
    <n v="9"/>
    <n v="11"/>
    <s v="Weekday"/>
  </r>
  <r>
    <n v="93"/>
    <x v="4"/>
    <x v="0"/>
    <x v="0"/>
    <x v="4"/>
    <x v="0"/>
    <x v="2"/>
    <n v="0.2576"/>
    <x v="26"/>
    <x v="0"/>
    <n v="0"/>
    <n v="6"/>
    <n v="6"/>
    <s v="Weekday"/>
  </r>
  <r>
    <n v="94"/>
    <x v="4"/>
    <x v="1"/>
    <x v="0"/>
    <x v="4"/>
    <x v="0"/>
    <x v="13"/>
    <n v="0.19700000000000001"/>
    <x v="32"/>
    <x v="1"/>
    <n v="0"/>
    <n v="6"/>
    <n v="6"/>
    <s v="Weekday"/>
  </r>
  <r>
    <n v="95"/>
    <x v="4"/>
    <x v="2"/>
    <x v="0"/>
    <x v="4"/>
    <x v="0"/>
    <x v="13"/>
    <n v="0.19700000000000001"/>
    <x v="32"/>
    <x v="1"/>
    <n v="0"/>
    <n v="2"/>
    <n v="2"/>
    <s v="Weekday"/>
  </r>
  <r>
    <n v="96"/>
    <x v="4"/>
    <x v="4"/>
    <x v="0"/>
    <x v="4"/>
    <x v="0"/>
    <x v="0"/>
    <n v="0.2273"/>
    <x v="37"/>
    <x v="6"/>
    <n v="0"/>
    <n v="2"/>
    <n v="2"/>
    <s v="Weekday"/>
  </r>
  <r>
    <n v="97"/>
    <x v="4"/>
    <x v="5"/>
    <x v="0"/>
    <x v="4"/>
    <x v="0"/>
    <x v="1"/>
    <n v="0.2273"/>
    <x v="19"/>
    <x v="8"/>
    <n v="0"/>
    <n v="3"/>
    <n v="3"/>
    <s v="Weekday"/>
  </r>
  <r>
    <n v="98"/>
    <x v="4"/>
    <x v="6"/>
    <x v="0"/>
    <x v="4"/>
    <x v="0"/>
    <x v="2"/>
    <n v="0.19700000000000001"/>
    <x v="19"/>
    <x v="6"/>
    <n v="0"/>
    <n v="33"/>
    <n v="33"/>
    <s v="Weekday"/>
  </r>
  <r>
    <n v="99"/>
    <x v="4"/>
    <x v="7"/>
    <x v="0"/>
    <x v="4"/>
    <x v="0"/>
    <x v="15"/>
    <n v="0.18179999999999999"/>
    <x v="21"/>
    <x v="5"/>
    <n v="1"/>
    <n v="87"/>
    <n v="88"/>
    <s v="Weekday"/>
  </r>
  <r>
    <n v="100"/>
    <x v="4"/>
    <x v="8"/>
    <x v="0"/>
    <x v="4"/>
    <x v="0"/>
    <x v="2"/>
    <n v="0.18179999999999999"/>
    <x v="22"/>
    <x v="4"/>
    <n v="3"/>
    <n v="192"/>
    <n v="195"/>
    <s v="Weekday"/>
  </r>
  <r>
    <n v="101"/>
    <x v="4"/>
    <x v="9"/>
    <x v="0"/>
    <x v="4"/>
    <x v="0"/>
    <x v="1"/>
    <n v="0.19700000000000001"/>
    <x v="38"/>
    <x v="9"/>
    <n v="6"/>
    <n v="109"/>
    <n v="115"/>
    <s v="Weekday"/>
  </r>
  <r>
    <n v="102"/>
    <x v="4"/>
    <x v="10"/>
    <x v="0"/>
    <x v="4"/>
    <x v="0"/>
    <x v="1"/>
    <n v="0.19700000000000001"/>
    <x v="38"/>
    <x v="9"/>
    <n v="4"/>
    <n v="53"/>
    <n v="57"/>
    <s v="Weekday"/>
  </r>
  <r>
    <n v="103"/>
    <x v="4"/>
    <x v="11"/>
    <x v="0"/>
    <x v="4"/>
    <x v="0"/>
    <x v="12"/>
    <n v="0.2273"/>
    <x v="39"/>
    <x v="9"/>
    <n v="12"/>
    <n v="34"/>
    <n v="46"/>
    <s v="Weekday"/>
  </r>
  <r>
    <n v="104"/>
    <x v="4"/>
    <x v="12"/>
    <x v="0"/>
    <x v="4"/>
    <x v="0"/>
    <x v="12"/>
    <n v="0.2273"/>
    <x v="39"/>
    <x v="9"/>
    <n v="5"/>
    <n v="74"/>
    <n v="79"/>
    <s v="Weekday"/>
  </r>
  <r>
    <n v="105"/>
    <x v="4"/>
    <x v="13"/>
    <x v="0"/>
    <x v="4"/>
    <x v="0"/>
    <x v="17"/>
    <n v="0.2576"/>
    <x v="24"/>
    <x v="4"/>
    <n v="6"/>
    <n v="65"/>
    <n v="71"/>
    <s v="Weekday"/>
  </r>
  <r>
    <n v="106"/>
    <x v="4"/>
    <x v="14"/>
    <x v="0"/>
    <x v="4"/>
    <x v="0"/>
    <x v="11"/>
    <n v="0.28789999999999999"/>
    <x v="40"/>
    <x v="5"/>
    <n v="10"/>
    <n v="52"/>
    <n v="62"/>
    <s v="Weekday"/>
  </r>
  <r>
    <n v="107"/>
    <x v="4"/>
    <x v="15"/>
    <x v="0"/>
    <x v="4"/>
    <x v="0"/>
    <x v="11"/>
    <n v="0.28789999999999999"/>
    <x v="40"/>
    <x v="5"/>
    <n v="7"/>
    <n v="55"/>
    <n v="62"/>
    <s v="Weekday"/>
  </r>
  <r>
    <n v="108"/>
    <x v="4"/>
    <x v="16"/>
    <x v="0"/>
    <x v="4"/>
    <x v="0"/>
    <x v="11"/>
    <n v="0.31819999999999998"/>
    <x v="40"/>
    <x v="1"/>
    <n v="4"/>
    <n v="85"/>
    <n v="89"/>
    <s v="Weekday"/>
  </r>
  <r>
    <n v="109"/>
    <x v="4"/>
    <x v="17"/>
    <x v="0"/>
    <x v="4"/>
    <x v="0"/>
    <x v="0"/>
    <n v="0.2273"/>
    <x v="41"/>
    <x v="5"/>
    <n v="4"/>
    <n v="186"/>
    <n v="190"/>
    <s v="Weekday"/>
  </r>
  <r>
    <n v="110"/>
    <x v="4"/>
    <x v="18"/>
    <x v="0"/>
    <x v="4"/>
    <x v="0"/>
    <x v="0"/>
    <n v="0.2424"/>
    <x v="41"/>
    <x v="7"/>
    <n v="3"/>
    <n v="166"/>
    <n v="169"/>
    <s v="Weekday"/>
  </r>
  <r>
    <n v="111"/>
    <x v="4"/>
    <x v="19"/>
    <x v="0"/>
    <x v="4"/>
    <x v="0"/>
    <x v="0"/>
    <n v="0.2576"/>
    <x v="41"/>
    <x v="14"/>
    <n v="5"/>
    <n v="127"/>
    <n v="132"/>
    <s v="Weekday"/>
  </r>
  <r>
    <n v="112"/>
    <x v="4"/>
    <x v="20"/>
    <x v="0"/>
    <x v="4"/>
    <x v="0"/>
    <x v="1"/>
    <n v="0.2273"/>
    <x v="19"/>
    <x v="8"/>
    <n v="7"/>
    <n v="82"/>
    <n v="89"/>
    <s v="Weekday"/>
  </r>
  <r>
    <n v="113"/>
    <x v="4"/>
    <x v="21"/>
    <x v="0"/>
    <x v="4"/>
    <x v="0"/>
    <x v="2"/>
    <n v="0.19700000000000001"/>
    <x v="33"/>
    <x v="5"/>
    <n v="3"/>
    <n v="40"/>
    <n v="43"/>
    <s v="Weekday"/>
  </r>
  <r>
    <n v="114"/>
    <x v="4"/>
    <x v="22"/>
    <x v="0"/>
    <x v="4"/>
    <x v="0"/>
    <x v="15"/>
    <n v="0.19700000000000001"/>
    <x v="28"/>
    <x v="7"/>
    <n v="1"/>
    <n v="41"/>
    <n v="42"/>
    <s v="Weekday"/>
  </r>
  <r>
    <n v="115"/>
    <x v="4"/>
    <x v="23"/>
    <x v="0"/>
    <x v="4"/>
    <x v="0"/>
    <x v="2"/>
    <n v="0.2576"/>
    <x v="19"/>
    <x v="0"/>
    <n v="1"/>
    <n v="18"/>
    <n v="19"/>
    <s v="Weekday"/>
  </r>
  <r>
    <n v="116"/>
    <x v="5"/>
    <x v="0"/>
    <x v="0"/>
    <x v="5"/>
    <x v="0"/>
    <x v="15"/>
    <n v="0.2424"/>
    <x v="28"/>
    <x v="0"/>
    <n v="0"/>
    <n v="11"/>
    <n v="11"/>
    <s v="Weekday"/>
  </r>
  <r>
    <n v="117"/>
    <x v="5"/>
    <x v="1"/>
    <x v="0"/>
    <x v="5"/>
    <x v="0"/>
    <x v="13"/>
    <n v="0.2273"/>
    <x v="26"/>
    <x v="0"/>
    <n v="0"/>
    <n v="4"/>
    <n v="4"/>
    <s v="Weekday"/>
  </r>
  <r>
    <n v="118"/>
    <x v="5"/>
    <x v="2"/>
    <x v="0"/>
    <x v="5"/>
    <x v="0"/>
    <x v="13"/>
    <n v="0.2273"/>
    <x v="26"/>
    <x v="0"/>
    <n v="0"/>
    <n v="2"/>
    <n v="2"/>
    <s v="Weekday"/>
  </r>
  <r>
    <n v="119"/>
    <x v="5"/>
    <x v="4"/>
    <x v="0"/>
    <x v="5"/>
    <x v="1"/>
    <x v="13"/>
    <n v="0.19700000000000001"/>
    <x v="26"/>
    <x v="1"/>
    <n v="0"/>
    <n v="1"/>
    <n v="1"/>
    <s v="Weekday"/>
  </r>
  <r>
    <n v="120"/>
    <x v="5"/>
    <x v="5"/>
    <x v="0"/>
    <x v="5"/>
    <x v="1"/>
    <x v="14"/>
    <n v="0.18179999999999999"/>
    <x v="27"/>
    <x v="1"/>
    <n v="0"/>
    <n v="4"/>
    <n v="4"/>
    <s v="Weekday"/>
  </r>
  <r>
    <n v="121"/>
    <x v="5"/>
    <x v="6"/>
    <x v="0"/>
    <x v="5"/>
    <x v="1"/>
    <x v="14"/>
    <n v="0.16669999999999999"/>
    <x v="30"/>
    <x v="14"/>
    <n v="0"/>
    <n v="36"/>
    <n v="36"/>
    <s v="Weekday"/>
  </r>
  <r>
    <n v="122"/>
    <x v="5"/>
    <x v="7"/>
    <x v="0"/>
    <x v="5"/>
    <x v="1"/>
    <x v="13"/>
    <n v="0.2273"/>
    <x v="29"/>
    <x v="0"/>
    <n v="0"/>
    <n v="95"/>
    <n v="95"/>
    <s v="Weekday"/>
  </r>
  <r>
    <n v="123"/>
    <x v="5"/>
    <x v="8"/>
    <x v="0"/>
    <x v="5"/>
    <x v="0"/>
    <x v="13"/>
    <n v="0.2273"/>
    <x v="29"/>
    <x v="0"/>
    <n v="3"/>
    <n v="216"/>
    <n v="219"/>
    <s v="Weekday"/>
  </r>
  <r>
    <n v="124"/>
    <x v="5"/>
    <x v="9"/>
    <x v="0"/>
    <x v="5"/>
    <x v="1"/>
    <x v="15"/>
    <n v="0.2424"/>
    <x v="33"/>
    <x v="0"/>
    <n v="6"/>
    <n v="116"/>
    <n v="122"/>
    <s v="Weekday"/>
  </r>
  <r>
    <n v="125"/>
    <x v="5"/>
    <x v="10"/>
    <x v="0"/>
    <x v="5"/>
    <x v="0"/>
    <x v="2"/>
    <n v="0.2576"/>
    <x v="19"/>
    <x v="0"/>
    <n v="3"/>
    <n v="42"/>
    <n v="45"/>
    <s v="Weekday"/>
  </r>
  <r>
    <n v="126"/>
    <x v="5"/>
    <x v="11"/>
    <x v="0"/>
    <x v="5"/>
    <x v="0"/>
    <x v="1"/>
    <n v="0.2576"/>
    <x v="18"/>
    <x v="1"/>
    <n v="2"/>
    <n v="57"/>
    <n v="59"/>
    <s v="Weekday"/>
  </r>
  <r>
    <n v="127"/>
    <x v="5"/>
    <x v="12"/>
    <x v="0"/>
    <x v="5"/>
    <x v="0"/>
    <x v="12"/>
    <n v="0.28789999999999999"/>
    <x v="23"/>
    <x v="0"/>
    <n v="6"/>
    <n v="78"/>
    <n v="84"/>
    <s v="Weekday"/>
  </r>
  <r>
    <n v="128"/>
    <x v="5"/>
    <x v="13"/>
    <x v="0"/>
    <x v="5"/>
    <x v="0"/>
    <x v="12"/>
    <n v="0.2727"/>
    <x v="23"/>
    <x v="14"/>
    <n v="12"/>
    <n v="55"/>
    <n v="67"/>
    <s v="Weekday"/>
  </r>
  <r>
    <n v="129"/>
    <x v="5"/>
    <x v="14"/>
    <x v="0"/>
    <x v="5"/>
    <x v="0"/>
    <x v="17"/>
    <n v="0.2727"/>
    <x v="42"/>
    <x v="8"/>
    <n v="11"/>
    <n v="59"/>
    <n v="70"/>
    <s v="Weekday"/>
  </r>
  <r>
    <n v="130"/>
    <x v="5"/>
    <x v="15"/>
    <x v="0"/>
    <x v="5"/>
    <x v="0"/>
    <x v="17"/>
    <n v="0.2727"/>
    <x v="42"/>
    <x v="0"/>
    <n v="8"/>
    <n v="54"/>
    <n v="62"/>
    <s v="Weekday"/>
  </r>
  <r>
    <n v="131"/>
    <x v="5"/>
    <x v="16"/>
    <x v="0"/>
    <x v="5"/>
    <x v="0"/>
    <x v="12"/>
    <n v="0.2576"/>
    <x v="41"/>
    <x v="8"/>
    <n v="12"/>
    <n v="74"/>
    <n v="86"/>
    <s v="Weekday"/>
  </r>
  <r>
    <n v="132"/>
    <x v="5"/>
    <x v="17"/>
    <x v="0"/>
    <x v="5"/>
    <x v="0"/>
    <x v="1"/>
    <n v="0.2273"/>
    <x v="33"/>
    <x v="8"/>
    <n v="9"/>
    <n v="163"/>
    <n v="172"/>
    <s v="Weekday"/>
  </r>
  <r>
    <n v="133"/>
    <x v="5"/>
    <x v="18"/>
    <x v="0"/>
    <x v="5"/>
    <x v="0"/>
    <x v="1"/>
    <n v="0.2273"/>
    <x v="33"/>
    <x v="7"/>
    <n v="5"/>
    <n v="158"/>
    <n v="163"/>
    <s v="Weekday"/>
  </r>
  <r>
    <n v="134"/>
    <x v="5"/>
    <x v="19"/>
    <x v="0"/>
    <x v="5"/>
    <x v="0"/>
    <x v="1"/>
    <n v="0.2576"/>
    <x v="28"/>
    <x v="1"/>
    <n v="3"/>
    <n v="109"/>
    <n v="112"/>
    <s v="Weekday"/>
  </r>
  <r>
    <n v="135"/>
    <x v="5"/>
    <x v="20"/>
    <x v="0"/>
    <x v="5"/>
    <x v="0"/>
    <x v="2"/>
    <n v="0.21210000000000001"/>
    <x v="33"/>
    <x v="8"/>
    <n v="3"/>
    <n v="66"/>
    <n v="69"/>
    <s v="Weekday"/>
  </r>
  <r>
    <n v="136"/>
    <x v="5"/>
    <x v="21"/>
    <x v="0"/>
    <x v="5"/>
    <x v="1"/>
    <x v="1"/>
    <n v="0.21210000000000001"/>
    <x v="28"/>
    <x v="6"/>
    <n v="0"/>
    <n v="48"/>
    <n v="48"/>
    <s v="Weekday"/>
  </r>
  <r>
    <n v="137"/>
    <x v="5"/>
    <x v="22"/>
    <x v="0"/>
    <x v="5"/>
    <x v="1"/>
    <x v="1"/>
    <n v="0.21210000000000001"/>
    <x v="33"/>
    <x v="3"/>
    <n v="1"/>
    <n v="51"/>
    <n v="52"/>
    <s v="Weekday"/>
  </r>
  <r>
    <n v="138"/>
    <x v="5"/>
    <x v="23"/>
    <x v="0"/>
    <x v="5"/>
    <x v="1"/>
    <x v="2"/>
    <n v="0.19700000000000001"/>
    <x v="29"/>
    <x v="5"/>
    <n v="4"/>
    <n v="19"/>
    <n v="23"/>
    <s v="Weekday"/>
  </r>
  <r>
    <n v="139"/>
    <x v="6"/>
    <x v="0"/>
    <x v="0"/>
    <x v="6"/>
    <x v="1"/>
    <x v="2"/>
    <n v="0.19700000000000001"/>
    <x v="26"/>
    <x v="5"/>
    <n v="4"/>
    <n v="13"/>
    <n v="17"/>
    <s v="Weekday"/>
  </r>
  <r>
    <n v="140"/>
    <x v="6"/>
    <x v="1"/>
    <x v="0"/>
    <x v="6"/>
    <x v="1"/>
    <x v="2"/>
    <n v="0.19700000000000001"/>
    <x v="27"/>
    <x v="6"/>
    <n v="2"/>
    <n v="5"/>
    <n v="7"/>
    <s v="Weekday"/>
  </r>
  <r>
    <n v="141"/>
    <x v="6"/>
    <x v="2"/>
    <x v="0"/>
    <x v="6"/>
    <x v="1"/>
    <x v="2"/>
    <n v="0.19700000000000001"/>
    <x v="27"/>
    <x v="6"/>
    <n v="0"/>
    <n v="1"/>
    <n v="1"/>
    <s v="Weekday"/>
  </r>
  <r>
    <n v="142"/>
    <x v="6"/>
    <x v="4"/>
    <x v="0"/>
    <x v="6"/>
    <x v="1"/>
    <x v="2"/>
    <n v="0.21210000000000001"/>
    <x v="27"/>
    <x v="7"/>
    <n v="0"/>
    <n v="1"/>
    <n v="1"/>
    <s v="Weekday"/>
  </r>
  <r>
    <n v="143"/>
    <x v="6"/>
    <x v="5"/>
    <x v="0"/>
    <x v="6"/>
    <x v="2"/>
    <x v="1"/>
    <n v="0.2727"/>
    <x v="28"/>
    <x v="0"/>
    <n v="0"/>
    <n v="5"/>
    <n v="5"/>
    <s v="Weekday"/>
  </r>
  <r>
    <n v="144"/>
    <x v="6"/>
    <x v="6"/>
    <x v="0"/>
    <x v="6"/>
    <x v="1"/>
    <x v="2"/>
    <n v="0.2576"/>
    <x v="27"/>
    <x v="0"/>
    <n v="8"/>
    <n v="26"/>
    <n v="34"/>
    <s v="Weekday"/>
  </r>
  <r>
    <n v="145"/>
    <x v="6"/>
    <x v="7"/>
    <x v="0"/>
    <x v="6"/>
    <x v="0"/>
    <x v="2"/>
    <n v="0.21210000000000001"/>
    <x v="27"/>
    <x v="7"/>
    <n v="8"/>
    <n v="76"/>
    <n v="84"/>
    <s v="Weekday"/>
  </r>
  <r>
    <n v="146"/>
    <x v="6"/>
    <x v="8"/>
    <x v="0"/>
    <x v="6"/>
    <x v="0"/>
    <x v="2"/>
    <n v="0.19700000000000001"/>
    <x v="33"/>
    <x v="2"/>
    <n v="20"/>
    <n v="190"/>
    <n v="210"/>
    <s v="Weekday"/>
  </r>
  <r>
    <n v="147"/>
    <x v="6"/>
    <x v="9"/>
    <x v="0"/>
    <x v="6"/>
    <x v="0"/>
    <x v="2"/>
    <n v="0.18179999999999999"/>
    <x v="19"/>
    <x v="4"/>
    <n v="9"/>
    <n v="125"/>
    <n v="134"/>
    <s v="Weekday"/>
  </r>
  <r>
    <n v="148"/>
    <x v="6"/>
    <x v="10"/>
    <x v="0"/>
    <x v="6"/>
    <x v="0"/>
    <x v="1"/>
    <n v="0.19700000000000001"/>
    <x v="38"/>
    <x v="9"/>
    <n v="16"/>
    <n v="47"/>
    <n v="63"/>
    <s v="Weekday"/>
  </r>
  <r>
    <n v="149"/>
    <x v="6"/>
    <x v="11"/>
    <x v="0"/>
    <x v="6"/>
    <x v="1"/>
    <x v="2"/>
    <n v="0.19700000000000001"/>
    <x v="22"/>
    <x v="6"/>
    <n v="19"/>
    <n v="48"/>
    <n v="67"/>
    <s v="Weekday"/>
  </r>
  <r>
    <n v="150"/>
    <x v="6"/>
    <x v="12"/>
    <x v="0"/>
    <x v="6"/>
    <x v="1"/>
    <x v="2"/>
    <n v="0.19700000000000001"/>
    <x v="38"/>
    <x v="2"/>
    <n v="9"/>
    <n v="50"/>
    <n v="59"/>
    <s v="Weekday"/>
  </r>
  <r>
    <n v="151"/>
    <x v="6"/>
    <x v="13"/>
    <x v="0"/>
    <x v="6"/>
    <x v="1"/>
    <x v="2"/>
    <n v="0.18179999999999999"/>
    <x v="38"/>
    <x v="3"/>
    <n v="9"/>
    <n v="64"/>
    <n v="73"/>
    <s v="Weekday"/>
  </r>
  <r>
    <n v="152"/>
    <x v="6"/>
    <x v="14"/>
    <x v="0"/>
    <x v="6"/>
    <x v="1"/>
    <x v="2"/>
    <n v="0.19700000000000001"/>
    <x v="22"/>
    <x v="2"/>
    <n v="7"/>
    <n v="43"/>
    <n v="50"/>
    <s v="Weekday"/>
  </r>
  <r>
    <n v="153"/>
    <x v="6"/>
    <x v="15"/>
    <x v="0"/>
    <x v="6"/>
    <x v="1"/>
    <x v="2"/>
    <n v="0.21210000000000001"/>
    <x v="38"/>
    <x v="8"/>
    <n v="9"/>
    <n v="63"/>
    <n v="72"/>
    <s v="Weekday"/>
  </r>
  <r>
    <n v="154"/>
    <x v="6"/>
    <x v="16"/>
    <x v="0"/>
    <x v="6"/>
    <x v="1"/>
    <x v="2"/>
    <n v="0.21210000000000001"/>
    <x v="38"/>
    <x v="8"/>
    <n v="5"/>
    <n v="82"/>
    <n v="87"/>
    <s v="Weekday"/>
  </r>
  <r>
    <n v="155"/>
    <x v="6"/>
    <x v="17"/>
    <x v="0"/>
    <x v="6"/>
    <x v="1"/>
    <x v="2"/>
    <n v="0.2576"/>
    <x v="38"/>
    <x v="0"/>
    <n v="9"/>
    <n v="178"/>
    <n v="187"/>
    <s v="Weekday"/>
  </r>
  <r>
    <n v="156"/>
    <x v="6"/>
    <x v="18"/>
    <x v="0"/>
    <x v="6"/>
    <x v="0"/>
    <x v="2"/>
    <n v="0.2273"/>
    <x v="22"/>
    <x v="1"/>
    <n v="7"/>
    <n v="116"/>
    <n v="123"/>
    <s v="Weekday"/>
  </r>
  <r>
    <n v="157"/>
    <x v="6"/>
    <x v="19"/>
    <x v="0"/>
    <x v="6"/>
    <x v="0"/>
    <x v="13"/>
    <n v="0.19700000000000001"/>
    <x v="28"/>
    <x v="1"/>
    <n v="3"/>
    <n v="92"/>
    <n v="95"/>
    <s v="Weekday"/>
  </r>
  <r>
    <n v="158"/>
    <x v="6"/>
    <x v="20"/>
    <x v="0"/>
    <x v="6"/>
    <x v="0"/>
    <x v="15"/>
    <n v="0.21210000000000001"/>
    <x v="19"/>
    <x v="14"/>
    <n v="1"/>
    <n v="50"/>
    <n v="51"/>
    <s v="Weekday"/>
  </r>
  <r>
    <n v="159"/>
    <x v="6"/>
    <x v="21"/>
    <x v="0"/>
    <x v="6"/>
    <x v="0"/>
    <x v="15"/>
    <n v="0.19700000000000001"/>
    <x v="19"/>
    <x v="7"/>
    <n v="0"/>
    <n v="39"/>
    <n v="39"/>
    <s v="Weekday"/>
  </r>
  <r>
    <n v="160"/>
    <x v="6"/>
    <x v="22"/>
    <x v="0"/>
    <x v="6"/>
    <x v="1"/>
    <x v="15"/>
    <n v="0.19700000000000001"/>
    <x v="21"/>
    <x v="8"/>
    <n v="2"/>
    <n v="34"/>
    <n v="36"/>
    <s v="Weekday"/>
  </r>
  <r>
    <n v="161"/>
    <x v="6"/>
    <x v="23"/>
    <x v="0"/>
    <x v="6"/>
    <x v="1"/>
    <x v="15"/>
    <n v="0.19700000000000001"/>
    <x v="33"/>
    <x v="8"/>
    <n v="1"/>
    <n v="14"/>
    <n v="15"/>
    <s v="Weekday"/>
  </r>
  <r>
    <n v="162"/>
    <x v="7"/>
    <x v="0"/>
    <x v="0"/>
    <x v="0"/>
    <x v="1"/>
    <x v="15"/>
    <n v="0.19700000000000001"/>
    <x v="33"/>
    <x v="8"/>
    <n v="1"/>
    <n v="24"/>
    <n v="25"/>
    <s v="Weekend"/>
  </r>
  <r>
    <n v="163"/>
    <x v="7"/>
    <x v="1"/>
    <x v="0"/>
    <x v="0"/>
    <x v="1"/>
    <x v="15"/>
    <n v="0.21210000000000001"/>
    <x v="28"/>
    <x v="1"/>
    <n v="1"/>
    <n v="15"/>
    <n v="16"/>
    <s v="Weekend"/>
  </r>
  <r>
    <n v="164"/>
    <x v="7"/>
    <x v="2"/>
    <x v="0"/>
    <x v="0"/>
    <x v="1"/>
    <x v="15"/>
    <n v="0.2424"/>
    <x v="28"/>
    <x v="0"/>
    <n v="3"/>
    <n v="13"/>
    <n v="16"/>
    <s v="Weekend"/>
  </r>
  <r>
    <n v="165"/>
    <x v="7"/>
    <x v="3"/>
    <x v="0"/>
    <x v="0"/>
    <x v="2"/>
    <x v="15"/>
    <n v="0.19700000000000001"/>
    <x v="28"/>
    <x v="8"/>
    <n v="0"/>
    <n v="7"/>
    <n v="7"/>
    <s v="Weekend"/>
  </r>
  <r>
    <n v="166"/>
    <x v="7"/>
    <x v="4"/>
    <x v="0"/>
    <x v="0"/>
    <x v="2"/>
    <x v="15"/>
    <n v="0.19700000000000001"/>
    <x v="28"/>
    <x v="8"/>
    <n v="0"/>
    <n v="1"/>
    <n v="1"/>
    <s v="Weekend"/>
  </r>
  <r>
    <n v="167"/>
    <x v="7"/>
    <x v="5"/>
    <x v="0"/>
    <x v="0"/>
    <x v="1"/>
    <x v="13"/>
    <n v="0.16669999999999999"/>
    <x v="32"/>
    <x v="8"/>
    <n v="0"/>
    <n v="5"/>
    <n v="5"/>
    <s v="Weekend"/>
  </r>
  <r>
    <n v="168"/>
    <x v="7"/>
    <x v="6"/>
    <x v="0"/>
    <x v="0"/>
    <x v="1"/>
    <x v="13"/>
    <n v="0.16669999999999999"/>
    <x v="32"/>
    <x v="8"/>
    <n v="0"/>
    <n v="2"/>
    <n v="2"/>
    <s v="Weekend"/>
  </r>
  <r>
    <n v="169"/>
    <x v="7"/>
    <x v="7"/>
    <x v="0"/>
    <x v="0"/>
    <x v="1"/>
    <x v="13"/>
    <n v="0.18179999999999999"/>
    <x v="32"/>
    <x v="14"/>
    <n v="1"/>
    <n v="8"/>
    <n v="9"/>
    <s v="Weekend"/>
  </r>
  <r>
    <n v="170"/>
    <x v="7"/>
    <x v="8"/>
    <x v="0"/>
    <x v="0"/>
    <x v="2"/>
    <x v="13"/>
    <n v="0.18179999999999999"/>
    <x v="43"/>
    <x v="14"/>
    <n v="0"/>
    <n v="15"/>
    <n v="15"/>
    <s v="Weekend"/>
  </r>
  <r>
    <n v="171"/>
    <x v="7"/>
    <x v="9"/>
    <x v="0"/>
    <x v="0"/>
    <x v="2"/>
    <x v="13"/>
    <n v="0.18179999999999999"/>
    <x v="43"/>
    <x v="14"/>
    <n v="0"/>
    <n v="20"/>
    <n v="20"/>
    <s v="Weekend"/>
  </r>
  <r>
    <n v="172"/>
    <x v="7"/>
    <x v="10"/>
    <x v="0"/>
    <x v="0"/>
    <x v="1"/>
    <x v="15"/>
    <n v="0.19700000000000001"/>
    <x v="1"/>
    <x v="8"/>
    <n v="5"/>
    <n v="56"/>
    <n v="61"/>
    <s v="Weekend"/>
  </r>
  <r>
    <n v="173"/>
    <x v="7"/>
    <x v="11"/>
    <x v="0"/>
    <x v="0"/>
    <x v="1"/>
    <x v="2"/>
    <n v="0.18179999999999999"/>
    <x v="27"/>
    <x v="13"/>
    <n v="2"/>
    <n v="60"/>
    <n v="62"/>
    <s v="Weekend"/>
  </r>
  <r>
    <n v="174"/>
    <x v="7"/>
    <x v="12"/>
    <x v="0"/>
    <x v="0"/>
    <x v="1"/>
    <x v="2"/>
    <n v="0.18179999999999999"/>
    <x v="29"/>
    <x v="11"/>
    <n v="8"/>
    <n v="90"/>
    <n v="98"/>
    <s v="Weekend"/>
  </r>
  <r>
    <n v="175"/>
    <x v="7"/>
    <x v="13"/>
    <x v="0"/>
    <x v="0"/>
    <x v="0"/>
    <x v="2"/>
    <n v="0.18179999999999999"/>
    <x v="18"/>
    <x v="9"/>
    <n v="7"/>
    <n v="95"/>
    <n v="102"/>
    <s v="Weekend"/>
  </r>
  <r>
    <n v="176"/>
    <x v="7"/>
    <x v="14"/>
    <x v="0"/>
    <x v="0"/>
    <x v="0"/>
    <x v="2"/>
    <n v="0.16669999999999999"/>
    <x v="25"/>
    <x v="15"/>
    <n v="12"/>
    <n v="83"/>
    <n v="95"/>
    <s v="Weekend"/>
  </r>
  <r>
    <n v="177"/>
    <x v="7"/>
    <x v="15"/>
    <x v="0"/>
    <x v="0"/>
    <x v="0"/>
    <x v="2"/>
    <n v="0.16669999999999999"/>
    <x v="25"/>
    <x v="10"/>
    <n v="5"/>
    <n v="69"/>
    <n v="74"/>
    <s v="Weekend"/>
  </r>
  <r>
    <n v="178"/>
    <x v="7"/>
    <x v="16"/>
    <x v="0"/>
    <x v="0"/>
    <x v="0"/>
    <x v="15"/>
    <n v="0.13639999999999999"/>
    <x v="44"/>
    <x v="10"/>
    <n v="8"/>
    <n v="68"/>
    <n v="76"/>
    <s v="Weekend"/>
  </r>
  <r>
    <n v="179"/>
    <x v="7"/>
    <x v="17"/>
    <x v="0"/>
    <x v="0"/>
    <x v="0"/>
    <x v="13"/>
    <n v="0.1212"/>
    <x v="38"/>
    <x v="16"/>
    <n v="5"/>
    <n v="64"/>
    <n v="69"/>
    <s v="Weekend"/>
  </r>
  <r>
    <n v="180"/>
    <x v="7"/>
    <x v="18"/>
    <x v="0"/>
    <x v="0"/>
    <x v="0"/>
    <x v="14"/>
    <n v="0.1212"/>
    <x v="17"/>
    <x v="4"/>
    <n v="3"/>
    <n v="52"/>
    <n v="55"/>
    <s v="Weekend"/>
  </r>
  <r>
    <n v="181"/>
    <x v="7"/>
    <x v="19"/>
    <x v="0"/>
    <x v="0"/>
    <x v="0"/>
    <x v="14"/>
    <n v="0.1212"/>
    <x v="42"/>
    <x v="2"/>
    <n v="4"/>
    <n v="26"/>
    <n v="30"/>
    <s v="Weekend"/>
  </r>
  <r>
    <n v="182"/>
    <x v="7"/>
    <x v="20"/>
    <x v="0"/>
    <x v="0"/>
    <x v="0"/>
    <x v="16"/>
    <n v="0.1212"/>
    <x v="42"/>
    <x v="2"/>
    <n v="0"/>
    <n v="28"/>
    <n v="28"/>
    <s v="Weekend"/>
  </r>
  <r>
    <n v="183"/>
    <x v="7"/>
    <x v="21"/>
    <x v="0"/>
    <x v="0"/>
    <x v="0"/>
    <x v="16"/>
    <n v="0.1061"/>
    <x v="17"/>
    <x v="11"/>
    <n v="2"/>
    <n v="35"/>
    <n v="37"/>
    <s v="Weekend"/>
  </r>
  <r>
    <n v="184"/>
    <x v="7"/>
    <x v="22"/>
    <x v="0"/>
    <x v="0"/>
    <x v="0"/>
    <x v="16"/>
    <n v="0.1061"/>
    <x v="42"/>
    <x v="13"/>
    <n v="1"/>
    <n v="33"/>
    <n v="34"/>
    <s v="Weekend"/>
  </r>
  <r>
    <n v="185"/>
    <x v="7"/>
    <x v="23"/>
    <x v="0"/>
    <x v="0"/>
    <x v="0"/>
    <x v="18"/>
    <n v="6.0600000000000001E-2"/>
    <x v="17"/>
    <x v="10"/>
    <n v="0"/>
    <n v="22"/>
    <n v="22"/>
    <s v="Weekend"/>
  </r>
  <r>
    <n v="186"/>
    <x v="8"/>
    <x v="0"/>
    <x v="0"/>
    <x v="1"/>
    <x v="0"/>
    <x v="18"/>
    <n v="7.5800000000000006E-2"/>
    <x v="16"/>
    <x v="13"/>
    <n v="1"/>
    <n v="24"/>
    <n v="25"/>
    <s v="Weekend"/>
  </r>
  <r>
    <n v="187"/>
    <x v="8"/>
    <x v="1"/>
    <x v="0"/>
    <x v="1"/>
    <x v="0"/>
    <x v="18"/>
    <n v="6.0600000000000001E-2"/>
    <x v="16"/>
    <x v="17"/>
    <n v="0"/>
    <n v="12"/>
    <n v="12"/>
    <s v="Weekend"/>
  </r>
  <r>
    <n v="188"/>
    <x v="8"/>
    <x v="2"/>
    <x v="0"/>
    <x v="1"/>
    <x v="0"/>
    <x v="18"/>
    <n v="6.0600000000000001E-2"/>
    <x v="15"/>
    <x v="17"/>
    <n v="0"/>
    <n v="11"/>
    <n v="11"/>
    <s v="Weekend"/>
  </r>
  <r>
    <n v="189"/>
    <x v="8"/>
    <x v="3"/>
    <x v="0"/>
    <x v="1"/>
    <x v="0"/>
    <x v="18"/>
    <n v="7.5800000000000006E-2"/>
    <x v="15"/>
    <x v="12"/>
    <n v="0"/>
    <n v="4"/>
    <n v="4"/>
    <s v="Weekend"/>
  </r>
  <r>
    <n v="190"/>
    <x v="8"/>
    <x v="4"/>
    <x v="0"/>
    <x v="1"/>
    <x v="0"/>
    <x v="19"/>
    <n v="9.0899999999999995E-2"/>
    <x v="45"/>
    <x v="5"/>
    <n v="0"/>
    <n v="1"/>
    <n v="1"/>
    <s v="Weekend"/>
  </r>
  <r>
    <n v="191"/>
    <x v="8"/>
    <x v="5"/>
    <x v="0"/>
    <x v="1"/>
    <x v="0"/>
    <x v="19"/>
    <n v="9.0899999999999995E-2"/>
    <x v="45"/>
    <x v="5"/>
    <n v="0"/>
    <n v="1"/>
    <n v="1"/>
    <s v="Weekend"/>
  </r>
  <r>
    <n v="192"/>
    <x v="8"/>
    <x v="6"/>
    <x v="0"/>
    <x v="1"/>
    <x v="0"/>
    <x v="18"/>
    <n v="9.0899999999999995E-2"/>
    <x v="36"/>
    <x v="3"/>
    <n v="0"/>
    <n v="1"/>
    <n v="1"/>
    <s v="Weekend"/>
  </r>
  <r>
    <n v="193"/>
    <x v="8"/>
    <x v="7"/>
    <x v="0"/>
    <x v="1"/>
    <x v="0"/>
    <x v="19"/>
    <n v="9.0899999999999995E-2"/>
    <x v="45"/>
    <x v="5"/>
    <n v="1"/>
    <n v="5"/>
    <n v="6"/>
    <s v="Weekend"/>
  </r>
  <r>
    <n v="194"/>
    <x v="8"/>
    <x v="8"/>
    <x v="0"/>
    <x v="1"/>
    <x v="0"/>
    <x v="18"/>
    <n v="9.0899999999999995E-2"/>
    <x v="36"/>
    <x v="3"/>
    <n v="0"/>
    <n v="10"/>
    <n v="10"/>
    <s v="Weekend"/>
  </r>
  <r>
    <n v="195"/>
    <x v="8"/>
    <x v="9"/>
    <x v="0"/>
    <x v="1"/>
    <x v="0"/>
    <x v="16"/>
    <n v="7.5800000000000006E-2"/>
    <x v="15"/>
    <x v="18"/>
    <n v="0"/>
    <n v="19"/>
    <n v="19"/>
    <s v="Weekend"/>
  </r>
  <r>
    <n v="196"/>
    <x v="8"/>
    <x v="10"/>
    <x v="0"/>
    <x v="1"/>
    <x v="0"/>
    <x v="14"/>
    <n v="0.1061"/>
    <x v="21"/>
    <x v="13"/>
    <n v="0"/>
    <n v="49"/>
    <n v="49"/>
    <s v="Weekend"/>
  </r>
  <r>
    <n v="197"/>
    <x v="8"/>
    <x v="11"/>
    <x v="0"/>
    <x v="1"/>
    <x v="0"/>
    <x v="13"/>
    <n v="0.1212"/>
    <x v="22"/>
    <x v="18"/>
    <n v="2"/>
    <n v="47"/>
    <n v="49"/>
    <s v="Weekend"/>
  </r>
  <r>
    <n v="198"/>
    <x v="8"/>
    <x v="12"/>
    <x v="0"/>
    <x v="1"/>
    <x v="0"/>
    <x v="15"/>
    <n v="0.13639999999999999"/>
    <x v="38"/>
    <x v="10"/>
    <n v="4"/>
    <n v="79"/>
    <n v="83"/>
    <s v="Weekend"/>
  </r>
  <r>
    <n v="199"/>
    <x v="8"/>
    <x v="13"/>
    <x v="0"/>
    <x v="1"/>
    <x v="0"/>
    <x v="2"/>
    <n v="0.16669999999999999"/>
    <x v="46"/>
    <x v="10"/>
    <n v="6"/>
    <n v="69"/>
    <n v="75"/>
    <s v="Weekend"/>
  </r>
  <r>
    <n v="200"/>
    <x v="8"/>
    <x v="14"/>
    <x v="0"/>
    <x v="1"/>
    <x v="0"/>
    <x v="1"/>
    <n v="0.18179999999999999"/>
    <x v="25"/>
    <x v="17"/>
    <n v="8"/>
    <n v="64"/>
    <n v="72"/>
    <s v="Weekend"/>
  </r>
  <r>
    <n v="201"/>
    <x v="8"/>
    <x v="15"/>
    <x v="0"/>
    <x v="1"/>
    <x v="0"/>
    <x v="1"/>
    <n v="0.19700000000000001"/>
    <x v="23"/>
    <x v="11"/>
    <n v="5"/>
    <n v="77"/>
    <n v="82"/>
    <s v="Weekend"/>
  </r>
  <r>
    <n v="202"/>
    <x v="8"/>
    <x v="16"/>
    <x v="0"/>
    <x v="1"/>
    <x v="0"/>
    <x v="2"/>
    <n v="0.16669999999999999"/>
    <x v="46"/>
    <x v="10"/>
    <n v="13"/>
    <n v="79"/>
    <n v="92"/>
    <s v="Weekend"/>
  </r>
  <r>
    <n v="203"/>
    <x v="8"/>
    <x v="17"/>
    <x v="0"/>
    <x v="1"/>
    <x v="0"/>
    <x v="15"/>
    <n v="0.1515"/>
    <x v="38"/>
    <x v="13"/>
    <n v="3"/>
    <n v="59"/>
    <n v="62"/>
    <s v="Weekend"/>
  </r>
  <r>
    <n v="204"/>
    <x v="8"/>
    <x v="18"/>
    <x v="0"/>
    <x v="1"/>
    <x v="0"/>
    <x v="13"/>
    <n v="0.13639999999999999"/>
    <x v="22"/>
    <x v="9"/>
    <n v="4"/>
    <n v="44"/>
    <n v="48"/>
    <s v="Weekend"/>
  </r>
  <r>
    <n v="205"/>
    <x v="8"/>
    <x v="19"/>
    <x v="0"/>
    <x v="1"/>
    <x v="0"/>
    <x v="13"/>
    <n v="0.13639999999999999"/>
    <x v="21"/>
    <x v="9"/>
    <n v="1"/>
    <n v="40"/>
    <n v="41"/>
    <s v="Weekend"/>
  </r>
  <r>
    <n v="206"/>
    <x v="8"/>
    <x v="20"/>
    <x v="0"/>
    <x v="1"/>
    <x v="0"/>
    <x v="14"/>
    <n v="0.1212"/>
    <x v="15"/>
    <x v="2"/>
    <n v="0"/>
    <n v="38"/>
    <n v="38"/>
    <s v="Weekend"/>
  </r>
  <r>
    <n v="207"/>
    <x v="8"/>
    <x v="21"/>
    <x v="0"/>
    <x v="1"/>
    <x v="0"/>
    <x v="14"/>
    <n v="0.1061"/>
    <x v="15"/>
    <x v="12"/>
    <n v="1"/>
    <n v="19"/>
    <n v="20"/>
    <s v="Weekend"/>
  </r>
  <r>
    <n v="208"/>
    <x v="8"/>
    <x v="22"/>
    <x v="0"/>
    <x v="1"/>
    <x v="0"/>
    <x v="14"/>
    <n v="0.1212"/>
    <x v="15"/>
    <x v="4"/>
    <n v="5"/>
    <n v="10"/>
    <n v="15"/>
    <s v="Weekend"/>
  </r>
  <r>
    <n v="209"/>
    <x v="8"/>
    <x v="23"/>
    <x v="0"/>
    <x v="1"/>
    <x v="0"/>
    <x v="16"/>
    <n v="0.13639999999999999"/>
    <x v="20"/>
    <x v="5"/>
    <n v="0"/>
    <n v="6"/>
    <n v="6"/>
    <s v="Weekend"/>
  </r>
  <r>
    <n v="210"/>
    <x v="9"/>
    <x v="0"/>
    <x v="0"/>
    <x v="2"/>
    <x v="0"/>
    <x v="16"/>
    <n v="0.1212"/>
    <x v="20"/>
    <x v="3"/>
    <n v="2"/>
    <n v="3"/>
    <n v="5"/>
    <s v="Weekday"/>
  </r>
  <r>
    <n v="211"/>
    <x v="9"/>
    <x v="1"/>
    <x v="0"/>
    <x v="2"/>
    <x v="0"/>
    <x v="16"/>
    <n v="0.1212"/>
    <x v="20"/>
    <x v="3"/>
    <n v="1"/>
    <n v="0"/>
    <n v="1"/>
    <s v="Weekday"/>
  </r>
  <r>
    <n v="212"/>
    <x v="9"/>
    <x v="2"/>
    <x v="0"/>
    <x v="2"/>
    <x v="0"/>
    <x v="16"/>
    <n v="0.1212"/>
    <x v="20"/>
    <x v="6"/>
    <n v="0"/>
    <n v="3"/>
    <n v="3"/>
    <s v="Weekday"/>
  </r>
  <r>
    <n v="213"/>
    <x v="9"/>
    <x v="3"/>
    <x v="0"/>
    <x v="2"/>
    <x v="0"/>
    <x v="16"/>
    <n v="0.1212"/>
    <x v="20"/>
    <x v="6"/>
    <n v="0"/>
    <n v="1"/>
    <n v="1"/>
    <s v="Weekday"/>
  </r>
  <r>
    <n v="214"/>
    <x v="9"/>
    <x v="4"/>
    <x v="0"/>
    <x v="2"/>
    <x v="0"/>
    <x v="18"/>
    <n v="0.1212"/>
    <x v="47"/>
    <x v="7"/>
    <n v="1"/>
    <n v="2"/>
    <n v="3"/>
    <s v="Weekday"/>
  </r>
  <r>
    <n v="215"/>
    <x v="9"/>
    <x v="5"/>
    <x v="0"/>
    <x v="2"/>
    <x v="0"/>
    <x v="18"/>
    <n v="0.1061"/>
    <x v="47"/>
    <x v="2"/>
    <n v="0"/>
    <n v="3"/>
    <n v="3"/>
    <s v="Weekday"/>
  </r>
  <r>
    <n v="216"/>
    <x v="9"/>
    <x v="6"/>
    <x v="0"/>
    <x v="2"/>
    <x v="0"/>
    <x v="16"/>
    <n v="0.1212"/>
    <x v="20"/>
    <x v="3"/>
    <n v="0"/>
    <n v="31"/>
    <n v="31"/>
    <s v="Weekday"/>
  </r>
  <r>
    <n v="217"/>
    <x v="9"/>
    <x v="7"/>
    <x v="0"/>
    <x v="2"/>
    <x v="0"/>
    <x v="16"/>
    <n v="0.1212"/>
    <x v="20"/>
    <x v="6"/>
    <n v="2"/>
    <n v="75"/>
    <n v="77"/>
    <s v="Weekday"/>
  </r>
  <r>
    <n v="218"/>
    <x v="9"/>
    <x v="8"/>
    <x v="0"/>
    <x v="2"/>
    <x v="1"/>
    <x v="16"/>
    <n v="0.1212"/>
    <x v="20"/>
    <x v="3"/>
    <n v="4"/>
    <n v="184"/>
    <n v="188"/>
    <s v="Weekday"/>
  </r>
  <r>
    <n v="219"/>
    <x v="9"/>
    <x v="9"/>
    <x v="0"/>
    <x v="2"/>
    <x v="1"/>
    <x v="14"/>
    <n v="0.1212"/>
    <x v="20"/>
    <x v="2"/>
    <n v="2"/>
    <n v="92"/>
    <n v="94"/>
    <s v="Weekday"/>
  </r>
  <r>
    <n v="220"/>
    <x v="9"/>
    <x v="10"/>
    <x v="0"/>
    <x v="2"/>
    <x v="1"/>
    <x v="14"/>
    <n v="0.1212"/>
    <x v="20"/>
    <x v="4"/>
    <n v="0"/>
    <n v="31"/>
    <n v="31"/>
    <s v="Weekday"/>
  </r>
  <r>
    <n v="221"/>
    <x v="9"/>
    <x v="11"/>
    <x v="0"/>
    <x v="2"/>
    <x v="1"/>
    <x v="13"/>
    <n v="0.13639999999999999"/>
    <x v="19"/>
    <x v="3"/>
    <n v="2"/>
    <n v="28"/>
    <n v="30"/>
    <s v="Weekday"/>
  </r>
  <r>
    <n v="222"/>
    <x v="9"/>
    <x v="12"/>
    <x v="0"/>
    <x v="2"/>
    <x v="1"/>
    <x v="2"/>
    <n v="0.18179999999999999"/>
    <x v="22"/>
    <x v="3"/>
    <n v="5"/>
    <n v="47"/>
    <n v="52"/>
    <s v="Weekday"/>
  </r>
  <r>
    <n v="223"/>
    <x v="9"/>
    <x v="13"/>
    <x v="0"/>
    <x v="2"/>
    <x v="1"/>
    <x v="2"/>
    <n v="0.18179999999999999"/>
    <x v="22"/>
    <x v="3"/>
    <n v="4"/>
    <n v="50"/>
    <n v="54"/>
    <s v="Weekday"/>
  </r>
  <r>
    <n v="224"/>
    <x v="9"/>
    <x v="14"/>
    <x v="0"/>
    <x v="2"/>
    <x v="1"/>
    <x v="2"/>
    <n v="0.19700000000000001"/>
    <x v="22"/>
    <x v="6"/>
    <n v="0"/>
    <n v="47"/>
    <n v="47"/>
    <s v="Weekday"/>
  </r>
  <r>
    <n v="225"/>
    <x v="9"/>
    <x v="15"/>
    <x v="0"/>
    <x v="2"/>
    <x v="1"/>
    <x v="2"/>
    <n v="0.19700000000000001"/>
    <x v="22"/>
    <x v="6"/>
    <n v="2"/>
    <n v="43"/>
    <n v="45"/>
    <s v="Weekday"/>
  </r>
  <r>
    <n v="226"/>
    <x v="9"/>
    <x v="16"/>
    <x v="0"/>
    <x v="2"/>
    <x v="0"/>
    <x v="2"/>
    <n v="0.21210000000000001"/>
    <x v="22"/>
    <x v="7"/>
    <n v="4"/>
    <n v="70"/>
    <n v="74"/>
    <s v="Weekday"/>
  </r>
  <r>
    <n v="227"/>
    <x v="9"/>
    <x v="17"/>
    <x v="0"/>
    <x v="2"/>
    <x v="0"/>
    <x v="2"/>
    <n v="0.2273"/>
    <x v="22"/>
    <x v="14"/>
    <n v="4"/>
    <n v="174"/>
    <n v="178"/>
    <s v="Weekday"/>
  </r>
  <r>
    <n v="228"/>
    <x v="9"/>
    <x v="18"/>
    <x v="0"/>
    <x v="2"/>
    <x v="0"/>
    <x v="2"/>
    <n v="0.19700000000000001"/>
    <x v="22"/>
    <x v="6"/>
    <n v="1"/>
    <n v="154"/>
    <n v="155"/>
    <s v="Weekday"/>
  </r>
  <r>
    <n v="229"/>
    <x v="9"/>
    <x v="19"/>
    <x v="0"/>
    <x v="2"/>
    <x v="0"/>
    <x v="13"/>
    <n v="0.16669999999999999"/>
    <x v="19"/>
    <x v="8"/>
    <n v="3"/>
    <n v="92"/>
    <n v="95"/>
    <s v="Weekday"/>
  </r>
  <r>
    <n v="230"/>
    <x v="9"/>
    <x v="20"/>
    <x v="0"/>
    <x v="2"/>
    <x v="0"/>
    <x v="13"/>
    <n v="0.16669999999999999"/>
    <x v="20"/>
    <x v="8"/>
    <n v="1"/>
    <n v="73"/>
    <n v="74"/>
    <s v="Weekday"/>
  </r>
  <r>
    <n v="231"/>
    <x v="9"/>
    <x v="21"/>
    <x v="0"/>
    <x v="2"/>
    <x v="0"/>
    <x v="14"/>
    <n v="0.13639999999999999"/>
    <x v="29"/>
    <x v="5"/>
    <n v="1"/>
    <n v="37"/>
    <n v="38"/>
    <s v="Weekday"/>
  </r>
  <r>
    <n v="232"/>
    <x v="9"/>
    <x v="22"/>
    <x v="0"/>
    <x v="2"/>
    <x v="0"/>
    <x v="14"/>
    <n v="0.1515"/>
    <x v="29"/>
    <x v="8"/>
    <n v="2"/>
    <n v="22"/>
    <n v="24"/>
    <s v="Weekday"/>
  </r>
  <r>
    <n v="233"/>
    <x v="9"/>
    <x v="23"/>
    <x v="0"/>
    <x v="2"/>
    <x v="0"/>
    <x v="14"/>
    <n v="0.1515"/>
    <x v="29"/>
    <x v="8"/>
    <n v="0"/>
    <n v="18"/>
    <n v="18"/>
    <s v="Weekday"/>
  </r>
  <r>
    <n v="234"/>
    <x v="10"/>
    <x v="0"/>
    <x v="0"/>
    <x v="3"/>
    <x v="0"/>
    <x v="14"/>
    <n v="0.16669999999999999"/>
    <x v="29"/>
    <x v="14"/>
    <n v="2"/>
    <n v="10"/>
    <n v="12"/>
    <s v="Weekday"/>
  </r>
  <r>
    <n v="235"/>
    <x v="10"/>
    <x v="1"/>
    <x v="0"/>
    <x v="3"/>
    <x v="0"/>
    <x v="14"/>
    <n v="0.1515"/>
    <x v="29"/>
    <x v="8"/>
    <n v="0"/>
    <n v="3"/>
    <n v="3"/>
    <s v="Weekday"/>
  </r>
  <r>
    <n v="236"/>
    <x v="10"/>
    <x v="2"/>
    <x v="0"/>
    <x v="3"/>
    <x v="1"/>
    <x v="13"/>
    <n v="0.1515"/>
    <x v="28"/>
    <x v="5"/>
    <n v="0"/>
    <n v="3"/>
    <n v="3"/>
    <s v="Weekday"/>
  </r>
  <r>
    <n v="237"/>
    <x v="10"/>
    <x v="5"/>
    <x v="0"/>
    <x v="3"/>
    <x v="1"/>
    <x v="13"/>
    <n v="0.18179999999999999"/>
    <x v="28"/>
    <x v="7"/>
    <n v="0"/>
    <n v="6"/>
    <n v="6"/>
    <s v="Weekday"/>
  </r>
  <r>
    <n v="238"/>
    <x v="10"/>
    <x v="6"/>
    <x v="0"/>
    <x v="3"/>
    <x v="1"/>
    <x v="13"/>
    <n v="0.18179999999999999"/>
    <x v="28"/>
    <x v="7"/>
    <n v="0"/>
    <n v="27"/>
    <n v="27"/>
    <s v="Weekday"/>
  </r>
  <r>
    <n v="239"/>
    <x v="10"/>
    <x v="7"/>
    <x v="0"/>
    <x v="3"/>
    <x v="1"/>
    <x v="13"/>
    <n v="0.2273"/>
    <x v="28"/>
    <x v="0"/>
    <n v="2"/>
    <n v="97"/>
    <n v="99"/>
    <s v="Weekday"/>
  </r>
  <r>
    <n v="240"/>
    <x v="10"/>
    <x v="8"/>
    <x v="0"/>
    <x v="3"/>
    <x v="1"/>
    <x v="15"/>
    <n v="0.21210000000000001"/>
    <x v="33"/>
    <x v="1"/>
    <n v="3"/>
    <n v="214"/>
    <n v="217"/>
    <s v="Weekday"/>
  </r>
  <r>
    <n v="241"/>
    <x v="10"/>
    <x v="9"/>
    <x v="0"/>
    <x v="3"/>
    <x v="1"/>
    <x v="15"/>
    <n v="0.19700000000000001"/>
    <x v="33"/>
    <x v="8"/>
    <n v="3"/>
    <n v="127"/>
    <n v="130"/>
    <s v="Weekday"/>
  </r>
  <r>
    <n v="242"/>
    <x v="10"/>
    <x v="10"/>
    <x v="0"/>
    <x v="3"/>
    <x v="1"/>
    <x v="2"/>
    <n v="0.21210000000000001"/>
    <x v="33"/>
    <x v="8"/>
    <n v="3"/>
    <n v="51"/>
    <n v="54"/>
    <s v="Weekday"/>
  </r>
  <r>
    <n v="243"/>
    <x v="10"/>
    <x v="11"/>
    <x v="0"/>
    <x v="3"/>
    <x v="1"/>
    <x v="2"/>
    <n v="0.21210000000000001"/>
    <x v="19"/>
    <x v="7"/>
    <n v="4"/>
    <n v="31"/>
    <n v="35"/>
    <s v="Weekday"/>
  </r>
  <r>
    <n v="244"/>
    <x v="10"/>
    <x v="12"/>
    <x v="0"/>
    <x v="3"/>
    <x v="1"/>
    <x v="2"/>
    <n v="0.2273"/>
    <x v="33"/>
    <x v="14"/>
    <n v="2"/>
    <n v="55"/>
    <n v="57"/>
    <s v="Weekday"/>
  </r>
  <r>
    <n v="245"/>
    <x v="10"/>
    <x v="13"/>
    <x v="0"/>
    <x v="3"/>
    <x v="1"/>
    <x v="2"/>
    <n v="0.2273"/>
    <x v="29"/>
    <x v="1"/>
    <n v="6"/>
    <n v="46"/>
    <n v="52"/>
    <s v="Weekday"/>
  </r>
  <r>
    <n v="246"/>
    <x v="10"/>
    <x v="14"/>
    <x v="0"/>
    <x v="3"/>
    <x v="1"/>
    <x v="2"/>
    <n v="0.2273"/>
    <x v="29"/>
    <x v="1"/>
    <n v="3"/>
    <n v="60"/>
    <n v="63"/>
    <s v="Weekday"/>
  </r>
  <r>
    <n v="247"/>
    <x v="10"/>
    <x v="15"/>
    <x v="0"/>
    <x v="3"/>
    <x v="1"/>
    <x v="13"/>
    <n v="0.19700000000000001"/>
    <x v="1"/>
    <x v="1"/>
    <n v="2"/>
    <n v="45"/>
    <n v="47"/>
    <s v="Weekday"/>
  </r>
  <r>
    <n v="248"/>
    <x v="10"/>
    <x v="16"/>
    <x v="0"/>
    <x v="3"/>
    <x v="1"/>
    <x v="13"/>
    <n v="0.1515"/>
    <x v="3"/>
    <x v="6"/>
    <n v="4"/>
    <n v="72"/>
    <n v="76"/>
    <s v="Weekday"/>
  </r>
  <r>
    <n v="249"/>
    <x v="10"/>
    <x v="17"/>
    <x v="0"/>
    <x v="3"/>
    <x v="1"/>
    <x v="13"/>
    <n v="0.1515"/>
    <x v="3"/>
    <x v="6"/>
    <n v="6"/>
    <n v="130"/>
    <n v="136"/>
    <s v="Weekday"/>
  </r>
  <r>
    <n v="250"/>
    <x v="10"/>
    <x v="18"/>
    <x v="0"/>
    <x v="3"/>
    <x v="2"/>
    <x v="13"/>
    <n v="0.18179999999999999"/>
    <x v="43"/>
    <x v="14"/>
    <n v="1"/>
    <n v="94"/>
    <n v="95"/>
    <s v="Weekday"/>
  </r>
  <r>
    <n v="251"/>
    <x v="10"/>
    <x v="19"/>
    <x v="0"/>
    <x v="3"/>
    <x v="2"/>
    <x v="13"/>
    <n v="0.2273"/>
    <x v="43"/>
    <x v="0"/>
    <n v="0"/>
    <n v="51"/>
    <n v="51"/>
    <s v="Weekday"/>
  </r>
  <r>
    <n v="252"/>
    <x v="10"/>
    <x v="20"/>
    <x v="0"/>
    <x v="3"/>
    <x v="2"/>
    <x v="13"/>
    <n v="0.1515"/>
    <x v="43"/>
    <x v="5"/>
    <n v="0"/>
    <n v="32"/>
    <n v="32"/>
    <s v="Weekday"/>
  </r>
  <r>
    <n v="253"/>
    <x v="10"/>
    <x v="21"/>
    <x v="0"/>
    <x v="3"/>
    <x v="2"/>
    <x v="13"/>
    <n v="0.19700000000000001"/>
    <x v="3"/>
    <x v="1"/>
    <n v="0"/>
    <n v="20"/>
    <n v="20"/>
    <s v="Weekday"/>
  </r>
  <r>
    <n v="254"/>
    <x v="10"/>
    <x v="22"/>
    <x v="0"/>
    <x v="3"/>
    <x v="2"/>
    <x v="13"/>
    <n v="0.18179999999999999"/>
    <x v="43"/>
    <x v="14"/>
    <n v="1"/>
    <n v="28"/>
    <n v="29"/>
    <s v="Weekday"/>
  </r>
  <r>
    <n v="255"/>
    <x v="10"/>
    <x v="23"/>
    <x v="0"/>
    <x v="3"/>
    <x v="2"/>
    <x v="13"/>
    <n v="0.19700000000000001"/>
    <x v="43"/>
    <x v="1"/>
    <n v="1"/>
    <n v="18"/>
    <n v="19"/>
    <s v="Weekday"/>
  </r>
  <r>
    <n v="256"/>
    <x v="11"/>
    <x v="0"/>
    <x v="0"/>
    <x v="4"/>
    <x v="1"/>
    <x v="13"/>
    <n v="0.19700000000000001"/>
    <x v="3"/>
    <x v="1"/>
    <n v="0"/>
    <n v="7"/>
    <n v="7"/>
    <s v="Weekday"/>
  </r>
  <r>
    <n v="257"/>
    <x v="11"/>
    <x v="1"/>
    <x v="0"/>
    <x v="4"/>
    <x v="1"/>
    <x v="13"/>
    <n v="0.18179999999999999"/>
    <x v="3"/>
    <x v="14"/>
    <n v="0"/>
    <n v="6"/>
    <n v="6"/>
    <s v="Weekday"/>
  </r>
  <r>
    <n v="258"/>
    <x v="11"/>
    <x v="2"/>
    <x v="0"/>
    <x v="4"/>
    <x v="0"/>
    <x v="14"/>
    <n v="0.1515"/>
    <x v="3"/>
    <x v="7"/>
    <n v="0"/>
    <n v="1"/>
    <n v="1"/>
    <s v="Weekday"/>
  </r>
  <r>
    <n v="259"/>
    <x v="11"/>
    <x v="5"/>
    <x v="0"/>
    <x v="4"/>
    <x v="0"/>
    <x v="14"/>
    <n v="0.1515"/>
    <x v="3"/>
    <x v="8"/>
    <n v="0"/>
    <n v="5"/>
    <n v="5"/>
    <s v="Weekday"/>
  </r>
  <r>
    <n v="260"/>
    <x v="11"/>
    <x v="6"/>
    <x v="0"/>
    <x v="4"/>
    <x v="0"/>
    <x v="16"/>
    <n v="0.1515"/>
    <x v="43"/>
    <x v="7"/>
    <n v="0"/>
    <n v="16"/>
    <n v="16"/>
    <s v="Weekday"/>
  </r>
  <r>
    <n v="261"/>
    <x v="11"/>
    <x v="7"/>
    <x v="0"/>
    <x v="4"/>
    <x v="0"/>
    <x v="14"/>
    <n v="0.1515"/>
    <x v="27"/>
    <x v="7"/>
    <n v="0"/>
    <n v="54"/>
    <n v="54"/>
    <s v="Weekday"/>
  </r>
  <r>
    <n v="262"/>
    <x v="11"/>
    <x v="8"/>
    <x v="0"/>
    <x v="4"/>
    <x v="0"/>
    <x v="13"/>
    <n v="0.16669999999999999"/>
    <x v="29"/>
    <x v="8"/>
    <n v="3"/>
    <n v="125"/>
    <n v="128"/>
    <s v="Weekday"/>
  </r>
  <r>
    <n v="263"/>
    <x v="11"/>
    <x v="9"/>
    <x v="0"/>
    <x v="4"/>
    <x v="0"/>
    <x v="13"/>
    <n v="0.13639999999999999"/>
    <x v="29"/>
    <x v="9"/>
    <n v="3"/>
    <n v="78"/>
    <n v="81"/>
    <s v="Weekday"/>
  </r>
  <r>
    <n v="264"/>
    <x v="11"/>
    <x v="10"/>
    <x v="0"/>
    <x v="4"/>
    <x v="0"/>
    <x v="15"/>
    <n v="0.18179999999999999"/>
    <x v="28"/>
    <x v="6"/>
    <n v="0"/>
    <n v="39"/>
    <n v="39"/>
    <s v="Weekday"/>
  </r>
  <r>
    <n v="265"/>
    <x v="11"/>
    <x v="11"/>
    <x v="0"/>
    <x v="4"/>
    <x v="0"/>
    <x v="2"/>
    <n v="0.18179999999999999"/>
    <x v="33"/>
    <x v="13"/>
    <n v="3"/>
    <n v="32"/>
    <n v="35"/>
    <s v="Weekday"/>
  </r>
  <r>
    <n v="266"/>
    <x v="11"/>
    <x v="12"/>
    <x v="0"/>
    <x v="4"/>
    <x v="0"/>
    <x v="2"/>
    <n v="0.1515"/>
    <x v="19"/>
    <x v="19"/>
    <n v="3"/>
    <n v="52"/>
    <n v="55"/>
    <s v="Weekday"/>
  </r>
  <r>
    <n v="267"/>
    <x v="11"/>
    <x v="13"/>
    <x v="0"/>
    <x v="4"/>
    <x v="0"/>
    <x v="1"/>
    <n v="0.19700000000000001"/>
    <x v="18"/>
    <x v="11"/>
    <n v="0"/>
    <n v="49"/>
    <n v="49"/>
    <s v="Weekday"/>
  </r>
  <r>
    <n v="268"/>
    <x v="11"/>
    <x v="14"/>
    <x v="0"/>
    <x v="4"/>
    <x v="0"/>
    <x v="2"/>
    <n v="0.18179999999999999"/>
    <x v="19"/>
    <x v="9"/>
    <n v="0"/>
    <n v="44"/>
    <n v="44"/>
    <s v="Weekday"/>
  </r>
  <r>
    <n v="269"/>
    <x v="11"/>
    <x v="15"/>
    <x v="0"/>
    <x v="4"/>
    <x v="0"/>
    <x v="2"/>
    <n v="0.16669999999999999"/>
    <x v="19"/>
    <x v="12"/>
    <n v="1"/>
    <n v="48"/>
    <n v="49"/>
    <s v="Weekday"/>
  </r>
  <r>
    <n v="270"/>
    <x v="11"/>
    <x v="16"/>
    <x v="0"/>
    <x v="4"/>
    <x v="0"/>
    <x v="1"/>
    <n v="0.19700000000000001"/>
    <x v="18"/>
    <x v="9"/>
    <n v="5"/>
    <n v="63"/>
    <n v="68"/>
    <s v="Weekday"/>
  </r>
  <r>
    <n v="271"/>
    <x v="11"/>
    <x v="17"/>
    <x v="0"/>
    <x v="4"/>
    <x v="0"/>
    <x v="2"/>
    <n v="0.18179999999999999"/>
    <x v="19"/>
    <x v="11"/>
    <n v="0"/>
    <n v="139"/>
    <n v="139"/>
    <s v="Weekday"/>
  </r>
  <r>
    <n v="272"/>
    <x v="11"/>
    <x v="18"/>
    <x v="0"/>
    <x v="4"/>
    <x v="0"/>
    <x v="2"/>
    <n v="0.1515"/>
    <x v="19"/>
    <x v="18"/>
    <n v="2"/>
    <n v="135"/>
    <n v="137"/>
    <s v="Weekday"/>
  </r>
  <r>
    <n v="273"/>
    <x v="11"/>
    <x v="19"/>
    <x v="0"/>
    <x v="4"/>
    <x v="0"/>
    <x v="15"/>
    <n v="0.1515"/>
    <x v="19"/>
    <x v="12"/>
    <n v="1"/>
    <n v="82"/>
    <n v="83"/>
    <s v="Weekday"/>
  </r>
  <r>
    <n v="274"/>
    <x v="11"/>
    <x v="20"/>
    <x v="0"/>
    <x v="4"/>
    <x v="0"/>
    <x v="13"/>
    <n v="0.13639999999999999"/>
    <x v="20"/>
    <x v="9"/>
    <n v="2"/>
    <n v="54"/>
    <n v="56"/>
    <s v="Weekday"/>
  </r>
  <r>
    <n v="275"/>
    <x v="11"/>
    <x v="21"/>
    <x v="0"/>
    <x v="4"/>
    <x v="0"/>
    <x v="13"/>
    <n v="0.13639999999999999"/>
    <x v="28"/>
    <x v="9"/>
    <n v="0"/>
    <n v="57"/>
    <n v="57"/>
    <s v="Weekday"/>
  </r>
  <r>
    <n v="276"/>
    <x v="11"/>
    <x v="22"/>
    <x v="0"/>
    <x v="4"/>
    <x v="0"/>
    <x v="13"/>
    <n v="0.1212"/>
    <x v="28"/>
    <x v="10"/>
    <n v="1"/>
    <n v="32"/>
    <n v="33"/>
    <s v="Weekday"/>
  </r>
  <r>
    <n v="277"/>
    <x v="11"/>
    <x v="23"/>
    <x v="0"/>
    <x v="4"/>
    <x v="0"/>
    <x v="14"/>
    <n v="0.1061"/>
    <x v="29"/>
    <x v="12"/>
    <n v="1"/>
    <n v="19"/>
    <n v="20"/>
    <s v="Weekday"/>
  </r>
  <r>
    <n v="278"/>
    <x v="12"/>
    <x v="0"/>
    <x v="0"/>
    <x v="5"/>
    <x v="0"/>
    <x v="14"/>
    <n v="0.1212"/>
    <x v="29"/>
    <x v="3"/>
    <n v="1"/>
    <n v="6"/>
    <n v="7"/>
    <s v="Weekday"/>
  </r>
  <r>
    <n v="279"/>
    <x v="12"/>
    <x v="1"/>
    <x v="0"/>
    <x v="5"/>
    <x v="0"/>
    <x v="14"/>
    <n v="0.1212"/>
    <x v="20"/>
    <x v="3"/>
    <n v="0"/>
    <n v="2"/>
    <n v="2"/>
    <s v="Weekday"/>
  </r>
  <r>
    <n v="280"/>
    <x v="12"/>
    <x v="2"/>
    <x v="0"/>
    <x v="5"/>
    <x v="0"/>
    <x v="14"/>
    <n v="0.1212"/>
    <x v="20"/>
    <x v="11"/>
    <n v="0"/>
    <n v="2"/>
    <n v="2"/>
    <s v="Weekday"/>
  </r>
  <r>
    <n v="281"/>
    <x v="12"/>
    <x v="3"/>
    <x v="0"/>
    <x v="5"/>
    <x v="0"/>
    <x v="14"/>
    <n v="0.1212"/>
    <x v="20"/>
    <x v="9"/>
    <n v="0"/>
    <n v="3"/>
    <n v="3"/>
    <s v="Weekday"/>
  </r>
  <r>
    <n v="282"/>
    <x v="12"/>
    <x v="4"/>
    <x v="0"/>
    <x v="5"/>
    <x v="0"/>
    <x v="14"/>
    <n v="0.1212"/>
    <x v="20"/>
    <x v="2"/>
    <n v="0"/>
    <n v="4"/>
    <n v="4"/>
    <s v="Weekday"/>
  </r>
  <r>
    <n v="283"/>
    <x v="12"/>
    <x v="5"/>
    <x v="0"/>
    <x v="5"/>
    <x v="0"/>
    <x v="14"/>
    <n v="0.1212"/>
    <x v="20"/>
    <x v="4"/>
    <n v="0"/>
    <n v="3"/>
    <n v="3"/>
    <s v="Weekday"/>
  </r>
  <r>
    <n v="284"/>
    <x v="12"/>
    <x v="6"/>
    <x v="0"/>
    <x v="5"/>
    <x v="0"/>
    <x v="16"/>
    <n v="0.1515"/>
    <x v="47"/>
    <x v="7"/>
    <n v="0"/>
    <n v="28"/>
    <n v="28"/>
    <s v="Weekday"/>
  </r>
  <r>
    <n v="285"/>
    <x v="12"/>
    <x v="7"/>
    <x v="0"/>
    <x v="5"/>
    <x v="0"/>
    <x v="16"/>
    <n v="0.1515"/>
    <x v="47"/>
    <x v="7"/>
    <n v="0"/>
    <n v="72"/>
    <n v="72"/>
    <s v="Weekday"/>
  </r>
  <r>
    <n v="286"/>
    <x v="12"/>
    <x v="8"/>
    <x v="0"/>
    <x v="5"/>
    <x v="0"/>
    <x v="14"/>
    <n v="0.13639999999999999"/>
    <x v="20"/>
    <x v="5"/>
    <n v="5"/>
    <n v="197"/>
    <n v="202"/>
    <s v="Weekday"/>
  </r>
  <r>
    <n v="287"/>
    <x v="12"/>
    <x v="9"/>
    <x v="0"/>
    <x v="5"/>
    <x v="0"/>
    <x v="14"/>
    <n v="0.1212"/>
    <x v="20"/>
    <x v="9"/>
    <n v="2"/>
    <n v="137"/>
    <n v="139"/>
    <s v="Weekday"/>
  </r>
  <r>
    <n v="288"/>
    <x v="12"/>
    <x v="10"/>
    <x v="0"/>
    <x v="5"/>
    <x v="1"/>
    <x v="13"/>
    <n v="0.13639999999999999"/>
    <x v="20"/>
    <x v="11"/>
    <n v="2"/>
    <n v="36"/>
    <n v="38"/>
    <s v="Weekday"/>
  </r>
  <r>
    <n v="289"/>
    <x v="12"/>
    <x v="11"/>
    <x v="0"/>
    <x v="5"/>
    <x v="1"/>
    <x v="2"/>
    <n v="0.16669999999999999"/>
    <x v="18"/>
    <x v="10"/>
    <n v="4"/>
    <n v="33"/>
    <n v="37"/>
    <s v="Weekday"/>
  </r>
  <r>
    <n v="290"/>
    <x v="12"/>
    <x v="12"/>
    <x v="0"/>
    <x v="5"/>
    <x v="0"/>
    <x v="2"/>
    <n v="0.16669999999999999"/>
    <x v="18"/>
    <x v="12"/>
    <n v="3"/>
    <n v="49"/>
    <n v="52"/>
    <s v="Weekday"/>
  </r>
  <r>
    <n v="291"/>
    <x v="12"/>
    <x v="13"/>
    <x v="0"/>
    <x v="5"/>
    <x v="0"/>
    <x v="1"/>
    <n v="0.19700000000000001"/>
    <x v="48"/>
    <x v="10"/>
    <n v="2"/>
    <n v="81"/>
    <n v="83"/>
    <s v="Weekday"/>
  </r>
  <r>
    <n v="292"/>
    <x v="12"/>
    <x v="14"/>
    <x v="0"/>
    <x v="5"/>
    <x v="0"/>
    <x v="1"/>
    <n v="0.19700000000000001"/>
    <x v="48"/>
    <x v="13"/>
    <n v="3"/>
    <n v="39"/>
    <n v="42"/>
    <s v="Weekday"/>
  </r>
  <r>
    <n v="293"/>
    <x v="12"/>
    <x v="15"/>
    <x v="0"/>
    <x v="5"/>
    <x v="0"/>
    <x v="0"/>
    <n v="0.21210000000000001"/>
    <x v="41"/>
    <x v="4"/>
    <n v="5"/>
    <n v="55"/>
    <n v="60"/>
    <s v="Weekday"/>
  </r>
  <r>
    <n v="294"/>
    <x v="12"/>
    <x v="16"/>
    <x v="0"/>
    <x v="5"/>
    <x v="0"/>
    <x v="0"/>
    <n v="0.21210000000000001"/>
    <x v="41"/>
    <x v="11"/>
    <n v="2"/>
    <n v="76"/>
    <n v="78"/>
    <s v="Weekday"/>
  </r>
  <r>
    <n v="295"/>
    <x v="12"/>
    <x v="17"/>
    <x v="0"/>
    <x v="5"/>
    <x v="0"/>
    <x v="2"/>
    <n v="0.18179999999999999"/>
    <x v="22"/>
    <x v="3"/>
    <n v="4"/>
    <n v="158"/>
    <n v="162"/>
    <s v="Weekday"/>
  </r>
  <r>
    <n v="296"/>
    <x v="12"/>
    <x v="18"/>
    <x v="0"/>
    <x v="5"/>
    <x v="0"/>
    <x v="2"/>
    <n v="0.18179999999999999"/>
    <x v="22"/>
    <x v="9"/>
    <n v="3"/>
    <n v="141"/>
    <n v="144"/>
    <s v="Weekday"/>
  </r>
  <r>
    <n v="297"/>
    <x v="12"/>
    <x v="19"/>
    <x v="0"/>
    <x v="5"/>
    <x v="0"/>
    <x v="13"/>
    <n v="0.1515"/>
    <x v="19"/>
    <x v="2"/>
    <n v="1"/>
    <n v="98"/>
    <n v="99"/>
    <s v="Weekday"/>
  </r>
  <r>
    <n v="298"/>
    <x v="12"/>
    <x v="20"/>
    <x v="0"/>
    <x v="5"/>
    <x v="0"/>
    <x v="13"/>
    <n v="0.1515"/>
    <x v="19"/>
    <x v="6"/>
    <n v="0"/>
    <n v="64"/>
    <n v="64"/>
    <s v="Weekday"/>
  </r>
  <r>
    <n v="299"/>
    <x v="12"/>
    <x v="21"/>
    <x v="0"/>
    <x v="5"/>
    <x v="0"/>
    <x v="14"/>
    <n v="0.1212"/>
    <x v="15"/>
    <x v="4"/>
    <n v="0"/>
    <n v="40"/>
    <n v="40"/>
    <s v="Weekday"/>
  </r>
  <r>
    <n v="300"/>
    <x v="12"/>
    <x v="22"/>
    <x v="0"/>
    <x v="5"/>
    <x v="0"/>
    <x v="14"/>
    <n v="0.1212"/>
    <x v="15"/>
    <x v="9"/>
    <n v="0"/>
    <n v="30"/>
    <n v="30"/>
    <s v="Weekday"/>
  </r>
  <r>
    <n v="301"/>
    <x v="12"/>
    <x v="23"/>
    <x v="0"/>
    <x v="5"/>
    <x v="0"/>
    <x v="16"/>
    <n v="0.13639999999999999"/>
    <x v="20"/>
    <x v="5"/>
    <n v="1"/>
    <n v="14"/>
    <n v="15"/>
    <s v="Weekday"/>
  </r>
  <r>
    <n v="302"/>
    <x v="13"/>
    <x v="0"/>
    <x v="0"/>
    <x v="6"/>
    <x v="0"/>
    <x v="16"/>
    <n v="0.13639999999999999"/>
    <x v="20"/>
    <x v="5"/>
    <n v="0"/>
    <n v="14"/>
    <n v="14"/>
    <s v="Weekday"/>
  </r>
  <r>
    <n v="303"/>
    <x v="13"/>
    <x v="1"/>
    <x v="0"/>
    <x v="6"/>
    <x v="0"/>
    <x v="18"/>
    <n v="0.1212"/>
    <x v="47"/>
    <x v="8"/>
    <n v="0"/>
    <n v="5"/>
    <n v="5"/>
    <s v="Weekday"/>
  </r>
  <r>
    <n v="304"/>
    <x v="13"/>
    <x v="2"/>
    <x v="0"/>
    <x v="6"/>
    <x v="0"/>
    <x v="18"/>
    <n v="0.1212"/>
    <x v="47"/>
    <x v="7"/>
    <n v="0"/>
    <n v="1"/>
    <n v="1"/>
    <s v="Weekday"/>
  </r>
  <r>
    <n v="305"/>
    <x v="13"/>
    <x v="3"/>
    <x v="0"/>
    <x v="6"/>
    <x v="0"/>
    <x v="18"/>
    <n v="0.13639999999999999"/>
    <x v="47"/>
    <x v="14"/>
    <n v="0"/>
    <n v="1"/>
    <n v="1"/>
    <s v="Weekday"/>
  </r>
  <r>
    <n v="306"/>
    <x v="13"/>
    <x v="5"/>
    <x v="0"/>
    <x v="6"/>
    <x v="0"/>
    <x v="18"/>
    <n v="0.13639999999999999"/>
    <x v="47"/>
    <x v="1"/>
    <n v="0"/>
    <n v="8"/>
    <n v="8"/>
    <s v="Weekday"/>
  </r>
  <r>
    <n v="307"/>
    <x v="13"/>
    <x v="6"/>
    <x v="0"/>
    <x v="6"/>
    <x v="0"/>
    <x v="18"/>
    <n v="0.18179999999999999"/>
    <x v="47"/>
    <x v="0"/>
    <n v="0"/>
    <n v="17"/>
    <n v="17"/>
    <s v="Weekday"/>
  </r>
  <r>
    <n v="308"/>
    <x v="13"/>
    <x v="7"/>
    <x v="0"/>
    <x v="6"/>
    <x v="0"/>
    <x v="18"/>
    <n v="0.1212"/>
    <x v="32"/>
    <x v="8"/>
    <n v="0"/>
    <n v="70"/>
    <n v="70"/>
    <s v="Weekday"/>
  </r>
  <r>
    <n v="309"/>
    <x v="13"/>
    <x v="8"/>
    <x v="0"/>
    <x v="6"/>
    <x v="0"/>
    <x v="16"/>
    <n v="0.16669999999999999"/>
    <x v="31"/>
    <x v="0"/>
    <n v="2"/>
    <n v="156"/>
    <n v="158"/>
    <s v="Weekday"/>
  </r>
  <r>
    <n v="310"/>
    <x v="13"/>
    <x v="9"/>
    <x v="0"/>
    <x v="6"/>
    <x v="0"/>
    <x v="14"/>
    <n v="0.1515"/>
    <x v="27"/>
    <x v="7"/>
    <n v="0"/>
    <n v="117"/>
    <n v="117"/>
    <s v="Weekday"/>
  </r>
  <r>
    <n v="311"/>
    <x v="13"/>
    <x v="10"/>
    <x v="0"/>
    <x v="6"/>
    <x v="0"/>
    <x v="15"/>
    <n v="0.18179999999999999"/>
    <x v="28"/>
    <x v="5"/>
    <n v="4"/>
    <n v="40"/>
    <n v="44"/>
    <s v="Weekday"/>
  </r>
  <r>
    <n v="312"/>
    <x v="13"/>
    <x v="11"/>
    <x v="0"/>
    <x v="6"/>
    <x v="0"/>
    <x v="15"/>
    <n v="0.16669999999999999"/>
    <x v="33"/>
    <x v="3"/>
    <n v="6"/>
    <n v="47"/>
    <n v="53"/>
    <s v="Weekday"/>
  </r>
  <r>
    <n v="313"/>
    <x v="13"/>
    <x v="12"/>
    <x v="0"/>
    <x v="6"/>
    <x v="0"/>
    <x v="2"/>
    <n v="0.19700000000000001"/>
    <x v="18"/>
    <x v="2"/>
    <n v="2"/>
    <n v="59"/>
    <n v="61"/>
    <s v="Weekday"/>
  </r>
  <r>
    <n v="314"/>
    <x v="13"/>
    <x v="13"/>
    <x v="0"/>
    <x v="6"/>
    <x v="0"/>
    <x v="1"/>
    <n v="0.19700000000000001"/>
    <x v="38"/>
    <x v="13"/>
    <n v="4"/>
    <n v="73"/>
    <n v="77"/>
    <s v="Weekday"/>
  </r>
  <r>
    <n v="315"/>
    <x v="13"/>
    <x v="14"/>
    <x v="0"/>
    <x v="6"/>
    <x v="0"/>
    <x v="1"/>
    <n v="0.21210000000000001"/>
    <x v="48"/>
    <x v="3"/>
    <n v="5"/>
    <n v="59"/>
    <n v="64"/>
    <s v="Weekday"/>
  </r>
  <r>
    <n v="316"/>
    <x v="13"/>
    <x v="15"/>
    <x v="0"/>
    <x v="6"/>
    <x v="0"/>
    <x v="0"/>
    <n v="0.2424"/>
    <x v="41"/>
    <x v="8"/>
    <n v="9"/>
    <n v="59"/>
    <n v="68"/>
    <s v="Weekday"/>
  </r>
  <r>
    <n v="317"/>
    <x v="13"/>
    <x v="16"/>
    <x v="0"/>
    <x v="6"/>
    <x v="0"/>
    <x v="1"/>
    <n v="0.2424"/>
    <x v="48"/>
    <x v="14"/>
    <n v="3"/>
    <n v="87"/>
    <n v="90"/>
    <s v="Weekday"/>
  </r>
  <r>
    <n v="318"/>
    <x v="13"/>
    <x v="17"/>
    <x v="0"/>
    <x v="6"/>
    <x v="0"/>
    <x v="1"/>
    <n v="0.2273"/>
    <x v="48"/>
    <x v="8"/>
    <n v="4"/>
    <n v="155"/>
    <n v="159"/>
    <s v="Weekday"/>
  </r>
  <r>
    <n v="319"/>
    <x v="13"/>
    <x v="18"/>
    <x v="0"/>
    <x v="6"/>
    <x v="0"/>
    <x v="2"/>
    <n v="0.2576"/>
    <x v="19"/>
    <x v="0"/>
    <n v="5"/>
    <n v="134"/>
    <n v="139"/>
    <s v="Weekday"/>
  </r>
  <r>
    <n v="320"/>
    <x v="13"/>
    <x v="19"/>
    <x v="0"/>
    <x v="6"/>
    <x v="0"/>
    <x v="13"/>
    <n v="0.19700000000000001"/>
    <x v="29"/>
    <x v="1"/>
    <n v="3"/>
    <n v="89"/>
    <n v="92"/>
    <s v="Weekday"/>
  </r>
  <r>
    <n v="321"/>
    <x v="13"/>
    <x v="20"/>
    <x v="0"/>
    <x v="6"/>
    <x v="0"/>
    <x v="15"/>
    <n v="0.2424"/>
    <x v="29"/>
    <x v="0"/>
    <n v="0"/>
    <n v="68"/>
    <n v="68"/>
    <s v="Weekday"/>
  </r>
  <r>
    <n v="322"/>
    <x v="13"/>
    <x v="21"/>
    <x v="0"/>
    <x v="6"/>
    <x v="0"/>
    <x v="13"/>
    <n v="0.2273"/>
    <x v="27"/>
    <x v="0"/>
    <n v="4"/>
    <n v="48"/>
    <n v="52"/>
    <s v="Weekday"/>
  </r>
  <r>
    <n v="323"/>
    <x v="13"/>
    <x v="22"/>
    <x v="0"/>
    <x v="6"/>
    <x v="1"/>
    <x v="13"/>
    <n v="0.2273"/>
    <x v="27"/>
    <x v="0"/>
    <n v="2"/>
    <n v="34"/>
    <n v="36"/>
    <s v="Weekday"/>
  </r>
  <r>
    <n v="324"/>
    <x v="13"/>
    <x v="23"/>
    <x v="0"/>
    <x v="6"/>
    <x v="1"/>
    <x v="15"/>
    <n v="0.2424"/>
    <x v="28"/>
    <x v="0"/>
    <n v="1"/>
    <n v="26"/>
    <n v="27"/>
    <s v="Weekday"/>
  </r>
  <r>
    <n v="325"/>
    <x v="14"/>
    <x v="0"/>
    <x v="0"/>
    <x v="0"/>
    <x v="0"/>
    <x v="15"/>
    <n v="0.2424"/>
    <x v="28"/>
    <x v="0"/>
    <n v="3"/>
    <n v="25"/>
    <n v="28"/>
    <s v="Weekend"/>
  </r>
  <r>
    <n v="326"/>
    <x v="14"/>
    <x v="1"/>
    <x v="0"/>
    <x v="0"/>
    <x v="1"/>
    <x v="13"/>
    <n v="0.19700000000000001"/>
    <x v="29"/>
    <x v="1"/>
    <n v="2"/>
    <n v="18"/>
    <n v="20"/>
    <s v="Weekend"/>
  </r>
  <r>
    <n v="327"/>
    <x v="14"/>
    <x v="2"/>
    <x v="0"/>
    <x v="0"/>
    <x v="1"/>
    <x v="13"/>
    <n v="0.19700000000000001"/>
    <x v="29"/>
    <x v="1"/>
    <n v="0"/>
    <n v="12"/>
    <n v="12"/>
    <s v="Weekend"/>
  </r>
  <r>
    <n v="328"/>
    <x v="14"/>
    <x v="3"/>
    <x v="0"/>
    <x v="0"/>
    <x v="1"/>
    <x v="13"/>
    <n v="0.2273"/>
    <x v="29"/>
    <x v="0"/>
    <n v="1"/>
    <n v="7"/>
    <n v="8"/>
    <s v="Weekend"/>
  </r>
  <r>
    <n v="329"/>
    <x v="14"/>
    <x v="4"/>
    <x v="0"/>
    <x v="0"/>
    <x v="1"/>
    <x v="13"/>
    <n v="0.2273"/>
    <x v="29"/>
    <x v="0"/>
    <n v="0"/>
    <n v="5"/>
    <n v="5"/>
    <s v="Weekend"/>
  </r>
  <r>
    <n v="330"/>
    <x v="14"/>
    <x v="5"/>
    <x v="0"/>
    <x v="0"/>
    <x v="0"/>
    <x v="13"/>
    <n v="0.2273"/>
    <x v="29"/>
    <x v="0"/>
    <n v="0"/>
    <n v="1"/>
    <n v="1"/>
    <s v="Weekend"/>
  </r>
  <r>
    <n v="331"/>
    <x v="14"/>
    <x v="6"/>
    <x v="0"/>
    <x v="0"/>
    <x v="0"/>
    <x v="14"/>
    <n v="0.16669999999999999"/>
    <x v="30"/>
    <x v="14"/>
    <n v="1"/>
    <n v="2"/>
    <n v="3"/>
    <s v="Weekend"/>
  </r>
  <r>
    <n v="332"/>
    <x v="14"/>
    <x v="7"/>
    <x v="0"/>
    <x v="0"/>
    <x v="0"/>
    <x v="14"/>
    <n v="0.21210000000000001"/>
    <x v="30"/>
    <x v="0"/>
    <n v="1"/>
    <n v="9"/>
    <n v="10"/>
    <s v="Weekend"/>
  </r>
  <r>
    <n v="333"/>
    <x v="14"/>
    <x v="8"/>
    <x v="0"/>
    <x v="0"/>
    <x v="0"/>
    <x v="14"/>
    <n v="0.1515"/>
    <x v="30"/>
    <x v="7"/>
    <n v="1"/>
    <n v="22"/>
    <n v="23"/>
    <s v="Weekend"/>
  </r>
  <r>
    <n v="334"/>
    <x v="14"/>
    <x v="9"/>
    <x v="0"/>
    <x v="0"/>
    <x v="0"/>
    <x v="13"/>
    <n v="0.18179999999999999"/>
    <x v="26"/>
    <x v="7"/>
    <n v="2"/>
    <n v="31"/>
    <n v="33"/>
    <s v="Weekend"/>
  </r>
  <r>
    <n v="335"/>
    <x v="14"/>
    <x v="10"/>
    <x v="0"/>
    <x v="0"/>
    <x v="0"/>
    <x v="15"/>
    <n v="0.19700000000000001"/>
    <x v="29"/>
    <x v="8"/>
    <n v="2"/>
    <n v="57"/>
    <n v="59"/>
    <s v="Weekend"/>
  </r>
  <r>
    <n v="336"/>
    <x v="14"/>
    <x v="11"/>
    <x v="0"/>
    <x v="0"/>
    <x v="0"/>
    <x v="2"/>
    <n v="0.19700000000000001"/>
    <x v="28"/>
    <x v="6"/>
    <n v="18"/>
    <n v="54"/>
    <n v="72"/>
    <s v="Weekend"/>
  </r>
  <r>
    <n v="337"/>
    <x v="14"/>
    <x v="12"/>
    <x v="0"/>
    <x v="0"/>
    <x v="0"/>
    <x v="0"/>
    <n v="0.2273"/>
    <x v="37"/>
    <x v="6"/>
    <n v="15"/>
    <n v="74"/>
    <n v="89"/>
    <s v="Weekend"/>
  </r>
  <r>
    <n v="338"/>
    <x v="14"/>
    <x v="13"/>
    <x v="0"/>
    <x v="0"/>
    <x v="0"/>
    <x v="17"/>
    <n v="0.2576"/>
    <x v="41"/>
    <x v="4"/>
    <n v="21"/>
    <n v="80"/>
    <n v="101"/>
    <s v="Weekend"/>
  </r>
  <r>
    <n v="339"/>
    <x v="14"/>
    <x v="14"/>
    <x v="0"/>
    <x v="0"/>
    <x v="0"/>
    <x v="11"/>
    <n v="0.28789999999999999"/>
    <x v="17"/>
    <x v="3"/>
    <n v="26"/>
    <n v="92"/>
    <n v="118"/>
    <s v="Weekend"/>
  </r>
  <r>
    <n v="340"/>
    <x v="14"/>
    <x v="15"/>
    <x v="0"/>
    <x v="0"/>
    <x v="1"/>
    <x v="3"/>
    <n v="0.31819999999999998"/>
    <x v="42"/>
    <x v="5"/>
    <n v="21"/>
    <n v="108"/>
    <n v="129"/>
    <s v="Weekend"/>
  </r>
  <r>
    <n v="341"/>
    <x v="14"/>
    <x v="16"/>
    <x v="0"/>
    <x v="0"/>
    <x v="1"/>
    <x v="10"/>
    <n v="0.33329999999999999"/>
    <x v="46"/>
    <x v="5"/>
    <n v="33"/>
    <n v="95"/>
    <n v="128"/>
    <s v="Weekend"/>
  </r>
  <r>
    <n v="342"/>
    <x v="14"/>
    <x v="17"/>
    <x v="0"/>
    <x v="0"/>
    <x v="1"/>
    <x v="3"/>
    <n v="0.30299999999999999"/>
    <x v="42"/>
    <x v="3"/>
    <n v="29"/>
    <n v="54"/>
    <n v="83"/>
    <s v="Weekend"/>
  </r>
  <r>
    <n v="343"/>
    <x v="14"/>
    <x v="18"/>
    <x v="0"/>
    <x v="0"/>
    <x v="1"/>
    <x v="11"/>
    <n v="0.28789999999999999"/>
    <x v="49"/>
    <x v="2"/>
    <n v="15"/>
    <n v="69"/>
    <n v="84"/>
    <s v="Weekend"/>
  </r>
  <r>
    <n v="344"/>
    <x v="14"/>
    <x v="19"/>
    <x v="0"/>
    <x v="0"/>
    <x v="1"/>
    <x v="3"/>
    <n v="0.30299999999999999"/>
    <x v="17"/>
    <x v="2"/>
    <n v="14"/>
    <n v="60"/>
    <n v="74"/>
    <s v="Weekend"/>
  </r>
  <r>
    <n v="345"/>
    <x v="14"/>
    <x v="20"/>
    <x v="0"/>
    <x v="0"/>
    <x v="1"/>
    <x v="3"/>
    <n v="0.30299999999999999"/>
    <x v="17"/>
    <x v="2"/>
    <n v="6"/>
    <n v="35"/>
    <n v="41"/>
    <s v="Weekend"/>
  </r>
  <r>
    <n v="346"/>
    <x v="14"/>
    <x v="21"/>
    <x v="0"/>
    <x v="0"/>
    <x v="1"/>
    <x v="3"/>
    <n v="0.30299999999999999"/>
    <x v="17"/>
    <x v="6"/>
    <n v="6"/>
    <n v="51"/>
    <n v="57"/>
    <s v="Weekend"/>
  </r>
  <r>
    <n v="347"/>
    <x v="14"/>
    <x v="22"/>
    <x v="0"/>
    <x v="0"/>
    <x v="1"/>
    <x v="11"/>
    <n v="0.31819999999999998"/>
    <x v="16"/>
    <x v="14"/>
    <n v="0"/>
    <n v="26"/>
    <n v="26"/>
    <s v="Weekend"/>
  </r>
  <r>
    <n v="348"/>
    <x v="14"/>
    <x v="23"/>
    <x v="0"/>
    <x v="0"/>
    <x v="0"/>
    <x v="11"/>
    <n v="0.28789999999999999"/>
    <x v="49"/>
    <x v="3"/>
    <n v="5"/>
    <n v="39"/>
    <n v="44"/>
    <s v="Weekend"/>
  </r>
  <r>
    <n v="349"/>
    <x v="15"/>
    <x v="0"/>
    <x v="0"/>
    <x v="1"/>
    <x v="0"/>
    <x v="12"/>
    <n v="0.30299999999999999"/>
    <x v="34"/>
    <x v="0"/>
    <n v="6"/>
    <n v="33"/>
    <n v="39"/>
    <s v="Weekend"/>
  </r>
  <r>
    <n v="350"/>
    <x v="15"/>
    <x v="1"/>
    <x v="0"/>
    <x v="1"/>
    <x v="0"/>
    <x v="12"/>
    <n v="0.2727"/>
    <x v="34"/>
    <x v="7"/>
    <n v="4"/>
    <n v="19"/>
    <n v="23"/>
    <s v="Weekend"/>
  </r>
  <r>
    <n v="351"/>
    <x v="15"/>
    <x v="2"/>
    <x v="0"/>
    <x v="1"/>
    <x v="0"/>
    <x v="12"/>
    <n v="0.28789999999999999"/>
    <x v="34"/>
    <x v="1"/>
    <n v="3"/>
    <n v="13"/>
    <n v="16"/>
    <s v="Weekend"/>
  </r>
  <r>
    <n v="352"/>
    <x v="15"/>
    <x v="3"/>
    <x v="0"/>
    <x v="1"/>
    <x v="0"/>
    <x v="1"/>
    <n v="0.2727"/>
    <x v="27"/>
    <x v="0"/>
    <n v="9"/>
    <n v="6"/>
    <n v="15"/>
    <s v="Weekend"/>
  </r>
  <r>
    <n v="353"/>
    <x v="15"/>
    <x v="4"/>
    <x v="0"/>
    <x v="1"/>
    <x v="0"/>
    <x v="12"/>
    <n v="0.2576"/>
    <x v="34"/>
    <x v="8"/>
    <n v="0"/>
    <n v="1"/>
    <n v="1"/>
    <s v="Weekend"/>
  </r>
  <r>
    <n v="354"/>
    <x v="15"/>
    <x v="5"/>
    <x v="0"/>
    <x v="1"/>
    <x v="1"/>
    <x v="12"/>
    <n v="0.2576"/>
    <x v="34"/>
    <x v="8"/>
    <n v="1"/>
    <n v="1"/>
    <n v="2"/>
    <s v="Weekend"/>
  </r>
  <r>
    <n v="355"/>
    <x v="15"/>
    <x v="6"/>
    <x v="0"/>
    <x v="1"/>
    <x v="1"/>
    <x v="12"/>
    <n v="0.2576"/>
    <x v="34"/>
    <x v="8"/>
    <n v="0"/>
    <n v="1"/>
    <n v="1"/>
    <s v="Weekend"/>
  </r>
  <r>
    <n v="356"/>
    <x v="15"/>
    <x v="7"/>
    <x v="0"/>
    <x v="1"/>
    <x v="1"/>
    <x v="0"/>
    <n v="0.21210000000000001"/>
    <x v="34"/>
    <x v="4"/>
    <n v="0"/>
    <n v="3"/>
    <n v="3"/>
    <s v="Weekend"/>
  </r>
  <r>
    <n v="357"/>
    <x v="15"/>
    <x v="8"/>
    <x v="0"/>
    <x v="1"/>
    <x v="0"/>
    <x v="1"/>
    <n v="0.21210000000000001"/>
    <x v="28"/>
    <x v="3"/>
    <n v="0"/>
    <n v="18"/>
    <n v="18"/>
    <s v="Weekend"/>
  </r>
  <r>
    <n v="358"/>
    <x v="15"/>
    <x v="9"/>
    <x v="0"/>
    <x v="1"/>
    <x v="0"/>
    <x v="1"/>
    <n v="0.21210000000000001"/>
    <x v="33"/>
    <x v="2"/>
    <n v="3"/>
    <n v="29"/>
    <n v="32"/>
    <s v="Weekend"/>
  </r>
  <r>
    <n v="359"/>
    <x v="15"/>
    <x v="10"/>
    <x v="0"/>
    <x v="1"/>
    <x v="0"/>
    <x v="1"/>
    <n v="0.21210000000000001"/>
    <x v="33"/>
    <x v="3"/>
    <n v="8"/>
    <n v="71"/>
    <n v="79"/>
    <s v="Weekend"/>
  </r>
  <r>
    <n v="360"/>
    <x v="15"/>
    <x v="11"/>
    <x v="0"/>
    <x v="1"/>
    <x v="0"/>
    <x v="0"/>
    <n v="0.2273"/>
    <x v="18"/>
    <x v="2"/>
    <n v="23"/>
    <n v="70"/>
    <n v="93"/>
    <s v="Weekend"/>
  </r>
  <r>
    <n v="361"/>
    <x v="15"/>
    <x v="12"/>
    <x v="0"/>
    <x v="1"/>
    <x v="0"/>
    <x v="0"/>
    <n v="0.21210000000000001"/>
    <x v="48"/>
    <x v="3"/>
    <n v="29"/>
    <n v="75"/>
    <n v="104"/>
    <s v="Weekend"/>
  </r>
  <r>
    <n v="362"/>
    <x v="15"/>
    <x v="13"/>
    <x v="0"/>
    <x v="1"/>
    <x v="0"/>
    <x v="12"/>
    <n v="0.2273"/>
    <x v="23"/>
    <x v="4"/>
    <n v="23"/>
    <n v="95"/>
    <n v="118"/>
    <s v="Weekend"/>
  </r>
  <r>
    <n v="363"/>
    <x v="15"/>
    <x v="14"/>
    <x v="0"/>
    <x v="1"/>
    <x v="0"/>
    <x v="17"/>
    <n v="0.2727"/>
    <x v="42"/>
    <x v="2"/>
    <n v="22"/>
    <n v="69"/>
    <n v="91"/>
    <s v="Weekend"/>
  </r>
  <r>
    <n v="364"/>
    <x v="15"/>
    <x v="15"/>
    <x v="0"/>
    <x v="1"/>
    <x v="0"/>
    <x v="12"/>
    <n v="0.2424"/>
    <x v="41"/>
    <x v="2"/>
    <n v="35"/>
    <n v="78"/>
    <n v="113"/>
    <s v="Weekend"/>
  </r>
  <r>
    <n v="365"/>
    <x v="15"/>
    <x v="16"/>
    <x v="0"/>
    <x v="1"/>
    <x v="0"/>
    <x v="0"/>
    <n v="0.2273"/>
    <x v="41"/>
    <x v="6"/>
    <n v="22"/>
    <n v="77"/>
    <n v="99"/>
    <s v="Weekend"/>
  </r>
  <r>
    <n v="366"/>
    <x v="15"/>
    <x v="17"/>
    <x v="0"/>
    <x v="1"/>
    <x v="0"/>
    <x v="1"/>
    <n v="0.21210000000000001"/>
    <x v="38"/>
    <x v="2"/>
    <n v="23"/>
    <n v="82"/>
    <n v="105"/>
    <s v="Weekend"/>
  </r>
  <r>
    <n v="367"/>
    <x v="15"/>
    <x v="18"/>
    <x v="0"/>
    <x v="1"/>
    <x v="0"/>
    <x v="2"/>
    <n v="0.21210000000000001"/>
    <x v="22"/>
    <x v="8"/>
    <n v="11"/>
    <n v="56"/>
    <n v="67"/>
    <s v="Weekend"/>
  </r>
  <r>
    <n v="368"/>
    <x v="15"/>
    <x v="19"/>
    <x v="0"/>
    <x v="1"/>
    <x v="0"/>
    <x v="15"/>
    <n v="0.19700000000000001"/>
    <x v="19"/>
    <x v="7"/>
    <n v="14"/>
    <n v="47"/>
    <n v="61"/>
    <s v="Weekend"/>
  </r>
  <r>
    <n v="369"/>
    <x v="15"/>
    <x v="20"/>
    <x v="0"/>
    <x v="1"/>
    <x v="0"/>
    <x v="15"/>
    <n v="0.19700000000000001"/>
    <x v="19"/>
    <x v="8"/>
    <n v="7"/>
    <n v="50"/>
    <n v="57"/>
    <s v="Weekend"/>
  </r>
  <r>
    <n v="370"/>
    <x v="15"/>
    <x v="21"/>
    <x v="0"/>
    <x v="1"/>
    <x v="0"/>
    <x v="15"/>
    <n v="0.19700000000000001"/>
    <x v="33"/>
    <x v="8"/>
    <n v="6"/>
    <n v="22"/>
    <n v="28"/>
    <s v="Weekend"/>
  </r>
  <r>
    <n v="371"/>
    <x v="15"/>
    <x v="22"/>
    <x v="0"/>
    <x v="1"/>
    <x v="1"/>
    <x v="2"/>
    <n v="0.21210000000000001"/>
    <x v="36"/>
    <x v="7"/>
    <n v="2"/>
    <n v="19"/>
    <n v="21"/>
    <s v="Weekend"/>
  </r>
  <r>
    <n v="372"/>
    <x v="15"/>
    <x v="23"/>
    <x v="0"/>
    <x v="1"/>
    <x v="1"/>
    <x v="2"/>
    <n v="0.2273"/>
    <x v="22"/>
    <x v="14"/>
    <n v="0"/>
    <n v="18"/>
    <n v="18"/>
    <s v="Weekend"/>
  </r>
  <r>
    <n v="373"/>
    <x v="16"/>
    <x v="0"/>
    <x v="1"/>
    <x v="2"/>
    <x v="1"/>
    <x v="2"/>
    <n v="0.19700000000000001"/>
    <x v="19"/>
    <x v="6"/>
    <n v="1"/>
    <n v="16"/>
    <n v="17"/>
    <s v="Weekday"/>
  </r>
  <r>
    <n v="374"/>
    <x v="16"/>
    <x v="1"/>
    <x v="1"/>
    <x v="2"/>
    <x v="1"/>
    <x v="2"/>
    <n v="0.19700000000000001"/>
    <x v="18"/>
    <x v="5"/>
    <n v="1"/>
    <n v="15"/>
    <n v="16"/>
    <s v="Weekday"/>
  </r>
  <r>
    <n v="375"/>
    <x v="16"/>
    <x v="2"/>
    <x v="1"/>
    <x v="2"/>
    <x v="1"/>
    <x v="15"/>
    <n v="0.16669999999999999"/>
    <x v="21"/>
    <x v="2"/>
    <n v="0"/>
    <n v="8"/>
    <n v="8"/>
    <s v="Weekday"/>
  </r>
  <r>
    <n v="376"/>
    <x v="16"/>
    <x v="3"/>
    <x v="1"/>
    <x v="2"/>
    <x v="1"/>
    <x v="15"/>
    <n v="0.18179999999999999"/>
    <x v="21"/>
    <x v="5"/>
    <n v="0"/>
    <n v="2"/>
    <n v="2"/>
    <s v="Weekday"/>
  </r>
  <r>
    <n v="377"/>
    <x v="16"/>
    <x v="4"/>
    <x v="1"/>
    <x v="2"/>
    <x v="1"/>
    <x v="15"/>
    <n v="0.19700000000000001"/>
    <x v="21"/>
    <x v="7"/>
    <n v="1"/>
    <n v="2"/>
    <n v="3"/>
    <s v="Weekday"/>
  </r>
  <r>
    <n v="378"/>
    <x v="16"/>
    <x v="5"/>
    <x v="1"/>
    <x v="2"/>
    <x v="1"/>
    <x v="15"/>
    <n v="0.19700000000000001"/>
    <x v="21"/>
    <x v="8"/>
    <n v="0"/>
    <n v="1"/>
    <n v="1"/>
    <s v="Weekday"/>
  </r>
  <r>
    <n v="379"/>
    <x v="16"/>
    <x v="6"/>
    <x v="1"/>
    <x v="2"/>
    <x v="1"/>
    <x v="15"/>
    <n v="0.18179999999999999"/>
    <x v="21"/>
    <x v="5"/>
    <n v="0"/>
    <n v="5"/>
    <n v="5"/>
    <s v="Weekday"/>
  </r>
  <r>
    <n v="380"/>
    <x v="16"/>
    <x v="7"/>
    <x v="1"/>
    <x v="2"/>
    <x v="1"/>
    <x v="13"/>
    <n v="0.18179999999999999"/>
    <x v="20"/>
    <x v="7"/>
    <n v="4"/>
    <n v="9"/>
    <n v="13"/>
    <s v="Weekday"/>
  </r>
  <r>
    <n v="381"/>
    <x v="16"/>
    <x v="8"/>
    <x v="1"/>
    <x v="2"/>
    <x v="1"/>
    <x v="13"/>
    <n v="0.1515"/>
    <x v="19"/>
    <x v="6"/>
    <n v="3"/>
    <n v="30"/>
    <n v="33"/>
    <s v="Weekday"/>
  </r>
  <r>
    <n v="382"/>
    <x v="16"/>
    <x v="9"/>
    <x v="1"/>
    <x v="2"/>
    <x v="1"/>
    <x v="13"/>
    <n v="0.1515"/>
    <x v="19"/>
    <x v="6"/>
    <n v="8"/>
    <n v="39"/>
    <n v="47"/>
    <s v="Weekday"/>
  </r>
  <r>
    <n v="383"/>
    <x v="16"/>
    <x v="10"/>
    <x v="1"/>
    <x v="2"/>
    <x v="1"/>
    <x v="13"/>
    <n v="0.1515"/>
    <x v="20"/>
    <x v="2"/>
    <n v="7"/>
    <n v="50"/>
    <n v="57"/>
    <s v="Weekday"/>
  </r>
  <r>
    <n v="384"/>
    <x v="16"/>
    <x v="11"/>
    <x v="1"/>
    <x v="2"/>
    <x v="1"/>
    <x v="13"/>
    <n v="0.1515"/>
    <x v="28"/>
    <x v="5"/>
    <n v="9"/>
    <n v="55"/>
    <n v="64"/>
    <s v="Weekday"/>
  </r>
  <r>
    <n v="385"/>
    <x v="16"/>
    <x v="12"/>
    <x v="1"/>
    <x v="2"/>
    <x v="1"/>
    <x v="15"/>
    <n v="0.19700000000000001"/>
    <x v="19"/>
    <x v="7"/>
    <n v="10"/>
    <n v="70"/>
    <n v="80"/>
    <s v="Weekday"/>
  </r>
  <r>
    <n v="386"/>
    <x v="16"/>
    <x v="13"/>
    <x v="1"/>
    <x v="2"/>
    <x v="1"/>
    <x v="15"/>
    <n v="0.19700000000000001"/>
    <x v="19"/>
    <x v="7"/>
    <n v="13"/>
    <n v="80"/>
    <n v="93"/>
    <s v="Weekday"/>
  </r>
  <r>
    <n v="387"/>
    <x v="16"/>
    <x v="14"/>
    <x v="1"/>
    <x v="2"/>
    <x v="1"/>
    <x v="15"/>
    <n v="0.21210000000000001"/>
    <x v="21"/>
    <x v="14"/>
    <n v="12"/>
    <n v="74"/>
    <n v="86"/>
    <s v="Weekday"/>
  </r>
  <r>
    <n v="388"/>
    <x v="16"/>
    <x v="15"/>
    <x v="1"/>
    <x v="2"/>
    <x v="1"/>
    <x v="2"/>
    <n v="0.21210000000000001"/>
    <x v="19"/>
    <x v="8"/>
    <n v="21"/>
    <n v="72"/>
    <n v="93"/>
    <s v="Weekday"/>
  </r>
  <r>
    <n v="389"/>
    <x v="16"/>
    <x v="16"/>
    <x v="1"/>
    <x v="2"/>
    <x v="1"/>
    <x v="2"/>
    <n v="0.21210000000000001"/>
    <x v="19"/>
    <x v="8"/>
    <n v="6"/>
    <n v="76"/>
    <n v="82"/>
    <s v="Weekday"/>
  </r>
  <r>
    <n v="390"/>
    <x v="16"/>
    <x v="17"/>
    <x v="1"/>
    <x v="2"/>
    <x v="0"/>
    <x v="2"/>
    <n v="0.19700000000000001"/>
    <x v="33"/>
    <x v="5"/>
    <n v="4"/>
    <n v="67"/>
    <n v="71"/>
    <s v="Weekday"/>
  </r>
  <r>
    <n v="391"/>
    <x v="16"/>
    <x v="18"/>
    <x v="1"/>
    <x v="2"/>
    <x v="1"/>
    <x v="15"/>
    <n v="0.16669999999999999"/>
    <x v="28"/>
    <x v="2"/>
    <n v="7"/>
    <n v="85"/>
    <n v="92"/>
    <s v="Weekday"/>
  </r>
  <r>
    <n v="392"/>
    <x v="16"/>
    <x v="19"/>
    <x v="1"/>
    <x v="2"/>
    <x v="2"/>
    <x v="15"/>
    <n v="0.18179999999999999"/>
    <x v="29"/>
    <x v="5"/>
    <n v="2"/>
    <n v="58"/>
    <n v="60"/>
    <s v="Weekday"/>
  </r>
  <r>
    <n v="393"/>
    <x v="16"/>
    <x v="20"/>
    <x v="1"/>
    <x v="2"/>
    <x v="2"/>
    <x v="13"/>
    <n v="0.1515"/>
    <x v="1"/>
    <x v="5"/>
    <n v="4"/>
    <n v="29"/>
    <n v="33"/>
    <s v="Weekday"/>
  </r>
  <r>
    <n v="394"/>
    <x v="16"/>
    <x v="21"/>
    <x v="1"/>
    <x v="2"/>
    <x v="2"/>
    <x v="13"/>
    <n v="0.1515"/>
    <x v="1"/>
    <x v="5"/>
    <n v="3"/>
    <n v="24"/>
    <n v="27"/>
    <s v="Weekday"/>
  </r>
  <r>
    <n v="395"/>
    <x v="16"/>
    <x v="22"/>
    <x v="1"/>
    <x v="2"/>
    <x v="2"/>
    <x v="14"/>
    <n v="0.1212"/>
    <x v="43"/>
    <x v="2"/>
    <n v="0"/>
    <n v="13"/>
    <n v="13"/>
    <s v="Weekday"/>
  </r>
  <r>
    <n v="396"/>
    <x v="16"/>
    <x v="23"/>
    <x v="1"/>
    <x v="2"/>
    <x v="2"/>
    <x v="13"/>
    <n v="0.13639999999999999"/>
    <x v="3"/>
    <x v="3"/>
    <n v="1"/>
    <n v="3"/>
    <n v="4"/>
    <s v="Weekday"/>
  </r>
  <r>
    <n v="397"/>
    <x v="17"/>
    <x v="12"/>
    <x v="0"/>
    <x v="3"/>
    <x v="1"/>
    <x v="2"/>
    <n v="0.18179999999999999"/>
    <x v="3"/>
    <x v="9"/>
    <n v="0"/>
    <n v="3"/>
    <n v="3"/>
    <s v="Weekday"/>
  </r>
  <r>
    <n v="398"/>
    <x v="17"/>
    <x v="13"/>
    <x v="0"/>
    <x v="3"/>
    <x v="1"/>
    <x v="2"/>
    <n v="0.19700000000000001"/>
    <x v="3"/>
    <x v="6"/>
    <n v="0"/>
    <n v="22"/>
    <n v="22"/>
    <s v="Weekday"/>
  </r>
  <r>
    <n v="399"/>
    <x v="17"/>
    <x v="14"/>
    <x v="0"/>
    <x v="3"/>
    <x v="1"/>
    <x v="1"/>
    <n v="0.2273"/>
    <x v="1"/>
    <x v="8"/>
    <n v="2"/>
    <n v="26"/>
    <n v="28"/>
    <s v="Weekday"/>
  </r>
  <r>
    <n v="400"/>
    <x v="17"/>
    <x v="15"/>
    <x v="0"/>
    <x v="3"/>
    <x v="1"/>
    <x v="1"/>
    <n v="0.2273"/>
    <x v="9"/>
    <x v="8"/>
    <n v="3"/>
    <n v="32"/>
    <n v="35"/>
    <s v="Weekday"/>
  </r>
  <r>
    <n v="401"/>
    <x v="17"/>
    <x v="16"/>
    <x v="0"/>
    <x v="3"/>
    <x v="1"/>
    <x v="1"/>
    <n v="0.2273"/>
    <x v="9"/>
    <x v="5"/>
    <n v="0"/>
    <n v="61"/>
    <n v="61"/>
    <s v="Weekday"/>
  </r>
  <r>
    <n v="402"/>
    <x v="17"/>
    <x v="17"/>
    <x v="0"/>
    <x v="3"/>
    <x v="1"/>
    <x v="1"/>
    <n v="0.2273"/>
    <x v="7"/>
    <x v="5"/>
    <n v="1"/>
    <n v="124"/>
    <n v="125"/>
    <s v="Weekday"/>
  </r>
  <r>
    <n v="403"/>
    <x v="17"/>
    <x v="18"/>
    <x v="0"/>
    <x v="3"/>
    <x v="1"/>
    <x v="1"/>
    <n v="0.2273"/>
    <x v="1"/>
    <x v="8"/>
    <n v="1"/>
    <n v="132"/>
    <n v="133"/>
    <s v="Weekday"/>
  </r>
  <r>
    <n v="404"/>
    <x v="17"/>
    <x v="19"/>
    <x v="0"/>
    <x v="3"/>
    <x v="1"/>
    <x v="1"/>
    <n v="0.2273"/>
    <x v="1"/>
    <x v="7"/>
    <n v="1"/>
    <n v="98"/>
    <n v="99"/>
    <s v="Weekday"/>
  </r>
  <r>
    <n v="405"/>
    <x v="17"/>
    <x v="20"/>
    <x v="0"/>
    <x v="3"/>
    <x v="1"/>
    <x v="1"/>
    <n v="0.2727"/>
    <x v="9"/>
    <x v="0"/>
    <n v="0"/>
    <n v="83"/>
    <n v="83"/>
    <s v="Weekday"/>
  </r>
  <r>
    <n v="406"/>
    <x v="17"/>
    <x v="21"/>
    <x v="0"/>
    <x v="3"/>
    <x v="1"/>
    <x v="1"/>
    <n v="0.2424"/>
    <x v="43"/>
    <x v="14"/>
    <n v="0"/>
    <n v="41"/>
    <n v="41"/>
    <s v="Weekday"/>
  </r>
  <r>
    <n v="407"/>
    <x v="17"/>
    <x v="22"/>
    <x v="0"/>
    <x v="3"/>
    <x v="1"/>
    <x v="1"/>
    <n v="0.2576"/>
    <x v="43"/>
    <x v="1"/>
    <n v="0"/>
    <n v="33"/>
    <n v="33"/>
    <s v="Weekday"/>
  </r>
  <r>
    <n v="408"/>
    <x v="17"/>
    <x v="23"/>
    <x v="0"/>
    <x v="3"/>
    <x v="1"/>
    <x v="1"/>
    <n v="0.2727"/>
    <x v="43"/>
    <x v="0"/>
    <n v="1"/>
    <n v="19"/>
    <n v="20"/>
    <s v="Weekday"/>
  </r>
  <r>
    <n v="409"/>
    <x v="18"/>
    <x v="0"/>
    <x v="0"/>
    <x v="4"/>
    <x v="1"/>
    <x v="1"/>
    <n v="0.2727"/>
    <x v="43"/>
    <x v="0"/>
    <n v="0"/>
    <n v="3"/>
    <n v="3"/>
    <s v="Weekday"/>
  </r>
  <r>
    <n v="410"/>
    <x v="18"/>
    <x v="1"/>
    <x v="0"/>
    <x v="4"/>
    <x v="2"/>
    <x v="1"/>
    <n v="0.2273"/>
    <x v="43"/>
    <x v="7"/>
    <n v="1"/>
    <n v="6"/>
    <n v="7"/>
    <s v="Weekday"/>
  </r>
  <r>
    <n v="411"/>
    <x v="18"/>
    <x v="2"/>
    <x v="0"/>
    <x v="4"/>
    <x v="2"/>
    <x v="1"/>
    <n v="0.2273"/>
    <x v="43"/>
    <x v="7"/>
    <n v="0"/>
    <n v="3"/>
    <n v="3"/>
    <s v="Weekday"/>
  </r>
  <r>
    <n v="412"/>
    <x v="18"/>
    <x v="4"/>
    <x v="0"/>
    <x v="4"/>
    <x v="2"/>
    <x v="1"/>
    <n v="0.2273"/>
    <x v="43"/>
    <x v="7"/>
    <n v="1"/>
    <n v="1"/>
    <n v="2"/>
    <s v="Weekday"/>
  </r>
  <r>
    <n v="413"/>
    <x v="18"/>
    <x v="5"/>
    <x v="0"/>
    <x v="4"/>
    <x v="1"/>
    <x v="1"/>
    <n v="0.2576"/>
    <x v="43"/>
    <x v="1"/>
    <n v="0"/>
    <n v="7"/>
    <n v="7"/>
    <s v="Weekday"/>
  </r>
  <r>
    <n v="414"/>
    <x v="18"/>
    <x v="6"/>
    <x v="0"/>
    <x v="4"/>
    <x v="1"/>
    <x v="1"/>
    <n v="0.2576"/>
    <x v="43"/>
    <x v="1"/>
    <n v="0"/>
    <n v="32"/>
    <n v="32"/>
    <s v="Weekday"/>
  </r>
  <r>
    <n v="415"/>
    <x v="18"/>
    <x v="7"/>
    <x v="0"/>
    <x v="4"/>
    <x v="1"/>
    <x v="0"/>
    <n v="0.2576"/>
    <x v="50"/>
    <x v="14"/>
    <n v="1"/>
    <n v="89"/>
    <n v="90"/>
    <s v="Weekday"/>
  </r>
  <r>
    <n v="416"/>
    <x v="18"/>
    <x v="8"/>
    <x v="0"/>
    <x v="4"/>
    <x v="1"/>
    <x v="0"/>
    <n v="0.2576"/>
    <x v="43"/>
    <x v="14"/>
    <n v="1"/>
    <n v="196"/>
    <n v="197"/>
    <s v="Weekday"/>
  </r>
  <r>
    <n v="417"/>
    <x v="18"/>
    <x v="9"/>
    <x v="0"/>
    <x v="4"/>
    <x v="1"/>
    <x v="0"/>
    <n v="0.2576"/>
    <x v="43"/>
    <x v="14"/>
    <n v="2"/>
    <n v="107"/>
    <n v="109"/>
    <s v="Weekday"/>
  </r>
  <r>
    <n v="418"/>
    <x v="18"/>
    <x v="10"/>
    <x v="0"/>
    <x v="4"/>
    <x v="1"/>
    <x v="12"/>
    <n v="0.2727"/>
    <x v="43"/>
    <x v="7"/>
    <n v="1"/>
    <n v="46"/>
    <n v="47"/>
    <s v="Weekday"/>
  </r>
  <r>
    <n v="419"/>
    <x v="18"/>
    <x v="11"/>
    <x v="0"/>
    <x v="4"/>
    <x v="1"/>
    <x v="17"/>
    <n v="0.30299999999999999"/>
    <x v="9"/>
    <x v="1"/>
    <n v="5"/>
    <n v="47"/>
    <n v="52"/>
    <s v="Weekday"/>
  </r>
  <r>
    <n v="420"/>
    <x v="18"/>
    <x v="12"/>
    <x v="0"/>
    <x v="4"/>
    <x v="1"/>
    <x v="11"/>
    <n v="0.31819999999999998"/>
    <x v="0"/>
    <x v="1"/>
    <n v="5"/>
    <n v="65"/>
    <n v="70"/>
    <s v="Weekday"/>
  </r>
  <r>
    <n v="421"/>
    <x v="18"/>
    <x v="13"/>
    <x v="0"/>
    <x v="4"/>
    <x v="0"/>
    <x v="9"/>
    <n v="0.40910000000000002"/>
    <x v="51"/>
    <x v="3"/>
    <n v="11"/>
    <n v="67"/>
    <n v="78"/>
    <s v="Weekday"/>
  </r>
  <r>
    <n v="422"/>
    <x v="18"/>
    <x v="14"/>
    <x v="0"/>
    <x v="4"/>
    <x v="0"/>
    <x v="9"/>
    <n v="0.40910000000000002"/>
    <x v="52"/>
    <x v="2"/>
    <n v="7"/>
    <n v="68"/>
    <n v="75"/>
    <s v="Weekday"/>
  </r>
  <r>
    <n v="423"/>
    <x v="18"/>
    <x v="15"/>
    <x v="0"/>
    <x v="4"/>
    <x v="0"/>
    <x v="9"/>
    <n v="0.40910000000000002"/>
    <x v="47"/>
    <x v="3"/>
    <n v="4"/>
    <n v="78"/>
    <n v="82"/>
    <s v="Weekday"/>
  </r>
  <r>
    <n v="424"/>
    <x v="18"/>
    <x v="16"/>
    <x v="0"/>
    <x v="4"/>
    <x v="0"/>
    <x v="4"/>
    <n v="0.39389999999999997"/>
    <x v="52"/>
    <x v="13"/>
    <n v="10"/>
    <n v="94"/>
    <n v="104"/>
    <s v="Weekday"/>
  </r>
  <r>
    <n v="425"/>
    <x v="18"/>
    <x v="17"/>
    <x v="0"/>
    <x v="4"/>
    <x v="0"/>
    <x v="5"/>
    <n v="0.33329999999999999"/>
    <x v="14"/>
    <x v="9"/>
    <n v="7"/>
    <n v="190"/>
    <n v="197"/>
    <s v="Weekday"/>
  </r>
  <r>
    <n v="426"/>
    <x v="18"/>
    <x v="18"/>
    <x v="0"/>
    <x v="4"/>
    <x v="0"/>
    <x v="10"/>
    <n v="0.31819999999999998"/>
    <x v="53"/>
    <x v="3"/>
    <n v="5"/>
    <n v="156"/>
    <n v="161"/>
    <s v="Weekday"/>
  </r>
  <r>
    <n v="427"/>
    <x v="18"/>
    <x v="19"/>
    <x v="0"/>
    <x v="4"/>
    <x v="0"/>
    <x v="3"/>
    <n v="0.28789999999999999"/>
    <x v="14"/>
    <x v="12"/>
    <n v="4"/>
    <n v="108"/>
    <n v="112"/>
    <s v="Weekday"/>
  </r>
  <r>
    <n v="428"/>
    <x v="18"/>
    <x v="20"/>
    <x v="0"/>
    <x v="4"/>
    <x v="0"/>
    <x v="3"/>
    <n v="0.30299999999999999"/>
    <x v="36"/>
    <x v="4"/>
    <n v="2"/>
    <n v="74"/>
    <n v="76"/>
    <s v="Weekday"/>
  </r>
  <r>
    <n v="429"/>
    <x v="18"/>
    <x v="21"/>
    <x v="0"/>
    <x v="4"/>
    <x v="0"/>
    <x v="3"/>
    <n v="0.28789999999999999"/>
    <x v="36"/>
    <x v="12"/>
    <n v="4"/>
    <n v="55"/>
    <n v="59"/>
    <s v="Weekday"/>
  </r>
  <r>
    <n v="430"/>
    <x v="18"/>
    <x v="22"/>
    <x v="0"/>
    <x v="4"/>
    <x v="0"/>
    <x v="11"/>
    <n v="0.30299999999999999"/>
    <x v="35"/>
    <x v="8"/>
    <n v="6"/>
    <n v="53"/>
    <n v="59"/>
    <s v="Weekday"/>
  </r>
  <r>
    <n v="431"/>
    <x v="18"/>
    <x v="23"/>
    <x v="0"/>
    <x v="4"/>
    <x v="0"/>
    <x v="11"/>
    <n v="0.2727"/>
    <x v="35"/>
    <x v="17"/>
    <n v="1"/>
    <n v="27"/>
    <n v="28"/>
    <s v="Weekday"/>
  </r>
  <r>
    <n v="432"/>
    <x v="19"/>
    <x v="0"/>
    <x v="0"/>
    <x v="5"/>
    <x v="0"/>
    <x v="12"/>
    <n v="0.2273"/>
    <x v="34"/>
    <x v="13"/>
    <n v="5"/>
    <n v="8"/>
    <n v="13"/>
    <s v="Weekday"/>
  </r>
  <r>
    <n v="433"/>
    <x v="19"/>
    <x v="1"/>
    <x v="0"/>
    <x v="5"/>
    <x v="0"/>
    <x v="12"/>
    <n v="0.2727"/>
    <x v="34"/>
    <x v="0"/>
    <n v="2"/>
    <n v="3"/>
    <n v="5"/>
    <s v="Weekday"/>
  </r>
  <r>
    <n v="434"/>
    <x v="19"/>
    <x v="2"/>
    <x v="0"/>
    <x v="5"/>
    <x v="0"/>
    <x v="12"/>
    <n v="0.2727"/>
    <x v="34"/>
    <x v="0"/>
    <n v="0"/>
    <n v="2"/>
    <n v="2"/>
    <s v="Weekday"/>
  </r>
  <r>
    <n v="435"/>
    <x v="19"/>
    <x v="3"/>
    <x v="0"/>
    <x v="5"/>
    <x v="0"/>
    <x v="12"/>
    <n v="0.2576"/>
    <x v="34"/>
    <x v="8"/>
    <n v="0"/>
    <n v="1"/>
    <n v="1"/>
    <s v="Weekday"/>
  </r>
  <r>
    <n v="436"/>
    <x v="19"/>
    <x v="4"/>
    <x v="0"/>
    <x v="5"/>
    <x v="0"/>
    <x v="12"/>
    <n v="0.2576"/>
    <x v="34"/>
    <x v="8"/>
    <n v="0"/>
    <n v="1"/>
    <n v="1"/>
    <s v="Weekday"/>
  </r>
  <r>
    <n v="437"/>
    <x v="19"/>
    <x v="5"/>
    <x v="0"/>
    <x v="5"/>
    <x v="0"/>
    <x v="0"/>
    <n v="0.2273"/>
    <x v="54"/>
    <x v="6"/>
    <n v="0"/>
    <n v="6"/>
    <n v="6"/>
    <s v="Weekday"/>
  </r>
  <r>
    <n v="438"/>
    <x v="19"/>
    <x v="6"/>
    <x v="0"/>
    <x v="5"/>
    <x v="0"/>
    <x v="1"/>
    <n v="0.21210000000000001"/>
    <x v="54"/>
    <x v="6"/>
    <n v="0"/>
    <n v="35"/>
    <n v="35"/>
    <s v="Weekday"/>
  </r>
  <r>
    <n v="439"/>
    <x v="19"/>
    <x v="7"/>
    <x v="0"/>
    <x v="5"/>
    <x v="0"/>
    <x v="1"/>
    <n v="0.21210000000000001"/>
    <x v="28"/>
    <x v="6"/>
    <n v="1"/>
    <n v="100"/>
    <n v="101"/>
    <s v="Weekday"/>
  </r>
  <r>
    <n v="440"/>
    <x v="19"/>
    <x v="8"/>
    <x v="0"/>
    <x v="5"/>
    <x v="0"/>
    <x v="1"/>
    <n v="0.21210000000000001"/>
    <x v="28"/>
    <x v="3"/>
    <n v="2"/>
    <n v="247"/>
    <n v="249"/>
    <s v="Weekday"/>
  </r>
  <r>
    <n v="441"/>
    <x v="19"/>
    <x v="9"/>
    <x v="0"/>
    <x v="5"/>
    <x v="1"/>
    <x v="0"/>
    <n v="0.2273"/>
    <x v="35"/>
    <x v="6"/>
    <n v="3"/>
    <n v="140"/>
    <n v="143"/>
    <s v="Weekday"/>
  </r>
  <r>
    <n v="442"/>
    <x v="19"/>
    <x v="10"/>
    <x v="0"/>
    <x v="5"/>
    <x v="0"/>
    <x v="12"/>
    <n v="0.2273"/>
    <x v="37"/>
    <x v="4"/>
    <n v="1"/>
    <n v="56"/>
    <n v="57"/>
    <s v="Weekday"/>
  </r>
  <r>
    <n v="443"/>
    <x v="19"/>
    <x v="11"/>
    <x v="0"/>
    <x v="5"/>
    <x v="1"/>
    <x v="17"/>
    <n v="0.2727"/>
    <x v="49"/>
    <x v="8"/>
    <n v="5"/>
    <n v="63"/>
    <n v="68"/>
    <s v="Weekday"/>
  </r>
  <r>
    <n v="444"/>
    <x v="19"/>
    <x v="12"/>
    <x v="0"/>
    <x v="5"/>
    <x v="1"/>
    <x v="11"/>
    <n v="0.33329999999999999"/>
    <x v="16"/>
    <x v="0"/>
    <n v="7"/>
    <n v="77"/>
    <n v="84"/>
    <s v="Weekday"/>
  </r>
  <r>
    <n v="445"/>
    <x v="19"/>
    <x v="13"/>
    <x v="0"/>
    <x v="5"/>
    <x v="1"/>
    <x v="17"/>
    <n v="0.28789999999999999"/>
    <x v="49"/>
    <x v="14"/>
    <n v="12"/>
    <n v="86"/>
    <n v="98"/>
    <s v="Weekday"/>
  </r>
  <r>
    <n v="446"/>
    <x v="19"/>
    <x v="14"/>
    <x v="0"/>
    <x v="5"/>
    <x v="1"/>
    <x v="11"/>
    <n v="0.30299999999999999"/>
    <x v="49"/>
    <x v="7"/>
    <n v="6"/>
    <n v="75"/>
    <n v="81"/>
    <s v="Weekday"/>
  </r>
  <r>
    <n v="447"/>
    <x v="19"/>
    <x v="15"/>
    <x v="0"/>
    <x v="5"/>
    <x v="1"/>
    <x v="3"/>
    <n v="0.31819999999999998"/>
    <x v="49"/>
    <x v="5"/>
    <n v="8"/>
    <n v="62"/>
    <n v="70"/>
    <s v="Weekday"/>
  </r>
  <r>
    <n v="448"/>
    <x v="19"/>
    <x v="16"/>
    <x v="0"/>
    <x v="5"/>
    <x v="1"/>
    <x v="11"/>
    <n v="0.30299999999999999"/>
    <x v="36"/>
    <x v="7"/>
    <n v="8"/>
    <n v="83"/>
    <n v="91"/>
    <s v="Weekday"/>
  </r>
  <r>
    <n v="449"/>
    <x v="19"/>
    <x v="17"/>
    <x v="0"/>
    <x v="5"/>
    <x v="1"/>
    <x v="11"/>
    <n v="0.31819999999999998"/>
    <x v="36"/>
    <x v="14"/>
    <n v="8"/>
    <n v="207"/>
    <n v="215"/>
    <s v="Weekday"/>
  </r>
  <r>
    <n v="450"/>
    <x v="19"/>
    <x v="18"/>
    <x v="0"/>
    <x v="5"/>
    <x v="1"/>
    <x v="12"/>
    <n v="0.2576"/>
    <x v="34"/>
    <x v="5"/>
    <n v="1"/>
    <n v="184"/>
    <n v="185"/>
    <s v="Weekday"/>
  </r>
  <r>
    <n v="451"/>
    <x v="19"/>
    <x v="19"/>
    <x v="0"/>
    <x v="5"/>
    <x v="0"/>
    <x v="12"/>
    <n v="0.2273"/>
    <x v="34"/>
    <x v="9"/>
    <n v="6"/>
    <n v="146"/>
    <n v="152"/>
    <s v="Weekday"/>
  </r>
  <r>
    <n v="452"/>
    <x v="19"/>
    <x v="20"/>
    <x v="0"/>
    <x v="5"/>
    <x v="1"/>
    <x v="12"/>
    <n v="0.2424"/>
    <x v="54"/>
    <x v="3"/>
    <n v="2"/>
    <n v="124"/>
    <n v="126"/>
    <s v="Weekday"/>
  </r>
  <r>
    <n v="453"/>
    <x v="19"/>
    <x v="21"/>
    <x v="0"/>
    <x v="5"/>
    <x v="1"/>
    <x v="0"/>
    <n v="0.2273"/>
    <x v="54"/>
    <x v="2"/>
    <n v="3"/>
    <n v="54"/>
    <n v="57"/>
    <s v="Weekday"/>
  </r>
  <r>
    <n v="454"/>
    <x v="19"/>
    <x v="22"/>
    <x v="0"/>
    <x v="5"/>
    <x v="1"/>
    <x v="0"/>
    <n v="0.21210000000000001"/>
    <x v="55"/>
    <x v="3"/>
    <n v="0"/>
    <n v="56"/>
    <n v="56"/>
    <s v="Weekday"/>
  </r>
  <r>
    <n v="455"/>
    <x v="19"/>
    <x v="23"/>
    <x v="0"/>
    <x v="5"/>
    <x v="1"/>
    <x v="0"/>
    <n v="0.21210000000000001"/>
    <x v="55"/>
    <x v="9"/>
    <n v="3"/>
    <n v="28"/>
    <n v="31"/>
    <s v="Weekday"/>
  </r>
  <r>
    <n v="456"/>
    <x v="20"/>
    <x v="0"/>
    <x v="0"/>
    <x v="6"/>
    <x v="1"/>
    <x v="0"/>
    <n v="0.2273"/>
    <x v="56"/>
    <x v="2"/>
    <n v="1"/>
    <n v="20"/>
    <n v="21"/>
    <s v="Weekday"/>
  </r>
  <r>
    <n v="457"/>
    <x v="20"/>
    <x v="1"/>
    <x v="0"/>
    <x v="6"/>
    <x v="1"/>
    <x v="0"/>
    <n v="0.2273"/>
    <x v="56"/>
    <x v="2"/>
    <n v="0"/>
    <n v="6"/>
    <n v="6"/>
    <s v="Weekday"/>
  </r>
  <r>
    <n v="458"/>
    <x v="20"/>
    <x v="2"/>
    <x v="0"/>
    <x v="6"/>
    <x v="2"/>
    <x v="0"/>
    <n v="0.2424"/>
    <x v="2"/>
    <x v="8"/>
    <n v="0"/>
    <n v="2"/>
    <n v="2"/>
    <s v="Weekday"/>
  </r>
  <r>
    <n v="459"/>
    <x v="20"/>
    <x v="3"/>
    <x v="0"/>
    <x v="6"/>
    <x v="2"/>
    <x v="1"/>
    <n v="0.21210000000000001"/>
    <x v="1"/>
    <x v="4"/>
    <n v="0"/>
    <n v="1"/>
    <n v="1"/>
    <s v="Weekday"/>
  </r>
  <r>
    <n v="460"/>
    <x v="20"/>
    <x v="4"/>
    <x v="0"/>
    <x v="6"/>
    <x v="1"/>
    <x v="1"/>
    <n v="0.2576"/>
    <x v="9"/>
    <x v="1"/>
    <n v="0"/>
    <n v="1"/>
    <n v="1"/>
    <s v="Weekday"/>
  </r>
  <r>
    <n v="461"/>
    <x v="20"/>
    <x v="5"/>
    <x v="0"/>
    <x v="6"/>
    <x v="0"/>
    <x v="0"/>
    <n v="0.19700000000000001"/>
    <x v="54"/>
    <x v="12"/>
    <n v="1"/>
    <n v="4"/>
    <n v="5"/>
    <s v="Weekday"/>
  </r>
  <r>
    <n v="462"/>
    <x v="20"/>
    <x v="6"/>
    <x v="0"/>
    <x v="6"/>
    <x v="0"/>
    <x v="1"/>
    <n v="0.21210000000000001"/>
    <x v="28"/>
    <x v="2"/>
    <n v="0"/>
    <n v="27"/>
    <n v="27"/>
    <s v="Weekday"/>
  </r>
  <r>
    <n v="463"/>
    <x v="20"/>
    <x v="7"/>
    <x v="0"/>
    <x v="6"/>
    <x v="0"/>
    <x v="2"/>
    <n v="0.18179999999999999"/>
    <x v="33"/>
    <x v="3"/>
    <n v="2"/>
    <n v="66"/>
    <n v="68"/>
    <s v="Weekday"/>
  </r>
  <r>
    <n v="464"/>
    <x v="20"/>
    <x v="8"/>
    <x v="0"/>
    <x v="6"/>
    <x v="0"/>
    <x v="2"/>
    <n v="0.18179999999999999"/>
    <x v="19"/>
    <x v="9"/>
    <n v="7"/>
    <n v="210"/>
    <n v="217"/>
    <s v="Weekday"/>
  </r>
  <r>
    <n v="465"/>
    <x v="20"/>
    <x v="9"/>
    <x v="0"/>
    <x v="6"/>
    <x v="0"/>
    <x v="2"/>
    <n v="0.18179999999999999"/>
    <x v="33"/>
    <x v="11"/>
    <n v="7"/>
    <n v="159"/>
    <n v="166"/>
    <s v="Weekday"/>
  </r>
  <r>
    <n v="466"/>
    <x v="20"/>
    <x v="10"/>
    <x v="0"/>
    <x v="6"/>
    <x v="0"/>
    <x v="2"/>
    <n v="0.16669999999999999"/>
    <x v="19"/>
    <x v="17"/>
    <n v="6"/>
    <n v="57"/>
    <n v="63"/>
    <s v="Weekday"/>
  </r>
  <r>
    <n v="467"/>
    <x v="20"/>
    <x v="11"/>
    <x v="0"/>
    <x v="6"/>
    <x v="0"/>
    <x v="1"/>
    <n v="0.18179999999999999"/>
    <x v="48"/>
    <x v="17"/>
    <n v="6"/>
    <n v="53"/>
    <n v="59"/>
    <s v="Weekday"/>
  </r>
  <r>
    <n v="468"/>
    <x v="20"/>
    <x v="12"/>
    <x v="0"/>
    <x v="6"/>
    <x v="0"/>
    <x v="1"/>
    <n v="0.18179999999999999"/>
    <x v="57"/>
    <x v="19"/>
    <n v="11"/>
    <n v="67"/>
    <n v="78"/>
    <s v="Weekday"/>
  </r>
  <r>
    <n v="469"/>
    <x v="20"/>
    <x v="13"/>
    <x v="0"/>
    <x v="6"/>
    <x v="0"/>
    <x v="2"/>
    <n v="0.1515"/>
    <x v="58"/>
    <x v="19"/>
    <n v="8"/>
    <n v="65"/>
    <n v="73"/>
    <s v="Weekday"/>
  </r>
  <r>
    <n v="470"/>
    <x v="20"/>
    <x v="14"/>
    <x v="0"/>
    <x v="6"/>
    <x v="0"/>
    <x v="2"/>
    <n v="0.1515"/>
    <x v="59"/>
    <x v="18"/>
    <n v="6"/>
    <n v="56"/>
    <n v="62"/>
    <s v="Weekday"/>
  </r>
  <r>
    <n v="471"/>
    <x v="20"/>
    <x v="15"/>
    <x v="0"/>
    <x v="6"/>
    <x v="0"/>
    <x v="13"/>
    <n v="0.1212"/>
    <x v="60"/>
    <x v="10"/>
    <n v="4"/>
    <n v="61"/>
    <n v="65"/>
    <s v="Weekday"/>
  </r>
  <r>
    <n v="472"/>
    <x v="20"/>
    <x v="16"/>
    <x v="0"/>
    <x v="6"/>
    <x v="0"/>
    <x v="13"/>
    <n v="0.13639999999999999"/>
    <x v="60"/>
    <x v="11"/>
    <n v="0"/>
    <n v="97"/>
    <n v="97"/>
    <s v="Weekday"/>
  </r>
  <r>
    <n v="473"/>
    <x v="20"/>
    <x v="17"/>
    <x v="0"/>
    <x v="6"/>
    <x v="0"/>
    <x v="14"/>
    <n v="0.1212"/>
    <x v="40"/>
    <x v="11"/>
    <n v="10"/>
    <n v="151"/>
    <n v="161"/>
    <s v="Weekday"/>
  </r>
  <r>
    <n v="474"/>
    <x v="20"/>
    <x v="18"/>
    <x v="0"/>
    <x v="6"/>
    <x v="0"/>
    <x v="16"/>
    <n v="0.1212"/>
    <x v="24"/>
    <x v="2"/>
    <n v="1"/>
    <n v="119"/>
    <n v="120"/>
    <s v="Weekday"/>
  </r>
  <r>
    <n v="475"/>
    <x v="20"/>
    <x v="19"/>
    <x v="0"/>
    <x v="6"/>
    <x v="0"/>
    <x v="16"/>
    <n v="0.1061"/>
    <x v="24"/>
    <x v="9"/>
    <n v="3"/>
    <n v="93"/>
    <n v="96"/>
    <s v="Weekday"/>
  </r>
  <r>
    <n v="476"/>
    <x v="20"/>
    <x v="20"/>
    <x v="0"/>
    <x v="6"/>
    <x v="0"/>
    <x v="18"/>
    <n v="7.5800000000000006E-2"/>
    <x v="39"/>
    <x v="12"/>
    <n v="1"/>
    <n v="52"/>
    <n v="53"/>
    <s v="Weekday"/>
  </r>
  <r>
    <n v="477"/>
    <x v="20"/>
    <x v="21"/>
    <x v="0"/>
    <x v="6"/>
    <x v="0"/>
    <x v="19"/>
    <n v="7.5800000000000006E-2"/>
    <x v="41"/>
    <x v="3"/>
    <n v="0"/>
    <n v="41"/>
    <n v="41"/>
    <s v="Weekday"/>
  </r>
  <r>
    <n v="478"/>
    <x v="20"/>
    <x v="22"/>
    <x v="0"/>
    <x v="6"/>
    <x v="0"/>
    <x v="20"/>
    <n v="3.0300000000000001E-2"/>
    <x v="48"/>
    <x v="13"/>
    <n v="1"/>
    <n v="33"/>
    <n v="34"/>
    <s v="Weekday"/>
  </r>
  <r>
    <n v="479"/>
    <x v="20"/>
    <x v="23"/>
    <x v="0"/>
    <x v="6"/>
    <x v="0"/>
    <x v="20"/>
    <n v="4.5499999999999999E-2"/>
    <x v="41"/>
    <x v="9"/>
    <n v="0"/>
    <n v="27"/>
    <n v="27"/>
    <s v="Weekday"/>
  </r>
  <r>
    <n v="480"/>
    <x v="21"/>
    <x v="0"/>
    <x v="0"/>
    <x v="0"/>
    <x v="0"/>
    <x v="21"/>
    <n v="3.0300000000000001E-2"/>
    <x v="49"/>
    <x v="2"/>
    <n v="0"/>
    <n v="13"/>
    <n v="13"/>
    <s v="Weekend"/>
  </r>
  <r>
    <n v="481"/>
    <x v="21"/>
    <x v="1"/>
    <x v="0"/>
    <x v="0"/>
    <x v="1"/>
    <x v="21"/>
    <n v="0"/>
    <x v="48"/>
    <x v="13"/>
    <n v="3"/>
    <n v="9"/>
    <n v="12"/>
    <s v="Weekend"/>
  </r>
  <r>
    <n v="482"/>
    <x v="21"/>
    <x v="2"/>
    <x v="0"/>
    <x v="0"/>
    <x v="1"/>
    <x v="21"/>
    <n v="3.0300000000000001E-2"/>
    <x v="48"/>
    <x v="2"/>
    <n v="0"/>
    <n v="11"/>
    <n v="11"/>
    <s v="Weekend"/>
  </r>
  <r>
    <n v="483"/>
    <x v="21"/>
    <x v="3"/>
    <x v="0"/>
    <x v="0"/>
    <x v="1"/>
    <x v="21"/>
    <n v="3.0300000000000001E-2"/>
    <x v="48"/>
    <x v="3"/>
    <n v="1"/>
    <n v="6"/>
    <n v="7"/>
    <s v="Weekend"/>
  </r>
  <r>
    <n v="484"/>
    <x v="21"/>
    <x v="4"/>
    <x v="0"/>
    <x v="0"/>
    <x v="1"/>
    <x v="22"/>
    <n v="1.52E-2"/>
    <x v="37"/>
    <x v="4"/>
    <n v="0"/>
    <n v="3"/>
    <n v="3"/>
    <s v="Weekend"/>
  </r>
  <r>
    <n v="485"/>
    <x v="21"/>
    <x v="6"/>
    <x v="0"/>
    <x v="0"/>
    <x v="1"/>
    <x v="22"/>
    <n v="3.0300000000000001E-2"/>
    <x v="18"/>
    <x v="6"/>
    <n v="0"/>
    <n v="2"/>
    <n v="2"/>
    <s v="Weekend"/>
  </r>
  <r>
    <n v="486"/>
    <x v="21"/>
    <x v="7"/>
    <x v="0"/>
    <x v="0"/>
    <x v="0"/>
    <x v="22"/>
    <n v="1.52E-2"/>
    <x v="18"/>
    <x v="3"/>
    <n v="0"/>
    <n v="8"/>
    <n v="8"/>
    <s v="Weekend"/>
  </r>
  <r>
    <n v="487"/>
    <x v="21"/>
    <x v="8"/>
    <x v="0"/>
    <x v="0"/>
    <x v="0"/>
    <x v="22"/>
    <n v="0"/>
    <x v="18"/>
    <x v="9"/>
    <n v="1"/>
    <n v="26"/>
    <n v="27"/>
    <s v="Weekend"/>
  </r>
  <r>
    <n v="488"/>
    <x v="21"/>
    <x v="9"/>
    <x v="0"/>
    <x v="0"/>
    <x v="0"/>
    <x v="21"/>
    <n v="3.0300000000000001E-2"/>
    <x v="48"/>
    <x v="2"/>
    <n v="3"/>
    <n v="37"/>
    <n v="40"/>
    <s v="Weekend"/>
  </r>
  <r>
    <n v="489"/>
    <x v="21"/>
    <x v="10"/>
    <x v="0"/>
    <x v="0"/>
    <x v="1"/>
    <x v="21"/>
    <n v="6.0600000000000001E-2"/>
    <x v="48"/>
    <x v="8"/>
    <n v="3"/>
    <n v="50"/>
    <n v="53"/>
    <s v="Weekend"/>
  </r>
  <r>
    <n v="490"/>
    <x v="21"/>
    <x v="11"/>
    <x v="0"/>
    <x v="0"/>
    <x v="1"/>
    <x v="20"/>
    <n v="7.5800000000000006E-2"/>
    <x v="41"/>
    <x v="7"/>
    <n v="4"/>
    <n v="59"/>
    <n v="63"/>
    <s v="Weekend"/>
  </r>
  <r>
    <n v="491"/>
    <x v="21"/>
    <x v="12"/>
    <x v="0"/>
    <x v="0"/>
    <x v="1"/>
    <x v="20"/>
    <n v="0.1061"/>
    <x v="41"/>
    <x v="14"/>
    <n v="10"/>
    <n v="60"/>
    <n v="70"/>
    <s v="Weekend"/>
  </r>
  <r>
    <n v="492"/>
    <x v="21"/>
    <x v="13"/>
    <x v="0"/>
    <x v="0"/>
    <x v="0"/>
    <x v="19"/>
    <n v="0.16669999999999999"/>
    <x v="23"/>
    <x v="0"/>
    <n v="12"/>
    <n v="72"/>
    <n v="84"/>
    <s v="Weekend"/>
  </r>
  <r>
    <n v="493"/>
    <x v="21"/>
    <x v="14"/>
    <x v="0"/>
    <x v="0"/>
    <x v="0"/>
    <x v="18"/>
    <n v="0.13639999999999999"/>
    <x v="39"/>
    <x v="14"/>
    <n v="11"/>
    <n v="64"/>
    <n v="75"/>
    <s v="Weekend"/>
  </r>
  <r>
    <n v="494"/>
    <x v="21"/>
    <x v="15"/>
    <x v="0"/>
    <x v="0"/>
    <x v="0"/>
    <x v="16"/>
    <n v="0.1515"/>
    <x v="40"/>
    <x v="0"/>
    <n v="10"/>
    <n v="93"/>
    <n v="103"/>
    <s v="Weekend"/>
  </r>
  <r>
    <n v="495"/>
    <x v="21"/>
    <x v="16"/>
    <x v="0"/>
    <x v="0"/>
    <x v="0"/>
    <x v="16"/>
    <n v="0.13639999999999999"/>
    <x v="40"/>
    <x v="5"/>
    <n v="11"/>
    <n v="72"/>
    <n v="83"/>
    <s v="Weekend"/>
  </r>
  <r>
    <n v="496"/>
    <x v="21"/>
    <x v="17"/>
    <x v="0"/>
    <x v="0"/>
    <x v="0"/>
    <x v="16"/>
    <n v="0.19700000000000001"/>
    <x v="40"/>
    <x v="0"/>
    <n v="8"/>
    <n v="59"/>
    <n v="67"/>
    <s v="Weekend"/>
  </r>
  <r>
    <n v="497"/>
    <x v="21"/>
    <x v="18"/>
    <x v="0"/>
    <x v="0"/>
    <x v="0"/>
    <x v="19"/>
    <n v="9.0899999999999995E-2"/>
    <x v="23"/>
    <x v="5"/>
    <n v="0"/>
    <n v="54"/>
    <n v="54"/>
    <s v="Weekend"/>
  </r>
  <r>
    <n v="498"/>
    <x v="21"/>
    <x v="19"/>
    <x v="0"/>
    <x v="0"/>
    <x v="0"/>
    <x v="19"/>
    <n v="0.1061"/>
    <x v="23"/>
    <x v="7"/>
    <n v="6"/>
    <n v="53"/>
    <n v="59"/>
    <s v="Weekend"/>
  </r>
  <r>
    <n v="499"/>
    <x v="21"/>
    <x v="20"/>
    <x v="0"/>
    <x v="0"/>
    <x v="0"/>
    <x v="20"/>
    <n v="7.5800000000000006E-2"/>
    <x v="49"/>
    <x v="8"/>
    <n v="1"/>
    <n v="44"/>
    <n v="45"/>
    <s v="Weekend"/>
  </r>
  <r>
    <n v="500"/>
    <x v="21"/>
    <x v="21"/>
    <x v="0"/>
    <x v="0"/>
    <x v="0"/>
    <x v="20"/>
    <n v="0.1061"/>
    <x v="48"/>
    <x v="1"/>
    <n v="0"/>
    <n v="39"/>
    <n v="39"/>
    <s v="Weekend"/>
  </r>
  <r>
    <n v="501"/>
    <x v="21"/>
    <x v="22"/>
    <x v="0"/>
    <x v="0"/>
    <x v="0"/>
    <x v="20"/>
    <n v="0.1515"/>
    <x v="36"/>
    <x v="0"/>
    <n v="7"/>
    <n v="23"/>
    <n v="30"/>
    <s v="Weekend"/>
  </r>
  <r>
    <n v="502"/>
    <x v="21"/>
    <x v="23"/>
    <x v="0"/>
    <x v="0"/>
    <x v="0"/>
    <x v="21"/>
    <n v="7.5800000000000006E-2"/>
    <x v="14"/>
    <x v="14"/>
    <n v="2"/>
    <n v="31"/>
    <n v="33"/>
    <s v="Weekend"/>
  </r>
  <r>
    <n v="503"/>
    <x v="22"/>
    <x v="0"/>
    <x v="0"/>
    <x v="1"/>
    <x v="0"/>
    <x v="21"/>
    <n v="7.5800000000000006E-2"/>
    <x v="14"/>
    <x v="14"/>
    <n v="2"/>
    <n v="20"/>
    <n v="22"/>
    <s v="Weekend"/>
  </r>
  <r>
    <n v="504"/>
    <x v="22"/>
    <x v="1"/>
    <x v="0"/>
    <x v="1"/>
    <x v="0"/>
    <x v="21"/>
    <n v="7.5800000000000006E-2"/>
    <x v="14"/>
    <x v="14"/>
    <n v="1"/>
    <n v="12"/>
    <n v="13"/>
    <s v="Weekend"/>
  </r>
  <r>
    <n v="505"/>
    <x v="22"/>
    <x v="2"/>
    <x v="0"/>
    <x v="1"/>
    <x v="0"/>
    <x v="22"/>
    <n v="6.0600000000000001E-2"/>
    <x v="51"/>
    <x v="7"/>
    <n v="3"/>
    <n v="15"/>
    <n v="18"/>
    <s v="Weekend"/>
  </r>
  <r>
    <n v="506"/>
    <x v="22"/>
    <x v="3"/>
    <x v="0"/>
    <x v="1"/>
    <x v="0"/>
    <x v="22"/>
    <n v="6.0600000000000001E-2"/>
    <x v="51"/>
    <x v="7"/>
    <n v="1"/>
    <n v="4"/>
    <n v="5"/>
    <s v="Weekend"/>
  </r>
  <r>
    <n v="507"/>
    <x v="22"/>
    <x v="5"/>
    <x v="0"/>
    <x v="1"/>
    <x v="1"/>
    <x v="21"/>
    <n v="7.5800000000000006E-2"/>
    <x v="14"/>
    <x v="14"/>
    <n v="0"/>
    <n v="3"/>
    <n v="3"/>
    <s v="Weekend"/>
  </r>
  <r>
    <n v="508"/>
    <x v="22"/>
    <x v="6"/>
    <x v="0"/>
    <x v="1"/>
    <x v="1"/>
    <x v="21"/>
    <n v="7.5800000000000006E-2"/>
    <x v="14"/>
    <x v="14"/>
    <n v="0"/>
    <n v="1"/>
    <n v="1"/>
    <s v="Weekend"/>
  </r>
  <r>
    <n v="509"/>
    <x v="22"/>
    <x v="7"/>
    <x v="0"/>
    <x v="1"/>
    <x v="0"/>
    <x v="19"/>
    <n v="0.1061"/>
    <x v="52"/>
    <x v="8"/>
    <n v="1"/>
    <n v="1"/>
    <n v="2"/>
    <s v="Weekend"/>
  </r>
  <r>
    <n v="510"/>
    <x v="22"/>
    <x v="8"/>
    <x v="0"/>
    <x v="1"/>
    <x v="0"/>
    <x v="20"/>
    <n v="7.5800000000000006E-2"/>
    <x v="51"/>
    <x v="8"/>
    <n v="2"/>
    <n v="17"/>
    <n v="19"/>
    <s v="Weekend"/>
  </r>
  <r>
    <n v="511"/>
    <x v="22"/>
    <x v="9"/>
    <x v="0"/>
    <x v="1"/>
    <x v="0"/>
    <x v="18"/>
    <n v="7.5800000000000006E-2"/>
    <x v="47"/>
    <x v="11"/>
    <n v="3"/>
    <n v="25"/>
    <n v="28"/>
    <s v="Weekend"/>
  </r>
  <r>
    <n v="512"/>
    <x v="22"/>
    <x v="10"/>
    <x v="0"/>
    <x v="1"/>
    <x v="0"/>
    <x v="14"/>
    <n v="0.1061"/>
    <x v="15"/>
    <x v="13"/>
    <n v="7"/>
    <n v="51"/>
    <n v="58"/>
    <s v="Weekend"/>
  </r>
  <r>
    <n v="513"/>
    <x v="22"/>
    <x v="11"/>
    <x v="0"/>
    <x v="1"/>
    <x v="0"/>
    <x v="14"/>
    <n v="0.13639999999999999"/>
    <x v="21"/>
    <x v="6"/>
    <n v="22"/>
    <n v="77"/>
    <n v="99"/>
    <s v="Weekend"/>
  </r>
  <r>
    <n v="514"/>
    <x v="22"/>
    <x v="12"/>
    <x v="0"/>
    <x v="1"/>
    <x v="0"/>
    <x v="13"/>
    <n v="0.1212"/>
    <x v="38"/>
    <x v="17"/>
    <n v="24"/>
    <n v="92"/>
    <n v="116"/>
    <s v="Weekend"/>
  </r>
  <r>
    <n v="515"/>
    <x v="22"/>
    <x v="13"/>
    <x v="0"/>
    <x v="1"/>
    <x v="0"/>
    <x v="14"/>
    <n v="0.1061"/>
    <x v="39"/>
    <x v="13"/>
    <n v="12"/>
    <n v="75"/>
    <n v="87"/>
    <s v="Weekend"/>
  </r>
  <r>
    <n v="516"/>
    <x v="22"/>
    <x v="14"/>
    <x v="0"/>
    <x v="1"/>
    <x v="0"/>
    <x v="13"/>
    <n v="0.13639999999999999"/>
    <x v="40"/>
    <x v="11"/>
    <n v="17"/>
    <n v="93"/>
    <n v="110"/>
    <s v="Weekend"/>
  </r>
  <r>
    <n v="517"/>
    <x v="22"/>
    <x v="15"/>
    <x v="0"/>
    <x v="1"/>
    <x v="0"/>
    <x v="13"/>
    <n v="0.13639999999999999"/>
    <x v="40"/>
    <x v="11"/>
    <n v="13"/>
    <n v="64"/>
    <n v="77"/>
    <s v="Weekend"/>
  </r>
  <r>
    <n v="518"/>
    <x v="22"/>
    <x v="16"/>
    <x v="0"/>
    <x v="1"/>
    <x v="0"/>
    <x v="13"/>
    <n v="0.13639999999999999"/>
    <x v="60"/>
    <x v="9"/>
    <n v="9"/>
    <n v="56"/>
    <n v="65"/>
    <s v="Weekend"/>
  </r>
  <r>
    <n v="519"/>
    <x v="22"/>
    <x v="17"/>
    <x v="0"/>
    <x v="1"/>
    <x v="0"/>
    <x v="14"/>
    <n v="0.1061"/>
    <x v="60"/>
    <x v="13"/>
    <n v="5"/>
    <n v="50"/>
    <n v="55"/>
    <s v="Weekend"/>
  </r>
  <r>
    <n v="520"/>
    <x v="22"/>
    <x v="18"/>
    <x v="0"/>
    <x v="1"/>
    <x v="0"/>
    <x v="16"/>
    <n v="0.1212"/>
    <x v="24"/>
    <x v="2"/>
    <n v="5"/>
    <n v="44"/>
    <n v="49"/>
    <s v="Weekend"/>
  </r>
  <r>
    <n v="521"/>
    <x v="22"/>
    <x v="19"/>
    <x v="0"/>
    <x v="1"/>
    <x v="0"/>
    <x v="16"/>
    <n v="0.1212"/>
    <x v="24"/>
    <x v="3"/>
    <n v="5"/>
    <n v="45"/>
    <n v="50"/>
    <s v="Weekend"/>
  </r>
  <r>
    <n v="522"/>
    <x v="22"/>
    <x v="20"/>
    <x v="0"/>
    <x v="1"/>
    <x v="0"/>
    <x v="18"/>
    <n v="0.1061"/>
    <x v="42"/>
    <x v="2"/>
    <n v="4"/>
    <n v="31"/>
    <n v="35"/>
    <s v="Weekend"/>
  </r>
  <r>
    <n v="523"/>
    <x v="22"/>
    <x v="21"/>
    <x v="0"/>
    <x v="1"/>
    <x v="0"/>
    <x v="18"/>
    <n v="0.1061"/>
    <x v="42"/>
    <x v="5"/>
    <n v="5"/>
    <n v="20"/>
    <n v="25"/>
    <s v="Weekend"/>
  </r>
  <r>
    <n v="524"/>
    <x v="22"/>
    <x v="22"/>
    <x v="0"/>
    <x v="1"/>
    <x v="0"/>
    <x v="19"/>
    <n v="9.0899999999999995E-2"/>
    <x v="41"/>
    <x v="5"/>
    <n v="5"/>
    <n v="23"/>
    <n v="28"/>
    <s v="Weekend"/>
  </r>
  <r>
    <n v="525"/>
    <x v="22"/>
    <x v="23"/>
    <x v="0"/>
    <x v="1"/>
    <x v="0"/>
    <x v="20"/>
    <n v="6.0600000000000001E-2"/>
    <x v="48"/>
    <x v="6"/>
    <n v="4"/>
    <n v="17"/>
    <n v="21"/>
    <s v="Weekend"/>
  </r>
  <r>
    <n v="526"/>
    <x v="23"/>
    <x v="0"/>
    <x v="0"/>
    <x v="2"/>
    <x v="0"/>
    <x v="20"/>
    <n v="6.0600000000000001E-2"/>
    <x v="48"/>
    <x v="5"/>
    <n v="0"/>
    <n v="7"/>
    <n v="7"/>
    <s v="Weekday"/>
  </r>
  <r>
    <n v="527"/>
    <x v="23"/>
    <x v="1"/>
    <x v="0"/>
    <x v="2"/>
    <x v="0"/>
    <x v="21"/>
    <n v="4.5499999999999999E-2"/>
    <x v="49"/>
    <x v="5"/>
    <n v="0"/>
    <n v="1"/>
    <n v="1"/>
    <s v="Weekday"/>
  </r>
  <r>
    <n v="528"/>
    <x v="23"/>
    <x v="3"/>
    <x v="0"/>
    <x v="2"/>
    <x v="0"/>
    <x v="21"/>
    <n v="3.0300000000000001E-2"/>
    <x v="49"/>
    <x v="2"/>
    <n v="0"/>
    <n v="1"/>
    <n v="1"/>
    <s v="Weekday"/>
  </r>
  <r>
    <n v="529"/>
    <x v="23"/>
    <x v="4"/>
    <x v="0"/>
    <x v="2"/>
    <x v="0"/>
    <x v="22"/>
    <n v="6.0600000000000001E-2"/>
    <x v="37"/>
    <x v="7"/>
    <n v="0"/>
    <n v="1"/>
    <n v="1"/>
    <s v="Weekday"/>
  </r>
  <r>
    <n v="530"/>
    <x v="23"/>
    <x v="5"/>
    <x v="0"/>
    <x v="2"/>
    <x v="0"/>
    <x v="22"/>
    <n v="6.0600000000000001E-2"/>
    <x v="37"/>
    <x v="7"/>
    <n v="0"/>
    <n v="5"/>
    <n v="5"/>
    <s v="Weekday"/>
  </r>
  <r>
    <n v="531"/>
    <x v="23"/>
    <x v="6"/>
    <x v="0"/>
    <x v="2"/>
    <x v="0"/>
    <x v="22"/>
    <n v="7.5800000000000006E-2"/>
    <x v="37"/>
    <x v="1"/>
    <n v="0"/>
    <n v="15"/>
    <n v="15"/>
    <s v="Weekday"/>
  </r>
  <r>
    <n v="532"/>
    <x v="23"/>
    <x v="7"/>
    <x v="0"/>
    <x v="2"/>
    <x v="0"/>
    <x v="22"/>
    <n v="0.1212"/>
    <x v="37"/>
    <x v="0"/>
    <n v="5"/>
    <n v="79"/>
    <n v="84"/>
    <s v="Weekday"/>
  </r>
  <r>
    <n v="533"/>
    <x v="23"/>
    <x v="8"/>
    <x v="0"/>
    <x v="2"/>
    <x v="0"/>
    <x v="21"/>
    <n v="0.13639999999999999"/>
    <x v="36"/>
    <x v="0"/>
    <n v="6"/>
    <n v="171"/>
    <n v="177"/>
    <s v="Weekday"/>
  </r>
  <r>
    <n v="534"/>
    <x v="23"/>
    <x v="9"/>
    <x v="0"/>
    <x v="2"/>
    <x v="0"/>
    <x v="20"/>
    <n v="0.1515"/>
    <x v="48"/>
    <x v="0"/>
    <n v="4"/>
    <n v="98"/>
    <n v="102"/>
    <s v="Weekday"/>
  </r>
  <r>
    <n v="535"/>
    <x v="23"/>
    <x v="10"/>
    <x v="0"/>
    <x v="2"/>
    <x v="0"/>
    <x v="18"/>
    <n v="0.13639999999999999"/>
    <x v="16"/>
    <x v="0"/>
    <n v="6"/>
    <n v="34"/>
    <n v="40"/>
    <s v="Weekday"/>
  </r>
  <r>
    <n v="536"/>
    <x v="23"/>
    <x v="11"/>
    <x v="0"/>
    <x v="2"/>
    <x v="0"/>
    <x v="18"/>
    <n v="0.1212"/>
    <x v="15"/>
    <x v="7"/>
    <n v="3"/>
    <n v="43"/>
    <n v="46"/>
    <s v="Weekday"/>
  </r>
  <r>
    <n v="537"/>
    <x v="23"/>
    <x v="12"/>
    <x v="0"/>
    <x v="2"/>
    <x v="1"/>
    <x v="16"/>
    <n v="0.13639999999999999"/>
    <x v="16"/>
    <x v="5"/>
    <n v="11"/>
    <n v="52"/>
    <n v="63"/>
    <s v="Weekday"/>
  </r>
  <r>
    <n v="538"/>
    <x v="23"/>
    <x v="13"/>
    <x v="0"/>
    <x v="2"/>
    <x v="1"/>
    <x v="14"/>
    <n v="0.13639999999999999"/>
    <x v="21"/>
    <x v="6"/>
    <n v="6"/>
    <n v="54"/>
    <n v="60"/>
    <s v="Weekday"/>
  </r>
  <r>
    <n v="539"/>
    <x v="23"/>
    <x v="14"/>
    <x v="0"/>
    <x v="2"/>
    <x v="1"/>
    <x v="14"/>
    <n v="0.13639999999999999"/>
    <x v="15"/>
    <x v="6"/>
    <n v="2"/>
    <n v="43"/>
    <n v="45"/>
    <s v="Weekday"/>
  </r>
  <r>
    <n v="540"/>
    <x v="23"/>
    <x v="15"/>
    <x v="0"/>
    <x v="2"/>
    <x v="0"/>
    <x v="13"/>
    <n v="0.16669999999999999"/>
    <x v="22"/>
    <x v="8"/>
    <n v="7"/>
    <n v="50"/>
    <n v="57"/>
    <s v="Weekday"/>
  </r>
  <r>
    <n v="541"/>
    <x v="23"/>
    <x v="16"/>
    <x v="0"/>
    <x v="2"/>
    <x v="0"/>
    <x v="13"/>
    <n v="0.1515"/>
    <x v="19"/>
    <x v="2"/>
    <n v="4"/>
    <n v="66"/>
    <n v="70"/>
    <s v="Weekday"/>
  </r>
  <r>
    <n v="542"/>
    <x v="23"/>
    <x v="17"/>
    <x v="0"/>
    <x v="2"/>
    <x v="0"/>
    <x v="14"/>
    <n v="0.1212"/>
    <x v="20"/>
    <x v="2"/>
    <n v="6"/>
    <n v="178"/>
    <n v="184"/>
    <s v="Weekday"/>
  </r>
  <r>
    <n v="543"/>
    <x v="23"/>
    <x v="18"/>
    <x v="0"/>
    <x v="2"/>
    <x v="0"/>
    <x v="14"/>
    <n v="0.13639999999999999"/>
    <x v="29"/>
    <x v="5"/>
    <n v="8"/>
    <n v="145"/>
    <n v="153"/>
    <s v="Weekday"/>
  </r>
  <r>
    <n v="544"/>
    <x v="23"/>
    <x v="19"/>
    <x v="0"/>
    <x v="2"/>
    <x v="0"/>
    <x v="14"/>
    <n v="0.1515"/>
    <x v="47"/>
    <x v="8"/>
    <n v="5"/>
    <n v="101"/>
    <n v="106"/>
    <s v="Weekday"/>
  </r>
  <r>
    <n v="545"/>
    <x v="23"/>
    <x v="20"/>
    <x v="0"/>
    <x v="2"/>
    <x v="0"/>
    <x v="14"/>
    <n v="0.13639999999999999"/>
    <x v="29"/>
    <x v="5"/>
    <n v="1"/>
    <n v="80"/>
    <n v="81"/>
    <s v="Weekday"/>
  </r>
  <r>
    <n v="546"/>
    <x v="23"/>
    <x v="21"/>
    <x v="0"/>
    <x v="2"/>
    <x v="0"/>
    <x v="14"/>
    <n v="0.1515"/>
    <x v="30"/>
    <x v="8"/>
    <n v="6"/>
    <n v="53"/>
    <n v="59"/>
    <s v="Weekday"/>
  </r>
  <r>
    <n v="547"/>
    <x v="23"/>
    <x v="22"/>
    <x v="0"/>
    <x v="2"/>
    <x v="1"/>
    <x v="14"/>
    <n v="0.13639999999999999"/>
    <x v="30"/>
    <x v="6"/>
    <n v="3"/>
    <n v="32"/>
    <n v="35"/>
    <s v="Weekday"/>
  </r>
  <r>
    <n v="548"/>
    <x v="23"/>
    <x v="23"/>
    <x v="0"/>
    <x v="2"/>
    <x v="1"/>
    <x v="13"/>
    <n v="0.1515"/>
    <x v="26"/>
    <x v="2"/>
    <n v="3"/>
    <n v="21"/>
    <n v="24"/>
    <s v="Weekday"/>
  </r>
  <r>
    <n v="549"/>
    <x v="24"/>
    <x v="0"/>
    <x v="0"/>
    <x v="3"/>
    <x v="1"/>
    <x v="13"/>
    <n v="0.13639999999999999"/>
    <x v="27"/>
    <x v="3"/>
    <n v="3"/>
    <n v="6"/>
    <n v="9"/>
    <s v="Weekday"/>
  </r>
  <r>
    <n v="550"/>
    <x v="24"/>
    <x v="1"/>
    <x v="0"/>
    <x v="3"/>
    <x v="1"/>
    <x v="13"/>
    <n v="0.16669999999999999"/>
    <x v="27"/>
    <x v="8"/>
    <n v="0"/>
    <n v="5"/>
    <n v="5"/>
    <s v="Weekday"/>
  </r>
  <r>
    <n v="551"/>
    <x v="24"/>
    <x v="2"/>
    <x v="0"/>
    <x v="3"/>
    <x v="0"/>
    <x v="13"/>
    <n v="0.1515"/>
    <x v="27"/>
    <x v="6"/>
    <n v="0"/>
    <n v="2"/>
    <n v="2"/>
    <s v="Weekday"/>
  </r>
  <r>
    <n v="552"/>
    <x v="24"/>
    <x v="4"/>
    <x v="0"/>
    <x v="3"/>
    <x v="0"/>
    <x v="14"/>
    <n v="0.16669999999999999"/>
    <x v="32"/>
    <x v="14"/>
    <n v="0"/>
    <n v="1"/>
    <n v="1"/>
    <s v="Weekday"/>
  </r>
  <r>
    <n v="553"/>
    <x v="24"/>
    <x v="5"/>
    <x v="0"/>
    <x v="3"/>
    <x v="0"/>
    <x v="14"/>
    <n v="0.13639999999999999"/>
    <x v="32"/>
    <x v="6"/>
    <n v="0"/>
    <n v="9"/>
    <n v="9"/>
    <s v="Weekday"/>
  </r>
  <r>
    <n v="554"/>
    <x v="24"/>
    <x v="6"/>
    <x v="0"/>
    <x v="3"/>
    <x v="0"/>
    <x v="13"/>
    <n v="0.18179999999999999"/>
    <x v="32"/>
    <x v="14"/>
    <n v="1"/>
    <n v="35"/>
    <n v="36"/>
    <s v="Weekday"/>
  </r>
  <r>
    <n v="555"/>
    <x v="24"/>
    <x v="7"/>
    <x v="0"/>
    <x v="3"/>
    <x v="0"/>
    <x v="13"/>
    <n v="0.1515"/>
    <x v="32"/>
    <x v="6"/>
    <n v="5"/>
    <n v="103"/>
    <n v="108"/>
    <s v="Weekday"/>
  </r>
  <r>
    <n v="556"/>
    <x v="24"/>
    <x v="8"/>
    <x v="0"/>
    <x v="3"/>
    <x v="1"/>
    <x v="13"/>
    <n v="0.18179999999999999"/>
    <x v="32"/>
    <x v="7"/>
    <n v="5"/>
    <n v="233"/>
    <n v="238"/>
    <s v="Weekday"/>
  </r>
  <r>
    <n v="557"/>
    <x v="24"/>
    <x v="9"/>
    <x v="0"/>
    <x v="3"/>
    <x v="1"/>
    <x v="2"/>
    <n v="0.2273"/>
    <x v="26"/>
    <x v="1"/>
    <n v="10"/>
    <n v="134"/>
    <n v="144"/>
    <s v="Weekday"/>
  </r>
  <r>
    <n v="558"/>
    <x v="24"/>
    <x v="10"/>
    <x v="0"/>
    <x v="3"/>
    <x v="1"/>
    <x v="1"/>
    <n v="0.2424"/>
    <x v="54"/>
    <x v="14"/>
    <n v="6"/>
    <n v="49"/>
    <n v="55"/>
    <s v="Weekday"/>
  </r>
  <r>
    <n v="559"/>
    <x v="24"/>
    <x v="11"/>
    <x v="0"/>
    <x v="3"/>
    <x v="1"/>
    <x v="0"/>
    <n v="0.2424"/>
    <x v="54"/>
    <x v="7"/>
    <n v="6"/>
    <n v="55"/>
    <n v="61"/>
    <s v="Weekday"/>
  </r>
  <r>
    <n v="560"/>
    <x v="24"/>
    <x v="12"/>
    <x v="0"/>
    <x v="3"/>
    <x v="1"/>
    <x v="12"/>
    <n v="0.28789999999999999"/>
    <x v="34"/>
    <x v="1"/>
    <n v="21"/>
    <n v="85"/>
    <n v="106"/>
    <s v="Weekday"/>
  </r>
  <r>
    <n v="561"/>
    <x v="24"/>
    <x v="13"/>
    <x v="0"/>
    <x v="3"/>
    <x v="1"/>
    <x v="12"/>
    <n v="0.2727"/>
    <x v="34"/>
    <x v="7"/>
    <n v="21"/>
    <n v="72"/>
    <n v="93"/>
    <s v="Weekday"/>
  </r>
  <r>
    <n v="562"/>
    <x v="24"/>
    <x v="14"/>
    <x v="0"/>
    <x v="3"/>
    <x v="1"/>
    <x v="11"/>
    <n v="0.33329999999999999"/>
    <x v="49"/>
    <x v="0"/>
    <n v="11"/>
    <n v="57"/>
    <n v="68"/>
    <s v="Weekday"/>
  </r>
  <r>
    <n v="563"/>
    <x v="24"/>
    <x v="15"/>
    <x v="0"/>
    <x v="3"/>
    <x v="1"/>
    <x v="3"/>
    <n v="0.34849999999999998"/>
    <x v="16"/>
    <x v="0"/>
    <n v="21"/>
    <n v="63"/>
    <n v="84"/>
    <s v="Weekday"/>
  </r>
  <r>
    <n v="564"/>
    <x v="24"/>
    <x v="16"/>
    <x v="0"/>
    <x v="3"/>
    <x v="1"/>
    <x v="3"/>
    <n v="0.34849999999999998"/>
    <x v="16"/>
    <x v="0"/>
    <n v="14"/>
    <n v="102"/>
    <n v="116"/>
    <s v="Weekday"/>
  </r>
  <r>
    <n v="565"/>
    <x v="24"/>
    <x v="17"/>
    <x v="0"/>
    <x v="3"/>
    <x v="0"/>
    <x v="11"/>
    <n v="0.33329999999999999"/>
    <x v="49"/>
    <x v="0"/>
    <n v="14"/>
    <n v="208"/>
    <n v="222"/>
    <s v="Weekday"/>
  </r>
  <r>
    <n v="566"/>
    <x v="24"/>
    <x v="18"/>
    <x v="0"/>
    <x v="3"/>
    <x v="1"/>
    <x v="11"/>
    <n v="0.31819999999999998"/>
    <x v="36"/>
    <x v="1"/>
    <n v="7"/>
    <n v="218"/>
    <n v="225"/>
    <s v="Weekday"/>
  </r>
  <r>
    <n v="567"/>
    <x v="24"/>
    <x v="19"/>
    <x v="0"/>
    <x v="3"/>
    <x v="1"/>
    <x v="12"/>
    <n v="0.2576"/>
    <x v="55"/>
    <x v="8"/>
    <n v="13"/>
    <n v="133"/>
    <n v="146"/>
    <s v="Weekday"/>
  </r>
  <r>
    <n v="568"/>
    <x v="24"/>
    <x v="20"/>
    <x v="0"/>
    <x v="3"/>
    <x v="0"/>
    <x v="0"/>
    <n v="0.2273"/>
    <x v="55"/>
    <x v="5"/>
    <n v="16"/>
    <n v="103"/>
    <n v="119"/>
    <s v="Weekday"/>
  </r>
  <r>
    <n v="569"/>
    <x v="24"/>
    <x v="21"/>
    <x v="0"/>
    <x v="3"/>
    <x v="0"/>
    <x v="0"/>
    <n v="0.2273"/>
    <x v="55"/>
    <x v="5"/>
    <n v="5"/>
    <n v="40"/>
    <n v="45"/>
    <s v="Weekday"/>
  </r>
  <r>
    <n v="570"/>
    <x v="24"/>
    <x v="22"/>
    <x v="0"/>
    <x v="3"/>
    <x v="0"/>
    <x v="1"/>
    <n v="0.2273"/>
    <x v="26"/>
    <x v="8"/>
    <n v="4"/>
    <n v="49"/>
    <n v="53"/>
    <s v="Weekday"/>
  </r>
  <r>
    <n v="571"/>
    <x v="24"/>
    <x v="23"/>
    <x v="0"/>
    <x v="3"/>
    <x v="1"/>
    <x v="1"/>
    <n v="0.2273"/>
    <x v="26"/>
    <x v="8"/>
    <n v="3"/>
    <n v="37"/>
    <n v="40"/>
    <s v="Weekday"/>
  </r>
  <r>
    <n v="572"/>
    <x v="25"/>
    <x v="0"/>
    <x v="0"/>
    <x v="4"/>
    <x v="1"/>
    <x v="1"/>
    <n v="0.2273"/>
    <x v="27"/>
    <x v="7"/>
    <n v="3"/>
    <n v="14"/>
    <n v="17"/>
    <s v="Weekday"/>
  </r>
  <r>
    <n v="573"/>
    <x v="25"/>
    <x v="1"/>
    <x v="0"/>
    <x v="4"/>
    <x v="1"/>
    <x v="0"/>
    <n v="0.2424"/>
    <x v="55"/>
    <x v="7"/>
    <n v="0"/>
    <n v="5"/>
    <n v="5"/>
    <s v="Weekday"/>
  </r>
  <r>
    <n v="574"/>
    <x v="25"/>
    <x v="2"/>
    <x v="0"/>
    <x v="4"/>
    <x v="2"/>
    <x v="1"/>
    <n v="0.2273"/>
    <x v="27"/>
    <x v="5"/>
    <n v="3"/>
    <n v="7"/>
    <n v="10"/>
    <s v="Weekday"/>
  </r>
  <r>
    <n v="575"/>
    <x v="25"/>
    <x v="5"/>
    <x v="0"/>
    <x v="4"/>
    <x v="2"/>
    <x v="2"/>
    <n v="0.18179999999999999"/>
    <x v="3"/>
    <x v="3"/>
    <n v="0"/>
    <n v="1"/>
    <n v="1"/>
    <s v="Weekday"/>
  </r>
  <r>
    <n v="576"/>
    <x v="25"/>
    <x v="6"/>
    <x v="0"/>
    <x v="4"/>
    <x v="2"/>
    <x v="2"/>
    <n v="0.18179999999999999"/>
    <x v="3"/>
    <x v="3"/>
    <n v="0"/>
    <n v="8"/>
    <n v="8"/>
    <s v="Weekday"/>
  </r>
  <r>
    <n v="577"/>
    <x v="25"/>
    <x v="7"/>
    <x v="0"/>
    <x v="4"/>
    <x v="2"/>
    <x v="1"/>
    <n v="0.21210000000000001"/>
    <x v="9"/>
    <x v="4"/>
    <n v="1"/>
    <n v="29"/>
    <n v="30"/>
    <s v="Weekday"/>
  </r>
  <r>
    <n v="578"/>
    <x v="25"/>
    <x v="8"/>
    <x v="0"/>
    <x v="4"/>
    <x v="2"/>
    <x v="1"/>
    <n v="0.21210000000000001"/>
    <x v="9"/>
    <x v="4"/>
    <n v="3"/>
    <n v="69"/>
    <n v="72"/>
    <s v="Weekday"/>
  </r>
  <r>
    <n v="579"/>
    <x v="25"/>
    <x v="9"/>
    <x v="0"/>
    <x v="4"/>
    <x v="2"/>
    <x v="1"/>
    <n v="0.21210000000000001"/>
    <x v="9"/>
    <x v="4"/>
    <n v="3"/>
    <n v="55"/>
    <n v="58"/>
    <s v="Weekday"/>
  </r>
  <r>
    <n v="580"/>
    <x v="25"/>
    <x v="10"/>
    <x v="0"/>
    <x v="4"/>
    <x v="2"/>
    <x v="1"/>
    <n v="0.21210000000000001"/>
    <x v="43"/>
    <x v="3"/>
    <n v="2"/>
    <n v="26"/>
    <n v="28"/>
    <s v="Weekday"/>
  </r>
  <r>
    <n v="581"/>
    <x v="25"/>
    <x v="11"/>
    <x v="0"/>
    <x v="4"/>
    <x v="2"/>
    <x v="1"/>
    <n v="0.19700000000000001"/>
    <x v="43"/>
    <x v="9"/>
    <n v="6"/>
    <n v="35"/>
    <n v="41"/>
    <s v="Weekday"/>
  </r>
  <r>
    <n v="582"/>
    <x v="25"/>
    <x v="12"/>
    <x v="0"/>
    <x v="4"/>
    <x v="2"/>
    <x v="1"/>
    <n v="0.19700000000000001"/>
    <x v="43"/>
    <x v="9"/>
    <n v="7"/>
    <n v="41"/>
    <n v="48"/>
    <s v="Weekday"/>
  </r>
  <r>
    <n v="583"/>
    <x v="25"/>
    <x v="13"/>
    <x v="0"/>
    <x v="4"/>
    <x v="2"/>
    <x v="1"/>
    <n v="0.19700000000000001"/>
    <x v="43"/>
    <x v="9"/>
    <n v="4"/>
    <n v="43"/>
    <n v="47"/>
    <s v="Weekday"/>
  </r>
  <r>
    <n v="584"/>
    <x v="25"/>
    <x v="14"/>
    <x v="0"/>
    <x v="4"/>
    <x v="2"/>
    <x v="1"/>
    <n v="0.19700000000000001"/>
    <x v="43"/>
    <x v="11"/>
    <n v="0"/>
    <n v="36"/>
    <n v="36"/>
    <s v="Weekday"/>
  </r>
  <r>
    <n v="585"/>
    <x v="25"/>
    <x v="15"/>
    <x v="0"/>
    <x v="4"/>
    <x v="2"/>
    <x v="1"/>
    <n v="0.18179999999999999"/>
    <x v="43"/>
    <x v="17"/>
    <n v="1"/>
    <n v="42"/>
    <n v="43"/>
    <s v="Weekday"/>
  </r>
  <r>
    <n v="586"/>
    <x v="25"/>
    <x v="16"/>
    <x v="0"/>
    <x v="4"/>
    <x v="3"/>
    <x v="1"/>
    <n v="0.19700000000000001"/>
    <x v="43"/>
    <x v="9"/>
    <n v="1"/>
    <n v="35"/>
    <n v="36"/>
    <s v="Weekday"/>
  </r>
  <r>
    <n v="587"/>
    <x v="25"/>
    <x v="17"/>
    <x v="0"/>
    <x v="4"/>
    <x v="2"/>
    <x v="2"/>
    <n v="0.18179999999999999"/>
    <x v="43"/>
    <x v="11"/>
    <n v="0"/>
    <n v="26"/>
    <n v="26"/>
    <s v="Weekday"/>
  </r>
  <r>
    <n v="588"/>
    <x v="26"/>
    <x v="16"/>
    <x v="0"/>
    <x v="5"/>
    <x v="0"/>
    <x v="1"/>
    <n v="0.2273"/>
    <x v="28"/>
    <x v="5"/>
    <n v="1"/>
    <n v="23"/>
    <n v="24"/>
    <s v="Weekday"/>
  </r>
  <r>
    <n v="589"/>
    <x v="26"/>
    <x v="17"/>
    <x v="0"/>
    <x v="5"/>
    <x v="0"/>
    <x v="1"/>
    <n v="0.2424"/>
    <x v="28"/>
    <x v="14"/>
    <n v="2"/>
    <n v="82"/>
    <n v="84"/>
    <s v="Weekday"/>
  </r>
  <r>
    <n v="590"/>
    <x v="26"/>
    <x v="18"/>
    <x v="0"/>
    <x v="5"/>
    <x v="0"/>
    <x v="2"/>
    <n v="0.2273"/>
    <x v="27"/>
    <x v="1"/>
    <n v="3"/>
    <n v="101"/>
    <n v="104"/>
    <s v="Weekday"/>
  </r>
  <r>
    <n v="591"/>
    <x v="26"/>
    <x v="19"/>
    <x v="0"/>
    <x v="5"/>
    <x v="0"/>
    <x v="2"/>
    <n v="0.2273"/>
    <x v="27"/>
    <x v="1"/>
    <n v="3"/>
    <n v="76"/>
    <n v="79"/>
    <s v="Weekday"/>
  </r>
  <r>
    <n v="592"/>
    <x v="26"/>
    <x v="20"/>
    <x v="0"/>
    <x v="5"/>
    <x v="0"/>
    <x v="15"/>
    <n v="0.21210000000000001"/>
    <x v="32"/>
    <x v="1"/>
    <n v="4"/>
    <n v="55"/>
    <n v="59"/>
    <s v="Weekday"/>
  </r>
  <r>
    <n v="593"/>
    <x v="26"/>
    <x v="21"/>
    <x v="0"/>
    <x v="5"/>
    <x v="0"/>
    <x v="15"/>
    <n v="0.21210000000000001"/>
    <x v="32"/>
    <x v="1"/>
    <n v="2"/>
    <n v="36"/>
    <n v="38"/>
    <s v="Weekday"/>
  </r>
  <r>
    <n v="594"/>
    <x v="26"/>
    <x v="22"/>
    <x v="0"/>
    <x v="5"/>
    <x v="0"/>
    <x v="15"/>
    <n v="0.21210000000000001"/>
    <x v="32"/>
    <x v="1"/>
    <n v="0"/>
    <n v="27"/>
    <n v="27"/>
    <s v="Weekday"/>
  </r>
  <r>
    <n v="595"/>
    <x v="26"/>
    <x v="23"/>
    <x v="0"/>
    <x v="5"/>
    <x v="0"/>
    <x v="15"/>
    <n v="0.19700000000000001"/>
    <x v="1"/>
    <x v="8"/>
    <n v="0"/>
    <n v="16"/>
    <n v="16"/>
    <s v="Weekday"/>
  </r>
  <r>
    <n v="596"/>
    <x v="27"/>
    <x v="0"/>
    <x v="0"/>
    <x v="6"/>
    <x v="1"/>
    <x v="2"/>
    <n v="0.21210000000000001"/>
    <x v="2"/>
    <x v="7"/>
    <n v="0"/>
    <n v="9"/>
    <n v="9"/>
    <s v="Weekday"/>
  </r>
  <r>
    <n v="597"/>
    <x v="27"/>
    <x v="1"/>
    <x v="0"/>
    <x v="6"/>
    <x v="1"/>
    <x v="2"/>
    <n v="0.21210000000000001"/>
    <x v="2"/>
    <x v="7"/>
    <n v="1"/>
    <n v="2"/>
    <n v="3"/>
    <s v="Weekday"/>
  </r>
  <r>
    <n v="598"/>
    <x v="27"/>
    <x v="2"/>
    <x v="0"/>
    <x v="6"/>
    <x v="1"/>
    <x v="2"/>
    <n v="0.21210000000000001"/>
    <x v="2"/>
    <x v="8"/>
    <n v="0"/>
    <n v="2"/>
    <n v="2"/>
    <s v="Weekday"/>
  </r>
  <r>
    <n v="599"/>
    <x v="27"/>
    <x v="3"/>
    <x v="0"/>
    <x v="6"/>
    <x v="1"/>
    <x v="2"/>
    <n v="0.2273"/>
    <x v="2"/>
    <x v="14"/>
    <n v="1"/>
    <n v="0"/>
    <n v="1"/>
    <s v="Weekday"/>
  </r>
  <r>
    <n v="600"/>
    <x v="27"/>
    <x v="5"/>
    <x v="0"/>
    <x v="6"/>
    <x v="1"/>
    <x v="15"/>
    <n v="0.21210000000000001"/>
    <x v="1"/>
    <x v="14"/>
    <n v="0"/>
    <n v="4"/>
    <n v="4"/>
    <s v="Weekday"/>
  </r>
  <r>
    <n v="601"/>
    <x v="27"/>
    <x v="6"/>
    <x v="0"/>
    <x v="6"/>
    <x v="1"/>
    <x v="15"/>
    <n v="0.19700000000000001"/>
    <x v="1"/>
    <x v="7"/>
    <n v="0"/>
    <n v="16"/>
    <n v="16"/>
    <s v="Weekday"/>
  </r>
  <r>
    <n v="602"/>
    <x v="27"/>
    <x v="7"/>
    <x v="0"/>
    <x v="6"/>
    <x v="1"/>
    <x v="13"/>
    <n v="0.19700000000000001"/>
    <x v="3"/>
    <x v="1"/>
    <n v="2"/>
    <n v="58"/>
    <n v="60"/>
    <s v="Weekday"/>
  </r>
  <r>
    <n v="603"/>
    <x v="27"/>
    <x v="8"/>
    <x v="0"/>
    <x v="6"/>
    <x v="1"/>
    <x v="13"/>
    <n v="0.19700000000000001"/>
    <x v="3"/>
    <x v="1"/>
    <n v="2"/>
    <n v="155"/>
    <n v="157"/>
    <s v="Weekday"/>
  </r>
  <r>
    <n v="604"/>
    <x v="27"/>
    <x v="9"/>
    <x v="0"/>
    <x v="6"/>
    <x v="2"/>
    <x v="15"/>
    <n v="0.21210000000000001"/>
    <x v="3"/>
    <x v="1"/>
    <n v="6"/>
    <n v="95"/>
    <n v="101"/>
    <s v="Weekday"/>
  </r>
  <r>
    <n v="605"/>
    <x v="27"/>
    <x v="10"/>
    <x v="0"/>
    <x v="6"/>
    <x v="2"/>
    <x v="15"/>
    <n v="0.21210000000000001"/>
    <x v="3"/>
    <x v="14"/>
    <n v="0"/>
    <n v="49"/>
    <n v="49"/>
    <s v="Weekday"/>
  </r>
  <r>
    <n v="606"/>
    <x v="27"/>
    <x v="11"/>
    <x v="0"/>
    <x v="6"/>
    <x v="2"/>
    <x v="15"/>
    <n v="0.21210000000000001"/>
    <x v="43"/>
    <x v="14"/>
    <n v="0"/>
    <n v="30"/>
    <n v="30"/>
    <s v="Weekday"/>
  </r>
  <r>
    <n v="607"/>
    <x v="27"/>
    <x v="12"/>
    <x v="0"/>
    <x v="6"/>
    <x v="2"/>
    <x v="15"/>
    <n v="0.21210000000000001"/>
    <x v="43"/>
    <x v="14"/>
    <n v="1"/>
    <n v="28"/>
    <n v="29"/>
    <s v="Weekday"/>
  </r>
  <r>
    <n v="608"/>
    <x v="27"/>
    <x v="13"/>
    <x v="0"/>
    <x v="6"/>
    <x v="2"/>
    <x v="15"/>
    <n v="0.21210000000000001"/>
    <x v="43"/>
    <x v="14"/>
    <n v="0"/>
    <n v="31"/>
    <n v="31"/>
    <s v="Weekday"/>
  </r>
  <r>
    <n v="609"/>
    <x v="27"/>
    <x v="14"/>
    <x v="0"/>
    <x v="6"/>
    <x v="2"/>
    <x v="1"/>
    <n v="0.2727"/>
    <x v="1"/>
    <x v="0"/>
    <n v="2"/>
    <n v="36"/>
    <n v="38"/>
    <s v="Weekday"/>
  </r>
  <r>
    <n v="610"/>
    <x v="27"/>
    <x v="15"/>
    <x v="0"/>
    <x v="6"/>
    <x v="1"/>
    <x v="2"/>
    <n v="0.2576"/>
    <x v="3"/>
    <x v="0"/>
    <n v="1"/>
    <n v="40"/>
    <n v="41"/>
    <s v="Weekday"/>
  </r>
  <r>
    <n v="611"/>
    <x v="27"/>
    <x v="16"/>
    <x v="0"/>
    <x v="6"/>
    <x v="0"/>
    <x v="1"/>
    <n v="0.2727"/>
    <x v="1"/>
    <x v="0"/>
    <n v="10"/>
    <n v="70"/>
    <n v="80"/>
    <s v="Weekday"/>
  </r>
  <r>
    <n v="612"/>
    <x v="27"/>
    <x v="17"/>
    <x v="0"/>
    <x v="6"/>
    <x v="0"/>
    <x v="0"/>
    <n v="0.2424"/>
    <x v="2"/>
    <x v="7"/>
    <n v="2"/>
    <n v="147"/>
    <n v="149"/>
    <s v="Weekday"/>
  </r>
  <r>
    <n v="613"/>
    <x v="27"/>
    <x v="18"/>
    <x v="0"/>
    <x v="6"/>
    <x v="0"/>
    <x v="0"/>
    <n v="0.2273"/>
    <x v="2"/>
    <x v="5"/>
    <n v="2"/>
    <n v="107"/>
    <n v="109"/>
    <s v="Weekday"/>
  </r>
  <r>
    <n v="614"/>
    <x v="27"/>
    <x v="19"/>
    <x v="0"/>
    <x v="6"/>
    <x v="1"/>
    <x v="0"/>
    <n v="0.2424"/>
    <x v="2"/>
    <x v="7"/>
    <n v="5"/>
    <n v="84"/>
    <n v="89"/>
    <s v="Weekday"/>
  </r>
  <r>
    <n v="615"/>
    <x v="27"/>
    <x v="20"/>
    <x v="0"/>
    <x v="6"/>
    <x v="1"/>
    <x v="0"/>
    <n v="0.2273"/>
    <x v="56"/>
    <x v="5"/>
    <n v="1"/>
    <n v="61"/>
    <n v="62"/>
    <s v="Weekday"/>
  </r>
  <r>
    <n v="616"/>
    <x v="27"/>
    <x v="21"/>
    <x v="0"/>
    <x v="6"/>
    <x v="1"/>
    <x v="1"/>
    <n v="0.2273"/>
    <x v="2"/>
    <x v="7"/>
    <n v="1"/>
    <n v="57"/>
    <n v="58"/>
    <s v="Weekday"/>
  </r>
  <r>
    <n v="617"/>
    <x v="27"/>
    <x v="22"/>
    <x v="0"/>
    <x v="6"/>
    <x v="0"/>
    <x v="0"/>
    <n v="0.21210000000000001"/>
    <x v="55"/>
    <x v="11"/>
    <n v="0"/>
    <n v="26"/>
    <n v="26"/>
    <s v="Weekday"/>
  </r>
  <r>
    <n v="618"/>
    <x v="27"/>
    <x v="23"/>
    <x v="0"/>
    <x v="6"/>
    <x v="0"/>
    <x v="0"/>
    <n v="0.2273"/>
    <x v="54"/>
    <x v="6"/>
    <n v="1"/>
    <n v="22"/>
    <n v="23"/>
    <s v="Weekday"/>
  </r>
  <r>
    <n v="619"/>
    <x v="28"/>
    <x v="0"/>
    <x v="0"/>
    <x v="0"/>
    <x v="0"/>
    <x v="1"/>
    <n v="0.19700000000000001"/>
    <x v="26"/>
    <x v="11"/>
    <n v="2"/>
    <n v="26"/>
    <n v="28"/>
    <s v="Weekend"/>
  </r>
  <r>
    <n v="620"/>
    <x v="28"/>
    <x v="1"/>
    <x v="0"/>
    <x v="0"/>
    <x v="0"/>
    <x v="1"/>
    <n v="0.2273"/>
    <x v="26"/>
    <x v="5"/>
    <n v="0"/>
    <n v="20"/>
    <n v="20"/>
    <s v="Weekend"/>
  </r>
  <r>
    <n v="621"/>
    <x v="28"/>
    <x v="2"/>
    <x v="0"/>
    <x v="0"/>
    <x v="0"/>
    <x v="1"/>
    <n v="0.2273"/>
    <x v="26"/>
    <x v="8"/>
    <n v="0"/>
    <n v="15"/>
    <n v="15"/>
    <s v="Weekend"/>
  </r>
  <r>
    <n v="622"/>
    <x v="28"/>
    <x v="3"/>
    <x v="0"/>
    <x v="0"/>
    <x v="0"/>
    <x v="2"/>
    <n v="0.21210000000000001"/>
    <x v="26"/>
    <x v="7"/>
    <n v="3"/>
    <n v="5"/>
    <n v="8"/>
    <s v="Weekend"/>
  </r>
  <r>
    <n v="623"/>
    <x v="28"/>
    <x v="4"/>
    <x v="0"/>
    <x v="0"/>
    <x v="0"/>
    <x v="13"/>
    <n v="0.18179999999999999"/>
    <x v="27"/>
    <x v="14"/>
    <n v="1"/>
    <n v="2"/>
    <n v="3"/>
    <s v="Weekend"/>
  </r>
  <r>
    <n v="624"/>
    <x v="28"/>
    <x v="6"/>
    <x v="0"/>
    <x v="0"/>
    <x v="0"/>
    <x v="13"/>
    <n v="0.18179999999999999"/>
    <x v="26"/>
    <x v="7"/>
    <n v="0"/>
    <n v="2"/>
    <n v="2"/>
    <s v="Weekend"/>
  </r>
  <r>
    <n v="625"/>
    <x v="28"/>
    <x v="7"/>
    <x v="0"/>
    <x v="0"/>
    <x v="0"/>
    <x v="13"/>
    <n v="0.18179999999999999"/>
    <x v="29"/>
    <x v="14"/>
    <n v="1"/>
    <n v="4"/>
    <n v="5"/>
    <s v="Weekend"/>
  </r>
  <r>
    <n v="626"/>
    <x v="28"/>
    <x v="8"/>
    <x v="0"/>
    <x v="0"/>
    <x v="0"/>
    <x v="15"/>
    <n v="0.19700000000000001"/>
    <x v="28"/>
    <x v="8"/>
    <n v="3"/>
    <n v="31"/>
    <n v="34"/>
    <s v="Weekend"/>
  </r>
  <r>
    <n v="627"/>
    <x v="28"/>
    <x v="9"/>
    <x v="0"/>
    <x v="0"/>
    <x v="0"/>
    <x v="15"/>
    <n v="0.21210000000000001"/>
    <x v="29"/>
    <x v="1"/>
    <n v="0"/>
    <n v="34"/>
    <n v="34"/>
    <s v="Weekend"/>
  </r>
  <r>
    <n v="628"/>
    <x v="28"/>
    <x v="10"/>
    <x v="0"/>
    <x v="0"/>
    <x v="1"/>
    <x v="15"/>
    <n v="0.21210000000000001"/>
    <x v="26"/>
    <x v="14"/>
    <n v="4"/>
    <n v="51"/>
    <n v="55"/>
    <s v="Weekend"/>
  </r>
  <r>
    <n v="629"/>
    <x v="28"/>
    <x v="11"/>
    <x v="0"/>
    <x v="0"/>
    <x v="1"/>
    <x v="15"/>
    <n v="0.19700000000000001"/>
    <x v="26"/>
    <x v="7"/>
    <n v="4"/>
    <n v="60"/>
    <n v="64"/>
    <s v="Weekend"/>
  </r>
  <r>
    <n v="630"/>
    <x v="28"/>
    <x v="12"/>
    <x v="0"/>
    <x v="0"/>
    <x v="1"/>
    <x v="2"/>
    <n v="0.19700000000000001"/>
    <x v="29"/>
    <x v="5"/>
    <n v="12"/>
    <n v="66"/>
    <n v="78"/>
    <s v="Weekend"/>
  </r>
  <r>
    <n v="631"/>
    <x v="28"/>
    <x v="13"/>
    <x v="0"/>
    <x v="0"/>
    <x v="1"/>
    <x v="1"/>
    <n v="0.2273"/>
    <x v="28"/>
    <x v="8"/>
    <n v="9"/>
    <n v="56"/>
    <n v="65"/>
    <s v="Weekend"/>
  </r>
  <r>
    <n v="632"/>
    <x v="28"/>
    <x v="14"/>
    <x v="0"/>
    <x v="0"/>
    <x v="1"/>
    <x v="1"/>
    <n v="0.2273"/>
    <x v="54"/>
    <x v="7"/>
    <n v="10"/>
    <n v="89"/>
    <n v="99"/>
    <s v="Weekend"/>
  </r>
  <r>
    <n v="633"/>
    <x v="28"/>
    <x v="15"/>
    <x v="0"/>
    <x v="0"/>
    <x v="0"/>
    <x v="1"/>
    <n v="0.21210000000000001"/>
    <x v="27"/>
    <x v="2"/>
    <n v="22"/>
    <n v="98"/>
    <n v="120"/>
    <s v="Weekend"/>
  </r>
  <r>
    <n v="634"/>
    <x v="28"/>
    <x v="16"/>
    <x v="0"/>
    <x v="0"/>
    <x v="0"/>
    <x v="0"/>
    <n v="0.2424"/>
    <x v="54"/>
    <x v="8"/>
    <n v="19"/>
    <n v="88"/>
    <n v="107"/>
    <s v="Weekend"/>
  </r>
  <r>
    <n v="635"/>
    <x v="28"/>
    <x v="17"/>
    <x v="0"/>
    <x v="0"/>
    <x v="0"/>
    <x v="0"/>
    <n v="0.28789999999999999"/>
    <x v="54"/>
    <x v="0"/>
    <n v="9"/>
    <n v="82"/>
    <n v="91"/>
    <s v="Weekend"/>
  </r>
  <r>
    <n v="636"/>
    <x v="28"/>
    <x v="18"/>
    <x v="0"/>
    <x v="0"/>
    <x v="0"/>
    <x v="1"/>
    <n v="0.2273"/>
    <x v="27"/>
    <x v="7"/>
    <n v="9"/>
    <n v="59"/>
    <n v="68"/>
    <s v="Weekend"/>
  </r>
  <r>
    <n v="637"/>
    <x v="28"/>
    <x v="19"/>
    <x v="0"/>
    <x v="0"/>
    <x v="1"/>
    <x v="1"/>
    <n v="0.21210000000000001"/>
    <x v="27"/>
    <x v="2"/>
    <n v="6"/>
    <n v="52"/>
    <n v="58"/>
    <s v="Weekend"/>
  </r>
  <r>
    <n v="638"/>
    <x v="28"/>
    <x v="20"/>
    <x v="0"/>
    <x v="0"/>
    <x v="0"/>
    <x v="15"/>
    <n v="0.21210000000000001"/>
    <x v="32"/>
    <x v="1"/>
    <n v="1"/>
    <n v="42"/>
    <n v="43"/>
    <s v="Weekend"/>
  </r>
  <r>
    <n v="639"/>
    <x v="28"/>
    <x v="21"/>
    <x v="0"/>
    <x v="0"/>
    <x v="0"/>
    <x v="15"/>
    <n v="0.21210000000000001"/>
    <x v="32"/>
    <x v="1"/>
    <n v="1"/>
    <n v="35"/>
    <n v="36"/>
    <s v="Weekend"/>
  </r>
  <r>
    <n v="640"/>
    <x v="28"/>
    <x v="22"/>
    <x v="0"/>
    <x v="0"/>
    <x v="0"/>
    <x v="13"/>
    <n v="0.19700000000000001"/>
    <x v="1"/>
    <x v="1"/>
    <n v="4"/>
    <n v="28"/>
    <n v="32"/>
    <s v="Weekend"/>
  </r>
  <r>
    <n v="641"/>
    <x v="28"/>
    <x v="23"/>
    <x v="0"/>
    <x v="0"/>
    <x v="0"/>
    <x v="13"/>
    <n v="0.19700000000000001"/>
    <x v="1"/>
    <x v="1"/>
    <n v="3"/>
    <n v="30"/>
    <n v="33"/>
    <s v="Weekend"/>
  </r>
  <r>
    <n v="642"/>
    <x v="29"/>
    <x v="0"/>
    <x v="0"/>
    <x v="1"/>
    <x v="0"/>
    <x v="13"/>
    <n v="0.18179999999999999"/>
    <x v="1"/>
    <x v="14"/>
    <n v="0"/>
    <n v="33"/>
    <n v="33"/>
    <s v="Weekend"/>
  </r>
  <r>
    <n v="643"/>
    <x v="29"/>
    <x v="1"/>
    <x v="0"/>
    <x v="1"/>
    <x v="0"/>
    <x v="14"/>
    <n v="0.21210000000000001"/>
    <x v="1"/>
    <x v="0"/>
    <n v="7"/>
    <n v="22"/>
    <n v="29"/>
    <s v="Weekend"/>
  </r>
  <r>
    <n v="644"/>
    <x v="29"/>
    <x v="2"/>
    <x v="0"/>
    <x v="1"/>
    <x v="0"/>
    <x v="13"/>
    <n v="0.2273"/>
    <x v="1"/>
    <x v="0"/>
    <n v="1"/>
    <n v="10"/>
    <n v="11"/>
    <s v="Weekend"/>
  </r>
  <r>
    <n v="645"/>
    <x v="29"/>
    <x v="3"/>
    <x v="0"/>
    <x v="1"/>
    <x v="0"/>
    <x v="14"/>
    <n v="0.21210000000000001"/>
    <x v="43"/>
    <x v="0"/>
    <n v="1"/>
    <n v="7"/>
    <n v="8"/>
    <s v="Weekend"/>
  </r>
  <r>
    <n v="646"/>
    <x v="29"/>
    <x v="4"/>
    <x v="0"/>
    <x v="1"/>
    <x v="0"/>
    <x v="14"/>
    <n v="0.21210000000000001"/>
    <x v="43"/>
    <x v="0"/>
    <n v="0"/>
    <n v="1"/>
    <n v="1"/>
    <s v="Weekend"/>
  </r>
  <r>
    <n v="647"/>
    <x v="29"/>
    <x v="5"/>
    <x v="0"/>
    <x v="1"/>
    <x v="0"/>
    <x v="14"/>
    <n v="0.21210000000000001"/>
    <x v="3"/>
    <x v="0"/>
    <n v="0"/>
    <n v="3"/>
    <n v="3"/>
    <s v="Weekend"/>
  </r>
  <r>
    <n v="648"/>
    <x v="29"/>
    <x v="7"/>
    <x v="0"/>
    <x v="1"/>
    <x v="0"/>
    <x v="14"/>
    <n v="0.21210000000000001"/>
    <x v="3"/>
    <x v="0"/>
    <n v="0"/>
    <n v="3"/>
    <n v="3"/>
    <s v="Weekend"/>
  </r>
  <r>
    <n v="649"/>
    <x v="29"/>
    <x v="8"/>
    <x v="0"/>
    <x v="1"/>
    <x v="1"/>
    <x v="14"/>
    <n v="0.21210000000000001"/>
    <x v="3"/>
    <x v="0"/>
    <n v="1"/>
    <n v="11"/>
    <n v="12"/>
    <s v="Weekend"/>
  </r>
  <r>
    <n v="650"/>
    <x v="29"/>
    <x v="9"/>
    <x v="0"/>
    <x v="1"/>
    <x v="1"/>
    <x v="13"/>
    <n v="0.2273"/>
    <x v="1"/>
    <x v="0"/>
    <n v="4"/>
    <n v="34"/>
    <n v="38"/>
    <s v="Weekend"/>
  </r>
  <r>
    <n v="651"/>
    <x v="29"/>
    <x v="10"/>
    <x v="0"/>
    <x v="1"/>
    <x v="1"/>
    <x v="15"/>
    <n v="0.2424"/>
    <x v="1"/>
    <x v="0"/>
    <n v="7"/>
    <n v="57"/>
    <n v="64"/>
    <s v="Weekend"/>
  </r>
  <r>
    <n v="652"/>
    <x v="29"/>
    <x v="11"/>
    <x v="0"/>
    <x v="1"/>
    <x v="0"/>
    <x v="1"/>
    <n v="0.2727"/>
    <x v="2"/>
    <x v="0"/>
    <n v="9"/>
    <n v="50"/>
    <n v="59"/>
    <s v="Weekend"/>
  </r>
  <r>
    <n v="653"/>
    <x v="29"/>
    <x v="12"/>
    <x v="0"/>
    <x v="1"/>
    <x v="0"/>
    <x v="11"/>
    <n v="0.31819999999999998"/>
    <x v="35"/>
    <x v="14"/>
    <n v="10"/>
    <n v="87"/>
    <n v="97"/>
    <s v="Weekend"/>
  </r>
  <r>
    <n v="654"/>
    <x v="29"/>
    <x v="13"/>
    <x v="0"/>
    <x v="1"/>
    <x v="0"/>
    <x v="17"/>
    <n v="0.28789999999999999"/>
    <x v="53"/>
    <x v="14"/>
    <n v="13"/>
    <n v="71"/>
    <n v="84"/>
    <s v="Weekend"/>
  </r>
  <r>
    <n v="655"/>
    <x v="29"/>
    <x v="14"/>
    <x v="0"/>
    <x v="1"/>
    <x v="0"/>
    <x v="17"/>
    <n v="0.30299999999999999"/>
    <x v="53"/>
    <x v="1"/>
    <n v="18"/>
    <n v="104"/>
    <n v="122"/>
    <s v="Weekend"/>
  </r>
  <r>
    <n v="656"/>
    <x v="29"/>
    <x v="15"/>
    <x v="0"/>
    <x v="1"/>
    <x v="0"/>
    <x v="11"/>
    <n v="0.33329999999999999"/>
    <x v="34"/>
    <x v="0"/>
    <n v="14"/>
    <n v="95"/>
    <n v="109"/>
    <s v="Weekend"/>
  </r>
  <r>
    <n v="657"/>
    <x v="29"/>
    <x v="16"/>
    <x v="0"/>
    <x v="1"/>
    <x v="0"/>
    <x v="11"/>
    <n v="0.33329999999999999"/>
    <x v="34"/>
    <x v="0"/>
    <n v="19"/>
    <n v="104"/>
    <n v="123"/>
    <s v="Weekend"/>
  </r>
  <r>
    <n v="658"/>
    <x v="29"/>
    <x v="17"/>
    <x v="0"/>
    <x v="1"/>
    <x v="0"/>
    <x v="11"/>
    <n v="0.28789999999999999"/>
    <x v="34"/>
    <x v="5"/>
    <n v="6"/>
    <n v="71"/>
    <n v="77"/>
    <s v="Weekend"/>
  </r>
  <r>
    <n v="659"/>
    <x v="29"/>
    <x v="18"/>
    <x v="0"/>
    <x v="1"/>
    <x v="0"/>
    <x v="12"/>
    <n v="0.2576"/>
    <x v="55"/>
    <x v="8"/>
    <n v="8"/>
    <n v="57"/>
    <n v="65"/>
    <s v="Weekend"/>
  </r>
  <r>
    <n v="660"/>
    <x v="29"/>
    <x v="19"/>
    <x v="0"/>
    <x v="1"/>
    <x v="0"/>
    <x v="12"/>
    <n v="0.2576"/>
    <x v="55"/>
    <x v="5"/>
    <n v="9"/>
    <n v="46"/>
    <n v="55"/>
    <s v="Weekend"/>
  </r>
  <r>
    <n v="661"/>
    <x v="29"/>
    <x v="20"/>
    <x v="0"/>
    <x v="1"/>
    <x v="1"/>
    <x v="12"/>
    <n v="0.2727"/>
    <x v="55"/>
    <x v="14"/>
    <n v="3"/>
    <n v="30"/>
    <n v="33"/>
    <s v="Weekend"/>
  </r>
  <r>
    <n v="662"/>
    <x v="29"/>
    <x v="21"/>
    <x v="0"/>
    <x v="1"/>
    <x v="1"/>
    <x v="0"/>
    <n v="0.2424"/>
    <x v="56"/>
    <x v="8"/>
    <n v="3"/>
    <n v="25"/>
    <n v="28"/>
    <s v="Weekend"/>
  </r>
  <r>
    <n v="663"/>
    <x v="29"/>
    <x v="22"/>
    <x v="0"/>
    <x v="1"/>
    <x v="1"/>
    <x v="0"/>
    <n v="0.2273"/>
    <x v="56"/>
    <x v="5"/>
    <n v="2"/>
    <n v="19"/>
    <n v="21"/>
    <s v="Weekend"/>
  </r>
  <r>
    <n v="664"/>
    <x v="29"/>
    <x v="23"/>
    <x v="0"/>
    <x v="1"/>
    <x v="1"/>
    <x v="0"/>
    <n v="0.21210000000000001"/>
    <x v="55"/>
    <x v="3"/>
    <n v="5"/>
    <n v="16"/>
    <n v="21"/>
    <s v="Weekend"/>
  </r>
  <r>
    <n v="665"/>
    <x v="30"/>
    <x v="0"/>
    <x v="0"/>
    <x v="2"/>
    <x v="1"/>
    <x v="0"/>
    <n v="0.2273"/>
    <x v="55"/>
    <x v="6"/>
    <n v="1"/>
    <n v="6"/>
    <n v="7"/>
    <s v="Weekday"/>
  </r>
  <r>
    <n v="666"/>
    <x v="30"/>
    <x v="1"/>
    <x v="0"/>
    <x v="2"/>
    <x v="0"/>
    <x v="1"/>
    <n v="0.21210000000000001"/>
    <x v="26"/>
    <x v="2"/>
    <n v="2"/>
    <n v="5"/>
    <n v="7"/>
    <s v="Weekday"/>
  </r>
  <r>
    <n v="667"/>
    <x v="30"/>
    <x v="2"/>
    <x v="0"/>
    <x v="2"/>
    <x v="0"/>
    <x v="1"/>
    <n v="0.2273"/>
    <x v="26"/>
    <x v="5"/>
    <n v="0"/>
    <n v="1"/>
    <n v="1"/>
    <s v="Weekday"/>
  </r>
  <r>
    <n v="668"/>
    <x v="30"/>
    <x v="3"/>
    <x v="0"/>
    <x v="2"/>
    <x v="0"/>
    <x v="1"/>
    <n v="0.2273"/>
    <x v="26"/>
    <x v="5"/>
    <n v="0"/>
    <n v="2"/>
    <n v="2"/>
    <s v="Weekday"/>
  </r>
  <r>
    <n v="669"/>
    <x v="30"/>
    <x v="4"/>
    <x v="0"/>
    <x v="2"/>
    <x v="0"/>
    <x v="2"/>
    <n v="0.19700000000000001"/>
    <x v="29"/>
    <x v="6"/>
    <n v="0"/>
    <n v="2"/>
    <n v="2"/>
    <s v="Weekday"/>
  </r>
  <r>
    <n v="670"/>
    <x v="30"/>
    <x v="5"/>
    <x v="0"/>
    <x v="2"/>
    <x v="0"/>
    <x v="15"/>
    <n v="0.16669999999999999"/>
    <x v="26"/>
    <x v="3"/>
    <n v="0"/>
    <n v="8"/>
    <n v="8"/>
    <s v="Weekday"/>
  </r>
  <r>
    <n v="671"/>
    <x v="30"/>
    <x v="6"/>
    <x v="0"/>
    <x v="2"/>
    <x v="0"/>
    <x v="13"/>
    <n v="0.13639999999999999"/>
    <x v="27"/>
    <x v="9"/>
    <n v="0"/>
    <n v="37"/>
    <n v="37"/>
    <s v="Weekday"/>
  </r>
  <r>
    <n v="672"/>
    <x v="30"/>
    <x v="7"/>
    <x v="0"/>
    <x v="2"/>
    <x v="1"/>
    <x v="13"/>
    <n v="0.13639999999999999"/>
    <x v="26"/>
    <x v="3"/>
    <n v="1"/>
    <n v="71"/>
    <n v="72"/>
    <s v="Weekday"/>
  </r>
  <r>
    <n v="673"/>
    <x v="30"/>
    <x v="8"/>
    <x v="0"/>
    <x v="2"/>
    <x v="1"/>
    <x v="13"/>
    <n v="0.13639999999999999"/>
    <x v="29"/>
    <x v="3"/>
    <n v="3"/>
    <n v="182"/>
    <n v="185"/>
    <s v="Weekday"/>
  </r>
  <r>
    <n v="674"/>
    <x v="30"/>
    <x v="9"/>
    <x v="0"/>
    <x v="2"/>
    <x v="1"/>
    <x v="13"/>
    <n v="0.13639999999999999"/>
    <x v="29"/>
    <x v="4"/>
    <n v="0"/>
    <n v="112"/>
    <n v="112"/>
    <s v="Weekday"/>
  </r>
  <r>
    <n v="675"/>
    <x v="30"/>
    <x v="10"/>
    <x v="0"/>
    <x v="2"/>
    <x v="1"/>
    <x v="13"/>
    <n v="0.1515"/>
    <x v="29"/>
    <x v="5"/>
    <n v="1"/>
    <n v="68"/>
    <n v="69"/>
    <s v="Weekday"/>
  </r>
  <r>
    <n v="676"/>
    <x v="30"/>
    <x v="11"/>
    <x v="0"/>
    <x v="2"/>
    <x v="1"/>
    <x v="13"/>
    <n v="0.1515"/>
    <x v="29"/>
    <x v="5"/>
    <n v="2"/>
    <n v="46"/>
    <n v="48"/>
    <s v="Weekday"/>
  </r>
  <r>
    <n v="677"/>
    <x v="30"/>
    <x v="12"/>
    <x v="0"/>
    <x v="2"/>
    <x v="1"/>
    <x v="15"/>
    <n v="0.21210000000000001"/>
    <x v="28"/>
    <x v="14"/>
    <n v="6"/>
    <n v="62"/>
    <n v="68"/>
    <s v="Weekday"/>
  </r>
  <r>
    <n v="678"/>
    <x v="30"/>
    <x v="13"/>
    <x v="0"/>
    <x v="2"/>
    <x v="1"/>
    <x v="13"/>
    <n v="0.2273"/>
    <x v="29"/>
    <x v="0"/>
    <n v="2"/>
    <n v="52"/>
    <n v="54"/>
    <s v="Weekday"/>
  </r>
  <r>
    <n v="679"/>
    <x v="30"/>
    <x v="14"/>
    <x v="0"/>
    <x v="2"/>
    <x v="1"/>
    <x v="15"/>
    <n v="0.19700000000000001"/>
    <x v="28"/>
    <x v="7"/>
    <n v="1"/>
    <n v="85"/>
    <n v="86"/>
    <s v="Weekday"/>
  </r>
  <r>
    <n v="680"/>
    <x v="30"/>
    <x v="15"/>
    <x v="0"/>
    <x v="2"/>
    <x v="1"/>
    <x v="13"/>
    <n v="0.18179999999999999"/>
    <x v="29"/>
    <x v="7"/>
    <n v="3"/>
    <n v="41"/>
    <n v="44"/>
    <s v="Weekday"/>
  </r>
  <r>
    <n v="681"/>
    <x v="30"/>
    <x v="16"/>
    <x v="0"/>
    <x v="2"/>
    <x v="1"/>
    <x v="13"/>
    <n v="0.18179999999999999"/>
    <x v="34"/>
    <x v="5"/>
    <n v="3"/>
    <n v="83"/>
    <n v="86"/>
    <s v="Weekday"/>
  </r>
  <r>
    <n v="682"/>
    <x v="30"/>
    <x v="17"/>
    <x v="0"/>
    <x v="2"/>
    <x v="1"/>
    <x v="13"/>
    <n v="0.1515"/>
    <x v="29"/>
    <x v="5"/>
    <n v="6"/>
    <n v="155"/>
    <n v="161"/>
    <s v="Weekday"/>
  </r>
  <r>
    <n v="683"/>
    <x v="30"/>
    <x v="18"/>
    <x v="0"/>
    <x v="2"/>
    <x v="1"/>
    <x v="13"/>
    <n v="0.1515"/>
    <x v="28"/>
    <x v="6"/>
    <n v="3"/>
    <n v="153"/>
    <n v="156"/>
    <s v="Weekday"/>
  </r>
  <r>
    <n v="684"/>
    <x v="30"/>
    <x v="19"/>
    <x v="0"/>
    <x v="2"/>
    <x v="0"/>
    <x v="11"/>
    <n v="0.31819999999999998"/>
    <x v="53"/>
    <x v="14"/>
    <n v="3"/>
    <n v="108"/>
    <n v="111"/>
    <s v="Weekday"/>
  </r>
  <r>
    <n v="685"/>
    <x v="30"/>
    <x v="20"/>
    <x v="0"/>
    <x v="2"/>
    <x v="2"/>
    <x v="13"/>
    <n v="0.16669999999999999"/>
    <x v="29"/>
    <x v="8"/>
    <n v="0"/>
    <n v="78"/>
    <n v="78"/>
    <s v="Weekday"/>
  </r>
  <r>
    <n v="686"/>
    <x v="30"/>
    <x v="21"/>
    <x v="0"/>
    <x v="2"/>
    <x v="2"/>
    <x v="13"/>
    <n v="0.19700000000000001"/>
    <x v="29"/>
    <x v="1"/>
    <n v="3"/>
    <n v="53"/>
    <n v="56"/>
    <s v="Weekday"/>
  </r>
  <r>
    <n v="687"/>
    <x v="30"/>
    <x v="22"/>
    <x v="0"/>
    <x v="2"/>
    <x v="1"/>
    <x v="13"/>
    <n v="0.18179999999999999"/>
    <x v="29"/>
    <x v="14"/>
    <n v="0"/>
    <n v="34"/>
    <n v="34"/>
    <s v="Weekday"/>
  </r>
  <r>
    <n v="688"/>
    <x v="30"/>
    <x v="23"/>
    <x v="0"/>
    <x v="2"/>
    <x v="1"/>
    <x v="13"/>
    <n v="0.19700000000000001"/>
    <x v="26"/>
    <x v="1"/>
    <n v="2"/>
    <n v="15"/>
    <n v="17"/>
    <s v="Weekday"/>
  </r>
  <r>
    <n v="689"/>
    <x v="31"/>
    <x v="0"/>
    <x v="0"/>
    <x v="3"/>
    <x v="1"/>
    <x v="13"/>
    <n v="0.18179999999999999"/>
    <x v="26"/>
    <x v="14"/>
    <n v="2"/>
    <n v="6"/>
    <n v="8"/>
    <s v="Weekday"/>
  </r>
  <r>
    <n v="690"/>
    <x v="31"/>
    <x v="1"/>
    <x v="0"/>
    <x v="3"/>
    <x v="1"/>
    <x v="13"/>
    <n v="0.18179999999999999"/>
    <x v="27"/>
    <x v="14"/>
    <n v="0"/>
    <n v="3"/>
    <n v="3"/>
    <s v="Weekday"/>
  </r>
  <r>
    <n v="691"/>
    <x v="31"/>
    <x v="2"/>
    <x v="0"/>
    <x v="3"/>
    <x v="1"/>
    <x v="13"/>
    <n v="0.2273"/>
    <x v="27"/>
    <x v="0"/>
    <n v="0"/>
    <n v="2"/>
    <n v="2"/>
    <s v="Weekday"/>
  </r>
  <r>
    <n v="692"/>
    <x v="31"/>
    <x v="3"/>
    <x v="0"/>
    <x v="3"/>
    <x v="1"/>
    <x v="13"/>
    <n v="0.2273"/>
    <x v="27"/>
    <x v="0"/>
    <n v="0"/>
    <n v="2"/>
    <n v="2"/>
    <s v="Weekday"/>
  </r>
  <r>
    <n v="693"/>
    <x v="31"/>
    <x v="5"/>
    <x v="0"/>
    <x v="3"/>
    <x v="2"/>
    <x v="14"/>
    <n v="0.21210000000000001"/>
    <x v="43"/>
    <x v="0"/>
    <n v="0"/>
    <n v="3"/>
    <n v="3"/>
    <s v="Weekday"/>
  </r>
  <r>
    <n v="694"/>
    <x v="31"/>
    <x v="6"/>
    <x v="0"/>
    <x v="3"/>
    <x v="2"/>
    <x v="14"/>
    <n v="0.21210000000000001"/>
    <x v="43"/>
    <x v="0"/>
    <n v="0"/>
    <n v="22"/>
    <n v="22"/>
    <s v="Weekday"/>
  </r>
  <r>
    <n v="695"/>
    <x v="31"/>
    <x v="7"/>
    <x v="0"/>
    <x v="3"/>
    <x v="2"/>
    <x v="13"/>
    <n v="0.2273"/>
    <x v="43"/>
    <x v="0"/>
    <n v="0"/>
    <n v="52"/>
    <n v="52"/>
    <s v="Weekday"/>
  </r>
  <r>
    <n v="696"/>
    <x v="31"/>
    <x v="8"/>
    <x v="0"/>
    <x v="3"/>
    <x v="2"/>
    <x v="13"/>
    <n v="0.2273"/>
    <x v="43"/>
    <x v="0"/>
    <n v="3"/>
    <n v="132"/>
    <n v="135"/>
    <s v="Weekday"/>
  </r>
  <r>
    <n v="697"/>
    <x v="31"/>
    <x v="9"/>
    <x v="0"/>
    <x v="3"/>
    <x v="1"/>
    <x v="13"/>
    <n v="0.2273"/>
    <x v="43"/>
    <x v="0"/>
    <n v="2"/>
    <n v="114"/>
    <n v="116"/>
    <s v="Weekday"/>
  </r>
  <r>
    <n v="698"/>
    <x v="31"/>
    <x v="10"/>
    <x v="0"/>
    <x v="3"/>
    <x v="1"/>
    <x v="13"/>
    <n v="0.2273"/>
    <x v="43"/>
    <x v="0"/>
    <n v="0"/>
    <n v="47"/>
    <n v="47"/>
    <s v="Weekday"/>
  </r>
  <r>
    <n v="699"/>
    <x v="31"/>
    <x v="11"/>
    <x v="0"/>
    <x v="3"/>
    <x v="1"/>
    <x v="15"/>
    <n v="0.2424"/>
    <x v="3"/>
    <x v="0"/>
    <n v="2"/>
    <n v="49"/>
    <n v="51"/>
    <s v="Weekday"/>
  </r>
  <r>
    <n v="700"/>
    <x v="31"/>
    <x v="12"/>
    <x v="0"/>
    <x v="3"/>
    <x v="1"/>
    <x v="2"/>
    <n v="0.2576"/>
    <x v="3"/>
    <x v="0"/>
    <n v="2"/>
    <n v="53"/>
    <n v="55"/>
    <s v="Weekday"/>
  </r>
  <r>
    <n v="701"/>
    <x v="31"/>
    <x v="13"/>
    <x v="0"/>
    <x v="3"/>
    <x v="1"/>
    <x v="2"/>
    <n v="0.2576"/>
    <x v="3"/>
    <x v="0"/>
    <n v="3"/>
    <n v="49"/>
    <n v="52"/>
    <s v="Weekday"/>
  </r>
  <r>
    <n v="702"/>
    <x v="31"/>
    <x v="14"/>
    <x v="0"/>
    <x v="3"/>
    <x v="1"/>
    <x v="1"/>
    <n v="0.2576"/>
    <x v="1"/>
    <x v="1"/>
    <n v="5"/>
    <n v="49"/>
    <n v="54"/>
    <s v="Weekday"/>
  </r>
  <r>
    <n v="703"/>
    <x v="31"/>
    <x v="15"/>
    <x v="0"/>
    <x v="3"/>
    <x v="1"/>
    <x v="0"/>
    <n v="0.28789999999999999"/>
    <x v="2"/>
    <x v="0"/>
    <n v="7"/>
    <n v="45"/>
    <n v="52"/>
    <s v="Weekday"/>
  </r>
  <r>
    <n v="704"/>
    <x v="31"/>
    <x v="16"/>
    <x v="0"/>
    <x v="3"/>
    <x v="1"/>
    <x v="0"/>
    <n v="0.2424"/>
    <x v="2"/>
    <x v="7"/>
    <n v="3"/>
    <n v="61"/>
    <n v="64"/>
    <s v="Weekday"/>
  </r>
  <r>
    <n v="705"/>
    <x v="31"/>
    <x v="17"/>
    <x v="0"/>
    <x v="3"/>
    <x v="1"/>
    <x v="0"/>
    <n v="0.28789999999999999"/>
    <x v="2"/>
    <x v="0"/>
    <n v="4"/>
    <n v="172"/>
    <n v="176"/>
    <s v="Weekday"/>
  </r>
  <r>
    <n v="706"/>
    <x v="31"/>
    <x v="18"/>
    <x v="0"/>
    <x v="3"/>
    <x v="1"/>
    <x v="0"/>
    <n v="0.2576"/>
    <x v="0"/>
    <x v="14"/>
    <n v="3"/>
    <n v="165"/>
    <n v="168"/>
    <s v="Weekday"/>
  </r>
  <r>
    <n v="707"/>
    <x v="31"/>
    <x v="19"/>
    <x v="0"/>
    <x v="3"/>
    <x v="1"/>
    <x v="0"/>
    <n v="0.2424"/>
    <x v="0"/>
    <x v="7"/>
    <n v="3"/>
    <n v="105"/>
    <n v="108"/>
    <s v="Weekday"/>
  </r>
  <r>
    <n v="708"/>
    <x v="31"/>
    <x v="20"/>
    <x v="0"/>
    <x v="3"/>
    <x v="1"/>
    <x v="1"/>
    <n v="0.2273"/>
    <x v="9"/>
    <x v="7"/>
    <n v="5"/>
    <n v="69"/>
    <n v="74"/>
    <s v="Weekday"/>
  </r>
  <r>
    <n v="709"/>
    <x v="31"/>
    <x v="21"/>
    <x v="0"/>
    <x v="3"/>
    <x v="1"/>
    <x v="1"/>
    <n v="0.2273"/>
    <x v="9"/>
    <x v="7"/>
    <n v="0"/>
    <n v="64"/>
    <n v="64"/>
    <s v="Weekday"/>
  </r>
  <r>
    <n v="710"/>
    <x v="31"/>
    <x v="22"/>
    <x v="0"/>
    <x v="3"/>
    <x v="1"/>
    <x v="1"/>
    <n v="0.2576"/>
    <x v="9"/>
    <x v="1"/>
    <n v="2"/>
    <n v="34"/>
    <n v="36"/>
    <s v="Weekday"/>
  </r>
  <r>
    <n v="711"/>
    <x v="31"/>
    <x v="23"/>
    <x v="0"/>
    <x v="3"/>
    <x v="2"/>
    <x v="2"/>
    <n v="0.19700000000000001"/>
    <x v="43"/>
    <x v="5"/>
    <n v="1"/>
    <n v="15"/>
    <n v="16"/>
    <s v="Weekday"/>
  </r>
  <r>
    <n v="712"/>
    <x v="32"/>
    <x v="0"/>
    <x v="0"/>
    <x v="4"/>
    <x v="2"/>
    <x v="1"/>
    <n v="0.2424"/>
    <x v="43"/>
    <x v="14"/>
    <n v="0"/>
    <n v="2"/>
    <n v="2"/>
    <s v="Weekday"/>
  </r>
  <r>
    <n v="713"/>
    <x v="32"/>
    <x v="1"/>
    <x v="0"/>
    <x v="4"/>
    <x v="2"/>
    <x v="1"/>
    <n v="0.2273"/>
    <x v="43"/>
    <x v="5"/>
    <n v="0"/>
    <n v="3"/>
    <n v="3"/>
    <s v="Weekday"/>
  </r>
  <r>
    <n v="714"/>
    <x v="32"/>
    <x v="2"/>
    <x v="0"/>
    <x v="4"/>
    <x v="2"/>
    <x v="1"/>
    <n v="0.2273"/>
    <x v="43"/>
    <x v="7"/>
    <n v="4"/>
    <n v="0"/>
    <n v="4"/>
    <s v="Weekday"/>
  </r>
  <r>
    <n v="715"/>
    <x v="32"/>
    <x v="3"/>
    <x v="0"/>
    <x v="4"/>
    <x v="2"/>
    <x v="1"/>
    <n v="0.2273"/>
    <x v="43"/>
    <x v="7"/>
    <n v="0"/>
    <n v="1"/>
    <n v="1"/>
    <s v="Weekday"/>
  </r>
  <r>
    <n v="716"/>
    <x v="32"/>
    <x v="4"/>
    <x v="0"/>
    <x v="4"/>
    <x v="2"/>
    <x v="1"/>
    <n v="0.21210000000000001"/>
    <x v="43"/>
    <x v="3"/>
    <n v="0"/>
    <n v="1"/>
    <n v="1"/>
    <s v="Weekday"/>
  </r>
  <r>
    <n v="717"/>
    <x v="32"/>
    <x v="5"/>
    <x v="0"/>
    <x v="4"/>
    <x v="2"/>
    <x v="1"/>
    <n v="0.2424"/>
    <x v="43"/>
    <x v="14"/>
    <n v="0"/>
    <n v="3"/>
    <n v="3"/>
    <s v="Weekday"/>
  </r>
  <r>
    <n v="718"/>
    <x v="32"/>
    <x v="6"/>
    <x v="0"/>
    <x v="4"/>
    <x v="2"/>
    <x v="1"/>
    <n v="0.2424"/>
    <x v="43"/>
    <x v="14"/>
    <n v="1"/>
    <n v="17"/>
    <n v="18"/>
    <s v="Weekday"/>
  </r>
  <r>
    <n v="719"/>
    <x v="32"/>
    <x v="7"/>
    <x v="0"/>
    <x v="4"/>
    <x v="2"/>
    <x v="1"/>
    <n v="0.21210000000000001"/>
    <x v="43"/>
    <x v="6"/>
    <n v="1"/>
    <n v="48"/>
    <n v="49"/>
    <s v="Weekday"/>
  </r>
  <r>
    <n v="720"/>
    <x v="32"/>
    <x v="8"/>
    <x v="0"/>
    <x v="4"/>
    <x v="2"/>
    <x v="1"/>
    <n v="0.21210000000000001"/>
    <x v="43"/>
    <x v="6"/>
    <n v="1"/>
    <n v="154"/>
    <n v="155"/>
    <s v="Weekday"/>
  </r>
  <r>
    <n v="721"/>
    <x v="32"/>
    <x v="9"/>
    <x v="0"/>
    <x v="4"/>
    <x v="1"/>
    <x v="0"/>
    <n v="0.2576"/>
    <x v="43"/>
    <x v="1"/>
    <n v="4"/>
    <n v="119"/>
    <n v="123"/>
    <s v="Weekday"/>
  </r>
  <r>
    <n v="722"/>
    <x v="32"/>
    <x v="10"/>
    <x v="0"/>
    <x v="4"/>
    <x v="1"/>
    <x v="1"/>
    <n v="0.2727"/>
    <x v="11"/>
    <x v="0"/>
    <n v="2"/>
    <n v="59"/>
    <n v="61"/>
    <s v="Weekday"/>
  </r>
  <r>
    <n v="723"/>
    <x v="32"/>
    <x v="11"/>
    <x v="0"/>
    <x v="4"/>
    <x v="1"/>
    <x v="0"/>
    <n v="0.2273"/>
    <x v="43"/>
    <x v="5"/>
    <n v="5"/>
    <n v="47"/>
    <n v="52"/>
    <s v="Weekday"/>
  </r>
  <r>
    <n v="724"/>
    <x v="32"/>
    <x v="12"/>
    <x v="0"/>
    <x v="4"/>
    <x v="1"/>
    <x v="0"/>
    <n v="0.2273"/>
    <x v="43"/>
    <x v="6"/>
    <n v="3"/>
    <n v="61"/>
    <n v="64"/>
    <s v="Weekday"/>
  </r>
  <r>
    <n v="725"/>
    <x v="32"/>
    <x v="13"/>
    <x v="0"/>
    <x v="4"/>
    <x v="0"/>
    <x v="10"/>
    <n v="0.33329999999999999"/>
    <x v="43"/>
    <x v="8"/>
    <n v="1"/>
    <n v="74"/>
    <n v="75"/>
    <s v="Weekday"/>
  </r>
  <r>
    <n v="726"/>
    <x v="32"/>
    <x v="14"/>
    <x v="0"/>
    <x v="4"/>
    <x v="0"/>
    <x v="4"/>
    <n v="0.39389999999999997"/>
    <x v="7"/>
    <x v="13"/>
    <n v="2"/>
    <n v="61"/>
    <n v="63"/>
    <s v="Weekday"/>
  </r>
  <r>
    <n v="727"/>
    <x v="32"/>
    <x v="15"/>
    <x v="0"/>
    <x v="4"/>
    <x v="0"/>
    <x v="4"/>
    <n v="0.39389999999999997"/>
    <x v="4"/>
    <x v="9"/>
    <n v="10"/>
    <n v="66"/>
    <n v="76"/>
    <s v="Weekday"/>
  </r>
  <r>
    <n v="728"/>
    <x v="32"/>
    <x v="16"/>
    <x v="0"/>
    <x v="4"/>
    <x v="0"/>
    <x v="5"/>
    <n v="0.33329999999999999"/>
    <x v="12"/>
    <x v="4"/>
    <n v="8"/>
    <n v="95"/>
    <n v="103"/>
    <s v="Weekday"/>
  </r>
  <r>
    <n v="729"/>
    <x v="32"/>
    <x v="17"/>
    <x v="0"/>
    <x v="4"/>
    <x v="0"/>
    <x v="5"/>
    <n v="0.31819999999999998"/>
    <x v="45"/>
    <x v="18"/>
    <n v="7"/>
    <n v="183"/>
    <n v="190"/>
    <s v="Weekday"/>
  </r>
  <r>
    <n v="730"/>
    <x v="32"/>
    <x v="18"/>
    <x v="0"/>
    <x v="4"/>
    <x v="0"/>
    <x v="10"/>
    <n v="0.28789999999999999"/>
    <x v="16"/>
    <x v="16"/>
    <n v="7"/>
    <n v="175"/>
    <n v="182"/>
    <s v="Weekday"/>
  </r>
  <r>
    <n v="731"/>
    <x v="32"/>
    <x v="19"/>
    <x v="0"/>
    <x v="4"/>
    <x v="0"/>
    <x v="17"/>
    <n v="0.2424"/>
    <x v="49"/>
    <x v="15"/>
    <n v="3"/>
    <n v="88"/>
    <n v="91"/>
    <s v="Weekday"/>
  </r>
  <r>
    <n v="732"/>
    <x v="32"/>
    <x v="20"/>
    <x v="0"/>
    <x v="4"/>
    <x v="0"/>
    <x v="0"/>
    <n v="0.19700000000000001"/>
    <x v="37"/>
    <x v="16"/>
    <n v="4"/>
    <n v="71"/>
    <n v="75"/>
    <s v="Weekday"/>
  </r>
  <r>
    <n v="733"/>
    <x v="32"/>
    <x v="21"/>
    <x v="0"/>
    <x v="4"/>
    <x v="0"/>
    <x v="1"/>
    <n v="0.19700000000000001"/>
    <x v="19"/>
    <x v="9"/>
    <n v="1"/>
    <n v="62"/>
    <n v="63"/>
    <s v="Weekday"/>
  </r>
  <r>
    <n v="734"/>
    <x v="32"/>
    <x v="22"/>
    <x v="0"/>
    <x v="4"/>
    <x v="0"/>
    <x v="1"/>
    <n v="0.21210000000000001"/>
    <x v="18"/>
    <x v="2"/>
    <n v="5"/>
    <n v="35"/>
    <n v="40"/>
    <s v="Weekday"/>
  </r>
  <r>
    <n v="735"/>
    <x v="32"/>
    <x v="23"/>
    <x v="0"/>
    <x v="4"/>
    <x v="0"/>
    <x v="2"/>
    <n v="0.16669999999999999"/>
    <x v="18"/>
    <x v="10"/>
    <n v="3"/>
    <n v="29"/>
    <n v="32"/>
    <s v="Weekday"/>
  </r>
  <r>
    <n v="736"/>
    <x v="33"/>
    <x v="0"/>
    <x v="0"/>
    <x v="5"/>
    <x v="0"/>
    <x v="2"/>
    <n v="0.16669999999999999"/>
    <x v="22"/>
    <x v="10"/>
    <n v="1"/>
    <n v="11"/>
    <n v="12"/>
    <s v="Weekday"/>
  </r>
  <r>
    <n v="737"/>
    <x v="33"/>
    <x v="1"/>
    <x v="0"/>
    <x v="5"/>
    <x v="0"/>
    <x v="2"/>
    <n v="0.1515"/>
    <x v="18"/>
    <x v="18"/>
    <n v="0"/>
    <n v="5"/>
    <n v="5"/>
    <s v="Weekday"/>
  </r>
  <r>
    <n v="738"/>
    <x v="33"/>
    <x v="2"/>
    <x v="0"/>
    <x v="5"/>
    <x v="0"/>
    <x v="15"/>
    <n v="0.16669999999999999"/>
    <x v="21"/>
    <x v="2"/>
    <n v="0"/>
    <n v="2"/>
    <n v="2"/>
    <s v="Weekday"/>
  </r>
  <r>
    <n v="739"/>
    <x v="33"/>
    <x v="3"/>
    <x v="0"/>
    <x v="5"/>
    <x v="0"/>
    <x v="15"/>
    <n v="0.16669999999999999"/>
    <x v="21"/>
    <x v="2"/>
    <n v="0"/>
    <n v="1"/>
    <n v="1"/>
    <s v="Weekday"/>
  </r>
  <r>
    <n v="740"/>
    <x v="33"/>
    <x v="5"/>
    <x v="0"/>
    <x v="5"/>
    <x v="0"/>
    <x v="13"/>
    <n v="0.13639999999999999"/>
    <x v="20"/>
    <x v="4"/>
    <n v="0"/>
    <n v="2"/>
    <n v="2"/>
    <s v="Weekday"/>
  </r>
  <r>
    <n v="741"/>
    <x v="33"/>
    <x v="6"/>
    <x v="0"/>
    <x v="5"/>
    <x v="0"/>
    <x v="13"/>
    <n v="0.13639999999999999"/>
    <x v="21"/>
    <x v="11"/>
    <n v="0"/>
    <n v="39"/>
    <n v="39"/>
    <s v="Weekday"/>
  </r>
  <r>
    <n v="742"/>
    <x v="33"/>
    <x v="7"/>
    <x v="0"/>
    <x v="5"/>
    <x v="0"/>
    <x v="14"/>
    <n v="0.1212"/>
    <x v="20"/>
    <x v="9"/>
    <n v="1"/>
    <n v="86"/>
    <n v="87"/>
    <s v="Weekday"/>
  </r>
  <r>
    <n v="743"/>
    <x v="33"/>
    <x v="8"/>
    <x v="0"/>
    <x v="5"/>
    <x v="0"/>
    <x v="14"/>
    <n v="0.1212"/>
    <x v="20"/>
    <x v="11"/>
    <n v="4"/>
    <n v="184"/>
    <n v="188"/>
    <s v="Weekday"/>
  </r>
  <r>
    <n v="744"/>
    <x v="33"/>
    <x v="9"/>
    <x v="0"/>
    <x v="5"/>
    <x v="0"/>
    <x v="13"/>
    <n v="0.13639999999999999"/>
    <x v="19"/>
    <x v="4"/>
    <n v="6"/>
    <n v="127"/>
    <n v="133"/>
    <s v="Weekday"/>
  </r>
  <r>
    <n v="745"/>
    <x v="33"/>
    <x v="10"/>
    <x v="0"/>
    <x v="5"/>
    <x v="0"/>
    <x v="15"/>
    <n v="0.1515"/>
    <x v="21"/>
    <x v="9"/>
    <n v="2"/>
    <n v="50"/>
    <n v="52"/>
    <s v="Weekday"/>
  </r>
  <r>
    <n v="746"/>
    <x v="33"/>
    <x v="11"/>
    <x v="0"/>
    <x v="5"/>
    <x v="0"/>
    <x v="15"/>
    <n v="0.13639999999999999"/>
    <x v="21"/>
    <x v="10"/>
    <n v="9"/>
    <n v="55"/>
    <n v="64"/>
    <s v="Weekday"/>
  </r>
  <r>
    <n v="747"/>
    <x v="33"/>
    <x v="12"/>
    <x v="0"/>
    <x v="5"/>
    <x v="0"/>
    <x v="2"/>
    <n v="0.18179999999999999"/>
    <x v="22"/>
    <x v="11"/>
    <n v="2"/>
    <n v="67"/>
    <n v="69"/>
    <s v="Weekday"/>
  </r>
  <r>
    <n v="748"/>
    <x v="33"/>
    <x v="13"/>
    <x v="0"/>
    <x v="5"/>
    <x v="0"/>
    <x v="2"/>
    <n v="0.16669999999999999"/>
    <x v="22"/>
    <x v="12"/>
    <n v="4"/>
    <n v="47"/>
    <n v="51"/>
    <s v="Weekday"/>
  </r>
  <r>
    <n v="749"/>
    <x v="33"/>
    <x v="14"/>
    <x v="0"/>
    <x v="5"/>
    <x v="0"/>
    <x v="1"/>
    <n v="0.19700000000000001"/>
    <x v="38"/>
    <x v="13"/>
    <n v="4"/>
    <n v="43"/>
    <n v="47"/>
    <s v="Weekday"/>
  </r>
  <r>
    <n v="750"/>
    <x v="33"/>
    <x v="15"/>
    <x v="0"/>
    <x v="5"/>
    <x v="0"/>
    <x v="1"/>
    <n v="0.19700000000000001"/>
    <x v="38"/>
    <x v="9"/>
    <n v="4"/>
    <n v="56"/>
    <n v="60"/>
    <s v="Weekday"/>
  </r>
  <r>
    <n v="751"/>
    <x v="33"/>
    <x v="16"/>
    <x v="0"/>
    <x v="5"/>
    <x v="0"/>
    <x v="1"/>
    <n v="0.21210000000000001"/>
    <x v="38"/>
    <x v="2"/>
    <n v="5"/>
    <n v="73"/>
    <n v="78"/>
    <s v="Weekday"/>
  </r>
  <r>
    <n v="752"/>
    <x v="33"/>
    <x v="17"/>
    <x v="0"/>
    <x v="5"/>
    <x v="0"/>
    <x v="2"/>
    <n v="0.19700000000000001"/>
    <x v="22"/>
    <x v="5"/>
    <n v="5"/>
    <n v="170"/>
    <n v="175"/>
    <s v="Weekday"/>
  </r>
  <r>
    <n v="753"/>
    <x v="33"/>
    <x v="18"/>
    <x v="0"/>
    <x v="5"/>
    <x v="0"/>
    <x v="2"/>
    <n v="0.21210000000000001"/>
    <x v="22"/>
    <x v="8"/>
    <n v="2"/>
    <n v="145"/>
    <n v="147"/>
    <s v="Weekday"/>
  </r>
  <r>
    <n v="754"/>
    <x v="33"/>
    <x v="19"/>
    <x v="0"/>
    <x v="5"/>
    <x v="0"/>
    <x v="2"/>
    <n v="0.2576"/>
    <x v="22"/>
    <x v="0"/>
    <n v="4"/>
    <n v="92"/>
    <n v="96"/>
    <s v="Weekday"/>
  </r>
  <r>
    <n v="755"/>
    <x v="33"/>
    <x v="20"/>
    <x v="0"/>
    <x v="5"/>
    <x v="0"/>
    <x v="2"/>
    <n v="0.2273"/>
    <x v="19"/>
    <x v="1"/>
    <n v="1"/>
    <n v="108"/>
    <n v="109"/>
    <s v="Weekday"/>
  </r>
  <r>
    <n v="756"/>
    <x v="33"/>
    <x v="21"/>
    <x v="0"/>
    <x v="5"/>
    <x v="0"/>
    <x v="15"/>
    <n v="0.21210000000000001"/>
    <x v="28"/>
    <x v="14"/>
    <n v="1"/>
    <n v="53"/>
    <n v="54"/>
    <s v="Weekday"/>
  </r>
  <r>
    <n v="757"/>
    <x v="33"/>
    <x v="22"/>
    <x v="0"/>
    <x v="5"/>
    <x v="0"/>
    <x v="15"/>
    <n v="0.21210000000000001"/>
    <x v="33"/>
    <x v="1"/>
    <n v="2"/>
    <n v="39"/>
    <n v="41"/>
    <s v="Weekday"/>
  </r>
  <r>
    <n v="758"/>
    <x v="33"/>
    <x v="23"/>
    <x v="0"/>
    <x v="5"/>
    <x v="0"/>
    <x v="2"/>
    <n v="0.2273"/>
    <x v="19"/>
    <x v="14"/>
    <n v="4"/>
    <n v="34"/>
    <n v="38"/>
    <s v="Weekday"/>
  </r>
  <r>
    <n v="759"/>
    <x v="34"/>
    <x v="0"/>
    <x v="0"/>
    <x v="6"/>
    <x v="1"/>
    <x v="2"/>
    <n v="0.2576"/>
    <x v="18"/>
    <x v="0"/>
    <n v="3"/>
    <n v="10"/>
    <n v="13"/>
    <s v="Weekday"/>
  </r>
  <r>
    <n v="760"/>
    <x v="34"/>
    <x v="1"/>
    <x v="0"/>
    <x v="6"/>
    <x v="1"/>
    <x v="13"/>
    <n v="0.2273"/>
    <x v="29"/>
    <x v="0"/>
    <n v="0"/>
    <n v="7"/>
    <n v="7"/>
    <s v="Weekday"/>
  </r>
  <r>
    <n v="761"/>
    <x v="34"/>
    <x v="2"/>
    <x v="0"/>
    <x v="6"/>
    <x v="1"/>
    <x v="14"/>
    <n v="0.16669999999999999"/>
    <x v="30"/>
    <x v="14"/>
    <n v="0"/>
    <n v="1"/>
    <n v="1"/>
    <s v="Weekday"/>
  </r>
  <r>
    <n v="762"/>
    <x v="34"/>
    <x v="3"/>
    <x v="0"/>
    <x v="6"/>
    <x v="1"/>
    <x v="14"/>
    <n v="0.16669999999999999"/>
    <x v="30"/>
    <x v="14"/>
    <n v="0"/>
    <n v="1"/>
    <n v="1"/>
    <s v="Weekday"/>
  </r>
  <r>
    <n v="763"/>
    <x v="34"/>
    <x v="5"/>
    <x v="0"/>
    <x v="6"/>
    <x v="1"/>
    <x v="14"/>
    <n v="0.1515"/>
    <x v="30"/>
    <x v="7"/>
    <n v="0"/>
    <n v="7"/>
    <n v="7"/>
    <s v="Weekday"/>
  </r>
  <r>
    <n v="764"/>
    <x v="34"/>
    <x v="6"/>
    <x v="0"/>
    <x v="6"/>
    <x v="1"/>
    <x v="13"/>
    <n v="0.2273"/>
    <x v="28"/>
    <x v="0"/>
    <n v="2"/>
    <n v="26"/>
    <n v="28"/>
    <s v="Weekday"/>
  </r>
  <r>
    <n v="765"/>
    <x v="34"/>
    <x v="7"/>
    <x v="0"/>
    <x v="6"/>
    <x v="0"/>
    <x v="14"/>
    <n v="0.21210000000000001"/>
    <x v="29"/>
    <x v="0"/>
    <n v="0"/>
    <n v="87"/>
    <n v="87"/>
    <s v="Weekday"/>
  </r>
  <r>
    <n v="766"/>
    <x v="34"/>
    <x v="8"/>
    <x v="0"/>
    <x v="6"/>
    <x v="0"/>
    <x v="14"/>
    <n v="0.1515"/>
    <x v="32"/>
    <x v="7"/>
    <n v="3"/>
    <n v="217"/>
    <n v="220"/>
    <s v="Weekday"/>
  </r>
  <r>
    <n v="767"/>
    <x v="34"/>
    <x v="9"/>
    <x v="0"/>
    <x v="6"/>
    <x v="1"/>
    <x v="13"/>
    <n v="0.18179999999999999"/>
    <x v="1"/>
    <x v="7"/>
    <n v="3"/>
    <n v="124"/>
    <n v="127"/>
    <s v="Weekday"/>
  </r>
  <r>
    <n v="768"/>
    <x v="34"/>
    <x v="10"/>
    <x v="0"/>
    <x v="6"/>
    <x v="1"/>
    <x v="2"/>
    <n v="0.21210000000000001"/>
    <x v="33"/>
    <x v="7"/>
    <n v="5"/>
    <n v="46"/>
    <n v="51"/>
    <s v="Weekday"/>
  </r>
  <r>
    <n v="769"/>
    <x v="34"/>
    <x v="11"/>
    <x v="0"/>
    <x v="6"/>
    <x v="0"/>
    <x v="1"/>
    <n v="0.2273"/>
    <x v="33"/>
    <x v="8"/>
    <n v="3"/>
    <n v="61"/>
    <n v="64"/>
    <s v="Weekday"/>
  </r>
  <r>
    <n v="770"/>
    <x v="34"/>
    <x v="12"/>
    <x v="0"/>
    <x v="6"/>
    <x v="1"/>
    <x v="0"/>
    <n v="0.2424"/>
    <x v="37"/>
    <x v="8"/>
    <n v="8"/>
    <n v="78"/>
    <n v="86"/>
    <s v="Weekday"/>
  </r>
  <r>
    <n v="771"/>
    <x v="34"/>
    <x v="13"/>
    <x v="0"/>
    <x v="6"/>
    <x v="1"/>
    <x v="12"/>
    <n v="0.2576"/>
    <x v="20"/>
    <x v="6"/>
    <n v="9"/>
    <n v="73"/>
    <n v="82"/>
    <s v="Weekday"/>
  </r>
  <r>
    <n v="772"/>
    <x v="34"/>
    <x v="14"/>
    <x v="0"/>
    <x v="6"/>
    <x v="1"/>
    <x v="17"/>
    <n v="0.2727"/>
    <x v="49"/>
    <x v="8"/>
    <n v="15"/>
    <n v="76"/>
    <n v="91"/>
    <s v="Weekday"/>
  </r>
  <r>
    <n v="773"/>
    <x v="34"/>
    <x v="15"/>
    <x v="0"/>
    <x v="6"/>
    <x v="1"/>
    <x v="17"/>
    <n v="0.2727"/>
    <x v="37"/>
    <x v="2"/>
    <n v="9"/>
    <n v="81"/>
    <n v="90"/>
    <s v="Weekday"/>
  </r>
  <r>
    <n v="774"/>
    <x v="34"/>
    <x v="16"/>
    <x v="0"/>
    <x v="6"/>
    <x v="1"/>
    <x v="11"/>
    <n v="0.28789999999999999"/>
    <x v="16"/>
    <x v="6"/>
    <n v="8"/>
    <n v="91"/>
    <n v="99"/>
    <s v="Weekday"/>
  </r>
  <r>
    <n v="775"/>
    <x v="34"/>
    <x v="17"/>
    <x v="0"/>
    <x v="6"/>
    <x v="1"/>
    <x v="12"/>
    <n v="0.2727"/>
    <x v="34"/>
    <x v="7"/>
    <n v="10"/>
    <n v="195"/>
    <n v="205"/>
    <s v="Weekday"/>
  </r>
  <r>
    <n v="776"/>
    <x v="34"/>
    <x v="18"/>
    <x v="0"/>
    <x v="6"/>
    <x v="1"/>
    <x v="0"/>
    <n v="0.2576"/>
    <x v="54"/>
    <x v="14"/>
    <n v="3"/>
    <n v="152"/>
    <n v="155"/>
    <s v="Weekday"/>
  </r>
  <r>
    <n v="777"/>
    <x v="34"/>
    <x v="19"/>
    <x v="0"/>
    <x v="6"/>
    <x v="1"/>
    <x v="0"/>
    <n v="0.2424"/>
    <x v="55"/>
    <x v="7"/>
    <n v="1"/>
    <n v="102"/>
    <n v="103"/>
    <s v="Weekday"/>
  </r>
  <r>
    <n v="778"/>
    <x v="34"/>
    <x v="20"/>
    <x v="0"/>
    <x v="6"/>
    <x v="1"/>
    <x v="0"/>
    <n v="0.2424"/>
    <x v="55"/>
    <x v="8"/>
    <n v="2"/>
    <n v="69"/>
    <n v="71"/>
    <s v="Weekday"/>
  </r>
  <r>
    <n v="779"/>
    <x v="34"/>
    <x v="21"/>
    <x v="0"/>
    <x v="6"/>
    <x v="1"/>
    <x v="0"/>
    <n v="0.2424"/>
    <x v="56"/>
    <x v="8"/>
    <n v="2"/>
    <n v="41"/>
    <n v="43"/>
    <s v="Weekday"/>
  </r>
  <r>
    <n v="780"/>
    <x v="34"/>
    <x v="22"/>
    <x v="0"/>
    <x v="6"/>
    <x v="1"/>
    <x v="0"/>
    <n v="0.2424"/>
    <x v="55"/>
    <x v="8"/>
    <n v="1"/>
    <n v="45"/>
    <n v="46"/>
    <s v="Weekday"/>
  </r>
  <r>
    <n v="781"/>
    <x v="34"/>
    <x v="23"/>
    <x v="0"/>
    <x v="6"/>
    <x v="1"/>
    <x v="0"/>
    <n v="0.2424"/>
    <x v="56"/>
    <x v="7"/>
    <n v="1"/>
    <n v="30"/>
    <n v="31"/>
    <s v="Weekday"/>
  </r>
  <r>
    <n v="782"/>
    <x v="35"/>
    <x v="0"/>
    <x v="0"/>
    <x v="0"/>
    <x v="1"/>
    <x v="0"/>
    <n v="0.2424"/>
    <x v="56"/>
    <x v="8"/>
    <n v="3"/>
    <n v="36"/>
    <n v="39"/>
    <s v="Weekend"/>
  </r>
  <r>
    <n v="783"/>
    <x v="35"/>
    <x v="1"/>
    <x v="0"/>
    <x v="0"/>
    <x v="1"/>
    <x v="0"/>
    <n v="0.2424"/>
    <x v="55"/>
    <x v="8"/>
    <n v="1"/>
    <n v="17"/>
    <n v="18"/>
    <s v="Weekend"/>
  </r>
  <r>
    <n v="784"/>
    <x v="35"/>
    <x v="2"/>
    <x v="0"/>
    <x v="0"/>
    <x v="1"/>
    <x v="0"/>
    <n v="0.2424"/>
    <x v="2"/>
    <x v="8"/>
    <n v="5"/>
    <n v="12"/>
    <n v="17"/>
    <s v="Weekend"/>
  </r>
  <r>
    <n v="785"/>
    <x v="35"/>
    <x v="3"/>
    <x v="0"/>
    <x v="0"/>
    <x v="1"/>
    <x v="0"/>
    <n v="0.2424"/>
    <x v="2"/>
    <x v="8"/>
    <n v="1"/>
    <n v="10"/>
    <n v="11"/>
    <s v="Weekend"/>
  </r>
  <r>
    <n v="786"/>
    <x v="35"/>
    <x v="4"/>
    <x v="0"/>
    <x v="0"/>
    <x v="2"/>
    <x v="1"/>
    <n v="0.2273"/>
    <x v="43"/>
    <x v="7"/>
    <n v="0"/>
    <n v="8"/>
    <n v="8"/>
    <s v="Weekend"/>
  </r>
  <r>
    <n v="787"/>
    <x v="35"/>
    <x v="5"/>
    <x v="0"/>
    <x v="0"/>
    <x v="2"/>
    <x v="2"/>
    <n v="0.2273"/>
    <x v="11"/>
    <x v="1"/>
    <n v="0"/>
    <n v="9"/>
    <n v="9"/>
    <s v="Weekend"/>
  </r>
  <r>
    <n v="788"/>
    <x v="35"/>
    <x v="6"/>
    <x v="0"/>
    <x v="0"/>
    <x v="2"/>
    <x v="2"/>
    <n v="0.2576"/>
    <x v="11"/>
    <x v="0"/>
    <n v="0"/>
    <n v="4"/>
    <n v="4"/>
    <s v="Weekend"/>
  </r>
  <r>
    <n v="789"/>
    <x v="35"/>
    <x v="7"/>
    <x v="0"/>
    <x v="0"/>
    <x v="2"/>
    <x v="1"/>
    <n v="0.2576"/>
    <x v="43"/>
    <x v="1"/>
    <n v="0"/>
    <n v="4"/>
    <n v="4"/>
    <s v="Weekend"/>
  </r>
  <r>
    <n v="790"/>
    <x v="35"/>
    <x v="8"/>
    <x v="0"/>
    <x v="0"/>
    <x v="2"/>
    <x v="2"/>
    <n v="0.2273"/>
    <x v="11"/>
    <x v="1"/>
    <n v="0"/>
    <n v="10"/>
    <n v="10"/>
    <s v="Weekend"/>
  </r>
  <r>
    <n v="791"/>
    <x v="35"/>
    <x v="9"/>
    <x v="0"/>
    <x v="0"/>
    <x v="2"/>
    <x v="2"/>
    <n v="0.2273"/>
    <x v="11"/>
    <x v="1"/>
    <n v="3"/>
    <n v="17"/>
    <n v="20"/>
    <s v="Weekend"/>
  </r>
  <r>
    <n v="792"/>
    <x v="35"/>
    <x v="10"/>
    <x v="0"/>
    <x v="0"/>
    <x v="2"/>
    <x v="2"/>
    <n v="0.21210000000000001"/>
    <x v="11"/>
    <x v="7"/>
    <n v="3"/>
    <n v="31"/>
    <n v="34"/>
    <s v="Weekend"/>
  </r>
  <r>
    <n v="793"/>
    <x v="35"/>
    <x v="11"/>
    <x v="0"/>
    <x v="0"/>
    <x v="2"/>
    <x v="1"/>
    <n v="0.2273"/>
    <x v="11"/>
    <x v="7"/>
    <n v="1"/>
    <n v="46"/>
    <n v="47"/>
    <s v="Weekend"/>
  </r>
  <r>
    <n v="794"/>
    <x v="35"/>
    <x v="12"/>
    <x v="0"/>
    <x v="0"/>
    <x v="2"/>
    <x v="1"/>
    <n v="0.2273"/>
    <x v="11"/>
    <x v="8"/>
    <n v="10"/>
    <n v="42"/>
    <n v="52"/>
    <s v="Weekend"/>
  </r>
  <r>
    <n v="795"/>
    <x v="35"/>
    <x v="13"/>
    <x v="0"/>
    <x v="0"/>
    <x v="2"/>
    <x v="1"/>
    <n v="0.2273"/>
    <x v="11"/>
    <x v="8"/>
    <n v="10"/>
    <n v="62"/>
    <n v="72"/>
    <s v="Weekend"/>
  </r>
  <r>
    <n v="796"/>
    <x v="35"/>
    <x v="14"/>
    <x v="0"/>
    <x v="0"/>
    <x v="2"/>
    <x v="1"/>
    <n v="0.2727"/>
    <x v="11"/>
    <x v="0"/>
    <n v="5"/>
    <n v="50"/>
    <n v="55"/>
    <s v="Weekend"/>
  </r>
  <r>
    <n v="797"/>
    <x v="35"/>
    <x v="15"/>
    <x v="0"/>
    <x v="0"/>
    <x v="2"/>
    <x v="1"/>
    <n v="0.2727"/>
    <x v="11"/>
    <x v="0"/>
    <n v="11"/>
    <n v="49"/>
    <n v="60"/>
    <s v="Weekend"/>
  </r>
  <r>
    <n v="798"/>
    <x v="35"/>
    <x v="16"/>
    <x v="0"/>
    <x v="0"/>
    <x v="2"/>
    <x v="1"/>
    <n v="0.2273"/>
    <x v="11"/>
    <x v="7"/>
    <n v="8"/>
    <n v="63"/>
    <n v="71"/>
    <s v="Weekend"/>
  </r>
  <r>
    <n v="799"/>
    <x v="35"/>
    <x v="17"/>
    <x v="0"/>
    <x v="0"/>
    <x v="1"/>
    <x v="0"/>
    <n v="0.21210000000000001"/>
    <x v="11"/>
    <x v="3"/>
    <n v="14"/>
    <n v="64"/>
    <n v="78"/>
    <s v="Weekend"/>
  </r>
  <r>
    <n v="800"/>
    <x v="35"/>
    <x v="18"/>
    <x v="0"/>
    <x v="0"/>
    <x v="1"/>
    <x v="17"/>
    <n v="0.2424"/>
    <x v="43"/>
    <x v="10"/>
    <n v="2"/>
    <n v="81"/>
    <n v="83"/>
    <s v="Weekend"/>
  </r>
  <r>
    <n v="801"/>
    <x v="35"/>
    <x v="19"/>
    <x v="0"/>
    <x v="0"/>
    <x v="1"/>
    <x v="17"/>
    <n v="0.2424"/>
    <x v="43"/>
    <x v="10"/>
    <n v="6"/>
    <n v="78"/>
    <n v="84"/>
    <s v="Weekend"/>
  </r>
  <r>
    <n v="802"/>
    <x v="35"/>
    <x v="20"/>
    <x v="0"/>
    <x v="0"/>
    <x v="0"/>
    <x v="11"/>
    <n v="0.28789999999999999"/>
    <x v="9"/>
    <x v="2"/>
    <n v="5"/>
    <n v="64"/>
    <n v="69"/>
    <s v="Weekend"/>
  </r>
  <r>
    <n v="803"/>
    <x v="35"/>
    <x v="21"/>
    <x v="0"/>
    <x v="0"/>
    <x v="0"/>
    <x v="12"/>
    <n v="0.2576"/>
    <x v="11"/>
    <x v="5"/>
    <n v="3"/>
    <n v="53"/>
    <n v="56"/>
    <s v="Weekend"/>
  </r>
  <r>
    <n v="804"/>
    <x v="35"/>
    <x v="22"/>
    <x v="0"/>
    <x v="0"/>
    <x v="0"/>
    <x v="12"/>
    <n v="0.2727"/>
    <x v="43"/>
    <x v="7"/>
    <n v="2"/>
    <n v="43"/>
    <n v="45"/>
    <s v="Weekend"/>
  </r>
  <r>
    <n v="805"/>
    <x v="35"/>
    <x v="23"/>
    <x v="0"/>
    <x v="0"/>
    <x v="0"/>
    <x v="12"/>
    <n v="0.2576"/>
    <x v="43"/>
    <x v="6"/>
    <n v="7"/>
    <n v="52"/>
    <n v="59"/>
    <s v="Weekend"/>
  </r>
  <r>
    <n v="806"/>
    <x v="36"/>
    <x v="0"/>
    <x v="0"/>
    <x v="1"/>
    <x v="0"/>
    <x v="12"/>
    <n v="0.2576"/>
    <x v="56"/>
    <x v="5"/>
    <n v="2"/>
    <n v="37"/>
    <n v="39"/>
    <s v="Weekend"/>
  </r>
  <r>
    <n v="807"/>
    <x v="36"/>
    <x v="1"/>
    <x v="0"/>
    <x v="1"/>
    <x v="0"/>
    <x v="12"/>
    <n v="0.2273"/>
    <x v="55"/>
    <x v="12"/>
    <n v="4"/>
    <n v="40"/>
    <n v="44"/>
    <s v="Weekend"/>
  </r>
  <r>
    <n v="808"/>
    <x v="36"/>
    <x v="2"/>
    <x v="0"/>
    <x v="1"/>
    <x v="0"/>
    <x v="12"/>
    <n v="0.2273"/>
    <x v="54"/>
    <x v="9"/>
    <n v="0"/>
    <n v="20"/>
    <n v="20"/>
    <s v="Weekend"/>
  </r>
  <r>
    <n v="809"/>
    <x v="36"/>
    <x v="3"/>
    <x v="0"/>
    <x v="1"/>
    <x v="0"/>
    <x v="12"/>
    <n v="0.28789999999999999"/>
    <x v="54"/>
    <x v="1"/>
    <n v="3"/>
    <n v="10"/>
    <n v="13"/>
    <s v="Weekend"/>
  </r>
  <r>
    <n v="810"/>
    <x v="36"/>
    <x v="4"/>
    <x v="0"/>
    <x v="1"/>
    <x v="0"/>
    <x v="12"/>
    <n v="0.2273"/>
    <x v="54"/>
    <x v="11"/>
    <n v="0"/>
    <n v="2"/>
    <n v="2"/>
    <s v="Weekend"/>
  </r>
  <r>
    <n v="811"/>
    <x v="36"/>
    <x v="5"/>
    <x v="0"/>
    <x v="1"/>
    <x v="0"/>
    <x v="12"/>
    <n v="0.2576"/>
    <x v="54"/>
    <x v="6"/>
    <n v="0"/>
    <n v="1"/>
    <n v="1"/>
    <s v="Weekend"/>
  </r>
  <r>
    <n v="812"/>
    <x v="36"/>
    <x v="6"/>
    <x v="0"/>
    <x v="1"/>
    <x v="0"/>
    <x v="12"/>
    <n v="0.2576"/>
    <x v="54"/>
    <x v="6"/>
    <n v="0"/>
    <n v="1"/>
    <n v="1"/>
    <s v="Weekend"/>
  </r>
  <r>
    <n v="813"/>
    <x v="36"/>
    <x v="7"/>
    <x v="0"/>
    <x v="1"/>
    <x v="0"/>
    <x v="0"/>
    <n v="0.2424"/>
    <x v="55"/>
    <x v="8"/>
    <n v="0"/>
    <n v="8"/>
    <n v="8"/>
    <s v="Weekend"/>
  </r>
  <r>
    <n v="814"/>
    <x v="36"/>
    <x v="8"/>
    <x v="0"/>
    <x v="1"/>
    <x v="0"/>
    <x v="0"/>
    <n v="0.2576"/>
    <x v="55"/>
    <x v="14"/>
    <n v="2"/>
    <n v="21"/>
    <n v="23"/>
    <s v="Weekend"/>
  </r>
  <r>
    <n v="815"/>
    <x v="36"/>
    <x v="9"/>
    <x v="0"/>
    <x v="1"/>
    <x v="0"/>
    <x v="17"/>
    <n v="0.28789999999999999"/>
    <x v="34"/>
    <x v="14"/>
    <n v="7"/>
    <n v="38"/>
    <n v="45"/>
    <s v="Weekend"/>
  </r>
  <r>
    <n v="816"/>
    <x v="36"/>
    <x v="10"/>
    <x v="0"/>
    <x v="1"/>
    <x v="0"/>
    <x v="11"/>
    <n v="0.28789999999999999"/>
    <x v="35"/>
    <x v="2"/>
    <n v="15"/>
    <n v="74"/>
    <n v="89"/>
    <s v="Weekend"/>
  </r>
  <r>
    <n v="817"/>
    <x v="36"/>
    <x v="11"/>
    <x v="0"/>
    <x v="1"/>
    <x v="0"/>
    <x v="3"/>
    <n v="0.30299999999999999"/>
    <x v="36"/>
    <x v="2"/>
    <n v="28"/>
    <n v="89"/>
    <n v="117"/>
    <s v="Weekend"/>
  </r>
  <r>
    <n v="818"/>
    <x v="36"/>
    <x v="12"/>
    <x v="0"/>
    <x v="1"/>
    <x v="0"/>
    <x v="10"/>
    <n v="0.33329999999999999"/>
    <x v="15"/>
    <x v="0"/>
    <n v="48"/>
    <n v="126"/>
    <n v="174"/>
    <s v="Weekend"/>
  </r>
  <r>
    <n v="819"/>
    <x v="36"/>
    <x v="13"/>
    <x v="0"/>
    <x v="1"/>
    <x v="0"/>
    <x v="10"/>
    <n v="0.36359999999999998"/>
    <x v="15"/>
    <x v="0"/>
    <n v="47"/>
    <n v="135"/>
    <n v="182"/>
    <s v="Weekend"/>
  </r>
  <r>
    <n v="820"/>
    <x v="36"/>
    <x v="14"/>
    <x v="0"/>
    <x v="1"/>
    <x v="0"/>
    <x v="10"/>
    <n v="0.34849999999999998"/>
    <x v="15"/>
    <x v="1"/>
    <n v="47"/>
    <n v="114"/>
    <n v="161"/>
    <s v="Weekend"/>
  </r>
  <r>
    <n v="821"/>
    <x v="36"/>
    <x v="15"/>
    <x v="0"/>
    <x v="1"/>
    <x v="0"/>
    <x v="10"/>
    <n v="0.34849999999999998"/>
    <x v="15"/>
    <x v="1"/>
    <n v="52"/>
    <n v="130"/>
    <n v="182"/>
    <s v="Weekend"/>
  </r>
  <r>
    <n v="822"/>
    <x v="36"/>
    <x v="16"/>
    <x v="0"/>
    <x v="1"/>
    <x v="0"/>
    <x v="10"/>
    <n v="0.34849999999999998"/>
    <x v="36"/>
    <x v="14"/>
    <n v="42"/>
    <n v="115"/>
    <n v="157"/>
    <s v="Weekend"/>
  </r>
  <r>
    <n v="823"/>
    <x v="36"/>
    <x v="17"/>
    <x v="0"/>
    <x v="1"/>
    <x v="0"/>
    <x v="10"/>
    <n v="0.36359999999999998"/>
    <x v="15"/>
    <x v="0"/>
    <n v="24"/>
    <n v="97"/>
    <n v="121"/>
    <s v="Weekend"/>
  </r>
  <r>
    <n v="824"/>
    <x v="36"/>
    <x v="18"/>
    <x v="0"/>
    <x v="1"/>
    <x v="0"/>
    <x v="11"/>
    <n v="0.30299999999999999"/>
    <x v="34"/>
    <x v="8"/>
    <n v="13"/>
    <n v="65"/>
    <n v="78"/>
    <s v="Weekend"/>
  </r>
  <r>
    <n v="825"/>
    <x v="36"/>
    <x v="19"/>
    <x v="0"/>
    <x v="1"/>
    <x v="0"/>
    <x v="17"/>
    <n v="0.28789999999999999"/>
    <x v="53"/>
    <x v="7"/>
    <n v="1"/>
    <n v="20"/>
    <n v="21"/>
    <s v="Weekend"/>
  </r>
  <r>
    <n v="826"/>
    <x v="36"/>
    <x v="20"/>
    <x v="0"/>
    <x v="1"/>
    <x v="0"/>
    <x v="17"/>
    <n v="0.28789999999999999"/>
    <x v="53"/>
    <x v="14"/>
    <n v="5"/>
    <n v="21"/>
    <n v="26"/>
    <s v="Weekend"/>
  </r>
  <r>
    <n v="827"/>
    <x v="36"/>
    <x v="21"/>
    <x v="0"/>
    <x v="1"/>
    <x v="0"/>
    <x v="12"/>
    <n v="0.30299999999999999"/>
    <x v="54"/>
    <x v="0"/>
    <n v="5"/>
    <n v="22"/>
    <n v="27"/>
    <s v="Weekend"/>
  </r>
  <r>
    <n v="828"/>
    <x v="36"/>
    <x v="22"/>
    <x v="0"/>
    <x v="1"/>
    <x v="0"/>
    <x v="12"/>
    <n v="0.30299999999999999"/>
    <x v="54"/>
    <x v="0"/>
    <n v="5"/>
    <n v="57"/>
    <n v="62"/>
    <s v="Weekend"/>
  </r>
  <r>
    <n v="829"/>
    <x v="36"/>
    <x v="23"/>
    <x v="0"/>
    <x v="1"/>
    <x v="0"/>
    <x v="0"/>
    <n v="0.28789999999999999"/>
    <x v="55"/>
    <x v="0"/>
    <n v="4"/>
    <n v="26"/>
    <n v="30"/>
    <s v="Weekend"/>
  </r>
  <r>
    <n v="830"/>
    <x v="37"/>
    <x v="0"/>
    <x v="0"/>
    <x v="2"/>
    <x v="0"/>
    <x v="0"/>
    <n v="0.28789999999999999"/>
    <x v="55"/>
    <x v="0"/>
    <n v="1"/>
    <n v="14"/>
    <n v="15"/>
    <s v="Weekday"/>
  </r>
  <r>
    <n v="831"/>
    <x v="37"/>
    <x v="1"/>
    <x v="0"/>
    <x v="2"/>
    <x v="0"/>
    <x v="1"/>
    <n v="0.2727"/>
    <x v="2"/>
    <x v="0"/>
    <n v="1"/>
    <n v="4"/>
    <n v="5"/>
    <s v="Weekday"/>
  </r>
  <r>
    <n v="832"/>
    <x v="37"/>
    <x v="2"/>
    <x v="0"/>
    <x v="2"/>
    <x v="0"/>
    <x v="2"/>
    <n v="0.2576"/>
    <x v="1"/>
    <x v="0"/>
    <n v="0"/>
    <n v="3"/>
    <n v="3"/>
    <s v="Weekday"/>
  </r>
  <r>
    <n v="833"/>
    <x v="37"/>
    <x v="3"/>
    <x v="0"/>
    <x v="2"/>
    <x v="0"/>
    <x v="2"/>
    <n v="0.2576"/>
    <x v="3"/>
    <x v="0"/>
    <n v="0"/>
    <n v="1"/>
    <n v="1"/>
    <s v="Weekday"/>
  </r>
  <r>
    <n v="834"/>
    <x v="37"/>
    <x v="4"/>
    <x v="0"/>
    <x v="2"/>
    <x v="0"/>
    <x v="2"/>
    <n v="0.2576"/>
    <x v="3"/>
    <x v="0"/>
    <n v="1"/>
    <n v="1"/>
    <n v="2"/>
    <s v="Weekday"/>
  </r>
  <r>
    <n v="835"/>
    <x v="37"/>
    <x v="5"/>
    <x v="0"/>
    <x v="2"/>
    <x v="0"/>
    <x v="2"/>
    <n v="0.2576"/>
    <x v="3"/>
    <x v="0"/>
    <n v="1"/>
    <n v="9"/>
    <n v="10"/>
    <s v="Weekday"/>
  </r>
  <r>
    <n v="836"/>
    <x v="37"/>
    <x v="6"/>
    <x v="0"/>
    <x v="2"/>
    <x v="0"/>
    <x v="15"/>
    <n v="0.2424"/>
    <x v="43"/>
    <x v="0"/>
    <n v="1"/>
    <n v="29"/>
    <n v="30"/>
    <s v="Weekday"/>
  </r>
  <r>
    <n v="837"/>
    <x v="37"/>
    <x v="7"/>
    <x v="0"/>
    <x v="2"/>
    <x v="0"/>
    <x v="15"/>
    <n v="0.2424"/>
    <x v="3"/>
    <x v="0"/>
    <n v="6"/>
    <n v="89"/>
    <n v="95"/>
    <s v="Weekday"/>
  </r>
  <r>
    <n v="838"/>
    <x v="37"/>
    <x v="8"/>
    <x v="0"/>
    <x v="2"/>
    <x v="1"/>
    <x v="13"/>
    <n v="0.2273"/>
    <x v="11"/>
    <x v="0"/>
    <n v="7"/>
    <n v="223"/>
    <n v="230"/>
    <s v="Weekday"/>
  </r>
  <r>
    <n v="839"/>
    <x v="37"/>
    <x v="9"/>
    <x v="0"/>
    <x v="2"/>
    <x v="0"/>
    <x v="1"/>
    <n v="0.2727"/>
    <x v="1"/>
    <x v="0"/>
    <n v="3"/>
    <n v="115"/>
    <n v="118"/>
    <s v="Weekday"/>
  </r>
  <r>
    <n v="840"/>
    <x v="37"/>
    <x v="10"/>
    <x v="0"/>
    <x v="2"/>
    <x v="0"/>
    <x v="0"/>
    <n v="0.2576"/>
    <x v="2"/>
    <x v="14"/>
    <n v="6"/>
    <n v="49"/>
    <n v="55"/>
    <s v="Weekday"/>
  </r>
  <r>
    <n v="841"/>
    <x v="37"/>
    <x v="11"/>
    <x v="0"/>
    <x v="2"/>
    <x v="0"/>
    <x v="11"/>
    <n v="0.31819999999999998"/>
    <x v="55"/>
    <x v="1"/>
    <n v="11"/>
    <n v="36"/>
    <n v="47"/>
    <s v="Weekday"/>
  </r>
  <r>
    <n v="842"/>
    <x v="37"/>
    <x v="12"/>
    <x v="0"/>
    <x v="2"/>
    <x v="1"/>
    <x v="3"/>
    <n v="0.34849999999999998"/>
    <x v="51"/>
    <x v="0"/>
    <n v="7"/>
    <n v="59"/>
    <n v="66"/>
    <s v="Weekday"/>
  </r>
  <r>
    <n v="843"/>
    <x v="37"/>
    <x v="13"/>
    <x v="0"/>
    <x v="2"/>
    <x v="1"/>
    <x v="5"/>
    <n v="0.36359999999999998"/>
    <x v="14"/>
    <x v="1"/>
    <n v="10"/>
    <n v="54"/>
    <n v="64"/>
    <s v="Weekday"/>
  </r>
  <r>
    <n v="844"/>
    <x v="37"/>
    <x v="14"/>
    <x v="0"/>
    <x v="2"/>
    <x v="1"/>
    <x v="5"/>
    <n v="0.36359999999999998"/>
    <x v="14"/>
    <x v="1"/>
    <n v="8"/>
    <n v="52"/>
    <n v="60"/>
    <s v="Weekday"/>
  </r>
  <r>
    <n v="845"/>
    <x v="37"/>
    <x v="15"/>
    <x v="0"/>
    <x v="2"/>
    <x v="1"/>
    <x v="4"/>
    <n v="0.39389999999999997"/>
    <x v="47"/>
    <x v="1"/>
    <n v="4"/>
    <n v="46"/>
    <n v="50"/>
    <s v="Weekday"/>
  </r>
  <r>
    <n v="846"/>
    <x v="37"/>
    <x v="16"/>
    <x v="0"/>
    <x v="2"/>
    <x v="1"/>
    <x v="5"/>
    <n v="0.34849999999999998"/>
    <x v="14"/>
    <x v="7"/>
    <n v="16"/>
    <n v="98"/>
    <n v="114"/>
    <s v="Weekday"/>
  </r>
  <r>
    <n v="847"/>
    <x v="37"/>
    <x v="17"/>
    <x v="0"/>
    <x v="2"/>
    <x v="1"/>
    <x v="3"/>
    <n v="0.31819999999999998"/>
    <x v="56"/>
    <x v="8"/>
    <n v="9"/>
    <n v="207"/>
    <n v="216"/>
    <s v="Weekday"/>
  </r>
  <r>
    <n v="848"/>
    <x v="37"/>
    <x v="18"/>
    <x v="0"/>
    <x v="2"/>
    <x v="1"/>
    <x v="10"/>
    <n v="0.33329999999999999"/>
    <x v="13"/>
    <x v="7"/>
    <n v="5"/>
    <n v="170"/>
    <n v="175"/>
    <s v="Weekday"/>
  </r>
  <r>
    <n v="849"/>
    <x v="37"/>
    <x v="19"/>
    <x v="0"/>
    <x v="2"/>
    <x v="1"/>
    <x v="3"/>
    <n v="0.34849999999999998"/>
    <x v="56"/>
    <x v="0"/>
    <n v="5"/>
    <n v="123"/>
    <n v="128"/>
    <s v="Weekday"/>
  </r>
  <r>
    <n v="850"/>
    <x v="37"/>
    <x v="20"/>
    <x v="0"/>
    <x v="2"/>
    <x v="1"/>
    <x v="3"/>
    <n v="0.33329999999999999"/>
    <x v="56"/>
    <x v="14"/>
    <n v="6"/>
    <n v="82"/>
    <n v="88"/>
    <s v="Weekday"/>
  </r>
  <r>
    <n v="851"/>
    <x v="37"/>
    <x v="21"/>
    <x v="0"/>
    <x v="2"/>
    <x v="0"/>
    <x v="3"/>
    <n v="0.34849999999999998"/>
    <x v="56"/>
    <x v="0"/>
    <n v="3"/>
    <n v="75"/>
    <n v="78"/>
    <s v="Weekday"/>
  </r>
  <r>
    <n v="852"/>
    <x v="37"/>
    <x v="22"/>
    <x v="0"/>
    <x v="2"/>
    <x v="0"/>
    <x v="17"/>
    <n v="0.30299999999999999"/>
    <x v="0"/>
    <x v="1"/>
    <n v="3"/>
    <n v="34"/>
    <n v="37"/>
    <s v="Weekday"/>
  </r>
  <r>
    <n v="853"/>
    <x v="37"/>
    <x v="23"/>
    <x v="0"/>
    <x v="2"/>
    <x v="1"/>
    <x v="11"/>
    <n v="0.33329999999999999"/>
    <x v="0"/>
    <x v="0"/>
    <n v="6"/>
    <n v="19"/>
    <n v="25"/>
    <s v="Weekday"/>
  </r>
  <r>
    <n v="854"/>
    <x v="38"/>
    <x v="0"/>
    <x v="0"/>
    <x v="3"/>
    <x v="1"/>
    <x v="17"/>
    <n v="0.31819999999999998"/>
    <x v="9"/>
    <x v="0"/>
    <n v="4"/>
    <n v="6"/>
    <n v="10"/>
    <s v="Weekday"/>
  </r>
  <r>
    <n v="855"/>
    <x v="38"/>
    <x v="1"/>
    <x v="0"/>
    <x v="3"/>
    <x v="1"/>
    <x v="17"/>
    <n v="0.31819999999999998"/>
    <x v="9"/>
    <x v="0"/>
    <n v="0"/>
    <n v="4"/>
    <n v="4"/>
    <s v="Weekday"/>
  </r>
  <r>
    <n v="856"/>
    <x v="38"/>
    <x v="2"/>
    <x v="0"/>
    <x v="3"/>
    <x v="1"/>
    <x v="12"/>
    <n v="0.2727"/>
    <x v="43"/>
    <x v="14"/>
    <n v="1"/>
    <n v="1"/>
    <n v="2"/>
    <s v="Weekday"/>
  </r>
  <r>
    <n v="857"/>
    <x v="38"/>
    <x v="3"/>
    <x v="0"/>
    <x v="3"/>
    <x v="2"/>
    <x v="17"/>
    <n v="0.2727"/>
    <x v="43"/>
    <x v="8"/>
    <n v="0"/>
    <n v="1"/>
    <n v="1"/>
    <s v="Weekday"/>
  </r>
  <r>
    <n v="858"/>
    <x v="38"/>
    <x v="4"/>
    <x v="0"/>
    <x v="3"/>
    <x v="0"/>
    <x v="12"/>
    <n v="0.2576"/>
    <x v="43"/>
    <x v="8"/>
    <n v="0"/>
    <n v="3"/>
    <n v="3"/>
    <s v="Weekday"/>
  </r>
  <r>
    <n v="859"/>
    <x v="38"/>
    <x v="5"/>
    <x v="0"/>
    <x v="3"/>
    <x v="0"/>
    <x v="12"/>
    <n v="0.2273"/>
    <x v="0"/>
    <x v="9"/>
    <n v="0"/>
    <n v="2"/>
    <n v="2"/>
    <s v="Weekday"/>
  </r>
  <r>
    <n v="860"/>
    <x v="38"/>
    <x v="6"/>
    <x v="0"/>
    <x v="3"/>
    <x v="0"/>
    <x v="12"/>
    <n v="0.2273"/>
    <x v="56"/>
    <x v="9"/>
    <n v="0"/>
    <n v="39"/>
    <n v="39"/>
    <s v="Weekday"/>
  </r>
  <r>
    <n v="861"/>
    <x v="38"/>
    <x v="7"/>
    <x v="0"/>
    <x v="3"/>
    <x v="0"/>
    <x v="0"/>
    <n v="0.19700000000000001"/>
    <x v="55"/>
    <x v="12"/>
    <n v="3"/>
    <n v="97"/>
    <n v="100"/>
    <s v="Weekday"/>
  </r>
  <r>
    <n v="862"/>
    <x v="38"/>
    <x v="8"/>
    <x v="0"/>
    <x v="3"/>
    <x v="0"/>
    <x v="0"/>
    <n v="0.19700000000000001"/>
    <x v="34"/>
    <x v="15"/>
    <n v="7"/>
    <n v="236"/>
    <n v="243"/>
    <s v="Weekday"/>
  </r>
  <r>
    <n v="863"/>
    <x v="38"/>
    <x v="9"/>
    <x v="0"/>
    <x v="3"/>
    <x v="0"/>
    <x v="0"/>
    <n v="0.19700000000000001"/>
    <x v="35"/>
    <x v="15"/>
    <n v="7"/>
    <n v="128"/>
    <n v="135"/>
    <s v="Weekday"/>
  </r>
  <r>
    <n v="864"/>
    <x v="38"/>
    <x v="10"/>
    <x v="0"/>
    <x v="3"/>
    <x v="0"/>
    <x v="1"/>
    <n v="0.18179999999999999"/>
    <x v="19"/>
    <x v="16"/>
    <n v="4"/>
    <n v="44"/>
    <n v="48"/>
    <s v="Weekday"/>
  </r>
  <r>
    <n v="865"/>
    <x v="38"/>
    <x v="11"/>
    <x v="0"/>
    <x v="3"/>
    <x v="0"/>
    <x v="1"/>
    <n v="0.18179999999999999"/>
    <x v="19"/>
    <x v="17"/>
    <n v="1"/>
    <n v="49"/>
    <n v="50"/>
    <s v="Weekday"/>
  </r>
  <r>
    <n v="866"/>
    <x v="38"/>
    <x v="12"/>
    <x v="0"/>
    <x v="3"/>
    <x v="0"/>
    <x v="0"/>
    <n v="0.19700000000000001"/>
    <x v="41"/>
    <x v="15"/>
    <n v="2"/>
    <n v="63"/>
    <n v="65"/>
    <s v="Weekday"/>
  </r>
  <r>
    <n v="867"/>
    <x v="38"/>
    <x v="13"/>
    <x v="0"/>
    <x v="3"/>
    <x v="1"/>
    <x v="0"/>
    <n v="0.19700000000000001"/>
    <x v="25"/>
    <x v="10"/>
    <n v="2"/>
    <n v="48"/>
    <n v="50"/>
    <s v="Weekday"/>
  </r>
  <r>
    <n v="868"/>
    <x v="38"/>
    <x v="14"/>
    <x v="0"/>
    <x v="3"/>
    <x v="0"/>
    <x v="1"/>
    <n v="0.19700000000000001"/>
    <x v="38"/>
    <x v="12"/>
    <n v="3"/>
    <n v="61"/>
    <n v="64"/>
    <s v="Weekday"/>
  </r>
  <r>
    <n v="869"/>
    <x v="38"/>
    <x v="15"/>
    <x v="0"/>
    <x v="3"/>
    <x v="0"/>
    <x v="1"/>
    <n v="0.19700000000000001"/>
    <x v="23"/>
    <x v="13"/>
    <n v="6"/>
    <n v="45"/>
    <n v="51"/>
    <s v="Weekday"/>
  </r>
  <r>
    <n v="870"/>
    <x v="38"/>
    <x v="16"/>
    <x v="0"/>
    <x v="3"/>
    <x v="0"/>
    <x v="1"/>
    <n v="0.18179999999999999"/>
    <x v="23"/>
    <x v="18"/>
    <n v="4"/>
    <n v="79"/>
    <n v="83"/>
    <s v="Weekday"/>
  </r>
  <r>
    <n v="871"/>
    <x v="38"/>
    <x v="17"/>
    <x v="0"/>
    <x v="3"/>
    <x v="0"/>
    <x v="1"/>
    <n v="0.18179999999999999"/>
    <x v="25"/>
    <x v="19"/>
    <n v="4"/>
    <n v="172"/>
    <n v="176"/>
    <s v="Weekday"/>
  </r>
  <r>
    <n v="872"/>
    <x v="38"/>
    <x v="18"/>
    <x v="0"/>
    <x v="3"/>
    <x v="0"/>
    <x v="2"/>
    <n v="0.18179999999999999"/>
    <x v="25"/>
    <x v="13"/>
    <n v="1"/>
    <n v="151"/>
    <n v="152"/>
    <s v="Weekday"/>
  </r>
  <r>
    <n v="873"/>
    <x v="38"/>
    <x v="19"/>
    <x v="0"/>
    <x v="3"/>
    <x v="0"/>
    <x v="13"/>
    <n v="0.1212"/>
    <x v="22"/>
    <x v="17"/>
    <n v="1"/>
    <n v="100"/>
    <n v="101"/>
    <s v="Weekday"/>
  </r>
  <r>
    <n v="874"/>
    <x v="38"/>
    <x v="20"/>
    <x v="0"/>
    <x v="3"/>
    <x v="0"/>
    <x v="13"/>
    <n v="0.13639999999999999"/>
    <x v="22"/>
    <x v="9"/>
    <n v="3"/>
    <n v="53"/>
    <n v="56"/>
    <s v="Weekday"/>
  </r>
  <r>
    <n v="875"/>
    <x v="38"/>
    <x v="21"/>
    <x v="0"/>
    <x v="3"/>
    <x v="0"/>
    <x v="14"/>
    <n v="0.1061"/>
    <x v="39"/>
    <x v="17"/>
    <n v="8"/>
    <n v="46"/>
    <n v="54"/>
    <s v="Weekday"/>
  </r>
  <r>
    <n v="876"/>
    <x v="38"/>
    <x v="22"/>
    <x v="0"/>
    <x v="3"/>
    <x v="0"/>
    <x v="16"/>
    <n v="0.1061"/>
    <x v="39"/>
    <x v="11"/>
    <n v="0"/>
    <n v="29"/>
    <n v="29"/>
    <s v="Weekday"/>
  </r>
  <r>
    <n v="877"/>
    <x v="38"/>
    <x v="23"/>
    <x v="0"/>
    <x v="3"/>
    <x v="0"/>
    <x v="16"/>
    <n v="0.1061"/>
    <x v="39"/>
    <x v="9"/>
    <n v="3"/>
    <n v="9"/>
    <n v="12"/>
    <s v="Weekday"/>
  </r>
  <r>
    <n v="878"/>
    <x v="39"/>
    <x v="0"/>
    <x v="0"/>
    <x v="4"/>
    <x v="0"/>
    <x v="18"/>
    <n v="7.5800000000000006E-2"/>
    <x v="42"/>
    <x v="11"/>
    <n v="0"/>
    <n v="17"/>
    <n v="17"/>
    <s v="Weekday"/>
  </r>
  <r>
    <n v="879"/>
    <x v="39"/>
    <x v="1"/>
    <x v="0"/>
    <x v="4"/>
    <x v="0"/>
    <x v="18"/>
    <n v="0.1061"/>
    <x v="42"/>
    <x v="6"/>
    <n v="0"/>
    <n v="7"/>
    <n v="7"/>
    <s v="Weekday"/>
  </r>
  <r>
    <n v="880"/>
    <x v="39"/>
    <x v="2"/>
    <x v="0"/>
    <x v="4"/>
    <x v="0"/>
    <x v="19"/>
    <n v="7.5800000000000006E-2"/>
    <x v="41"/>
    <x v="3"/>
    <n v="1"/>
    <n v="2"/>
    <n v="3"/>
    <s v="Weekday"/>
  </r>
  <r>
    <n v="881"/>
    <x v="39"/>
    <x v="3"/>
    <x v="0"/>
    <x v="4"/>
    <x v="0"/>
    <x v="20"/>
    <n v="7.5800000000000006E-2"/>
    <x v="49"/>
    <x v="7"/>
    <n v="0"/>
    <n v="2"/>
    <n v="2"/>
    <s v="Weekday"/>
  </r>
  <r>
    <n v="882"/>
    <x v="39"/>
    <x v="5"/>
    <x v="0"/>
    <x v="4"/>
    <x v="0"/>
    <x v="20"/>
    <n v="0.1061"/>
    <x v="49"/>
    <x v="14"/>
    <n v="0"/>
    <n v="7"/>
    <n v="7"/>
    <s v="Weekday"/>
  </r>
  <r>
    <n v="883"/>
    <x v="39"/>
    <x v="6"/>
    <x v="0"/>
    <x v="4"/>
    <x v="0"/>
    <x v="20"/>
    <n v="0.1515"/>
    <x v="49"/>
    <x v="0"/>
    <n v="0"/>
    <n v="43"/>
    <n v="43"/>
    <s v="Weekday"/>
  </r>
  <r>
    <n v="884"/>
    <x v="39"/>
    <x v="7"/>
    <x v="0"/>
    <x v="4"/>
    <x v="0"/>
    <x v="20"/>
    <n v="0.1061"/>
    <x v="36"/>
    <x v="14"/>
    <n v="4"/>
    <n v="95"/>
    <n v="99"/>
    <s v="Weekday"/>
  </r>
  <r>
    <n v="885"/>
    <x v="39"/>
    <x v="8"/>
    <x v="0"/>
    <x v="4"/>
    <x v="0"/>
    <x v="18"/>
    <n v="0.13639999999999999"/>
    <x v="16"/>
    <x v="0"/>
    <n v="1"/>
    <n v="198"/>
    <n v="199"/>
    <s v="Weekday"/>
  </r>
  <r>
    <n v="886"/>
    <x v="39"/>
    <x v="9"/>
    <x v="0"/>
    <x v="4"/>
    <x v="0"/>
    <x v="16"/>
    <n v="0.13639999999999999"/>
    <x v="17"/>
    <x v="8"/>
    <n v="4"/>
    <n v="119"/>
    <n v="123"/>
    <s v="Weekday"/>
  </r>
  <r>
    <n v="887"/>
    <x v="39"/>
    <x v="10"/>
    <x v="0"/>
    <x v="4"/>
    <x v="0"/>
    <x v="14"/>
    <n v="0.18179999999999999"/>
    <x v="42"/>
    <x v="0"/>
    <n v="8"/>
    <n v="51"/>
    <n v="59"/>
    <s v="Weekday"/>
  </r>
  <r>
    <n v="888"/>
    <x v="39"/>
    <x v="11"/>
    <x v="0"/>
    <x v="4"/>
    <x v="1"/>
    <x v="14"/>
    <n v="0.1515"/>
    <x v="21"/>
    <x v="8"/>
    <n v="1"/>
    <n v="40"/>
    <n v="41"/>
    <s v="Weekday"/>
  </r>
  <r>
    <n v="889"/>
    <x v="39"/>
    <x v="12"/>
    <x v="0"/>
    <x v="4"/>
    <x v="1"/>
    <x v="15"/>
    <n v="0.18179999999999999"/>
    <x v="22"/>
    <x v="6"/>
    <n v="4"/>
    <n v="57"/>
    <n v="61"/>
    <s v="Weekday"/>
  </r>
  <r>
    <n v="890"/>
    <x v="39"/>
    <x v="13"/>
    <x v="0"/>
    <x v="4"/>
    <x v="0"/>
    <x v="15"/>
    <n v="0.16669999999999999"/>
    <x v="22"/>
    <x v="2"/>
    <n v="2"/>
    <n v="67"/>
    <n v="69"/>
    <s v="Weekday"/>
  </r>
  <r>
    <n v="891"/>
    <x v="39"/>
    <x v="14"/>
    <x v="0"/>
    <x v="4"/>
    <x v="0"/>
    <x v="2"/>
    <n v="0.18179999999999999"/>
    <x v="46"/>
    <x v="4"/>
    <n v="2"/>
    <n v="56"/>
    <n v="58"/>
    <s v="Weekday"/>
  </r>
  <r>
    <n v="892"/>
    <x v="39"/>
    <x v="15"/>
    <x v="0"/>
    <x v="4"/>
    <x v="1"/>
    <x v="2"/>
    <n v="0.18179999999999999"/>
    <x v="46"/>
    <x v="3"/>
    <n v="3"/>
    <n v="61"/>
    <n v="64"/>
    <s v="Weekday"/>
  </r>
  <r>
    <n v="893"/>
    <x v="39"/>
    <x v="16"/>
    <x v="0"/>
    <x v="4"/>
    <x v="1"/>
    <x v="2"/>
    <n v="0.19700000000000001"/>
    <x v="38"/>
    <x v="2"/>
    <n v="7"/>
    <n v="72"/>
    <n v="79"/>
    <s v="Weekday"/>
  </r>
  <r>
    <n v="894"/>
    <x v="39"/>
    <x v="17"/>
    <x v="0"/>
    <x v="4"/>
    <x v="1"/>
    <x v="2"/>
    <n v="0.19700000000000001"/>
    <x v="46"/>
    <x v="2"/>
    <n v="9"/>
    <n v="157"/>
    <n v="166"/>
    <s v="Weekday"/>
  </r>
  <r>
    <n v="895"/>
    <x v="39"/>
    <x v="18"/>
    <x v="0"/>
    <x v="4"/>
    <x v="1"/>
    <x v="15"/>
    <n v="0.16669999999999999"/>
    <x v="19"/>
    <x v="4"/>
    <n v="2"/>
    <n v="168"/>
    <n v="170"/>
    <s v="Weekday"/>
  </r>
  <r>
    <n v="896"/>
    <x v="39"/>
    <x v="19"/>
    <x v="0"/>
    <x v="4"/>
    <x v="2"/>
    <x v="14"/>
    <n v="0.1212"/>
    <x v="3"/>
    <x v="2"/>
    <n v="1"/>
    <n v="87"/>
    <n v="88"/>
    <s v="Weekday"/>
  </r>
  <r>
    <n v="897"/>
    <x v="39"/>
    <x v="20"/>
    <x v="0"/>
    <x v="4"/>
    <x v="2"/>
    <x v="14"/>
    <n v="0.1515"/>
    <x v="3"/>
    <x v="8"/>
    <n v="0"/>
    <n v="84"/>
    <n v="84"/>
    <s v="Weekday"/>
  </r>
  <r>
    <n v="898"/>
    <x v="39"/>
    <x v="21"/>
    <x v="0"/>
    <x v="4"/>
    <x v="1"/>
    <x v="14"/>
    <n v="0.1515"/>
    <x v="3"/>
    <x v="8"/>
    <n v="0"/>
    <n v="83"/>
    <n v="83"/>
    <s v="Weekday"/>
  </r>
  <r>
    <n v="899"/>
    <x v="39"/>
    <x v="22"/>
    <x v="0"/>
    <x v="4"/>
    <x v="2"/>
    <x v="13"/>
    <n v="0.16669999999999999"/>
    <x v="1"/>
    <x v="8"/>
    <n v="4"/>
    <n v="42"/>
    <n v="46"/>
    <s v="Weekday"/>
  </r>
  <r>
    <n v="900"/>
    <x v="39"/>
    <x v="23"/>
    <x v="0"/>
    <x v="4"/>
    <x v="2"/>
    <x v="13"/>
    <n v="0.1515"/>
    <x v="1"/>
    <x v="5"/>
    <n v="0"/>
    <n v="37"/>
    <n v="37"/>
    <s v="Weekday"/>
  </r>
  <r>
    <n v="901"/>
    <x v="40"/>
    <x v="0"/>
    <x v="0"/>
    <x v="5"/>
    <x v="2"/>
    <x v="14"/>
    <n v="0.13639999999999999"/>
    <x v="3"/>
    <x v="5"/>
    <n v="0"/>
    <n v="16"/>
    <n v="16"/>
    <s v="Weekday"/>
  </r>
  <r>
    <n v="902"/>
    <x v="40"/>
    <x v="1"/>
    <x v="0"/>
    <x v="5"/>
    <x v="2"/>
    <x v="14"/>
    <n v="0.1515"/>
    <x v="1"/>
    <x v="7"/>
    <n v="0"/>
    <n v="7"/>
    <n v="7"/>
    <s v="Weekday"/>
  </r>
  <r>
    <n v="903"/>
    <x v="40"/>
    <x v="2"/>
    <x v="0"/>
    <x v="5"/>
    <x v="2"/>
    <x v="14"/>
    <n v="0.1515"/>
    <x v="1"/>
    <x v="7"/>
    <n v="0"/>
    <n v="3"/>
    <n v="3"/>
    <s v="Weekday"/>
  </r>
  <r>
    <n v="904"/>
    <x v="40"/>
    <x v="4"/>
    <x v="0"/>
    <x v="5"/>
    <x v="1"/>
    <x v="14"/>
    <n v="0.13639999999999999"/>
    <x v="29"/>
    <x v="6"/>
    <n v="0"/>
    <n v="1"/>
    <n v="1"/>
    <s v="Weekday"/>
  </r>
  <r>
    <n v="905"/>
    <x v="40"/>
    <x v="5"/>
    <x v="0"/>
    <x v="5"/>
    <x v="1"/>
    <x v="16"/>
    <n v="0.1212"/>
    <x v="20"/>
    <x v="6"/>
    <n v="0"/>
    <n v="6"/>
    <n v="6"/>
    <s v="Weekday"/>
  </r>
  <r>
    <n v="906"/>
    <x v="40"/>
    <x v="6"/>
    <x v="0"/>
    <x v="5"/>
    <x v="1"/>
    <x v="16"/>
    <n v="0.1212"/>
    <x v="47"/>
    <x v="3"/>
    <n v="0"/>
    <n v="26"/>
    <n v="26"/>
    <s v="Weekday"/>
  </r>
  <r>
    <n v="907"/>
    <x v="40"/>
    <x v="7"/>
    <x v="0"/>
    <x v="5"/>
    <x v="0"/>
    <x v="18"/>
    <n v="7.5800000000000006E-2"/>
    <x v="20"/>
    <x v="12"/>
    <n v="0"/>
    <n v="99"/>
    <n v="99"/>
    <s v="Weekday"/>
  </r>
  <r>
    <n v="908"/>
    <x v="40"/>
    <x v="8"/>
    <x v="0"/>
    <x v="5"/>
    <x v="0"/>
    <x v="18"/>
    <n v="7.5800000000000006E-2"/>
    <x v="36"/>
    <x v="9"/>
    <n v="5"/>
    <n v="173"/>
    <n v="178"/>
    <s v="Weekday"/>
  </r>
  <r>
    <n v="909"/>
    <x v="40"/>
    <x v="9"/>
    <x v="0"/>
    <x v="5"/>
    <x v="0"/>
    <x v="16"/>
    <n v="0.1061"/>
    <x v="16"/>
    <x v="11"/>
    <n v="1"/>
    <n v="121"/>
    <n v="122"/>
    <s v="Weekday"/>
  </r>
  <r>
    <n v="910"/>
    <x v="40"/>
    <x v="10"/>
    <x v="0"/>
    <x v="5"/>
    <x v="0"/>
    <x v="16"/>
    <n v="0.1061"/>
    <x v="16"/>
    <x v="4"/>
    <n v="1"/>
    <n v="34"/>
    <n v="35"/>
    <s v="Weekday"/>
  </r>
  <r>
    <n v="911"/>
    <x v="40"/>
    <x v="11"/>
    <x v="0"/>
    <x v="5"/>
    <x v="0"/>
    <x v="14"/>
    <n v="0.1212"/>
    <x v="17"/>
    <x v="11"/>
    <n v="1"/>
    <n v="44"/>
    <n v="45"/>
    <s v="Weekday"/>
  </r>
  <r>
    <n v="912"/>
    <x v="40"/>
    <x v="12"/>
    <x v="0"/>
    <x v="5"/>
    <x v="0"/>
    <x v="13"/>
    <n v="0.13639999999999999"/>
    <x v="46"/>
    <x v="13"/>
    <n v="4"/>
    <n v="65"/>
    <n v="69"/>
    <s v="Weekday"/>
  </r>
  <r>
    <n v="913"/>
    <x v="40"/>
    <x v="13"/>
    <x v="0"/>
    <x v="5"/>
    <x v="0"/>
    <x v="15"/>
    <n v="0.16669999999999999"/>
    <x v="44"/>
    <x v="4"/>
    <n v="3"/>
    <n v="59"/>
    <n v="62"/>
    <s v="Weekday"/>
  </r>
  <r>
    <n v="914"/>
    <x v="40"/>
    <x v="14"/>
    <x v="0"/>
    <x v="5"/>
    <x v="0"/>
    <x v="2"/>
    <n v="0.18179999999999999"/>
    <x v="57"/>
    <x v="3"/>
    <n v="6"/>
    <n v="42"/>
    <n v="48"/>
    <s v="Weekday"/>
  </r>
  <r>
    <n v="915"/>
    <x v="40"/>
    <x v="15"/>
    <x v="0"/>
    <x v="5"/>
    <x v="0"/>
    <x v="2"/>
    <n v="0.19700000000000001"/>
    <x v="59"/>
    <x v="2"/>
    <n v="0"/>
    <n v="50"/>
    <n v="50"/>
    <s v="Weekday"/>
  </r>
  <r>
    <n v="916"/>
    <x v="40"/>
    <x v="16"/>
    <x v="0"/>
    <x v="5"/>
    <x v="0"/>
    <x v="2"/>
    <n v="0.18179999999999999"/>
    <x v="57"/>
    <x v="4"/>
    <n v="4"/>
    <n v="76"/>
    <n v="80"/>
    <s v="Weekday"/>
  </r>
  <r>
    <n v="917"/>
    <x v="40"/>
    <x v="17"/>
    <x v="0"/>
    <x v="5"/>
    <x v="0"/>
    <x v="15"/>
    <n v="0.18179999999999999"/>
    <x v="60"/>
    <x v="5"/>
    <n v="6"/>
    <n v="159"/>
    <n v="165"/>
    <s v="Weekday"/>
  </r>
  <r>
    <n v="918"/>
    <x v="40"/>
    <x v="18"/>
    <x v="0"/>
    <x v="5"/>
    <x v="0"/>
    <x v="13"/>
    <n v="0.18179999999999999"/>
    <x v="40"/>
    <x v="7"/>
    <n v="3"/>
    <n v="157"/>
    <n v="160"/>
    <s v="Weekday"/>
  </r>
  <r>
    <n v="919"/>
    <x v="40"/>
    <x v="19"/>
    <x v="0"/>
    <x v="5"/>
    <x v="0"/>
    <x v="14"/>
    <n v="0.16669999999999999"/>
    <x v="40"/>
    <x v="14"/>
    <n v="2"/>
    <n v="110"/>
    <n v="112"/>
    <s v="Weekday"/>
  </r>
  <r>
    <n v="920"/>
    <x v="40"/>
    <x v="20"/>
    <x v="0"/>
    <x v="5"/>
    <x v="0"/>
    <x v="14"/>
    <n v="0.18179999999999999"/>
    <x v="61"/>
    <x v="1"/>
    <n v="4"/>
    <n v="93"/>
    <n v="97"/>
    <s v="Weekday"/>
  </r>
  <r>
    <n v="921"/>
    <x v="40"/>
    <x v="21"/>
    <x v="0"/>
    <x v="5"/>
    <x v="0"/>
    <x v="14"/>
    <n v="0.21210000000000001"/>
    <x v="17"/>
    <x v="0"/>
    <n v="2"/>
    <n v="70"/>
    <n v="72"/>
    <s v="Weekday"/>
  </r>
  <r>
    <n v="922"/>
    <x v="40"/>
    <x v="22"/>
    <x v="0"/>
    <x v="5"/>
    <x v="0"/>
    <x v="16"/>
    <n v="0.19700000000000001"/>
    <x v="17"/>
    <x v="0"/>
    <n v="4"/>
    <n v="47"/>
    <n v="51"/>
    <s v="Weekday"/>
  </r>
  <r>
    <n v="923"/>
    <x v="40"/>
    <x v="23"/>
    <x v="0"/>
    <x v="5"/>
    <x v="0"/>
    <x v="16"/>
    <n v="0.1515"/>
    <x v="16"/>
    <x v="14"/>
    <n v="1"/>
    <n v="33"/>
    <n v="34"/>
    <s v="Weekday"/>
  </r>
  <r>
    <n v="924"/>
    <x v="41"/>
    <x v="0"/>
    <x v="0"/>
    <x v="6"/>
    <x v="0"/>
    <x v="18"/>
    <n v="0.13639999999999999"/>
    <x v="36"/>
    <x v="14"/>
    <n v="2"/>
    <n v="12"/>
    <n v="14"/>
    <s v="Weekday"/>
  </r>
  <r>
    <n v="925"/>
    <x v="41"/>
    <x v="1"/>
    <x v="0"/>
    <x v="6"/>
    <x v="0"/>
    <x v="18"/>
    <n v="0.13639999999999999"/>
    <x v="47"/>
    <x v="1"/>
    <n v="1"/>
    <n v="6"/>
    <n v="7"/>
    <s v="Weekday"/>
  </r>
  <r>
    <n v="926"/>
    <x v="41"/>
    <x v="2"/>
    <x v="0"/>
    <x v="6"/>
    <x v="0"/>
    <x v="18"/>
    <n v="0.13639999999999999"/>
    <x v="47"/>
    <x v="1"/>
    <n v="0"/>
    <n v="3"/>
    <n v="3"/>
    <s v="Weekday"/>
  </r>
  <r>
    <n v="927"/>
    <x v="41"/>
    <x v="5"/>
    <x v="0"/>
    <x v="6"/>
    <x v="0"/>
    <x v="19"/>
    <n v="0.1212"/>
    <x v="30"/>
    <x v="1"/>
    <n v="0"/>
    <n v="4"/>
    <n v="4"/>
    <s v="Weekday"/>
  </r>
  <r>
    <n v="928"/>
    <x v="41"/>
    <x v="6"/>
    <x v="0"/>
    <x v="6"/>
    <x v="0"/>
    <x v="18"/>
    <n v="0.18179999999999999"/>
    <x v="31"/>
    <x v="0"/>
    <n v="1"/>
    <n v="23"/>
    <n v="24"/>
    <s v="Weekday"/>
  </r>
  <r>
    <n v="929"/>
    <x v="41"/>
    <x v="7"/>
    <x v="0"/>
    <x v="6"/>
    <x v="0"/>
    <x v="19"/>
    <n v="0.16669999999999999"/>
    <x v="62"/>
    <x v="0"/>
    <n v="1"/>
    <n v="73"/>
    <n v="74"/>
    <s v="Weekday"/>
  </r>
  <r>
    <n v="930"/>
    <x v="41"/>
    <x v="8"/>
    <x v="0"/>
    <x v="6"/>
    <x v="0"/>
    <x v="18"/>
    <n v="0.1212"/>
    <x v="32"/>
    <x v="8"/>
    <n v="4"/>
    <n v="212"/>
    <n v="216"/>
    <s v="Weekday"/>
  </r>
  <r>
    <n v="931"/>
    <x v="41"/>
    <x v="9"/>
    <x v="0"/>
    <x v="6"/>
    <x v="0"/>
    <x v="16"/>
    <n v="0.1212"/>
    <x v="32"/>
    <x v="6"/>
    <n v="8"/>
    <n v="132"/>
    <n v="140"/>
    <s v="Weekday"/>
  </r>
  <r>
    <n v="932"/>
    <x v="41"/>
    <x v="10"/>
    <x v="0"/>
    <x v="6"/>
    <x v="0"/>
    <x v="14"/>
    <n v="0.13639999999999999"/>
    <x v="27"/>
    <x v="5"/>
    <n v="5"/>
    <n v="39"/>
    <n v="44"/>
    <s v="Weekday"/>
  </r>
  <r>
    <n v="933"/>
    <x v="41"/>
    <x v="11"/>
    <x v="0"/>
    <x v="6"/>
    <x v="0"/>
    <x v="1"/>
    <n v="0.2273"/>
    <x v="19"/>
    <x v="7"/>
    <n v="12"/>
    <n v="52"/>
    <n v="64"/>
    <s v="Weekday"/>
  </r>
  <r>
    <n v="934"/>
    <x v="41"/>
    <x v="12"/>
    <x v="0"/>
    <x v="6"/>
    <x v="0"/>
    <x v="1"/>
    <n v="0.2273"/>
    <x v="19"/>
    <x v="7"/>
    <n v="7"/>
    <n v="64"/>
    <n v="71"/>
    <s v="Weekday"/>
  </r>
  <r>
    <n v="935"/>
    <x v="41"/>
    <x v="13"/>
    <x v="0"/>
    <x v="6"/>
    <x v="0"/>
    <x v="0"/>
    <n v="0.2273"/>
    <x v="23"/>
    <x v="5"/>
    <n v="21"/>
    <n v="89"/>
    <n v="110"/>
    <s v="Weekday"/>
  </r>
  <r>
    <n v="936"/>
    <x v="41"/>
    <x v="14"/>
    <x v="0"/>
    <x v="6"/>
    <x v="0"/>
    <x v="11"/>
    <n v="0.28789999999999999"/>
    <x v="60"/>
    <x v="2"/>
    <n v="17"/>
    <n v="67"/>
    <n v="84"/>
    <s v="Weekday"/>
  </r>
  <r>
    <n v="937"/>
    <x v="41"/>
    <x v="15"/>
    <x v="0"/>
    <x v="6"/>
    <x v="0"/>
    <x v="3"/>
    <n v="0.31819999999999998"/>
    <x v="58"/>
    <x v="8"/>
    <n v="12"/>
    <n v="62"/>
    <n v="74"/>
    <s v="Weekday"/>
  </r>
  <r>
    <n v="938"/>
    <x v="41"/>
    <x v="16"/>
    <x v="0"/>
    <x v="6"/>
    <x v="0"/>
    <x v="11"/>
    <n v="0.28789999999999999"/>
    <x v="40"/>
    <x v="5"/>
    <n v="14"/>
    <n v="111"/>
    <n v="125"/>
    <s v="Weekday"/>
  </r>
  <r>
    <n v="939"/>
    <x v="41"/>
    <x v="17"/>
    <x v="0"/>
    <x v="6"/>
    <x v="0"/>
    <x v="11"/>
    <n v="0.33329999999999999"/>
    <x v="63"/>
    <x v="0"/>
    <n v="18"/>
    <n v="193"/>
    <n v="211"/>
    <s v="Weekday"/>
  </r>
  <r>
    <n v="940"/>
    <x v="41"/>
    <x v="18"/>
    <x v="0"/>
    <x v="6"/>
    <x v="0"/>
    <x v="17"/>
    <n v="0.31819999999999998"/>
    <x v="40"/>
    <x v="0"/>
    <n v="9"/>
    <n v="165"/>
    <n v="174"/>
    <s v="Weekday"/>
  </r>
  <r>
    <n v="941"/>
    <x v="41"/>
    <x v="19"/>
    <x v="0"/>
    <x v="6"/>
    <x v="0"/>
    <x v="12"/>
    <n v="0.30299999999999999"/>
    <x v="39"/>
    <x v="0"/>
    <n v="7"/>
    <n v="94"/>
    <n v="101"/>
    <s v="Weekday"/>
  </r>
  <r>
    <n v="942"/>
    <x v="41"/>
    <x v="20"/>
    <x v="0"/>
    <x v="6"/>
    <x v="0"/>
    <x v="1"/>
    <n v="0.2273"/>
    <x v="28"/>
    <x v="7"/>
    <n v="2"/>
    <n v="61"/>
    <n v="63"/>
    <s v="Weekday"/>
  </r>
  <r>
    <n v="943"/>
    <x v="41"/>
    <x v="21"/>
    <x v="0"/>
    <x v="6"/>
    <x v="0"/>
    <x v="2"/>
    <n v="0.21210000000000001"/>
    <x v="29"/>
    <x v="7"/>
    <n v="1"/>
    <n v="46"/>
    <n v="47"/>
    <s v="Weekday"/>
  </r>
  <r>
    <n v="944"/>
    <x v="41"/>
    <x v="22"/>
    <x v="0"/>
    <x v="6"/>
    <x v="0"/>
    <x v="2"/>
    <n v="0.2273"/>
    <x v="26"/>
    <x v="1"/>
    <n v="2"/>
    <n v="41"/>
    <n v="43"/>
    <s v="Weekday"/>
  </r>
  <r>
    <n v="945"/>
    <x v="41"/>
    <x v="23"/>
    <x v="0"/>
    <x v="6"/>
    <x v="0"/>
    <x v="15"/>
    <n v="0.2424"/>
    <x v="27"/>
    <x v="0"/>
    <n v="5"/>
    <n v="48"/>
    <n v="53"/>
    <s v="Weekday"/>
  </r>
  <r>
    <n v="946"/>
    <x v="42"/>
    <x v="0"/>
    <x v="0"/>
    <x v="0"/>
    <x v="0"/>
    <x v="13"/>
    <n v="0.19700000000000001"/>
    <x v="27"/>
    <x v="1"/>
    <n v="3"/>
    <n v="27"/>
    <n v="30"/>
    <s v="Weekend"/>
  </r>
  <r>
    <n v="947"/>
    <x v="42"/>
    <x v="1"/>
    <x v="0"/>
    <x v="0"/>
    <x v="0"/>
    <x v="14"/>
    <n v="0.21210000000000001"/>
    <x v="3"/>
    <x v="0"/>
    <n v="2"/>
    <n v="22"/>
    <n v="24"/>
    <s v="Weekend"/>
  </r>
  <r>
    <n v="948"/>
    <x v="42"/>
    <x v="2"/>
    <x v="0"/>
    <x v="0"/>
    <x v="0"/>
    <x v="14"/>
    <n v="0.21210000000000001"/>
    <x v="1"/>
    <x v="0"/>
    <n v="2"/>
    <n v="13"/>
    <n v="15"/>
    <s v="Weekend"/>
  </r>
  <r>
    <n v="949"/>
    <x v="42"/>
    <x v="3"/>
    <x v="0"/>
    <x v="0"/>
    <x v="0"/>
    <x v="16"/>
    <n v="0.19700000000000001"/>
    <x v="1"/>
    <x v="0"/>
    <n v="3"/>
    <n v="7"/>
    <n v="10"/>
    <s v="Weekend"/>
  </r>
  <r>
    <n v="950"/>
    <x v="42"/>
    <x v="4"/>
    <x v="0"/>
    <x v="0"/>
    <x v="0"/>
    <x v="16"/>
    <n v="0.16669999999999999"/>
    <x v="32"/>
    <x v="1"/>
    <n v="0"/>
    <n v="4"/>
    <n v="4"/>
    <s v="Weekend"/>
  </r>
  <r>
    <n v="951"/>
    <x v="42"/>
    <x v="5"/>
    <x v="0"/>
    <x v="0"/>
    <x v="0"/>
    <x v="16"/>
    <n v="0.16669999999999999"/>
    <x v="32"/>
    <x v="1"/>
    <n v="0"/>
    <n v="1"/>
    <n v="1"/>
    <s v="Weekend"/>
  </r>
  <r>
    <n v="952"/>
    <x v="42"/>
    <x v="6"/>
    <x v="0"/>
    <x v="0"/>
    <x v="0"/>
    <x v="16"/>
    <n v="0.13639999999999999"/>
    <x v="43"/>
    <x v="5"/>
    <n v="1"/>
    <n v="1"/>
    <n v="2"/>
    <s v="Weekend"/>
  </r>
  <r>
    <n v="953"/>
    <x v="42"/>
    <x v="7"/>
    <x v="0"/>
    <x v="0"/>
    <x v="0"/>
    <x v="16"/>
    <n v="0.1515"/>
    <x v="1"/>
    <x v="14"/>
    <n v="2"/>
    <n v="9"/>
    <n v="11"/>
    <s v="Weekend"/>
  </r>
  <r>
    <n v="954"/>
    <x v="42"/>
    <x v="8"/>
    <x v="0"/>
    <x v="0"/>
    <x v="0"/>
    <x v="14"/>
    <n v="0.1515"/>
    <x v="3"/>
    <x v="7"/>
    <n v="2"/>
    <n v="28"/>
    <n v="30"/>
    <s v="Weekend"/>
  </r>
  <r>
    <n v="955"/>
    <x v="42"/>
    <x v="9"/>
    <x v="0"/>
    <x v="0"/>
    <x v="0"/>
    <x v="13"/>
    <n v="0.18179999999999999"/>
    <x v="26"/>
    <x v="7"/>
    <n v="5"/>
    <n v="38"/>
    <n v="43"/>
    <s v="Weekend"/>
  </r>
  <r>
    <n v="956"/>
    <x v="42"/>
    <x v="10"/>
    <x v="0"/>
    <x v="0"/>
    <x v="0"/>
    <x v="1"/>
    <n v="0.21210000000000001"/>
    <x v="48"/>
    <x v="2"/>
    <n v="13"/>
    <n v="71"/>
    <n v="84"/>
    <s v="Weekend"/>
  </r>
  <r>
    <n v="957"/>
    <x v="42"/>
    <x v="11"/>
    <x v="0"/>
    <x v="0"/>
    <x v="0"/>
    <x v="11"/>
    <n v="0.2727"/>
    <x v="40"/>
    <x v="9"/>
    <n v="30"/>
    <n v="84"/>
    <n v="114"/>
    <s v="Weekend"/>
  </r>
  <r>
    <n v="958"/>
    <x v="42"/>
    <x v="12"/>
    <x v="0"/>
    <x v="0"/>
    <x v="0"/>
    <x v="11"/>
    <n v="0.2727"/>
    <x v="17"/>
    <x v="17"/>
    <n v="27"/>
    <n v="93"/>
    <n v="120"/>
    <s v="Weekend"/>
  </r>
  <r>
    <n v="959"/>
    <x v="42"/>
    <x v="13"/>
    <x v="0"/>
    <x v="0"/>
    <x v="0"/>
    <x v="11"/>
    <n v="0.2727"/>
    <x v="17"/>
    <x v="12"/>
    <n v="32"/>
    <n v="103"/>
    <n v="135"/>
    <s v="Weekend"/>
  </r>
  <r>
    <n v="960"/>
    <x v="42"/>
    <x v="14"/>
    <x v="0"/>
    <x v="0"/>
    <x v="0"/>
    <x v="10"/>
    <n v="0.31819999999999998"/>
    <x v="61"/>
    <x v="3"/>
    <n v="30"/>
    <n v="90"/>
    <n v="120"/>
    <s v="Weekend"/>
  </r>
  <r>
    <n v="961"/>
    <x v="42"/>
    <x v="15"/>
    <x v="0"/>
    <x v="0"/>
    <x v="0"/>
    <x v="10"/>
    <n v="0.30299999999999999"/>
    <x v="44"/>
    <x v="12"/>
    <n v="47"/>
    <n v="127"/>
    <n v="174"/>
    <s v="Weekend"/>
  </r>
  <r>
    <n v="962"/>
    <x v="42"/>
    <x v="16"/>
    <x v="0"/>
    <x v="0"/>
    <x v="0"/>
    <x v="10"/>
    <n v="0.30299999999999999"/>
    <x v="44"/>
    <x v="12"/>
    <n v="42"/>
    <n v="103"/>
    <n v="145"/>
    <s v="Weekend"/>
  </r>
  <r>
    <n v="963"/>
    <x v="42"/>
    <x v="17"/>
    <x v="0"/>
    <x v="0"/>
    <x v="0"/>
    <x v="3"/>
    <n v="0.28789999999999999"/>
    <x v="61"/>
    <x v="18"/>
    <n v="24"/>
    <n v="113"/>
    <n v="137"/>
    <s v="Weekend"/>
  </r>
  <r>
    <n v="964"/>
    <x v="42"/>
    <x v="18"/>
    <x v="0"/>
    <x v="0"/>
    <x v="0"/>
    <x v="17"/>
    <n v="0.2576"/>
    <x v="41"/>
    <x v="9"/>
    <n v="4"/>
    <n v="60"/>
    <n v="64"/>
    <s v="Weekend"/>
  </r>
  <r>
    <n v="965"/>
    <x v="42"/>
    <x v="19"/>
    <x v="0"/>
    <x v="0"/>
    <x v="0"/>
    <x v="17"/>
    <n v="0.2727"/>
    <x v="41"/>
    <x v="8"/>
    <n v="2"/>
    <n v="39"/>
    <n v="41"/>
    <s v="Weekend"/>
  </r>
  <r>
    <n v="966"/>
    <x v="42"/>
    <x v="20"/>
    <x v="0"/>
    <x v="0"/>
    <x v="0"/>
    <x v="12"/>
    <n v="0.2576"/>
    <x v="48"/>
    <x v="6"/>
    <n v="1"/>
    <n v="39"/>
    <n v="40"/>
    <s v="Weekend"/>
  </r>
  <r>
    <n v="967"/>
    <x v="42"/>
    <x v="21"/>
    <x v="0"/>
    <x v="0"/>
    <x v="0"/>
    <x v="12"/>
    <n v="0.30299999999999999"/>
    <x v="48"/>
    <x v="0"/>
    <n v="9"/>
    <n v="42"/>
    <n v="51"/>
    <s v="Weekend"/>
  </r>
  <r>
    <n v="968"/>
    <x v="42"/>
    <x v="22"/>
    <x v="0"/>
    <x v="0"/>
    <x v="0"/>
    <x v="0"/>
    <n v="0.2576"/>
    <x v="18"/>
    <x v="1"/>
    <n v="6"/>
    <n v="39"/>
    <n v="45"/>
    <s v="Weekend"/>
  </r>
  <r>
    <n v="969"/>
    <x v="42"/>
    <x v="23"/>
    <x v="0"/>
    <x v="0"/>
    <x v="0"/>
    <x v="1"/>
    <n v="0.2273"/>
    <x v="33"/>
    <x v="7"/>
    <n v="1"/>
    <n v="31"/>
    <n v="32"/>
    <s v="Weekend"/>
  </r>
  <r>
    <n v="970"/>
    <x v="43"/>
    <x v="0"/>
    <x v="0"/>
    <x v="1"/>
    <x v="0"/>
    <x v="2"/>
    <n v="0.2273"/>
    <x v="26"/>
    <x v="14"/>
    <n v="5"/>
    <n v="34"/>
    <n v="39"/>
    <s v="Weekend"/>
  </r>
  <r>
    <n v="971"/>
    <x v="43"/>
    <x v="1"/>
    <x v="0"/>
    <x v="1"/>
    <x v="0"/>
    <x v="2"/>
    <n v="0.2273"/>
    <x v="29"/>
    <x v="1"/>
    <n v="1"/>
    <n v="23"/>
    <n v="24"/>
    <s v="Weekend"/>
  </r>
  <r>
    <n v="972"/>
    <x v="43"/>
    <x v="2"/>
    <x v="0"/>
    <x v="1"/>
    <x v="1"/>
    <x v="2"/>
    <n v="0.2273"/>
    <x v="2"/>
    <x v="1"/>
    <n v="1"/>
    <n v="19"/>
    <n v="20"/>
    <s v="Weekend"/>
  </r>
  <r>
    <n v="973"/>
    <x v="43"/>
    <x v="3"/>
    <x v="0"/>
    <x v="1"/>
    <x v="1"/>
    <x v="2"/>
    <n v="0.2273"/>
    <x v="27"/>
    <x v="14"/>
    <n v="4"/>
    <n v="8"/>
    <n v="12"/>
    <s v="Weekend"/>
  </r>
  <r>
    <n v="974"/>
    <x v="43"/>
    <x v="4"/>
    <x v="0"/>
    <x v="1"/>
    <x v="1"/>
    <x v="2"/>
    <n v="0.21210000000000001"/>
    <x v="27"/>
    <x v="8"/>
    <n v="0"/>
    <n v="2"/>
    <n v="2"/>
    <s v="Weekend"/>
  </r>
  <r>
    <n v="975"/>
    <x v="43"/>
    <x v="6"/>
    <x v="0"/>
    <x v="1"/>
    <x v="1"/>
    <x v="2"/>
    <n v="0.21210000000000001"/>
    <x v="27"/>
    <x v="7"/>
    <n v="2"/>
    <n v="3"/>
    <n v="5"/>
    <s v="Weekend"/>
  </r>
  <r>
    <n v="976"/>
    <x v="43"/>
    <x v="7"/>
    <x v="0"/>
    <x v="1"/>
    <x v="1"/>
    <x v="1"/>
    <n v="0.2727"/>
    <x v="28"/>
    <x v="0"/>
    <n v="0"/>
    <n v="3"/>
    <n v="3"/>
    <s v="Weekend"/>
  </r>
  <r>
    <n v="977"/>
    <x v="43"/>
    <x v="8"/>
    <x v="0"/>
    <x v="1"/>
    <x v="1"/>
    <x v="1"/>
    <n v="0.2273"/>
    <x v="26"/>
    <x v="5"/>
    <n v="1"/>
    <n v="11"/>
    <n v="12"/>
    <s v="Weekend"/>
  </r>
  <r>
    <n v="978"/>
    <x v="43"/>
    <x v="9"/>
    <x v="0"/>
    <x v="1"/>
    <x v="1"/>
    <x v="0"/>
    <n v="0.2273"/>
    <x v="54"/>
    <x v="6"/>
    <n v="12"/>
    <n v="35"/>
    <n v="47"/>
    <s v="Weekend"/>
  </r>
  <r>
    <n v="979"/>
    <x v="43"/>
    <x v="10"/>
    <x v="0"/>
    <x v="1"/>
    <x v="0"/>
    <x v="11"/>
    <n v="0.2727"/>
    <x v="49"/>
    <x v="9"/>
    <n v="19"/>
    <n v="86"/>
    <n v="105"/>
    <s v="Weekend"/>
  </r>
  <r>
    <n v="980"/>
    <x v="43"/>
    <x v="11"/>
    <x v="0"/>
    <x v="1"/>
    <x v="0"/>
    <x v="3"/>
    <n v="0.28789999999999999"/>
    <x v="17"/>
    <x v="10"/>
    <n v="26"/>
    <n v="86"/>
    <n v="112"/>
    <s v="Weekend"/>
  </r>
  <r>
    <n v="981"/>
    <x v="43"/>
    <x v="12"/>
    <x v="0"/>
    <x v="1"/>
    <x v="0"/>
    <x v="5"/>
    <n v="0.31819999999999998"/>
    <x v="25"/>
    <x v="17"/>
    <n v="58"/>
    <n v="94"/>
    <n v="152"/>
    <s v="Weekend"/>
  </r>
  <r>
    <n v="982"/>
    <x v="43"/>
    <x v="13"/>
    <x v="0"/>
    <x v="1"/>
    <x v="0"/>
    <x v="4"/>
    <n v="0.39389999999999997"/>
    <x v="44"/>
    <x v="11"/>
    <n v="62"/>
    <n v="92"/>
    <n v="154"/>
    <s v="Weekend"/>
  </r>
  <r>
    <n v="983"/>
    <x v="43"/>
    <x v="14"/>
    <x v="0"/>
    <x v="1"/>
    <x v="1"/>
    <x v="9"/>
    <n v="0.40910000000000002"/>
    <x v="24"/>
    <x v="12"/>
    <n v="51"/>
    <n v="110"/>
    <n v="161"/>
    <s v="Weekend"/>
  </r>
  <r>
    <n v="984"/>
    <x v="43"/>
    <x v="15"/>
    <x v="0"/>
    <x v="1"/>
    <x v="1"/>
    <x v="9"/>
    <n v="0.40910000000000002"/>
    <x v="24"/>
    <x v="4"/>
    <n v="40"/>
    <n v="122"/>
    <n v="162"/>
    <s v="Weekend"/>
  </r>
  <r>
    <n v="985"/>
    <x v="43"/>
    <x v="16"/>
    <x v="0"/>
    <x v="1"/>
    <x v="1"/>
    <x v="6"/>
    <n v="0.42420000000000002"/>
    <x v="40"/>
    <x v="9"/>
    <n v="28"/>
    <n v="106"/>
    <n v="134"/>
    <s v="Weekend"/>
  </r>
  <r>
    <n v="986"/>
    <x v="43"/>
    <x v="17"/>
    <x v="0"/>
    <x v="1"/>
    <x v="0"/>
    <x v="6"/>
    <n v="0.42420000000000002"/>
    <x v="40"/>
    <x v="9"/>
    <n v="30"/>
    <n v="95"/>
    <n v="125"/>
    <s v="Weekend"/>
  </r>
  <r>
    <n v="987"/>
    <x v="43"/>
    <x v="18"/>
    <x v="0"/>
    <x v="1"/>
    <x v="0"/>
    <x v="9"/>
    <n v="0.40910000000000002"/>
    <x v="25"/>
    <x v="4"/>
    <n v="17"/>
    <n v="78"/>
    <n v="95"/>
    <s v="Weekend"/>
  </r>
  <r>
    <n v="988"/>
    <x v="43"/>
    <x v="19"/>
    <x v="0"/>
    <x v="1"/>
    <x v="0"/>
    <x v="9"/>
    <n v="0.40910000000000002"/>
    <x v="23"/>
    <x v="3"/>
    <n v="11"/>
    <n v="50"/>
    <n v="61"/>
    <s v="Weekend"/>
  </r>
  <r>
    <n v="989"/>
    <x v="43"/>
    <x v="20"/>
    <x v="0"/>
    <x v="1"/>
    <x v="0"/>
    <x v="9"/>
    <n v="0.40910000000000002"/>
    <x v="23"/>
    <x v="9"/>
    <n v="15"/>
    <n v="32"/>
    <n v="47"/>
    <s v="Weekend"/>
  </r>
  <r>
    <n v="990"/>
    <x v="43"/>
    <x v="21"/>
    <x v="0"/>
    <x v="1"/>
    <x v="0"/>
    <x v="9"/>
    <n v="0.40910000000000002"/>
    <x v="23"/>
    <x v="11"/>
    <n v="6"/>
    <n v="45"/>
    <n v="51"/>
    <s v="Weekend"/>
  </r>
  <r>
    <n v="991"/>
    <x v="43"/>
    <x v="22"/>
    <x v="0"/>
    <x v="1"/>
    <x v="0"/>
    <x v="9"/>
    <n v="0.40910000000000002"/>
    <x v="23"/>
    <x v="4"/>
    <n v="5"/>
    <n v="31"/>
    <n v="36"/>
    <s v="Weekend"/>
  </r>
  <r>
    <n v="992"/>
    <x v="43"/>
    <x v="23"/>
    <x v="0"/>
    <x v="1"/>
    <x v="0"/>
    <x v="9"/>
    <n v="0.40910000000000002"/>
    <x v="23"/>
    <x v="11"/>
    <n v="3"/>
    <n v="27"/>
    <n v="30"/>
    <s v="Weekend"/>
  </r>
  <r>
    <n v="993"/>
    <x v="44"/>
    <x v="0"/>
    <x v="0"/>
    <x v="2"/>
    <x v="0"/>
    <x v="4"/>
    <n v="0.39389999999999997"/>
    <x v="38"/>
    <x v="11"/>
    <n v="3"/>
    <n v="8"/>
    <n v="11"/>
    <s v="Weekday"/>
  </r>
  <r>
    <n v="994"/>
    <x v="44"/>
    <x v="1"/>
    <x v="0"/>
    <x v="2"/>
    <x v="0"/>
    <x v="4"/>
    <n v="0.39389999999999997"/>
    <x v="38"/>
    <x v="11"/>
    <n v="1"/>
    <n v="6"/>
    <n v="7"/>
    <s v="Weekday"/>
  </r>
  <r>
    <n v="995"/>
    <x v="44"/>
    <x v="2"/>
    <x v="0"/>
    <x v="2"/>
    <x v="0"/>
    <x v="5"/>
    <n v="0.33329999999999999"/>
    <x v="22"/>
    <x v="4"/>
    <n v="0"/>
    <n v="2"/>
    <n v="2"/>
    <s v="Weekday"/>
  </r>
  <r>
    <n v="996"/>
    <x v="44"/>
    <x v="3"/>
    <x v="0"/>
    <x v="2"/>
    <x v="0"/>
    <x v="10"/>
    <n v="0.31819999999999998"/>
    <x v="15"/>
    <x v="6"/>
    <n v="1"/>
    <n v="1"/>
    <n v="2"/>
    <s v="Weekday"/>
  </r>
  <r>
    <n v="997"/>
    <x v="44"/>
    <x v="4"/>
    <x v="0"/>
    <x v="2"/>
    <x v="0"/>
    <x v="3"/>
    <n v="0.30299999999999999"/>
    <x v="45"/>
    <x v="3"/>
    <n v="0"/>
    <n v="2"/>
    <n v="2"/>
    <s v="Weekday"/>
  </r>
  <r>
    <n v="998"/>
    <x v="44"/>
    <x v="5"/>
    <x v="0"/>
    <x v="2"/>
    <x v="0"/>
    <x v="3"/>
    <n v="0.30299999999999999"/>
    <x v="45"/>
    <x v="3"/>
    <n v="0"/>
    <n v="3"/>
    <n v="3"/>
    <s v="Weekday"/>
  </r>
  <r>
    <n v="999"/>
    <x v="44"/>
    <x v="6"/>
    <x v="0"/>
    <x v="2"/>
    <x v="0"/>
    <x v="10"/>
    <n v="0.30299999999999999"/>
    <x v="15"/>
    <x v="4"/>
    <n v="1"/>
    <n v="25"/>
    <n v="26"/>
    <s v="Weekday"/>
  </r>
  <r>
    <n v="1000"/>
    <x v="44"/>
    <x v="7"/>
    <x v="0"/>
    <x v="2"/>
    <x v="0"/>
    <x v="10"/>
    <n v="0.30299999999999999"/>
    <x v="15"/>
    <x v="4"/>
    <n v="2"/>
    <n v="96"/>
    <n v="98"/>
    <s v="Weekda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3167481-CAB0-4B6D-B96F-309060FABBE8}" name="PivotTable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73:B194" firstHeaderRow="1" firstDataRow="1" firstDataCol="1"/>
  <pivotFields count="1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items count="3">
        <item x="0"/>
        <item x="1"/>
        <item t="default"/>
      </items>
    </pivotField>
    <pivotField showAll="0"/>
    <pivotField showAll="0">
      <items count="5">
        <item x="0"/>
        <item x="1"/>
        <item x="2"/>
        <item x="3"/>
        <item t="default"/>
      </items>
    </pivotField>
    <pivotField showAll="0"/>
    <pivotField numFmtId="2" showAll="0"/>
    <pivotField showAll="0"/>
    <pivotField axis="axisRow" showAll="0">
      <items count="21">
        <item x="0"/>
        <item x="1"/>
        <item x="14"/>
        <item x="7"/>
        <item x="8"/>
        <item x="5"/>
        <item x="6"/>
        <item x="2"/>
        <item x="3"/>
        <item x="4"/>
        <item x="9"/>
        <item x="11"/>
        <item x="13"/>
        <item x="12"/>
        <item x="10"/>
        <item x="17"/>
        <item x="15"/>
        <item x="18"/>
        <item x="16"/>
        <item x="19"/>
        <item t="default"/>
      </items>
    </pivotField>
    <pivotField showAll="0"/>
    <pivotField showAll="0"/>
    <pivotField dataField="1" showAll="0"/>
    <pivotField showAl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4">
        <item x="0"/>
        <item x="1"/>
        <item x="2"/>
        <item x="3"/>
        <item x="4"/>
        <item x="5"/>
        <item x="6"/>
        <item x="7"/>
        <item x="8"/>
        <item x="9"/>
        <item x="10"/>
        <item x="11"/>
        <item x="12"/>
        <item x="13"/>
      </items>
    </pivotField>
  </pivotFields>
  <rowFields count="1">
    <field x="9"/>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Sum of cnt" fld="12" baseField="0" baseItem="0"/>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7D38457-9CF9-4357-A3DD-5D137F2BE3B2}"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29:B54" firstHeaderRow="1" firstDataRow="1" firstDataCol="1"/>
  <pivotFields count="1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3">
        <item x="0"/>
        <item x="1"/>
        <item t="default"/>
      </items>
    </pivotField>
    <pivotField showAll="0"/>
    <pivotField showAll="0">
      <items count="5">
        <item x="0"/>
        <item x="1"/>
        <item x="2"/>
        <item x="3"/>
        <item t="default"/>
      </items>
    </pivotField>
    <pivotField showAll="0"/>
    <pivotField showAll="0"/>
    <pivotField showAll="0"/>
    <pivotField showAll="0"/>
    <pivotField showAll="0"/>
    <pivotField showAll="0"/>
    <pivotField dataField="1"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 of cnt" fld="12"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722251D-F73F-4227-9125-E5363F724DEF}"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57:B65" firstHeaderRow="1" firstDataRow="1" firstDataCol="1"/>
  <pivotFields count="1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items count="3">
        <item x="0"/>
        <item x="1"/>
        <item t="default"/>
      </items>
    </pivotField>
    <pivotField axis="axisRow" showAll="0">
      <items count="8">
        <item x="1"/>
        <item x="2"/>
        <item x="3"/>
        <item x="4"/>
        <item x="5"/>
        <item x="6"/>
        <item x="0"/>
        <item t="default"/>
      </items>
    </pivotField>
    <pivotField showAll="0">
      <items count="5">
        <item x="0"/>
        <item x="1"/>
        <item x="2"/>
        <item x="3"/>
        <item t="default"/>
      </items>
    </pivotField>
    <pivotField showAll="0"/>
    <pivotField showAll="0"/>
    <pivotField showAll="0"/>
    <pivotField showAll="0"/>
    <pivotField showAll="0"/>
    <pivotField showAll="0"/>
    <pivotField dataField="1"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8">
    <i>
      <x/>
    </i>
    <i>
      <x v="1"/>
    </i>
    <i>
      <x v="2"/>
    </i>
    <i>
      <x v="3"/>
    </i>
    <i>
      <x v="4"/>
    </i>
    <i>
      <x v="5"/>
    </i>
    <i>
      <x v="6"/>
    </i>
    <i t="grand">
      <x/>
    </i>
  </rowItems>
  <colItems count="1">
    <i/>
  </colItems>
  <dataFields count="1">
    <dataField name="Sum of cnt" fld="12" baseField="0" baseItem="0"/>
  </dataField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853419-91C8-4238-8FA5-9242E8609B03}"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04:B169" firstHeaderRow="1" firstDataRow="1" firstDataCol="1"/>
  <pivotFields count="1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items count="3">
        <item x="0"/>
        <item x="1"/>
        <item t="default"/>
      </items>
    </pivotField>
    <pivotField showAll="0"/>
    <pivotField showAll="0">
      <items count="5">
        <item x="0"/>
        <item x="1"/>
        <item x="2"/>
        <item x="3"/>
        <item t="default"/>
      </items>
    </pivotField>
    <pivotField showAll="0"/>
    <pivotField numFmtId="2" showAll="0"/>
    <pivotField axis="axisRow" showAll="0">
      <items count="65">
        <item x="58"/>
        <item x="63"/>
        <item x="59"/>
        <item x="60"/>
        <item x="57"/>
        <item x="40"/>
        <item x="44"/>
        <item x="24"/>
        <item x="61"/>
        <item x="25"/>
        <item x="39"/>
        <item x="46"/>
        <item x="23"/>
        <item x="42"/>
        <item x="38"/>
        <item x="41"/>
        <item x="17"/>
        <item x="22"/>
        <item x="48"/>
        <item x="16"/>
        <item x="21"/>
        <item x="18"/>
        <item x="49"/>
        <item x="15"/>
        <item x="19"/>
        <item x="37"/>
        <item x="36"/>
        <item x="20"/>
        <item x="33"/>
        <item x="35"/>
        <item x="45"/>
        <item x="47"/>
        <item x="28"/>
        <item x="34"/>
        <item x="14"/>
        <item x="52"/>
        <item x="29"/>
        <item x="54"/>
        <item x="53"/>
        <item x="51"/>
        <item x="30"/>
        <item x="26"/>
        <item x="55"/>
        <item x="13"/>
        <item x="31"/>
        <item x="27"/>
        <item x="56"/>
        <item x="12"/>
        <item x="6"/>
        <item x="62"/>
        <item x="32"/>
        <item x="2"/>
        <item x="4"/>
        <item x="5"/>
        <item x="1"/>
        <item x="0"/>
        <item x="7"/>
        <item x="3"/>
        <item x="9"/>
        <item x="8"/>
        <item x="50"/>
        <item x="43"/>
        <item x="10"/>
        <item x="11"/>
        <item t="default"/>
      </items>
    </pivotField>
    <pivotField showAll="0"/>
    <pivotField showAll="0"/>
    <pivotField showAll="0"/>
    <pivotField dataField="1" showAll="0"/>
    <pivotField showAl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4">
        <item x="0"/>
        <item x="1"/>
        <item x="2"/>
        <item x="3"/>
        <item x="4"/>
        <item x="5"/>
        <item x="6"/>
        <item x="7"/>
        <item x="8"/>
        <item x="9"/>
        <item x="10"/>
        <item x="11"/>
        <item x="12"/>
        <item x="13"/>
      </items>
    </pivotField>
  </pivotFields>
  <rowFields count="1">
    <field x="8"/>
  </rowFields>
  <rowItems count="6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t="grand">
      <x/>
    </i>
  </rowItems>
  <colItems count="1">
    <i/>
  </colItems>
  <dataFields count="1">
    <dataField name="Sum of cnt" fld="12"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1FEA584-CB61-4829-B91E-2876201733C6}"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2:B7" firstHeaderRow="1" firstDataRow="1" firstDataCol="1"/>
  <pivotFields count="1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items count="3">
        <item x="0"/>
        <item x="1"/>
        <item t="default"/>
      </items>
    </pivotField>
    <pivotField showAll="0"/>
    <pivotField axis="axisRow" showAll="0">
      <items count="5">
        <item x="0"/>
        <item x="1"/>
        <item x="2"/>
        <item x="3"/>
        <item t="default"/>
      </items>
    </pivotField>
    <pivotField showAll="0"/>
    <pivotField showAll="0"/>
    <pivotField showAll="0"/>
    <pivotField showAll="0"/>
    <pivotField showAll="0"/>
    <pivotField showAll="0"/>
    <pivotField dataField="1"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5">
    <i>
      <x/>
    </i>
    <i>
      <x v="1"/>
    </i>
    <i>
      <x v="2"/>
    </i>
    <i>
      <x v="3"/>
    </i>
    <i t="grand">
      <x/>
    </i>
  </rowItems>
  <colItems count="1">
    <i/>
  </colItems>
  <dataFields count="1">
    <dataField name="Sum of cnt" fld="12" baseField="0" baseItem="0"/>
  </dataFields>
  <chartFormats count="5">
    <chartFormat chart="10" format="2" series="1">
      <pivotArea type="data" outline="0" fieldPosition="0">
        <references count="1">
          <reference field="4294967294" count="1" selected="0">
            <x v="0"/>
          </reference>
        </references>
      </pivotArea>
    </chartFormat>
    <chartFormat chart="10" format="3">
      <pivotArea type="data" outline="0" fieldPosition="0">
        <references count="2">
          <reference field="4294967294" count="1" selected="0">
            <x v="0"/>
          </reference>
          <reference field="5" count="1" selected="0">
            <x v="0"/>
          </reference>
        </references>
      </pivotArea>
    </chartFormat>
    <chartFormat chart="10" format="4">
      <pivotArea type="data" outline="0" fieldPosition="0">
        <references count="2">
          <reference field="4294967294" count="1" selected="0">
            <x v="0"/>
          </reference>
          <reference field="5" count="1" selected="0">
            <x v="1"/>
          </reference>
        </references>
      </pivotArea>
    </chartFormat>
    <chartFormat chart="10" format="5">
      <pivotArea type="data" outline="0" fieldPosition="0">
        <references count="2">
          <reference field="4294967294" count="1" selected="0">
            <x v="0"/>
          </reference>
          <reference field="5" count="1" selected="0">
            <x v="2"/>
          </reference>
        </references>
      </pivotArea>
    </chartFormat>
    <chartFormat chart="10" format="6">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8B76912-3FA9-40E5-B9D1-DAFFC9ED0B3B}"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69:B93" firstHeaderRow="1" firstDataRow="1" firstDataCol="1"/>
  <pivotFields count="1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items count="3">
        <item x="0"/>
        <item x="1"/>
        <item t="default"/>
      </items>
    </pivotField>
    <pivotField showAll="0"/>
    <pivotField showAll="0">
      <items count="5">
        <item x="0"/>
        <item x="1"/>
        <item x="2"/>
        <item x="3"/>
        <item t="default"/>
      </items>
    </pivotField>
    <pivotField axis="axisRow" showAll="0">
      <items count="24">
        <item x="22"/>
        <item x="21"/>
        <item x="20"/>
        <item x="19"/>
        <item x="18"/>
        <item x="16"/>
        <item x="14"/>
        <item x="13"/>
        <item x="15"/>
        <item x="2"/>
        <item x="1"/>
        <item x="0"/>
        <item x="12"/>
        <item x="17"/>
        <item x="11"/>
        <item x="3"/>
        <item x="10"/>
        <item x="5"/>
        <item x="4"/>
        <item x="9"/>
        <item x="6"/>
        <item x="8"/>
        <item x="7"/>
        <item t="default"/>
      </items>
    </pivotField>
    <pivotField numFmtId="2" showAll="0"/>
    <pivotField showAll="0"/>
    <pivotField showAll="0"/>
    <pivotField showAll="0"/>
    <pivotField showAll="0"/>
    <pivotField dataField="1"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cnt" fld="12" baseField="0" baseItem="0"/>
  </dataFields>
  <formats count="5">
    <format dxfId="37">
      <pivotArea dataOnly="0" fieldPosition="0">
        <references count="1">
          <reference field="6" count="1">
            <x v="4"/>
          </reference>
        </references>
      </pivotArea>
    </format>
    <format dxfId="36">
      <pivotArea dataOnly="0" labelOnly="1" fieldPosition="0">
        <references count="1">
          <reference field="6" count="1">
            <x v="4"/>
          </reference>
        </references>
      </pivotArea>
    </format>
    <format dxfId="35">
      <pivotArea dataOnly="0" labelOnly="1" fieldPosition="0">
        <references count="1">
          <reference field="6" count="1">
            <x v="9"/>
          </reference>
        </references>
      </pivotArea>
    </format>
    <format dxfId="34">
      <pivotArea dataOnly="0" labelOnly="1" fieldPosition="0">
        <references count="1">
          <reference field="6" count="1">
            <x v="14"/>
          </reference>
        </references>
      </pivotArea>
    </format>
    <format dxfId="33">
      <pivotArea dataOnly="0" labelOnly="1" fieldPosition="0">
        <references count="1">
          <reference field="6" count="1">
            <x v="19"/>
          </reference>
        </references>
      </pivotArea>
    </format>
  </formats>
  <chartFormats count="1">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3E7AA3C-36DD-40B5-93E8-B46BD8145509}" name="PivotTable11" cacheId="2" applyNumberFormats="0" applyBorderFormats="0" applyFontFormats="0" applyPatternFormats="0" applyAlignmentFormats="0" applyWidthHeightFormats="1" dataCaption="Values" updatedVersion="8" minRefreshableVersion="3" showDrill="0" useAutoFormatting="1" itemPrintTitles="1" createdVersion="8" indent="0" showHeaders="0" outline="1" outlineData="1" multipleFieldFilters="0" chartFormat="18">
  <location ref="I2:J50" firstHeaderRow="1" firstDataRow="1" firstDataCol="1"/>
  <pivotFields count="1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items count="3">
        <item x="0"/>
        <item x="1"/>
        <item t="default"/>
      </items>
    </pivotField>
    <pivotField showAll="0"/>
    <pivotField showAll="0">
      <items count="5">
        <item x="0"/>
        <item x="1"/>
        <item x="2"/>
        <item x="3"/>
        <item t="default"/>
      </items>
    </pivotField>
    <pivotField showAll="0"/>
    <pivotField showAll="0"/>
    <pivotField showAll="0"/>
    <pivotField showAll="0"/>
    <pivotField showAll="0"/>
    <pivotField showAll="0"/>
    <pivotField dataField="1" showAll="0"/>
    <pivotField showAll="0"/>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s>
  <rowFields count="2">
    <field x="15"/>
    <field x="14"/>
  </rowFields>
  <rowItems count="48">
    <i>
      <x v="1"/>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x v="2"/>
    </i>
    <i r="1">
      <x v="32"/>
    </i>
    <i r="1">
      <x v="33"/>
    </i>
    <i r="1">
      <x v="34"/>
    </i>
    <i r="1">
      <x v="35"/>
    </i>
    <i r="1">
      <x v="36"/>
    </i>
    <i r="1">
      <x v="37"/>
    </i>
    <i r="1">
      <x v="38"/>
    </i>
    <i r="1">
      <x v="39"/>
    </i>
    <i r="1">
      <x v="40"/>
    </i>
    <i r="1">
      <x v="41"/>
    </i>
    <i r="1">
      <x v="42"/>
    </i>
    <i r="1">
      <x v="43"/>
    </i>
    <i r="1">
      <x v="44"/>
    </i>
    <i r="1">
      <x v="45"/>
    </i>
    <i t="grand">
      <x/>
    </i>
  </rowItems>
  <colItems count="1">
    <i/>
  </colItems>
  <dataFields count="1">
    <dataField name="Sum of cnt" fld="12" baseField="0" baseItem="0"/>
  </dataFields>
  <chartFormats count="1">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E1DDCD8-A00A-4176-AF33-37B997B58757}"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6:C17" firstHeaderRow="0" firstDataRow="1" firstDataCol="0"/>
  <pivotFields count="1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items count="3">
        <item x="0"/>
        <item x="1"/>
        <item t="default"/>
      </items>
    </pivotField>
    <pivotField showAll="0"/>
    <pivotField showAll="0">
      <items count="5">
        <item x="0"/>
        <item x="1"/>
        <item x="2"/>
        <item x="3"/>
        <item t="default"/>
      </items>
    </pivotField>
    <pivotField showAll="0"/>
    <pivotField numFmtId="2" showAll="0"/>
    <pivotField showAll="0"/>
    <pivotField showAll="0"/>
    <pivotField dataField="1" showAll="0"/>
    <pivotField dataField="1" showAll="0"/>
    <pivotField dataField="1" showAll="0"/>
    <pivotField showAl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4">
        <item x="0"/>
        <item x="1"/>
        <item x="2"/>
        <item x="3"/>
        <item x="4"/>
        <item x="5"/>
        <item x="6"/>
        <item x="7"/>
        <item x="8"/>
        <item x="9"/>
        <item x="10"/>
        <item x="11"/>
        <item x="12"/>
        <item x="13"/>
      </items>
    </pivotField>
  </pivotFields>
  <rowItems count="1">
    <i/>
  </rowItems>
  <colFields count="1">
    <field x="-2"/>
  </colFields>
  <colItems count="3">
    <i>
      <x/>
    </i>
    <i i="1">
      <x v="1"/>
    </i>
    <i i="2">
      <x v="2"/>
    </i>
  </colItems>
  <dataFields count="3">
    <dataField name="Sum of cnt" fld="12" baseField="0" baseItem="0"/>
    <dataField name="Sum of casual" fld="10" baseField="0" baseItem="0"/>
    <dataField name="Sum of registered"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58396E6-F46D-4FD3-B1E4-6CA90786F4C3}"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A97:B100" firstHeaderRow="1" firstDataRow="1" firstDataCol="1"/>
  <pivotFields count="1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axis="axisRow" showAll="0">
      <items count="3">
        <item x="0"/>
        <item x="1"/>
        <item t="default"/>
      </items>
    </pivotField>
    <pivotField showAll="0"/>
    <pivotField showAll="0">
      <items count="5">
        <item x="0"/>
        <item x="1"/>
        <item x="2"/>
        <item x="3"/>
        <item t="default"/>
      </items>
    </pivotField>
    <pivotField showAll="0"/>
    <pivotField showAll="0"/>
    <pivotField showAll="0"/>
    <pivotField showAll="0"/>
    <pivotField showAll="0"/>
    <pivotField showAll="0"/>
    <pivotField dataField="1"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3">
    <i>
      <x/>
    </i>
    <i>
      <x v="1"/>
    </i>
    <i t="grand">
      <x/>
    </i>
  </rowItems>
  <colItems count="1">
    <i/>
  </colItems>
  <dataFields count="1">
    <dataField name="Average of cnt" fld="12" subtotal="average" baseField="3" baseItem="0"/>
  </dataFields>
  <formats count="2">
    <format dxfId="39">
      <pivotArea collapsedLevelsAreSubtotals="1" fieldPosition="0">
        <references count="1">
          <reference field="3" count="1">
            <x v="0"/>
          </reference>
        </references>
      </pivotArea>
    </format>
    <format dxfId="38">
      <pivotArea collapsedLevelsAreSubtotals="1" fieldPosition="0">
        <references count="1">
          <reference field="3" count="1">
            <x v="1"/>
          </reference>
        </references>
      </pivotArea>
    </format>
  </formats>
  <chartFormats count="3">
    <chartFormat chart="18" format="2" series="1">
      <pivotArea type="data" outline="0" fieldPosition="0">
        <references count="1">
          <reference field="4294967294" count="1" selected="0">
            <x v="0"/>
          </reference>
        </references>
      </pivotArea>
    </chartFormat>
    <chartFormat chart="18" format="3">
      <pivotArea type="data" outline="0" fieldPosition="0">
        <references count="2">
          <reference field="4294967294" count="1" selected="0">
            <x v="0"/>
          </reference>
          <reference field="3" count="1" selected="0">
            <x v="0"/>
          </reference>
        </references>
      </pivotArea>
    </chartFormat>
    <chartFormat chart="18" format="4">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61D147E-E621-4059-9FEE-05035D9E0617}"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11:B12" firstHeaderRow="0" firstDataRow="1" firstDataCol="0"/>
  <pivotFields count="16">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items count="3">
        <item x="0"/>
        <item x="1"/>
        <item t="default"/>
      </items>
    </pivotField>
    <pivotField showAll="0"/>
    <pivotField showAll="0">
      <items count="5">
        <item x="0"/>
        <item x="1"/>
        <item x="2"/>
        <item x="3"/>
        <item t="default"/>
      </items>
    </pivotField>
    <pivotField showAll="0"/>
    <pivotField showAll="0"/>
    <pivotField showAll="0"/>
    <pivotField showAll="0"/>
    <pivotField dataField="1"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Fields count="1">
    <field x="-2"/>
  </colFields>
  <colItems count="2">
    <i>
      <x/>
    </i>
    <i i="1">
      <x v="1"/>
    </i>
  </colItems>
  <dataFields count="2">
    <dataField name="Sum of casual" fld="10" baseField="0" baseItem="0"/>
    <dataField name="Sum of registered" fld="11" baseField="0" baseItem="0"/>
  </dataFields>
  <chartFormats count="2">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5748DB9-4B31-437F-9CBD-8E2020A02D98}" name="PivotTable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B2:AA51" firstHeaderRow="1" firstDataRow="2" firstDataCol="1"/>
  <pivotFields count="16">
    <pivotField showAll="0"/>
    <pivotField axis="axisRow"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axis="axisCol"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3">
        <item x="0"/>
        <item x="1"/>
        <item t="default"/>
      </items>
    </pivotField>
    <pivotField showAll="0"/>
    <pivotField showAll="0">
      <items count="5">
        <item x="0"/>
        <item x="1"/>
        <item x="2"/>
        <item x="3"/>
        <item t="default"/>
      </items>
    </pivotField>
    <pivotField showAll="0"/>
    <pivotField showAll="0"/>
    <pivotField showAll="0"/>
    <pivotField showAll="0"/>
    <pivotField showAll="0"/>
    <pivotField showAll="0"/>
    <pivotField dataField="1" showAll="0"/>
    <pivotField showAll="0"/>
    <pivotField axis="axisRow" showAll="0">
      <items count="369">
        <item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s>
  <rowFields count="3">
    <field x="15"/>
    <field x="14"/>
    <field x="1"/>
  </rowFields>
  <rowItems count="48">
    <i>
      <x v="1"/>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x v="2"/>
    </i>
    <i r="1">
      <x v="32"/>
    </i>
    <i r="1">
      <x v="33"/>
    </i>
    <i r="1">
      <x v="34"/>
    </i>
    <i r="1">
      <x v="35"/>
    </i>
    <i r="1">
      <x v="36"/>
    </i>
    <i r="1">
      <x v="37"/>
    </i>
    <i r="1">
      <x v="38"/>
    </i>
    <i r="1">
      <x v="39"/>
    </i>
    <i r="1">
      <x v="40"/>
    </i>
    <i r="1">
      <x v="41"/>
    </i>
    <i r="1">
      <x v="42"/>
    </i>
    <i r="1">
      <x v="43"/>
    </i>
    <i r="1">
      <x v="44"/>
    </i>
    <i r="1">
      <x v="45"/>
    </i>
    <i t="grand">
      <x/>
    </i>
  </rowItems>
  <colFields count="1">
    <field x="2"/>
  </colFields>
  <colItems count="25">
    <i>
      <x/>
    </i>
    <i>
      <x v="1"/>
    </i>
    <i>
      <x v="2"/>
    </i>
    <i>
      <x v="3"/>
    </i>
    <i>
      <x v="4"/>
    </i>
    <i>
      <x v="5"/>
    </i>
    <i>
      <x v="6"/>
    </i>
    <i>
      <x v="7"/>
    </i>
    <i>
      <x v="8"/>
    </i>
    <i>
      <x v="9"/>
    </i>
    <i>
      <x v="10"/>
    </i>
    <i>
      <x v="11"/>
    </i>
    <i>
      <x v="12"/>
    </i>
    <i>
      <x v="13"/>
    </i>
    <i>
      <x v="14"/>
    </i>
    <i>
      <x v="15"/>
    </i>
    <i>
      <x v="16"/>
    </i>
    <i>
      <x v="17"/>
    </i>
    <i>
      <x v="18"/>
    </i>
    <i>
      <x v="19"/>
    </i>
    <i>
      <x v="20"/>
    </i>
    <i>
      <x v="21"/>
    </i>
    <i>
      <x v="22"/>
    </i>
    <i>
      <x v="23"/>
    </i>
    <i t="grand">
      <x/>
    </i>
  </colItems>
  <dataFields count="1">
    <dataField name="Average of cnt" fld="12" subtotal="average" baseField="13" baseItem="1" numFmtId="164"/>
  </dataFields>
  <formats count="1">
    <format dxfId="32">
      <pivotArea outline="0" collapsedLevelsAreSubtotals="1" fieldPosition="0"/>
    </format>
  </formats>
  <conditionalFormats count="1">
    <conditionalFormat priority="1">
      <pivotAreas count="1">
        <pivotArea type="all" outline="0" fieldPosition="0"/>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liday" xr10:uid="{608EBA1C-B032-4789-A610-BC1BD936AEFD}" sourceName="holiday">
  <pivotTables>
    <pivotTable tabId="4" name="PivotTable1"/>
    <pivotTable tabId="4" name="PivotTable2"/>
    <pivotTable tabId="4" name="PivotTable3"/>
    <pivotTable tabId="4" name="PivotTable4"/>
    <pivotTable tabId="4" name="PivotTable5"/>
    <pivotTable tabId="4" name="PivotTable9"/>
    <pivotTable tabId="4" name="PivotTable11"/>
    <pivotTable tabId="8" name="PivotTable8"/>
    <pivotTable tabId="4" name="PivotTable6"/>
    <pivotTable tabId="4" name="PivotTable7"/>
    <pivotTable tabId="4" name="PivotTable8"/>
  </pivotTables>
  <data>
    <tabular pivotCacheId="1666038206">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sit" xr10:uid="{A938AD8E-4AD2-4FA0-A928-450FE077942E}" sourceName="weathersit">
  <pivotTables>
    <pivotTable tabId="4" name="PivotTable1"/>
    <pivotTable tabId="4" name="PivotTable2"/>
    <pivotTable tabId="4" name="PivotTable3"/>
    <pivotTable tabId="4" name="PivotTable4"/>
    <pivotTable tabId="4" name="PivotTable5"/>
    <pivotTable tabId="4" name="PivotTable9"/>
    <pivotTable tabId="4" name="PivotTable11"/>
    <pivotTable tabId="4" name="PivotTable6"/>
    <pivotTable tabId="8" name="PivotTable8"/>
    <pivotTable tabId="4" name="PivotTable7"/>
    <pivotTable tabId="4" name="PivotTable8"/>
  </pivotTables>
  <data>
    <tabular pivotCacheId="1666038206">
      <items count="4">
        <i x="0"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s__dteday" xr10:uid="{214167C0-A2F8-4028-97E3-0F67909014D8}" sourceName="Days (dteday)">
  <pivotTables>
    <pivotTable tabId="4" name="PivotTable1"/>
    <pivotTable tabId="4" name="PivotTable2"/>
    <pivotTable tabId="4" name="PivotTable3"/>
    <pivotTable tabId="4" name="PivotTable4"/>
    <pivotTable tabId="4" name="PivotTable5"/>
    <pivotTable tabId="4" name="PivotTable9"/>
    <pivotTable tabId="4" name="PivotTable11"/>
    <pivotTable tabId="8" name="PivotTable8"/>
    <pivotTable tabId="4" name="PivotTable6"/>
    <pivotTable tabId="4" name="PivotTable7"/>
    <pivotTable tabId="4" name="PivotTable8"/>
  </pivotTables>
  <data>
    <tabular pivotCacheId="1666038206">
      <items count="368">
        <i x="32" s="1"/>
        <i x="1" s="1"/>
        <i x="33" s="1"/>
        <i x="2" s="1"/>
        <i x="34" s="1"/>
        <i x="3" s="1"/>
        <i x="35" s="1"/>
        <i x="4" s="1"/>
        <i x="36" s="1"/>
        <i x="5" s="1"/>
        <i x="37" s="1"/>
        <i x="6" s="1"/>
        <i x="38" s="1"/>
        <i x="7" s="1"/>
        <i x="39" s="1"/>
        <i x="8" s="1"/>
        <i x="40" s="1"/>
        <i x="9" s="1"/>
        <i x="41" s="1"/>
        <i x="10" s="1"/>
        <i x="42" s="1"/>
        <i x="11" s="1"/>
        <i x="43" s="1"/>
        <i x="12" s="1"/>
        <i x="44" s="1"/>
        <i x="13" s="1"/>
        <i x="45" s="1"/>
        <i x="14" s="1"/>
        <i x="15" s="1"/>
        <i x="16" s="1"/>
        <i x="17" s="1"/>
        <i x="18" s="1"/>
        <i x="19" s="1"/>
        <i x="20" s="1"/>
        <i x="21" s="1"/>
        <i x="22" s="1"/>
        <i x="23" s="1"/>
        <i x="24" s="1"/>
        <i x="25" s="1"/>
        <i x="26" s="1"/>
        <i x="27" s="1"/>
        <i x="28" s="1"/>
        <i x="29" s="1"/>
        <i x="30" s="1"/>
        <i x="31" s="1"/>
        <i x="0" s="1" nd="1"/>
        <i x="367" s="1" nd="1"/>
        <i x="92" s="1" nd="1"/>
        <i x="214" s="1" nd="1"/>
        <i x="336" s="1" nd="1"/>
        <i x="183" s="1" nd="1"/>
        <i x="153" s="1" nd="1"/>
        <i x="61" s="1" nd="1"/>
        <i x="122" s="1" nd="1"/>
        <i x="306" s="1" nd="1"/>
        <i x="275" s="1" nd="1"/>
        <i x="245" s="1" nd="1"/>
        <i x="93" s="1" nd="1"/>
        <i x="215" s="1" nd="1"/>
        <i x="337" s="1" nd="1"/>
        <i x="184" s="1" nd="1"/>
        <i x="154" s="1" nd="1"/>
        <i x="62" s="1" nd="1"/>
        <i x="123" s="1" nd="1"/>
        <i x="307" s="1" nd="1"/>
        <i x="276" s="1" nd="1"/>
        <i x="246" s="1" nd="1"/>
        <i x="94" s="1" nd="1"/>
        <i x="216" s="1" nd="1"/>
        <i x="338" s="1" nd="1"/>
        <i x="185" s="1" nd="1"/>
        <i x="155" s="1" nd="1"/>
        <i x="63" s="1" nd="1"/>
        <i x="124" s="1" nd="1"/>
        <i x="308" s="1" nd="1"/>
        <i x="277" s="1" nd="1"/>
        <i x="247" s="1" nd="1"/>
        <i x="95" s="1" nd="1"/>
        <i x="217" s="1" nd="1"/>
        <i x="339" s="1" nd="1"/>
        <i x="186" s="1" nd="1"/>
        <i x="156" s="1" nd="1"/>
        <i x="64" s="1" nd="1"/>
        <i x="125" s="1" nd="1"/>
        <i x="309" s="1" nd="1"/>
        <i x="278" s="1" nd="1"/>
        <i x="248" s="1" nd="1"/>
        <i x="96" s="1" nd="1"/>
        <i x="218" s="1" nd="1"/>
        <i x="340" s="1" nd="1"/>
        <i x="187" s="1" nd="1"/>
        <i x="157" s="1" nd="1"/>
        <i x="65" s="1" nd="1"/>
        <i x="126" s="1" nd="1"/>
        <i x="310" s="1" nd="1"/>
        <i x="279" s="1" nd="1"/>
        <i x="249" s="1" nd="1"/>
        <i x="97" s="1" nd="1"/>
        <i x="219" s="1" nd="1"/>
        <i x="341" s="1" nd="1"/>
        <i x="188" s="1" nd="1"/>
        <i x="158" s="1" nd="1"/>
        <i x="66" s="1" nd="1"/>
        <i x="127" s="1" nd="1"/>
        <i x="311" s="1" nd="1"/>
        <i x="280" s="1" nd="1"/>
        <i x="250" s="1" nd="1"/>
        <i x="98" s="1" nd="1"/>
        <i x="220" s="1" nd="1"/>
        <i x="342" s="1" nd="1"/>
        <i x="189" s="1" nd="1"/>
        <i x="159" s="1" nd="1"/>
        <i x="67" s="1" nd="1"/>
        <i x="128" s="1" nd="1"/>
        <i x="312" s="1" nd="1"/>
        <i x="281" s="1" nd="1"/>
        <i x="251" s="1" nd="1"/>
        <i x="99" s="1" nd="1"/>
        <i x="221" s="1" nd="1"/>
        <i x="343" s="1" nd="1"/>
        <i x="190" s="1" nd="1"/>
        <i x="160" s="1" nd="1"/>
        <i x="68" s="1" nd="1"/>
        <i x="129" s="1" nd="1"/>
        <i x="313" s="1" nd="1"/>
        <i x="282" s="1" nd="1"/>
        <i x="252" s="1" nd="1"/>
        <i x="100" s="1" nd="1"/>
        <i x="222" s="1" nd="1"/>
        <i x="344" s="1" nd="1"/>
        <i x="191" s="1" nd="1"/>
        <i x="161" s="1" nd="1"/>
        <i x="69" s="1" nd="1"/>
        <i x="130" s="1" nd="1"/>
        <i x="314" s="1" nd="1"/>
        <i x="283" s="1" nd="1"/>
        <i x="253" s="1" nd="1"/>
        <i x="101" s="1" nd="1"/>
        <i x="223" s="1" nd="1"/>
        <i x="345" s="1" nd="1"/>
        <i x="192" s="1" nd="1"/>
        <i x="162" s="1" nd="1"/>
        <i x="70" s="1" nd="1"/>
        <i x="131" s="1" nd="1"/>
        <i x="315" s="1" nd="1"/>
        <i x="284" s="1" nd="1"/>
        <i x="254" s="1" nd="1"/>
        <i x="102" s="1" nd="1"/>
        <i x="224" s="1" nd="1"/>
        <i x="346" s="1" nd="1"/>
        <i x="193" s="1" nd="1"/>
        <i x="163" s="1" nd="1"/>
        <i x="71" s="1" nd="1"/>
        <i x="132" s="1" nd="1"/>
        <i x="316" s="1" nd="1"/>
        <i x="285" s="1" nd="1"/>
        <i x="255" s="1" nd="1"/>
        <i x="103" s="1" nd="1"/>
        <i x="225" s="1" nd="1"/>
        <i x="347" s="1" nd="1"/>
        <i x="194" s="1" nd="1"/>
        <i x="164" s="1" nd="1"/>
        <i x="72" s="1" nd="1"/>
        <i x="133" s="1" nd="1"/>
        <i x="317" s="1" nd="1"/>
        <i x="286" s="1" nd="1"/>
        <i x="256" s="1" nd="1"/>
        <i x="104" s="1" nd="1"/>
        <i x="226" s="1" nd="1"/>
        <i x="348" s="1" nd="1"/>
        <i x="195" s="1" nd="1"/>
        <i x="165" s="1" nd="1"/>
        <i x="73" s="1" nd="1"/>
        <i x="134" s="1" nd="1"/>
        <i x="318" s="1" nd="1"/>
        <i x="287" s="1" nd="1"/>
        <i x="257" s="1" nd="1"/>
        <i x="105" s="1" nd="1"/>
        <i x="227" s="1" nd="1"/>
        <i x="349" s="1" nd="1"/>
        <i x="196" s="1" nd="1"/>
        <i x="166" s="1" nd="1"/>
        <i x="74" s="1" nd="1"/>
        <i x="135" s="1" nd="1"/>
        <i x="319" s="1" nd="1"/>
        <i x="288" s="1" nd="1"/>
        <i x="258" s="1" nd="1"/>
        <i x="106" s="1" nd="1"/>
        <i x="228" s="1" nd="1"/>
        <i x="350" s="1" nd="1"/>
        <i x="46" s="1" nd="1"/>
        <i x="197" s="1" nd="1"/>
        <i x="167" s="1" nd="1"/>
        <i x="75" s="1" nd="1"/>
        <i x="136" s="1" nd="1"/>
        <i x="320" s="1" nd="1"/>
        <i x="289" s="1" nd="1"/>
        <i x="259" s="1" nd="1"/>
        <i x="107" s="1" nd="1"/>
        <i x="229" s="1" nd="1"/>
        <i x="351" s="1" nd="1"/>
        <i x="47" s="1" nd="1"/>
        <i x="198" s="1" nd="1"/>
        <i x="168" s="1" nd="1"/>
        <i x="76" s="1" nd="1"/>
        <i x="137" s="1" nd="1"/>
        <i x="321" s="1" nd="1"/>
        <i x="290" s="1" nd="1"/>
        <i x="260" s="1" nd="1"/>
        <i x="108" s="1" nd="1"/>
        <i x="230" s="1" nd="1"/>
        <i x="352" s="1" nd="1"/>
        <i x="48" s="1" nd="1"/>
        <i x="199" s="1" nd="1"/>
        <i x="169" s="1" nd="1"/>
        <i x="77" s="1" nd="1"/>
        <i x="138" s="1" nd="1"/>
        <i x="322" s="1" nd="1"/>
        <i x="291" s="1" nd="1"/>
        <i x="261" s="1" nd="1"/>
        <i x="109" s="1" nd="1"/>
        <i x="231" s="1" nd="1"/>
        <i x="353" s="1" nd="1"/>
        <i x="49" s="1" nd="1"/>
        <i x="200" s="1" nd="1"/>
        <i x="170" s="1" nd="1"/>
        <i x="78" s="1" nd="1"/>
        <i x="139" s="1" nd="1"/>
        <i x="323" s="1" nd="1"/>
        <i x="292" s="1" nd="1"/>
        <i x="262" s="1" nd="1"/>
        <i x="110" s="1" nd="1"/>
        <i x="232" s="1" nd="1"/>
        <i x="354" s="1" nd="1"/>
        <i x="50" s="1" nd="1"/>
        <i x="201" s="1" nd="1"/>
        <i x="171" s="1" nd="1"/>
        <i x="79" s="1" nd="1"/>
        <i x="140" s="1" nd="1"/>
        <i x="324" s="1" nd="1"/>
        <i x="293" s="1" nd="1"/>
        <i x="263" s="1" nd="1"/>
        <i x="111" s="1" nd="1"/>
        <i x="233" s="1" nd="1"/>
        <i x="355" s="1" nd="1"/>
        <i x="51" s="1" nd="1"/>
        <i x="202" s="1" nd="1"/>
        <i x="172" s="1" nd="1"/>
        <i x="80" s="1" nd="1"/>
        <i x="141" s="1" nd="1"/>
        <i x="325" s="1" nd="1"/>
        <i x="294" s="1" nd="1"/>
        <i x="264" s="1" nd="1"/>
        <i x="112" s="1" nd="1"/>
        <i x="234" s="1" nd="1"/>
        <i x="356" s="1" nd="1"/>
        <i x="52" s="1" nd="1"/>
        <i x="203" s="1" nd="1"/>
        <i x="173" s="1" nd="1"/>
        <i x="81" s="1" nd="1"/>
        <i x="142" s="1" nd="1"/>
        <i x="326" s="1" nd="1"/>
        <i x="295" s="1" nd="1"/>
        <i x="265" s="1" nd="1"/>
        <i x="113" s="1" nd="1"/>
        <i x="235" s="1" nd="1"/>
        <i x="357" s="1" nd="1"/>
        <i x="53" s="1" nd="1"/>
        <i x="204" s="1" nd="1"/>
        <i x="174" s="1" nd="1"/>
        <i x="82" s="1" nd="1"/>
        <i x="143" s="1" nd="1"/>
        <i x="327" s="1" nd="1"/>
        <i x="296" s="1" nd="1"/>
        <i x="266" s="1" nd="1"/>
        <i x="114" s="1" nd="1"/>
        <i x="236" s="1" nd="1"/>
        <i x="358" s="1" nd="1"/>
        <i x="54" s="1" nd="1"/>
        <i x="205" s="1" nd="1"/>
        <i x="175" s="1" nd="1"/>
        <i x="83" s="1" nd="1"/>
        <i x="144" s="1" nd="1"/>
        <i x="328" s="1" nd="1"/>
        <i x="297" s="1" nd="1"/>
        <i x="267" s="1" nd="1"/>
        <i x="115" s="1" nd="1"/>
        <i x="237" s="1" nd="1"/>
        <i x="359" s="1" nd="1"/>
        <i x="55" s="1" nd="1"/>
        <i x="206" s="1" nd="1"/>
        <i x="176" s="1" nd="1"/>
        <i x="84" s="1" nd="1"/>
        <i x="145" s="1" nd="1"/>
        <i x="329" s="1" nd="1"/>
        <i x="298" s="1" nd="1"/>
        <i x="268" s="1" nd="1"/>
        <i x="116" s="1" nd="1"/>
        <i x="238" s="1" nd="1"/>
        <i x="360" s="1" nd="1"/>
        <i x="56" s="1" nd="1"/>
        <i x="207" s="1" nd="1"/>
        <i x="177" s="1" nd="1"/>
        <i x="85" s="1" nd="1"/>
        <i x="146" s="1" nd="1"/>
        <i x="330" s="1" nd="1"/>
        <i x="299" s="1" nd="1"/>
        <i x="269" s="1" nd="1"/>
        <i x="117" s="1" nd="1"/>
        <i x="239" s="1" nd="1"/>
        <i x="361" s="1" nd="1"/>
        <i x="57" s="1" nd="1"/>
        <i x="208" s="1" nd="1"/>
        <i x="178" s="1" nd="1"/>
        <i x="86" s="1" nd="1"/>
        <i x="147" s="1" nd="1"/>
        <i x="331" s="1" nd="1"/>
        <i x="300" s="1" nd="1"/>
        <i x="270" s="1" nd="1"/>
        <i x="118" s="1" nd="1"/>
        <i x="240" s="1" nd="1"/>
        <i x="362" s="1" nd="1"/>
        <i x="58" s="1" nd="1"/>
        <i x="209" s="1" nd="1"/>
        <i x="179" s="1" nd="1"/>
        <i x="87" s="1" nd="1"/>
        <i x="148" s="1" nd="1"/>
        <i x="332" s="1" nd="1"/>
        <i x="301" s="1" nd="1"/>
        <i x="271" s="1" nd="1"/>
        <i x="119" s="1" nd="1"/>
        <i x="241" s="1" nd="1"/>
        <i x="363" s="1" nd="1"/>
        <i x="59" s="1" nd="1"/>
        <i x="210" s="1" nd="1"/>
        <i x="180" s="1" nd="1"/>
        <i x="88" s="1" nd="1"/>
        <i x="149" s="1" nd="1"/>
        <i x="333" s="1" nd="1"/>
        <i x="302" s="1" nd="1"/>
        <i x="272" s="1" nd="1"/>
        <i x="120" s="1" nd="1"/>
        <i x="242" s="1" nd="1"/>
        <i x="364" s="1" nd="1"/>
        <i x="60" s="1" nd="1"/>
        <i x="211" s="1" nd="1"/>
        <i x="181" s="1" nd="1"/>
        <i x="89" s="1" nd="1"/>
        <i x="150" s="1" nd="1"/>
        <i x="334" s="1" nd="1"/>
        <i x="303" s="1" nd="1"/>
        <i x="273" s="1" nd="1"/>
        <i x="121" s="1" nd="1"/>
        <i x="243" s="1" nd="1"/>
        <i x="365" s="1" nd="1"/>
        <i x="212" s="1" nd="1"/>
        <i x="182" s="1" nd="1"/>
        <i x="90" s="1" nd="1"/>
        <i x="151" s="1" nd="1"/>
        <i x="335" s="1" nd="1"/>
        <i x="304" s="1" nd="1"/>
        <i x="274" s="1" nd="1"/>
        <i x="244" s="1" nd="1"/>
        <i x="366" s="1" nd="1"/>
        <i x="213" s="1" nd="1"/>
        <i x="91" s="1" nd="1"/>
        <i x="152" s="1" nd="1"/>
        <i x="305"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teday" xr10:uid="{55D3C831-EB1D-4144-A168-E2A15CE14F67}" sourceName="Months (dteday)">
  <pivotTables>
    <pivotTable tabId="4" name="PivotTable1"/>
    <pivotTable tabId="4" name="PivotTable2"/>
    <pivotTable tabId="4" name="PivotTable3"/>
    <pivotTable tabId="4" name="PivotTable4"/>
    <pivotTable tabId="4" name="PivotTable5"/>
    <pivotTable tabId="4" name="PivotTable9"/>
    <pivotTable tabId="4" name="PivotTable11"/>
    <pivotTable tabId="8" name="PivotTable8"/>
    <pivotTable tabId="4" name="PivotTable6"/>
    <pivotTable tabId="4" name="PivotTable7"/>
    <pivotTable tabId="4" name="PivotTable8"/>
  </pivotTables>
  <data>
    <tabular pivotCacheId="1666038206">
      <items count="14">
        <i x="1" s="1"/>
        <i x="2" s="1"/>
        <i x="3" s="1" nd="1"/>
        <i x="4" s="1" nd="1"/>
        <i x="5" s="1" nd="1"/>
        <i x="6" s="1" nd="1"/>
        <i x="7" s="1" nd="1"/>
        <i x="8" s="1" nd="1"/>
        <i x="9" s="1" nd="1"/>
        <i x="10" s="1" nd="1"/>
        <i x="11" s="1" nd="1"/>
        <i x="12" s="1" nd="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oliday" xr10:uid="{0EB0AF58-F66D-41CB-98C2-06CB5E1EA05D}" cache="Slicer_holiday" caption="holiday" rowHeight="234950"/>
  <slicer name="weathersit" xr10:uid="{A3C5E8C8-09F5-42A7-94F9-3B3F81EBE439}" cache="Slicer_weathersit" caption="weathersit" rowHeight="234950"/>
  <slicer name="Days (dteday)" xr10:uid="{46DF7834-0D41-4686-85D8-63F1F2A7B0F9}" cache="Slicer_Days__dteday" caption="Days (dteday)" startItem="70" rowHeight="234950"/>
  <slicer name="Months (dteday)" xr10:uid="{3C2BE9F1-96EA-4BA8-8C1E-2A99CD3D4A0C}" cache="Slicer_Months__dteday" caption="Months (dteda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7B9CBE-A7BA-4383-9AA7-BFBEFBCD3F90}" name="Table1" displayName="Table1" ref="A1:G611" totalsRowShown="0" headerRowDxfId="98" dataDxfId="97">
  <autoFilter ref="A1:G611" xr:uid="{A97B9CBE-A7BA-4383-9AA7-BFBEFBCD3F90}"/>
  <tableColumns count="7">
    <tableColumn id="1" xr3:uid="{74AE843A-98A3-4942-9FCC-03AEC7B21FF2}" name="instant" dataDxfId="96"/>
    <tableColumn id="2" xr3:uid="{1A050993-9148-4E62-BEDA-CD86C3CF9CB6}" name="dteday" dataDxfId="95"/>
    <tableColumn id="6" xr3:uid="{CC36C331-1F79-4076-BBB5-29F09856C298}" name="hr" dataDxfId="94"/>
    <tableColumn id="7" xr3:uid="{2AD50707-B705-4085-88BA-F83CF0CF96A6}" name="holiday" dataDxfId="93"/>
    <tableColumn id="8" xr3:uid="{A8DA53E7-85CF-4189-B63F-3CFE38D407F7}" name="weekday" dataDxfId="92"/>
    <tableColumn id="9" xr3:uid="{F280CE15-B519-4155-A24F-B51302124062}" name="weathersit" dataDxfId="91"/>
    <tableColumn id="10" xr3:uid="{67BA4123-4E31-47F5-B100-CFF08C456D8D}" name="temp" dataDxfId="9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30D5E28-4E56-4EE1-94CF-D85D3CBE8D2D}" name="Table2" displayName="Table2" ref="A1:G611" totalsRowShown="0">
  <autoFilter ref="A1:G611" xr:uid="{B30D5E28-4E56-4EE1-94CF-D85D3CBE8D2D}"/>
  <tableColumns count="7">
    <tableColumn id="1" xr3:uid="{28C9FBDD-F5C1-4EE2-B0CB-D04C5FC97F95}" name="instant"/>
    <tableColumn id="2" xr3:uid="{8FD80990-5CB1-4E1F-ACA8-D1A961CBAEEF}" name="atemp"/>
    <tableColumn id="3" xr3:uid="{E90D542C-DDA8-46A7-918F-80616245D98A}" name="hum"/>
    <tableColumn id="4" xr3:uid="{E5FC6483-768E-4187-9995-52E5AB54891F}" name="windspeed"/>
    <tableColumn id="5" xr3:uid="{BFD33E4A-96CA-4C29-8191-21C9E05B37B6}" name="casual"/>
    <tableColumn id="6" xr3:uid="{496C45A3-9A36-4B66-B867-B586193F0CC3}" name="registered"/>
    <tableColumn id="7" xr3:uid="{0E83A90C-0A5E-43CE-BC0A-C956CC4B0EE8}" name="c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A27E9E2-791A-4CE2-9FB3-DF58808057D5}" name="Table4" displayName="Table4" ref="A1:M391" totalsRowShown="0" headerRowDxfId="89" dataDxfId="87" headerRowBorderDxfId="88" tableBorderDxfId="86" totalsRowBorderDxfId="85">
  <autoFilter ref="A1:M391" xr:uid="{3A27E9E2-791A-4CE2-9FB3-DF58808057D5}"/>
  <tableColumns count="13">
    <tableColumn id="1" xr3:uid="{F0C3B3D3-B43D-4E05-AF19-61B51B26A586}" name="instant" dataDxfId="84"/>
    <tableColumn id="2" xr3:uid="{0F2C4202-8985-4C9F-B486-A19AD8E6DA2A}" name="dteday" dataDxfId="83"/>
    <tableColumn id="3" xr3:uid="{3B537BA5-D310-4562-84B6-6DFF7B2BBE8A}" name="hr" dataDxfId="82"/>
    <tableColumn id="4" xr3:uid="{3349F82A-A01E-4F2B-8A5A-30DD2110FA88}" name="holiday" dataDxfId="81"/>
    <tableColumn id="5" xr3:uid="{BA1CA434-F363-41E7-A132-92C9195EA832}" name="weekday" dataDxfId="80"/>
    <tableColumn id="6" xr3:uid="{4C6D2A6C-E6AD-484C-BC28-DD1672E3D9AD}" name="weathersit" dataDxfId="79"/>
    <tableColumn id="7" xr3:uid="{715360F2-A385-49F5-BFAC-B2D89C7849C1}" name="temp" dataDxfId="78"/>
    <tableColumn id="8" xr3:uid="{434F9377-E960-4701-9717-E3DCF2964C95}" name="atemp" dataDxfId="77"/>
    <tableColumn id="9" xr3:uid="{F6D4284D-E269-455A-A41D-1C20D7B5AE13}" name="hum" dataDxfId="76"/>
    <tableColumn id="10" xr3:uid="{1C66262B-4560-43C1-9421-D8B42110E503}" name="windspeed" dataDxfId="75"/>
    <tableColumn id="11" xr3:uid="{1D80B79B-7A05-4B98-8566-EC2A65B213E9}" name="casual" dataDxfId="74"/>
    <tableColumn id="12" xr3:uid="{26AC0CFF-DF43-4DF3-B6AD-8C05724D1871}" name="registered" dataDxfId="73"/>
    <tableColumn id="13" xr3:uid="{89735DDD-FD56-41E3-8EE5-070A1E2CE346}" name="cnt" dataDxfId="7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0F91CBF-7765-443D-BF34-01E5BAF64BED}" name="Table3" displayName="Table3" ref="A1:N1002" totalsRowCount="1" headerRowDxfId="71" dataDxfId="69" headerRowBorderDxfId="70" tableBorderDxfId="68" totalsRowBorderDxfId="67">
  <autoFilter ref="A1:N1001" xr:uid="{C0F91CBF-7765-443D-BF34-01E5BAF64BED}"/>
  <sortState xmlns:xlrd2="http://schemas.microsoft.com/office/spreadsheetml/2017/richdata2" ref="A2:M1001">
    <sortCondition ref="A1:A1001"/>
  </sortState>
  <tableColumns count="14">
    <tableColumn id="1" xr3:uid="{78939E79-D291-41D1-BCE5-ABA5D69E7616}" name="instant" dataDxfId="66" totalsRowDxfId="65"/>
    <tableColumn id="2" xr3:uid="{951F4A27-EA7D-4074-A7CA-08BC83B3A6F6}" name="dteday" dataDxfId="64" totalsRowDxfId="63"/>
    <tableColumn id="6" xr3:uid="{655B2F88-E133-4A77-83DE-D2E9CCC2A409}" name="hr" dataDxfId="62" totalsRowDxfId="61"/>
    <tableColumn id="7" xr3:uid="{FC71842C-06DD-4641-AA8C-A158EF9ED3AD}" name="holiday" dataDxfId="60" totalsRowDxfId="59"/>
    <tableColumn id="8" xr3:uid="{B8E70E6A-A619-4487-B2E0-11C29BE611AC}" name="weekday" dataDxfId="58" totalsRowDxfId="57"/>
    <tableColumn id="9" xr3:uid="{16D8EE74-A30E-4D42-AF0C-3DC2C229A82B}" name="weathersit" dataDxfId="56" totalsRowDxfId="55"/>
    <tableColumn id="10" xr3:uid="{AA75DC62-C84D-48F8-B4E7-9387A103822E}" name="temp" dataDxfId="54" totalsRowDxfId="53"/>
    <tableColumn id="11" xr3:uid="{BFAED7C7-CA44-4159-8A19-A5D950298F4F}" name="atemp" dataDxfId="52" totalsRowDxfId="51"/>
    <tableColumn id="12" xr3:uid="{A0C2D97E-9F41-42B4-B2B4-BBEFD4B1AD4D}" name="hum" dataDxfId="50" totalsRowDxfId="49"/>
    <tableColumn id="13" xr3:uid="{7D4A0528-59D6-45D2-9C4D-A4421812744C}" name="windspeed" dataDxfId="48"/>
    <tableColumn id="14" xr3:uid="{21FC2D8E-F7A4-4F17-BE60-960ADA1A3B3F}" name="casual" dataDxfId="47" totalsRowDxfId="46"/>
    <tableColumn id="15" xr3:uid="{BC54B229-4819-4BE6-8C3C-8364D31D3B8D}" name="registered" dataDxfId="45" totalsRowDxfId="44"/>
    <tableColumn id="16" xr3:uid="{5DEF6CE5-2214-4E3A-8C52-C91E19BE6471}" name="cnt" dataDxfId="43" totalsRowDxfId="42"/>
    <tableColumn id="4" xr3:uid="{B9B4FC0D-5104-4238-ABC3-039339B6BE55}" name="Day Type" dataDxfId="41" totalsRowDxfId="40">
      <calculatedColumnFormula>IF(OR(Table3[[#This Row],[weekday]]=0,Table3[[#This Row],[weekday]]=6),"Weekend","Weekday")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32E2A-82D8-4E1C-A10E-5B37ABEC6720}">
  <sheetPr>
    <tabColor theme="0" tint="-4.9989318521683403E-2"/>
  </sheetPr>
  <dimension ref="A1:G611"/>
  <sheetViews>
    <sheetView workbookViewId="0">
      <selection activeCell="I2" sqref="I2"/>
    </sheetView>
  </sheetViews>
  <sheetFormatPr defaultRowHeight="14.4" x14ac:dyDescent="0.3"/>
  <cols>
    <col min="2" max="2" width="11.6640625" customWidth="1"/>
    <col min="3" max="3" width="12" customWidth="1"/>
    <col min="4" max="4" width="10.109375" customWidth="1"/>
    <col min="5" max="5" width="8.88671875" customWidth="1"/>
    <col min="6" max="6" width="12.88671875" customWidth="1"/>
  </cols>
  <sheetData>
    <row r="1" spans="1:7" ht="15" thickBot="1" x14ac:dyDescent="0.35">
      <c r="A1" s="17" t="s">
        <v>12</v>
      </c>
      <c r="B1" s="17" t="s">
        <v>11</v>
      </c>
      <c r="C1" s="17" t="s">
        <v>10</v>
      </c>
      <c r="D1" s="17" t="s">
        <v>9</v>
      </c>
      <c r="E1" s="17" t="s">
        <v>8</v>
      </c>
      <c r="F1" s="17" t="s">
        <v>7</v>
      </c>
      <c r="G1" s="17" t="s">
        <v>6</v>
      </c>
    </row>
    <row r="2" spans="1:7" ht="15" thickBot="1" x14ac:dyDescent="0.35">
      <c r="A2" s="1">
        <v>1</v>
      </c>
      <c r="B2" s="3">
        <v>40544</v>
      </c>
      <c r="C2" s="1">
        <v>0</v>
      </c>
      <c r="D2" s="2" t="b">
        <v>0</v>
      </c>
      <c r="E2" s="1">
        <v>6</v>
      </c>
      <c r="F2" s="1">
        <v>1</v>
      </c>
      <c r="G2" s="1">
        <v>0.24</v>
      </c>
    </row>
    <row r="3" spans="1:7" ht="15" thickBot="1" x14ac:dyDescent="0.35">
      <c r="A3" s="1">
        <v>2</v>
      </c>
      <c r="B3" s="3">
        <v>40544</v>
      </c>
      <c r="C3" s="1">
        <v>1</v>
      </c>
      <c r="D3" s="2" t="b">
        <v>0</v>
      </c>
      <c r="E3" s="1">
        <v>6</v>
      </c>
      <c r="F3" s="1">
        <v>1</v>
      </c>
      <c r="G3" s="1">
        <v>0.22</v>
      </c>
    </row>
    <row r="4" spans="1:7" ht="15" thickBot="1" x14ac:dyDescent="0.35">
      <c r="A4" s="1">
        <v>3</v>
      </c>
      <c r="B4" s="3">
        <v>40544</v>
      </c>
      <c r="C4" s="1">
        <v>2</v>
      </c>
      <c r="D4" s="2" t="b">
        <v>0</v>
      </c>
      <c r="E4" s="1">
        <v>6</v>
      </c>
      <c r="F4" s="1">
        <v>1</v>
      </c>
      <c r="G4" s="1">
        <v>0.22</v>
      </c>
    </row>
    <row r="5" spans="1:7" ht="15" thickBot="1" x14ac:dyDescent="0.35">
      <c r="A5" s="1">
        <v>4</v>
      </c>
      <c r="B5" s="3">
        <v>40544</v>
      </c>
      <c r="C5" s="1">
        <v>3</v>
      </c>
      <c r="D5" s="2" t="b">
        <v>0</v>
      </c>
      <c r="E5" s="1">
        <v>6</v>
      </c>
      <c r="F5" s="1">
        <v>1</v>
      </c>
      <c r="G5" s="1">
        <v>0.24</v>
      </c>
    </row>
    <row r="6" spans="1:7" ht="15" thickBot="1" x14ac:dyDescent="0.35">
      <c r="A6" s="1">
        <v>5</v>
      </c>
      <c r="B6" s="3">
        <v>40544</v>
      </c>
      <c r="C6" s="1">
        <v>4</v>
      </c>
      <c r="D6" s="2" t="b">
        <v>0</v>
      </c>
      <c r="E6" s="1">
        <v>6</v>
      </c>
      <c r="F6" s="1">
        <v>1</v>
      </c>
      <c r="G6" s="1">
        <v>0.24</v>
      </c>
    </row>
    <row r="7" spans="1:7" ht="15" thickBot="1" x14ac:dyDescent="0.35">
      <c r="A7" s="1">
        <v>6</v>
      </c>
      <c r="B7" s="3">
        <v>40544</v>
      </c>
      <c r="C7" s="1">
        <v>5</v>
      </c>
      <c r="D7" s="2" t="b">
        <v>0</v>
      </c>
      <c r="E7" s="1">
        <v>6</v>
      </c>
      <c r="F7" s="1">
        <v>2</v>
      </c>
      <c r="G7" s="1">
        <v>0.24</v>
      </c>
    </row>
    <row r="8" spans="1:7" ht="15" thickBot="1" x14ac:dyDescent="0.35">
      <c r="A8" s="1">
        <v>7</v>
      </c>
      <c r="B8" s="3">
        <v>40544</v>
      </c>
      <c r="C8" s="1">
        <v>6</v>
      </c>
      <c r="D8" s="2" t="b">
        <v>0</v>
      </c>
      <c r="E8" s="1">
        <v>6</v>
      </c>
      <c r="F8" s="1">
        <v>1</v>
      </c>
      <c r="G8" s="1">
        <v>0.22</v>
      </c>
    </row>
    <row r="9" spans="1:7" ht="15" thickBot="1" x14ac:dyDescent="0.35">
      <c r="A9" s="1">
        <v>8</v>
      </c>
      <c r="B9" s="3">
        <v>40544</v>
      </c>
      <c r="C9" s="1">
        <v>7</v>
      </c>
      <c r="D9" s="2" t="b">
        <v>0</v>
      </c>
      <c r="E9" s="1">
        <v>6</v>
      </c>
      <c r="F9" s="1">
        <v>1</v>
      </c>
      <c r="G9" s="1">
        <v>0.2</v>
      </c>
    </row>
    <row r="10" spans="1:7" ht="15" thickBot="1" x14ac:dyDescent="0.35">
      <c r="A10" s="1">
        <v>9</v>
      </c>
      <c r="B10" s="3">
        <v>40544</v>
      </c>
      <c r="C10" s="1">
        <v>8</v>
      </c>
      <c r="D10" s="2" t="b">
        <v>0</v>
      </c>
      <c r="E10" s="1">
        <v>6</v>
      </c>
      <c r="F10" s="1">
        <v>1</v>
      </c>
      <c r="G10" s="1">
        <v>0.24</v>
      </c>
    </row>
    <row r="11" spans="1:7" ht="15" thickBot="1" x14ac:dyDescent="0.35">
      <c r="A11" s="1">
        <v>10</v>
      </c>
      <c r="B11" s="3">
        <v>40544</v>
      </c>
      <c r="C11" s="1">
        <v>9</v>
      </c>
      <c r="D11" s="2" t="b">
        <v>0</v>
      </c>
      <c r="E11" s="1">
        <v>6</v>
      </c>
      <c r="F11" s="1">
        <v>1</v>
      </c>
      <c r="G11" s="1">
        <v>0.32</v>
      </c>
    </row>
    <row r="12" spans="1:7" ht="15" thickBot="1" x14ac:dyDescent="0.35">
      <c r="A12" s="1">
        <v>11</v>
      </c>
      <c r="B12" s="3">
        <v>40544</v>
      </c>
      <c r="C12" s="1">
        <v>10</v>
      </c>
      <c r="D12" s="2" t="b">
        <v>0</v>
      </c>
      <c r="E12" s="1">
        <v>6</v>
      </c>
      <c r="F12" s="1">
        <v>1</v>
      </c>
      <c r="G12" s="1">
        <v>0.38</v>
      </c>
    </row>
    <row r="13" spans="1:7" ht="15" thickBot="1" x14ac:dyDescent="0.35">
      <c r="A13" s="1">
        <v>12</v>
      </c>
      <c r="B13" s="3">
        <v>40544</v>
      </c>
      <c r="C13" s="1">
        <v>11</v>
      </c>
      <c r="D13" s="2" t="b">
        <v>0</v>
      </c>
      <c r="E13" s="1">
        <v>6</v>
      </c>
      <c r="F13" s="1">
        <v>1</v>
      </c>
      <c r="G13" s="1">
        <v>0.36</v>
      </c>
    </row>
    <row r="14" spans="1:7" ht="15" thickBot="1" x14ac:dyDescent="0.35">
      <c r="A14" s="1">
        <v>13</v>
      </c>
      <c r="B14" s="3">
        <v>40544</v>
      </c>
      <c r="C14" s="1">
        <v>12</v>
      </c>
      <c r="D14" s="2" t="b">
        <v>0</v>
      </c>
      <c r="E14" s="1">
        <v>6</v>
      </c>
      <c r="F14" s="1">
        <v>1</v>
      </c>
      <c r="G14" s="1">
        <v>0.42</v>
      </c>
    </row>
    <row r="15" spans="1:7" ht="15" thickBot="1" x14ac:dyDescent="0.35">
      <c r="A15" s="1">
        <v>14</v>
      </c>
      <c r="B15" s="3">
        <v>40544</v>
      </c>
      <c r="C15" s="1">
        <v>13</v>
      </c>
      <c r="D15" s="2" t="b">
        <v>0</v>
      </c>
      <c r="E15" s="1">
        <v>6</v>
      </c>
      <c r="F15" s="1">
        <v>2</v>
      </c>
      <c r="G15" s="1">
        <v>0.46</v>
      </c>
    </row>
    <row r="16" spans="1:7" ht="15" thickBot="1" x14ac:dyDescent="0.35">
      <c r="A16" s="1">
        <v>15</v>
      </c>
      <c r="B16" s="3">
        <v>40544</v>
      </c>
      <c r="C16" s="1">
        <v>14</v>
      </c>
      <c r="D16" s="2" t="b">
        <v>0</v>
      </c>
      <c r="E16" s="1">
        <v>6</v>
      </c>
      <c r="F16" s="1">
        <v>2</v>
      </c>
      <c r="G16" s="1">
        <v>0.46</v>
      </c>
    </row>
    <row r="17" spans="1:7" ht="15" thickBot="1" x14ac:dyDescent="0.35">
      <c r="A17" s="1">
        <v>16</v>
      </c>
      <c r="B17" s="3">
        <v>40544</v>
      </c>
      <c r="C17" s="1">
        <v>15</v>
      </c>
      <c r="D17" s="2" t="b">
        <v>0</v>
      </c>
      <c r="E17" s="1">
        <v>6</v>
      </c>
      <c r="F17" s="1">
        <v>2</v>
      </c>
      <c r="G17" s="1">
        <v>0.44</v>
      </c>
    </row>
    <row r="18" spans="1:7" ht="15" thickBot="1" x14ac:dyDescent="0.35">
      <c r="A18" s="1">
        <v>17</v>
      </c>
      <c r="B18" s="3">
        <v>40544</v>
      </c>
      <c r="C18" s="1">
        <v>16</v>
      </c>
      <c r="D18" s="2" t="b">
        <v>0</v>
      </c>
      <c r="E18" s="1">
        <v>6</v>
      </c>
      <c r="F18" s="1">
        <v>2</v>
      </c>
      <c r="G18" s="1">
        <v>0.42</v>
      </c>
    </row>
    <row r="19" spans="1:7" ht="15" thickBot="1" x14ac:dyDescent="0.35">
      <c r="A19" s="1">
        <v>18</v>
      </c>
      <c r="B19" s="3">
        <v>40544</v>
      </c>
      <c r="C19" s="1">
        <v>17</v>
      </c>
      <c r="D19" s="2" t="b">
        <v>0</v>
      </c>
      <c r="E19" s="1">
        <v>6</v>
      </c>
      <c r="F19" s="1">
        <v>2</v>
      </c>
      <c r="G19" s="1">
        <v>0.44</v>
      </c>
    </row>
    <row r="20" spans="1:7" ht="15" thickBot="1" x14ac:dyDescent="0.35">
      <c r="A20" s="1">
        <v>19</v>
      </c>
      <c r="B20" s="3">
        <v>40544</v>
      </c>
      <c r="C20" s="1">
        <v>18</v>
      </c>
      <c r="D20" s="2" t="b">
        <v>0</v>
      </c>
      <c r="E20" s="1">
        <v>6</v>
      </c>
      <c r="F20" s="1">
        <v>3</v>
      </c>
      <c r="G20" s="1">
        <v>0.42</v>
      </c>
    </row>
    <row r="21" spans="1:7" ht="15" thickBot="1" x14ac:dyDescent="0.35">
      <c r="A21" s="1">
        <v>20</v>
      </c>
      <c r="B21" s="3">
        <v>40544</v>
      </c>
      <c r="C21" s="1">
        <v>19</v>
      </c>
      <c r="D21" s="2" t="b">
        <v>0</v>
      </c>
      <c r="E21" s="1">
        <v>6</v>
      </c>
      <c r="F21" s="1">
        <v>3</v>
      </c>
      <c r="G21" s="1">
        <v>0.42</v>
      </c>
    </row>
    <row r="22" spans="1:7" ht="15" thickBot="1" x14ac:dyDescent="0.35">
      <c r="A22" s="1">
        <v>21</v>
      </c>
      <c r="B22" s="3">
        <v>40544</v>
      </c>
      <c r="C22" s="1">
        <v>20</v>
      </c>
      <c r="D22" s="2" t="b">
        <v>0</v>
      </c>
      <c r="E22" s="1">
        <v>6</v>
      </c>
      <c r="F22" s="1">
        <v>2</v>
      </c>
      <c r="G22" s="1">
        <v>0.4</v>
      </c>
    </row>
    <row r="23" spans="1:7" ht="15" thickBot="1" x14ac:dyDescent="0.35">
      <c r="A23" s="1">
        <v>22</v>
      </c>
      <c r="B23" s="3">
        <v>40544</v>
      </c>
      <c r="C23" s="1">
        <v>21</v>
      </c>
      <c r="D23" s="2" t="b">
        <v>0</v>
      </c>
      <c r="E23" s="1">
        <v>6</v>
      </c>
      <c r="F23" s="1">
        <v>2</v>
      </c>
      <c r="G23" s="1">
        <v>0.4</v>
      </c>
    </row>
    <row r="24" spans="1:7" ht="15" thickBot="1" x14ac:dyDescent="0.35">
      <c r="A24" s="1">
        <v>23</v>
      </c>
      <c r="B24" s="3">
        <v>40544</v>
      </c>
      <c r="C24" s="1">
        <v>22</v>
      </c>
      <c r="D24" s="2" t="b">
        <v>0</v>
      </c>
      <c r="E24" s="1">
        <v>6</v>
      </c>
      <c r="F24" s="1">
        <v>2</v>
      </c>
      <c r="G24" s="1">
        <v>0.4</v>
      </c>
    </row>
    <row r="25" spans="1:7" ht="15" thickBot="1" x14ac:dyDescent="0.35">
      <c r="A25" s="1">
        <v>24</v>
      </c>
      <c r="B25" s="3">
        <v>40544</v>
      </c>
      <c r="C25" s="1">
        <v>23</v>
      </c>
      <c r="D25" s="2" t="b">
        <v>0</v>
      </c>
      <c r="E25" s="1">
        <v>6</v>
      </c>
      <c r="F25" s="1">
        <v>2</v>
      </c>
      <c r="G25" s="1">
        <v>0.46</v>
      </c>
    </row>
    <row r="26" spans="1:7" ht="15" thickBot="1" x14ac:dyDescent="0.35">
      <c r="A26" s="1">
        <v>25</v>
      </c>
      <c r="B26" s="3">
        <v>40545</v>
      </c>
      <c r="C26" s="1">
        <v>0</v>
      </c>
      <c r="D26" s="2" t="b">
        <v>0</v>
      </c>
      <c r="E26" s="1">
        <v>0</v>
      </c>
      <c r="F26" s="1">
        <v>2</v>
      </c>
      <c r="G26" s="1">
        <v>0.46</v>
      </c>
    </row>
    <row r="27" spans="1:7" ht="15" thickBot="1" x14ac:dyDescent="0.35">
      <c r="A27" s="1">
        <v>26</v>
      </c>
      <c r="B27" s="3">
        <v>40545</v>
      </c>
      <c r="C27" s="1">
        <v>1</v>
      </c>
      <c r="D27" s="2" t="b">
        <v>0</v>
      </c>
      <c r="E27" s="1">
        <v>0</v>
      </c>
      <c r="F27" s="1">
        <v>2</v>
      </c>
      <c r="G27" s="1">
        <v>0.44</v>
      </c>
    </row>
    <row r="28" spans="1:7" ht="15" thickBot="1" x14ac:dyDescent="0.35">
      <c r="A28" s="1">
        <v>27</v>
      </c>
      <c r="B28" s="3">
        <v>40545</v>
      </c>
      <c r="C28" s="1">
        <v>2</v>
      </c>
      <c r="D28" s="2" t="b">
        <v>0</v>
      </c>
      <c r="E28" s="1">
        <v>0</v>
      </c>
      <c r="F28" s="1">
        <v>2</v>
      </c>
      <c r="G28" s="1">
        <v>0.42</v>
      </c>
    </row>
    <row r="29" spans="1:7" ht="15" thickBot="1" x14ac:dyDescent="0.35">
      <c r="A29" s="1">
        <v>28</v>
      </c>
      <c r="B29" s="3">
        <v>40545</v>
      </c>
      <c r="C29" s="1">
        <v>3</v>
      </c>
      <c r="D29" s="2" t="b">
        <v>0</v>
      </c>
      <c r="E29" s="1">
        <v>0</v>
      </c>
      <c r="F29" s="1">
        <v>2</v>
      </c>
      <c r="G29" s="1">
        <v>0.46</v>
      </c>
    </row>
    <row r="30" spans="1:7" ht="15" thickBot="1" x14ac:dyDescent="0.35">
      <c r="A30" s="1">
        <v>29</v>
      </c>
      <c r="B30" s="3">
        <v>40545</v>
      </c>
      <c r="C30" s="1">
        <v>4</v>
      </c>
      <c r="D30" s="2" t="b">
        <v>0</v>
      </c>
      <c r="E30" s="1">
        <v>0</v>
      </c>
      <c r="F30" s="1">
        <v>2</v>
      </c>
      <c r="G30" s="1">
        <v>0.46</v>
      </c>
    </row>
    <row r="31" spans="1:7" ht="15" thickBot="1" x14ac:dyDescent="0.35">
      <c r="A31" s="1">
        <v>30</v>
      </c>
      <c r="B31" s="3">
        <v>40545</v>
      </c>
      <c r="C31" s="1">
        <v>6</v>
      </c>
      <c r="D31" s="2" t="b">
        <v>0</v>
      </c>
      <c r="E31" s="1">
        <v>0</v>
      </c>
      <c r="F31" s="1">
        <v>3</v>
      </c>
      <c r="G31" s="1">
        <v>0.42</v>
      </c>
    </row>
    <row r="32" spans="1:7" ht="15" thickBot="1" x14ac:dyDescent="0.35">
      <c r="A32" s="1">
        <v>31</v>
      </c>
      <c r="B32" s="3">
        <v>40545</v>
      </c>
      <c r="C32" s="1">
        <v>7</v>
      </c>
      <c r="D32" s="2" t="b">
        <v>0</v>
      </c>
      <c r="E32" s="1">
        <v>0</v>
      </c>
      <c r="F32" s="1">
        <v>2</v>
      </c>
      <c r="G32" s="1">
        <v>0.4</v>
      </c>
    </row>
    <row r="33" spans="1:7" ht="15" thickBot="1" x14ac:dyDescent="0.35">
      <c r="A33" s="1">
        <v>32</v>
      </c>
      <c r="B33" s="3">
        <v>40545</v>
      </c>
      <c r="C33" s="1">
        <v>8</v>
      </c>
      <c r="D33" s="2" t="b">
        <v>0</v>
      </c>
      <c r="E33" s="1">
        <v>0</v>
      </c>
      <c r="F33" s="1">
        <v>3</v>
      </c>
      <c r="G33" s="1">
        <v>0.4</v>
      </c>
    </row>
    <row r="34" spans="1:7" ht="15" thickBot="1" x14ac:dyDescent="0.35">
      <c r="A34" s="1">
        <v>33</v>
      </c>
      <c r="B34" s="3">
        <v>40545</v>
      </c>
      <c r="C34" s="1">
        <v>9</v>
      </c>
      <c r="D34" s="2" t="b">
        <v>0</v>
      </c>
      <c r="E34" s="1">
        <v>0</v>
      </c>
      <c r="F34" s="1">
        <v>2</v>
      </c>
      <c r="G34" s="1">
        <v>0.38</v>
      </c>
    </row>
    <row r="35" spans="1:7" ht="15" thickBot="1" x14ac:dyDescent="0.35">
      <c r="A35" s="1">
        <v>34</v>
      </c>
      <c r="B35" s="3">
        <v>40545</v>
      </c>
      <c r="C35" s="1">
        <v>10</v>
      </c>
      <c r="D35" s="2" t="b">
        <v>0</v>
      </c>
      <c r="E35" s="1">
        <v>0</v>
      </c>
      <c r="F35" s="1">
        <v>2</v>
      </c>
      <c r="G35" s="1">
        <v>0.36</v>
      </c>
    </row>
    <row r="36" spans="1:7" ht="15" thickBot="1" x14ac:dyDescent="0.35">
      <c r="A36" s="1">
        <v>35</v>
      </c>
      <c r="B36" s="3">
        <v>40545</v>
      </c>
      <c r="C36" s="1">
        <v>11</v>
      </c>
      <c r="D36" s="2" t="b">
        <v>0</v>
      </c>
      <c r="E36" s="1">
        <v>0</v>
      </c>
      <c r="F36" s="1">
        <v>2</v>
      </c>
      <c r="G36" s="1">
        <v>0.36</v>
      </c>
    </row>
    <row r="37" spans="1:7" ht="15" thickBot="1" x14ac:dyDescent="0.35">
      <c r="A37" s="1">
        <v>36</v>
      </c>
      <c r="B37" s="3">
        <v>40545</v>
      </c>
      <c r="C37" s="1">
        <v>12</v>
      </c>
      <c r="D37" s="2" t="b">
        <v>0</v>
      </c>
      <c r="E37" s="1">
        <v>0</v>
      </c>
      <c r="F37" s="1">
        <v>2</v>
      </c>
      <c r="G37" s="1">
        <v>0.36</v>
      </c>
    </row>
    <row r="38" spans="1:7" ht="15" thickBot="1" x14ac:dyDescent="0.35">
      <c r="A38" s="1">
        <v>37</v>
      </c>
      <c r="B38" s="3">
        <v>40545</v>
      </c>
      <c r="C38" s="1">
        <v>13</v>
      </c>
      <c r="D38" s="2" t="b">
        <v>0</v>
      </c>
      <c r="E38" s="1">
        <v>0</v>
      </c>
      <c r="F38" s="1">
        <v>2</v>
      </c>
      <c r="G38" s="1">
        <v>0.36</v>
      </c>
    </row>
    <row r="39" spans="1:7" ht="15" thickBot="1" x14ac:dyDescent="0.35">
      <c r="A39" s="1">
        <v>38</v>
      </c>
      <c r="B39" s="3">
        <v>40545</v>
      </c>
      <c r="C39" s="1">
        <v>14</v>
      </c>
      <c r="D39" s="2" t="b">
        <v>0</v>
      </c>
      <c r="E39" s="1">
        <v>0</v>
      </c>
      <c r="F39" s="1">
        <v>3</v>
      </c>
      <c r="G39" s="1">
        <v>0.36</v>
      </c>
    </row>
    <row r="40" spans="1:7" ht="15" thickBot="1" x14ac:dyDescent="0.35">
      <c r="A40" s="1">
        <v>39</v>
      </c>
      <c r="B40" s="3">
        <v>40545</v>
      </c>
      <c r="C40" s="1">
        <v>15</v>
      </c>
      <c r="D40" s="2" t="b">
        <v>0</v>
      </c>
      <c r="E40" s="1">
        <v>0</v>
      </c>
      <c r="F40" s="1">
        <v>3</v>
      </c>
      <c r="G40" s="1">
        <v>0.34</v>
      </c>
    </row>
    <row r="41" spans="1:7" ht="15" thickBot="1" x14ac:dyDescent="0.35">
      <c r="A41" s="1">
        <v>40</v>
      </c>
      <c r="B41" s="3">
        <v>40545</v>
      </c>
      <c r="C41" s="1">
        <v>16</v>
      </c>
      <c r="D41" s="2" t="b">
        <v>0</v>
      </c>
      <c r="E41" s="1">
        <v>0</v>
      </c>
      <c r="F41" s="1">
        <v>3</v>
      </c>
      <c r="G41" s="1">
        <v>0.34</v>
      </c>
    </row>
    <row r="42" spans="1:7" ht="15" thickBot="1" x14ac:dyDescent="0.35">
      <c r="A42" s="1">
        <v>41</v>
      </c>
      <c r="B42" s="3">
        <v>40545</v>
      </c>
      <c r="C42" s="1">
        <v>17</v>
      </c>
      <c r="D42" s="2" t="b">
        <v>0</v>
      </c>
      <c r="E42" s="1">
        <v>0</v>
      </c>
      <c r="F42" s="1">
        <v>1</v>
      </c>
      <c r="G42" s="1">
        <v>0.34</v>
      </c>
    </row>
    <row r="43" spans="1:7" ht="15" thickBot="1" x14ac:dyDescent="0.35">
      <c r="A43" s="1">
        <v>42</v>
      </c>
      <c r="B43" s="3">
        <v>40545</v>
      </c>
      <c r="C43" s="1">
        <v>18</v>
      </c>
      <c r="D43" s="2" t="b">
        <v>0</v>
      </c>
      <c r="E43" s="1">
        <v>0</v>
      </c>
      <c r="F43" s="1">
        <v>2</v>
      </c>
      <c r="G43" s="1">
        <v>0.36</v>
      </c>
    </row>
    <row r="44" spans="1:7" ht="15" thickBot="1" x14ac:dyDescent="0.35">
      <c r="A44" s="1">
        <v>43</v>
      </c>
      <c r="B44" s="3">
        <v>40545</v>
      </c>
      <c r="C44" s="1">
        <v>19</v>
      </c>
      <c r="D44" s="2" t="b">
        <v>0</v>
      </c>
      <c r="E44" s="1">
        <v>0</v>
      </c>
      <c r="F44" s="1">
        <v>1</v>
      </c>
      <c r="G44" s="1">
        <v>0.32</v>
      </c>
    </row>
    <row r="45" spans="1:7" ht="15" thickBot="1" x14ac:dyDescent="0.35">
      <c r="A45" s="1">
        <v>44</v>
      </c>
      <c r="B45" s="3">
        <v>40545</v>
      </c>
      <c r="C45" s="1">
        <v>20</v>
      </c>
      <c r="D45" s="2" t="b">
        <v>0</v>
      </c>
      <c r="E45" s="1">
        <v>0</v>
      </c>
      <c r="F45" s="1">
        <v>1</v>
      </c>
      <c r="G45" s="1">
        <v>0.3</v>
      </c>
    </row>
    <row r="46" spans="1:7" ht="15" thickBot="1" x14ac:dyDescent="0.35">
      <c r="A46" s="1">
        <v>45</v>
      </c>
      <c r="B46" s="3">
        <v>40545</v>
      </c>
      <c r="C46" s="1">
        <v>21</v>
      </c>
      <c r="D46" s="2" t="b">
        <v>0</v>
      </c>
      <c r="E46" s="1">
        <v>0</v>
      </c>
      <c r="F46" s="1">
        <v>1</v>
      </c>
      <c r="G46" s="1">
        <v>0.26</v>
      </c>
    </row>
    <row r="47" spans="1:7" ht="15" thickBot="1" x14ac:dyDescent="0.35">
      <c r="A47" s="1">
        <v>46</v>
      </c>
      <c r="B47" s="3">
        <v>40545</v>
      </c>
      <c r="C47" s="1">
        <v>22</v>
      </c>
      <c r="D47" s="2" t="b">
        <v>0</v>
      </c>
      <c r="E47" s="1">
        <v>0</v>
      </c>
      <c r="F47" s="1">
        <v>1</v>
      </c>
      <c r="G47" s="1">
        <v>0.24</v>
      </c>
    </row>
    <row r="48" spans="1:7" ht="15" thickBot="1" x14ac:dyDescent="0.35">
      <c r="A48" s="1">
        <v>47</v>
      </c>
      <c r="B48" s="3">
        <v>40545</v>
      </c>
      <c r="C48" s="1">
        <v>23</v>
      </c>
      <c r="D48" s="2" t="b">
        <v>0</v>
      </c>
      <c r="E48" s="1">
        <v>0</v>
      </c>
      <c r="F48" s="1">
        <v>1</v>
      </c>
      <c r="G48" s="1">
        <v>0.22</v>
      </c>
    </row>
    <row r="49" spans="1:7" ht="15" thickBot="1" x14ac:dyDescent="0.35">
      <c r="A49" s="1">
        <v>48</v>
      </c>
      <c r="B49" s="3">
        <v>40546</v>
      </c>
      <c r="C49" s="1">
        <v>0</v>
      </c>
      <c r="D49" s="2" t="b">
        <v>0</v>
      </c>
      <c r="E49" s="1">
        <v>1</v>
      </c>
      <c r="F49" s="1">
        <v>1</v>
      </c>
      <c r="G49" s="1">
        <v>0.22</v>
      </c>
    </row>
    <row r="50" spans="1:7" ht="15" thickBot="1" x14ac:dyDescent="0.35">
      <c r="A50" s="1">
        <v>49</v>
      </c>
      <c r="B50" s="3">
        <v>40546</v>
      </c>
      <c r="C50" s="1">
        <v>1</v>
      </c>
      <c r="D50" s="2" t="b">
        <v>0</v>
      </c>
      <c r="E50" s="1">
        <v>1</v>
      </c>
      <c r="F50" s="1">
        <v>1</v>
      </c>
      <c r="G50" s="1">
        <v>0.2</v>
      </c>
    </row>
    <row r="51" spans="1:7" ht="15" thickBot="1" x14ac:dyDescent="0.35">
      <c r="A51" s="1">
        <v>50</v>
      </c>
      <c r="B51" s="3">
        <v>40546</v>
      </c>
      <c r="C51" s="1">
        <v>4</v>
      </c>
      <c r="D51" s="2" t="b">
        <v>0</v>
      </c>
      <c r="E51" s="1">
        <v>1</v>
      </c>
      <c r="F51" s="1">
        <v>1</v>
      </c>
      <c r="G51" s="1">
        <v>0.16</v>
      </c>
    </row>
    <row r="52" spans="1:7" ht="15" thickBot="1" x14ac:dyDescent="0.35">
      <c r="A52" s="1">
        <v>51</v>
      </c>
      <c r="B52" s="3">
        <v>40546</v>
      </c>
      <c r="C52" s="1">
        <v>5</v>
      </c>
      <c r="D52" s="2" t="b">
        <v>0</v>
      </c>
      <c r="E52" s="1">
        <v>1</v>
      </c>
      <c r="F52" s="1">
        <v>1</v>
      </c>
      <c r="G52" s="1">
        <v>0.16</v>
      </c>
    </row>
    <row r="53" spans="1:7" ht="15" thickBot="1" x14ac:dyDescent="0.35">
      <c r="A53" s="1">
        <v>52</v>
      </c>
      <c r="B53" s="3">
        <v>40546</v>
      </c>
      <c r="C53" s="1">
        <v>6</v>
      </c>
      <c r="D53" s="2" t="b">
        <v>0</v>
      </c>
      <c r="E53" s="1">
        <v>1</v>
      </c>
      <c r="F53" s="1">
        <v>1</v>
      </c>
      <c r="G53" s="1">
        <v>0.14000000000000001</v>
      </c>
    </row>
    <row r="54" spans="1:7" ht="15" thickBot="1" x14ac:dyDescent="0.35">
      <c r="A54" s="1">
        <v>53</v>
      </c>
      <c r="B54" s="3">
        <v>40546</v>
      </c>
      <c r="C54" s="1">
        <v>7</v>
      </c>
      <c r="D54" s="2" t="b">
        <v>0</v>
      </c>
      <c r="E54" s="1">
        <v>1</v>
      </c>
      <c r="F54" s="1">
        <v>1</v>
      </c>
      <c r="G54" s="1">
        <v>0.14000000000000001</v>
      </c>
    </row>
    <row r="55" spans="1:7" ht="15" thickBot="1" x14ac:dyDescent="0.35">
      <c r="A55" s="1">
        <v>54</v>
      </c>
      <c r="B55" s="3">
        <v>40546</v>
      </c>
      <c r="C55" s="1">
        <v>8</v>
      </c>
      <c r="D55" s="2" t="b">
        <v>0</v>
      </c>
      <c r="E55" s="1">
        <v>1</v>
      </c>
      <c r="F55" s="1">
        <v>1</v>
      </c>
      <c r="G55" s="1">
        <v>0.14000000000000001</v>
      </c>
    </row>
    <row r="56" spans="1:7" ht="15" thickBot="1" x14ac:dyDescent="0.35">
      <c r="A56" s="1">
        <v>55</v>
      </c>
      <c r="B56" s="3">
        <v>40546</v>
      </c>
      <c r="C56" s="1">
        <v>9</v>
      </c>
      <c r="D56" s="2" t="b">
        <v>0</v>
      </c>
      <c r="E56" s="1">
        <v>1</v>
      </c>
      <c r="F56" s="1">
        <v>1</v>
      </c>
      <c r="G56" s="1">
        <v>0.16</v>
      </c>
    </row>
    <row r="57" spans="1:7" ht="15" thickBot="1" x14ac:dyDescent="0.35">
      <c r="A57" s="1">
        <v>56</v>
      </c>
      <c r="B57" s="3">
        <v>40546</v>
      </c>
      <c r="C57" s="1">
        <v>10</v>
      </c>
      <c r="D57" s="2" t="b">
        <v>0</v>
      </c>
      <c r="E57" s="1">
        <v>1</v>
      </c>
      <c r="F57" s="1">
        <v>1</v>
      </c>
      <c r="G57" s="1">
        <v>0.18</v>
      </c>
    </row>
    <row r="58" spans="1:7" ht="15" thickBot="1" x14ac:dyDescent="0.35">
      <c r="A58" s="1">
        <v>57</v>
      </c>
      <c r="B58" s="3">
        <v>40546</v>
      </c>
      <c r="C58" s="1">
        <v>11</v>
      </c>
      <c r="D58" s="2" t="b">
        <v>0</v>
      </c>
      <c r="E58" s="1">
        <v>1</v>
      </c>
      <c r="F58" s="1">
        <v>1</v>
      </c>
      <c r="G58" s="1">
        <v>0.2</v>
      </c>
    </row>
    <row r="59" spans="1:7" ht="15" thickBot="1" x14ac:dyDescent="0.35">
      <c r="A59" s="1">
        <v>58</v>
      </c>
      <c r="B59" s="3">
        <v>40546</v>
      </c>
      <c r="C59" s="1">
        <v>12</v>
      </c>
      <c r="D59" s="2" t="b">
        <v>0</v>
      </c>
      <c r="E59" s="1">
        <v>1</v>
      </c>
      <c r="F59" s="1">
        <v>1</v>
      </c>
      <c r="G59" s="1">
        <v>0.22</v>
      </c>
    </row>
    <row r="60" spans="1:7" ht="15" thickBot="1" x14ac:dyDescent="0.35">
      <c r="A60" s="1">
        <v>59</v>
      </c>
      <c r="B60" s="3">
        <v>40546</v>
      </c>
      <c r="C60" s="1">
        <v>13</v>
      </c>
      <c r="D60" s="2" t="b">
        <v>0</v>
      </c>
      <c r="E60" s="1">
        <v>1</v>
      </c>
      <c r="F60" s="1">
        <v>1</v>
      </c>
      <c r="G60" s="1">
        <v>0.24</v>
      </c>
    </row>
    <row r="61" spans="1:7" ht="15" thickBot="1" x14ac:dyDescent="0.35">
      <c r="A61" s="1">
        <v>60</v>
      </c>
      <c r="B61" s="3">
        <v>40546</v>
      </c>
      <c r="C61" s="1">
        <v>14</v>
      </c>
      <c r="D61" s="2" t="b">
        <v>0</v>
      </c>
      <c r="E61" s="1">
        <v>1</v>
      </c>
      <c r="F61" s="1">
        <v>1</v>
      </c>
      <c r="G61" s="1">
        <v>0.26</v>
      </c>
    </row>
    <row r="62" spans="1:7" ht="15" thickBot="1" x14ac:dyDescent="0.35">
      <c r="A62" s="1">
        <v>61</v>
      </c>
      <c r="B62" s="3">
        <v>40546</v>
      </c>
      <c r="C62" s="1">
        <v>15</v>
      </c>
      <c r="D62" s="2" t="b">
        <v>0</v>
      </c>
      <c r="E62" s="1">
        <v>1</v>
      </c>
      <c r="F62" s="1">
        <v>1</v>
      </c>
      <c r="G62" s="1">
        <v>0.26</v>
      </c>
    </row>
    <row r="63" spans="1:7" ht="15" thickBot="1" x14ac:dyDescent="0.35">
      <c r="A63" s="1">
        <v>62</v>
      </c>
      <c r="B63" s="3">
        <v>40546</v>
      </c>
      <c r="C63" s="1">
        <v>16</v>
      </c>
      <c r="D63" s="2" t="b">
        <v>0</v>
      </c>
      <c r="E63" s="1">
        <v>1</v>
      </c>
      <c r="F63" s="1">
        <v>1</v>
      </c>
      <c r="G63" s="1">
        <v>0.26</v>
      </c>
    </row>
    <row r="64" spans="1:7" ht="15" thickBot="1" x14ac:dyDescent="0.35">
      <c r="A64" s="1">
        <v>63</v>
      </c>
      <c r="B64" s="3">
        <v>40546</v>
      </c>
      <c r="C64" s="1">
        <v>17</v>
      </c>
      <c r="D64" s="2" t="b">
        <v>0</v>
      </c>
      <c r="E64" s="1">
        <v>1</v>
      </c>
      <c r="F64" s="1">
        <v>1</v>
      </c>
      <c r="G64" s="1">
        <v>0.24</v>
      </c>
    </row>
    <row r="65" spans="1:7" ht="15" thickBot="1" x14ac:dyDescent="0.35">
      <c r="A65" s="1">
        <v>64</v>
      </c>
      <c r="B65" s="3">
        <v>40546</v>
      </c>
      <c r="C65" s="1">
        <v>18</v>
      </c>
      <c r="D65" s="2" t="b">
        <v>0</v>
      </c>
      <c r="E65" s="1">
        <v>1</v>
      </c>
      <c r="F65" s="1">
        <v>1</v>
      </c>
      <c r="G65" s="1">
        <v>0.24</v>
      </c>
    </row>
    <row r="66" spans="1:7" ht="15" thickBot="1" x14ac:dyDescent="0.35">
      <c r="A66" s="1">
        <v>65</v>
      </c>
      <c r="B66" s="3">
        <v>40546</v>
      </c>
      <c r="C66" s="1">
        <v>19</v>
      </c>
      <c r="D66" s="2" t="b">
        <v>0</v>
      </c>
      <c r="E66" s="1">
        <v>1</v>
      </c>
      <c r="F66" s="1">
        <v>1</v>
      </c>
      <c r="G66" s="1">
        <v>0.2</v>
      </c>
    </row>
    <row r="67" spans="1:7" ht="15" thickBot="1" x14ac:dyDescent="0.35">
      <c r="A67" s="1">
        <v>66</v>
      </c>
      <c r="B67" s="3">
        <v>40546</v>
      </c>
      <c r="C67" s="1">
        <v>20</v>
      </c>
      <c r="D67" s="2" t="b">
        <v>0</v>
      </c>
      <c r="E67" s="1">
        <v>1</v>
      </c>
      <c r="F67" s="1">
        <v>1</v>
      </c>
      <c r="G67" s="1">
        <v>0.2</v>
      </c>
    </row>
    <row r="68" spans="1:7" ht="15" thickBot="1" x14ac:dyDescent="0.35">
      <c r="A68" s="1">
        <v>67</v>
      </c>
      <c r="B68" s="3">
        <v>40546</v>
      </c>
      <c r="C68" s="1">
        <v>21</v>
      </c>
      <c r="D68" s="2" t="b">
        <v>0</v>
      </c>
      <c r="E68" s="1">
        <v>1</v>
      </c>
      <c r="F68" s="1">
        <v>1</v>
      </c>
      <c r="G68" s="1">
        <v>0.18</v>
      </c>
    </row>
    <row r="69" spans="1:7" ht="15" thickBot="1" x14ac:dyDescent="0.35">
      <c r="A69" s="1">
        <v>68</v>
      </c>
      <c r="B69" s="3">
        <v>40546</v>
      </c>
      <c r="C69" s="1">
        <v>22</v>
      </c>
      <c r="D69" s="2" t="b">
        <v>0</v>
      </c>
      <c r="E69" s="1">
        <v>1</v>
      </c>
      <c r="F69" s="1">
        <v>1</v>
      </c>
      <c r="G69" s="1">
        <v>0.14000000000000001</v>
      </c>
    </row>
    <row r="70" spans="1:7" ht="15" thickBot="1" x14ac:dyDescent="0.35">
      <c r="A70" s="1">
        <v>69</v>
      </c>
      <c r="B70" s="3">
        <v>40546</v>
      </c>
      <c r="C70" s="1">
        <v>23</v>
      </c>
      <c r="D70" s="2" t="b">
        <v>0</v>
      </c>
      <c r="E70" s="1">
        <v>1</v>
      </c>
      <c r="F70" s="1">
        <v>1</v>
      </c>
      <c r="G70" s="1">
        <v>0.18</v>
      </c>
    </row>
    <row r="71" spans="1:7" ht="15" thickBot="1" x14ac:dyDescent="0.35">
      <c r="A71" s="1">
        <v>70</v>
      </c>
      <c r="B71" s="3">
        <v>40547</v>
      </c>
      <c r="C71" s="1">
        <v>0</v>
      </c>
      <c r="D71" s="2" t="b">
        <v>0</v>
      </c>
      <c r="E71" s="1">
        <v>2</v>
      </c>
      <c r="F71" s="1">
        <v>1</v>
      </c>
      <c r="G71" s="1">
        <v>0.16</v>
      </c>
    </row>
    <row r="72" spans="1:7" ht="15" thickBot="1" x14ac:dyDescent="0.35">
      <c r="A72" s="1">
        <v>71</v>
      </c>
      <c r="B72" s="3">
        <v>40547</v>
      </c>
      <c r="C72" s="1">
        <v>1</v>
      </c>
      <c r="D72" s="2" t="b">
        <v>0</v>
      </c>
      <c r="E72" s="1">
        <v>2</v>
      </c>
      <c r="F72" s="1">
        <v>1</v>
      </c>
      <c r="G72" s="1">
        <v>0.16</v>
      </c>
    </row>
    <row r="73" spans="1:7" ht="15" thickBot="1" x14ac:dyDescent="0.35">
      <c r="A73" s="1">
        <v>72</v>
      </c>
      <c r="B73" s="3">
        <v>40547</v>
      </c>
      <c r="C73" s="1">
        <v>2</v>
      </c>
      <c r="D73" s="2" t="b">
        <v>0</v>
      </c>
      <c r="E73" s="1">
        <v>2</v>
      </c>
      <c r="F73" s="1">
        <v>1</v>
      </c>
      <c r="G73" s="1">
        <v>0.14000000000000001</v>
      </c>
    </row>
    <row r="74" spans="1:7" ht="15" thickBot="1" x14ac:dyDescent="0.35">
      <c r="A74" s="1">
        <v>73</v>
      </c>
      <c r="B74" s="3">
        <v>40547</v>
      </c>
      <c r="C74" s="1">
        <v>4</v>
      </c>
      <c r="D74" s="2" t="b">
        <v>0</v>
      </c>
      <c r="E74" s="1">
        <v>2</v>
      </c>
      <c r="F74" s="1">
        <v>1</v>
      </c>
      <c r="G74" s="1">
        <v>0.14000000000000001</v>
      </c>
    </row>
    <row r="75" spans="1:7" ht="15" thickBot="1" x14ac:dyDescent="0.35">
      <c r="A75" s="1">
        <v>74</v>
      </c>
      <c r="B75" s="3">
        <v>40547</v>
      </c>
      <c r="C75" s="1">
        <v>5</v>
      </c>
      <c r="D75" s="2" t="b">
        <v>0</v>
      </c>
      <c r="E75" s="1">
        <v>2</v>
      </c>
      <c r="F75" s="1">
        <v>1</v>
      </c>
      <c r="G75" s="1">
        <v>0.12</v>
      </c>
    </row>
    <row r="76" spans="1:7" ht="15" thickBot="1" x14ac:dyDescent="0.35">
      <c r="A76" s="1">
        <v>75</v>
      </c>
      <c r="B76" s="3">
        <v>40547</v>
      </c>
      <c r="C76" s="1">
        <v>6</v>
      </c>
      <c r="D76" s="2" t="b">
        <v>0</v>
      </c>
      <c r="E76" s="1">
        <v>2</v>
      </c>
      <c r="F76" s="1">
        <v>1</v>
      </c>
      <c r="G76" s="1">
        <v>0.12</v>
      </c>
    </row>
    <row r="77" spans="1:7" ht="15" thickBot="1" x14ac:dyDescent="0.35">
      <c r="A77" s="1">
        <v>76</v>
      </c>
      <c r="B77" s="3">
        <v>40547</v>
      </c>
      <c r="C77" s="1">
        <v>7</v>
      </c>
      <c r="D77" s="2" t="b">
        <v>0</v>
      </c>
      <c r="E77" s="1">
        <v>2</v>
      </c>
      <c r="F77" s="1">
        <v>1</v>
      </c>
      <c r="G77" s="1">
        <v>0.12</v>
      </c>
    </row>
    <row r="78" spans="1:7" ht="15" thickBot="1" x14ac:dyDescent="0.35">
      <c r="A78" s="1">
        <v>77</v>
      </c>
      <c r="B78" s="3">
        <v>40547</v>
      </c>
      <c r="C78" s="1">
        <v>8</v>
      </c>
      <c r="D78" s="2" t="b">
        <v>0</v>
      </c>
      <c r="E78" s="1">
        <v>2</v>
      </c>
      <c r="F78" s="1">
        <v>1</v>
      </c>
      <c r="G78" s="1">
        <v>0.14000000000000001</v>
      </c>
    </row>
    <row r="79" spans="1:7" ht="15" thickBot="1" x14ac:dyDescent="0.35">
      <c r="A79" s="1">
        <v>78</v>
      </c>
      <c r="B79" s="3">
        <v>40547</v>
      </c>
      <c r="C79" s="1">
        <v>9</v>
      </c>
      <c r="D79" s="2" t="b">
        <v>0</v>
      </c>
      <c r="E79" s="1">
        <v>2</v>
      </c>
      <c r="F79" s="1">
        <v>1</v>
      </c>
      <c r="G79" s="1">
        <v>0.16</v>
      </c>
    </row>
    <row r="80" spans="1:7" ht="15" thickBot="1" x14ac:dyDescent="0.35">
      <c r="A80" s="1">
        <v>79</v>
      </c>
      <c r="B80" s="3">
        <v>40547</v>
      </c>
      <c r="C80" s="1">
        <v>10</v>
      </c>
      <c r="D80" s="2" t="b">
        <v>0</v>
      </c>
      <c r="E80" s="1">
        <v>2</v>
      </c>
      <c r="F80" s="1">
        <v>2</v>
      </c>
      <c r="G80" s="1">
        <v>0.16</v>
      </c>
    </row>
    <row r="81" spans="1:7" ht="15" thickBot="1" x14ac:dyDescent="0.35">
      <c r="A81" s="1">
        <v>80</v>
      </c>
      <c r="B81" s="3">
        <v>40547</v>
      </c>
      <c r="C81" s="1">
        <v>11</v>
      </c>
      <c r="D81" s="2" t="b">
        <v>0</v>
      </c>
      <c r="E81" s="1">
        <v>2</v>
      </c>
      <c r="F81" s="1">
        <v>1</v>
      </c>
      <c r="G81" s="1">
        <v>0.22</v>
      </c>
    </row>
    <row r="82" spans="1:7" ht="15" thickBot="1" x14ac:dyDescent="0.35">
      <c r="A82" s="1">
        <v>81</v>
      </c>
      <c r="B82" s="3">
        <v>40547</v>
      </c>
      <c r="C82" s="1">
        <v>12</v>
      </c>
      <c r="D82" s="2" t="b">
        <v>0</v>
      </c>
      <c r="E82" s="1">
        <v>2</v>
      </c>
      <c r="F82" s="1">
        <v>1</v>
      </c>
      <c r="G82" s="1">
        <v>0.22</v>
      </c>
    </row>
    <row r="83" spans="1:7" ht="15" thickBot="1" x14ac:dyDescent="0.35">
      <c r="A83" s="1">
        <v>82</v>
      </c>
      <c r="B83" s="3">
        <v>40547</v>
      </c>
      <c r="C83" s="1">
        <v>13</v>
      </c>
      <c r="D83" s="2" t="b">
        <v>0</v>
      </c>
      <c r="E83" s="1">
        <v>2</v>
      </c>
      <c r="F83" s="1">
        <v>1</v>
      </c>
      <c r="G83" s="1">
        <v>0.24</v>
      </c>
    </row>
    <row r="84" spans="1:7" ht="15" thickBot="1" x14ac:dyDescent="0.35">
      <c r="A84" s="1">
        <v>83</v>
      </c>
      <c r="B84" s="3">
        <v>40547</v>
      </c>
      <c r="C84" s="1">
        <v>14</v>
      </c>
      <c r="D84" s="2" t="b">
        <v>0</v>
      </c>
      <c r="E84" s="1">
        <v>2</v>
      </c>
      <c r="F84" s="1">
        <v>1</v>
      </c>
      <c r="G84" s="1">
        <v>0.26</v>
      </c>
    </row>
    <row r="85" spans="1:7" ht="15" thickBot="1" x14ac:dyDescent="0.35">
      <c r="A85" s="1">
        <v>84</v>
      </c>
      <c r="B85" s="3">
        <v>40547</v>
      </c>
      <c r="C85" s="1">
        <v>15</v>
      </c>
      <c r="D85" s="2" t="b">
        <v>0</v>
      </c>
      <c r="E85" s="1">
        <v>2</v>
      </c>
      <c r="F85" s="1">
        <v>1</v>
      </c>
      <c r="G85" s="1">
        <v>0.28000000000000003</v>
      </c>
    </row>
    <row r="86" spans="1:7" ht="15" thickBot="1" x14ac:dyDescent="0.35">
      <c r="A86" s="1">
        <v>85</v>
      </c>
      <c r="B86" s="3">
        <v>40547</v>
      </c>
      <c r="C86" s="1">
        <v>16</v>
      </c>
      <c r="D86" s="2" t="b">
        <v>0</v>
      </c>
      <c r="E86" s="1">
        <v>2</v>
      </c>
      <c r="F86" s="1">
        <v>1</v>
      </c>
      <c r="G86" s="1">
        <v>0.3</v>
      </c>
    </row>
    <row r="87" spans="1:7" ht="15" thickBot="1" x14ac:dyDescent="0.35">
      <c r="A87" s="1">
        <v>86</v>
      </c>
      <c r="B87" s="3">
        <v>40547</v>
      </c>
      <c r="C87" s="1">
        <v>17</v>
      </c>
      <c r="D87" s="2" t="b">
        <v>0</v>
      </c>
      <c r="E87" s="1">
        <v>2</v>
      </c>
      <c r="F87" s="1">
        <v>1</v>
      </c>
      <c r="G87" s="1">
        <v>0.28000000000000003</v>
      </c>
    </row>
    <row r="88" spans="1:7" ht="15" thickBot="1" x14ac:dyDescent="0.35">
      <c r="A88" s="1">
        <v>87</v>
      </c>
      <c r="B88" s="3">
        <v>40547</v>
      </c>
      <c r="C88" s="1">
        <v>18</v>
      </c>
      <c r="D88" s="2" t="b">
        <v>0</v>
      </c>
      <c r="E88" s="1">
        <v>2</v>
      </c>
      <c r="F88" s="1">
        <v>1</v>
      </c>
      <c r="G88" s="1">
        <v>0.26</v>
      </c>
    </row>
    <row r="89" spans="1:7" ht="15" thickBot="1" x14ac:dyDescent="0.35">
      <c r="A89" s="1">
        <v>88</v>
      </c>
      <c r="B89" s="3">
        <v>40547</v>
      </c>
      <c r="C89" s="1">
        <v>19</v>
      </c>
      <c r="D89" s="2" t="b">
        <v>0</v>
      </c>
      <c r="E89" s="1">
        <v>2</v>
      </c>
      <c r="F89" s="1">
        <v>1</v>
      </c>
      <c r="G89" s="1">
        <v>0.24</v>
      </c>
    </row>
    <row r="90" spans="1:7" ht="15" thickBot="1" x14ac:dyDescent="0.35">
      <c r="A90" s="1">
        <v>89</v>
      </c>
      <c r="B90" s="3">
        <v>40547</v>
      </c>
      <c r="C90" s="1">
        <v>20</v>
      </c>
      <c r="D90" s="2" t="b">
        <v>0</v>
      </c>
      <c r="E90" s="1">
        <v>2</v>
      </c>
      <c r="F90" s="1">
        <v>1</v>
      </c>
      <c r="G90" s="1">
        <v>0.24</v>
      </c>
    </row>
    <row r="91" spans="1:7" ht="15" thickBot="1" x14ac:dyDescent="0.35">
      <c r="A91" s="1">
        <v>90</v>
      </c>
      <c r="B91" s="3">
        <v>40547</v>
      </c>
      <c r="C91" s="1">
        <v>21</v>
      </c>
      <c r="D91" s="2" t="b">
        <v>0</v>
      </c>
      <c r="E91" s="1">
        <v>2</v>
      </c>
      <c r="F91" s="1">
        <v>1</v>
      </c>
      <c r="G91" s="1">
        <v>0.22</v>
      </c>
    </row>
    <row r="92" spans="1:7" ht="15" thickBot="1" x14ac:dyDescent="0.35">
      <c r="A92" s="1">
        <v>91</v>
      </c>
      <c r="B92" s="3">
        <v>40547</v>
      </c>
      <c r="C92" s="1">
        <v>22</v>
      </c>
      <c r="D92" s="2" t="b">
        <v>0</v>
      </c>
      <c r="E92" s="1">
        <v>2</v>
      </c>
      <c r="F92" s="1">
        <v>1</v>
      </c>
      <c r="G92" s="1">
        <v>0.22</v>
      </c>
    </row>
    <row r="93" spans="1:7" ht="15" thickBot="1" x14ac:dyDescent="0.35">
      <c r="A93" s="1">
        <v>92</v>
      </c>
      <c r="B93" s="3">
        <v>40547</v>
      </c>
      <c r="C93" s="1">
        <v>23</v>
      </c>
      <c r="D93" s="2" t="b">
        <v>0</v>
      </c>
      <c r="E93" s="1">
        <v>2</v>
      </c>
      <c r="F93" s="1">
        <v>1</v>
      </c>
      <c r="G93" s="1">
        <v>0.2</v>
      </c>
    </row>
    <row r="94" spans="1:7" ht="15" thickBot="1" x14ac:dyDescent="0.35">
      <c r="A94" s="1">
        <v>93</v>
      </c>
      <c r="B94" s="3">
        <v>40548</v>
      </c>
      <c r="C94" s="1">
        <v>0</v>
      </c>
      <c r="D94" s="2" t="b">
        <v>0</v>
      </c>
      <c r="E94" s="1">
        <v>3</v>
      </c>
      <c r="F94" s="1">
        <v>1</v>
      </c>
      <c r="G94" s="1">
        <v>0.2</v>
      </c>
    </row>
    <row r="95" spans="1:7" ht="15" thickBot="1" x14ac:dyDescent="0.35">
      <c r="A95" s="1">
        <v>94</v>
      </c>
      <c r="B95" s="3">
        <v>40548</v>
      </c>
      <c r="C95" s="1">
        <v>1</v>
      </c>
      <c r="D95" s="2" t="b">
        <v>0</v>
      </c>
      <c r="E95" s="1">
        <v>3</v>
      </c>
      <c r="F95" s="1">
        <v>1</v>
      </c>
      <c r="G95" s="1">
        <v>0.16</v>
      </c>
    </row>
    <row r="96" spans="1:7" ht="15" thickBot="1" x14ac:dyDescent="0.35">
      <c r="A96" s="1">
        <v>95</v>
      </c>
      <c r="B96" s="3">
        <v>40548</v>
      </c>
      <c r="C96" s="1">
        <v>2</v>
      </c>
      <c r="D96" s="2" t="b">
        <v>0</v>
      </c>
      <c r="E96" s="1">
        <v>3</v>
      </c>
      <c r="F96" s="1">
        <v>1</v>
      </c>
      <c r="G96" s="1">
        <v>0.16</v>
      </c>
    </row>
    <row r="97" spans="1:7" ht="15" thickBot="1" x14ac:dyDescent="0.35">
      <c r="A97" s="1">
        <v>96</v>
      </c>
      <c r="B97" s="3">
        <v>40548</v>
      </c>
      <c r="C97" s="1">
        <v>4</v>
      </c>
      <c r="D97" s="2" t="b">
        <v>0</v>
      </c>
      <c r="E97" s="1">
        <v>3</v>
      </c>
      <c r="F97" s="1">
        <v>1</v>
      </c>
      <c r="G97" s="1">
        <v>0.24</v>
      </c>
    </row>
    <row r="98" spans="1:7" ht="15" thickBot="1" x14ac:dyDescent="0.35">
      <c r="A98" s="1">
        <v>97</v>
      </c>
      <c r="B98" s="3">
        <v>40548</v>
      </c>
      <c r="C98" s="1">
        <v>5</v>
      </c>
      <c r="D98" s="2" t="b">
        <v>0</v>
      </c>
      <c r="E98" s="1">
        <v>3</v>
      </c>
      <c r="F98" s="1">
        <v>1</v>
      </c>
      <c r="G98" s="1">
        <v>0.22</v>
      </c>
    </row>
    <row r="99" spans="1:7" ht="15" thickBot="1" x14ac:dyDescent="0.35">
      <c r="A99" s="1">
        <v>98</v>
      </c>
      <c r="B99" s="3">
        <v>40548</v>
      </c>
      <c r="C99" s="1">
        <v>6</v>
      </c>
      <c r="D99" s="2" t="b">
        <v>0</v>
      </c>
      <c r="E99" s="1">
        <v>3</v>
      </c>
      <c r="F99" s="1">
        <v>1</v>
      </c>
      <c r="G99" s="1">
        <v>0.2</v>
      </c>
    </row>
    <row r="100" spans="1:7" ht="15" thickBot="1" x14ac:dyDescent="0.35">
      <c r="A100" s="1">
        <v>99</v>
      </c>
      <c r="B100" s="3">
        <v>40548</v>
      </c>
      <c r="C100" s="1">
        <v>7</v>
      </c>
      <c r="D100" s="2" t="b">
        <v>0</v>
      </c>
      <c r="E100" s="1">
        <v>3</v>
      </c>
      <c r="F100" s="1">
        <v>1</v>
      </c>
      <c r="G100" s="1">
        <v>0.18</v>
      </c>
    </row>
    <row r="101" spans="1:7" ht="15" thickBot="1" x14ac:dyDescent="0.35">
      <c r="A101" s="1">
        <v>100</v>
      </c>
      <c r="B101" s="3">
        <v>40548</v>
      </c>
      <c r="C101" s="1">
        <v>8</v>
      </c>
      <c r="D101" s="2" t="b">
        <v>0</v>
      </c>
      <c r="E101" s="1">
        <v>3</v>
      </c>
      <c r="F101" s="1">
        <v>1</v>
      </c>
      <c r="G101" s="1">
        <v>0.2</v>
      </c>
    </row>
    <row r="102" spans="1:7" ht="15" thickBot="1" x14ac:dyDescent="0.35">
      <c r="A102" s="1">
        <v>101</v>
      </c>
      <c r="B102" s="3">
        <v>40548</v>
      </c>
      <c r="C102" s="1">
        <v>9</v>
      </c>
      <c r="D102" s="2" t="b">
        <v>0</v>
      </c>
      <c r="E102" s="1">
        <v>3</v>
      </c>
      <c r="F102" s="1">
        <v>1</v>
      </c>
      <c r="G102" s="1">
        <v>0.22</v>
      </c>
    </row>
    <row r="103" spans="1:7" ht="15" thickBot="1" x14ac:dyDescent="0.35">
      <c r="A103" s="1">
        <v>102</v>
      </c>
      <c r="B103" s="3">
        <v>40548</v>
      </c>
      <c r="C103" s="1">
        <v>10</v>
      </c>
      <c r="D103" s="2" t="b">
        <v>0</v>
      </c>
      <c r="E103" s="1">
        <v>3</v>
      </c>
      <c r="F103" s="1">
        <v>1</v>
      </c>
      <c r="G103" s="1">
        <v>0.22</v>
      </c>
    </row>
    <row r="104" spans="1:7" ht="15" thickBot="1" x14ac:dyDescent="0.35">
      <c r="A104" s="1">
        <v>103</v>
      </c>
      <c r="B104" s="3">
        <v>40548</v>
      </c>
      <c r="C104" s="1">
        <v>11</v>
      </c>
      <c r="D104" s="2" t="b">
        <v>0</v>
      </c>
      <c r="E104" s="1">
        <v>3</v>
      </c>
      <c r="F104" s="1">
        <v>1</v>
      </c>
      <c r="G104" s="1">
        <v>0.26</v>
      </c>
    </row>
    <row r="105" spans="1:7" ht="15" thickBot="1" x14ac:dyDescent="0.35">
      <c r="A105" s="1">
        <v>104</v>
      </c>
      <c r="B105" s="3">
        <v>40548</v>
      </c>
      <c r="C105" s="1">
        <v>12</v>
      </c>
      <c r="D105" s="2" t="b">
        <v>0</v>
      </c>
      <c r="E105" s="1">
        <v>3</v>
      </c>
      <c r="F105" s="1">
        <v>1</v>
      </c>
      <c r="G105" s="1">
        <v>0.26</v>
      </c>
    </row>
    <row r="106" spans="1:7" ht="15" thickBot="1" x14ac:dyDescent="0.35">
      <c r="A106" s="1">
        <v>105</v>
      </c>
      <c r="B106" s="3">
        <v>40548</v>
      </c>
      <c r="C106" s="1">
        <v>13</v>
      </c>
      <c r="D106" s="2" t="b">
        <v>0</v>
      </c>
      <c r="E106" s="1">
        <v>3</v>
      </c>
      <c r="F106" s="1">
        <v>1</v>
      </c>
      <c r="G106" s="1">
        <v>0.28000000000000003</v>
      </c>
    </row>
    <row r="107" spans="1:7" ht="15" thickBot="1" x14ac:dyDescent="0.35">
      <c r="A107" s="1">
        <v>106</v>
      </c>
      <c r="B107" s="3">
        <v>40548</v>
      </c>
      <c r="C107" s="1">
        <v>14</v>
      </c>
      <c r="D107" s="2" t="b">
        <v>0</v>
      </c>
      <c r="E107" s="1">
        <v>3</v>
      </c>
      <c r="F107" s="1">
        <v>1</v>
      </c>
      <c r="G107" s="1">
        <v>0.3</v>
      </c>
    </row>
    <row r="108" spans="1:7" ht="15" thickBot="1" x14ac:dyDescent="0.35">
      <c r="A108" s="1">
        <v>107</v>
      </c>
      <c r="B108" s="3">
        <v>40548</v>
      </c>
      <c r="C108" s="1">
        <v>15</v>
      </c>
      <c r="D108" s="2" t="b">
        <v>0</v>
      </c>
      <c r="E108" s="1">
        <v>3</v>
      </c>
      <c r="F108" s="1">
        <v>1</v>
      </c>
      <c r="G108" s="1">
        <v>0.3</v>
      </c>
    </row>
    <row r="109" spans="1:7" ht="15" thickBot="1" x14ac:dyDescent="0.35">
      <c r="A109" s="1">
        <v>108</v>
      </c>
      <c r="B109" s="3">
        <v>40548</v>
      </c>
      <c r="C109" s="1">
        <v>16</v>
      </c>
      <c r="D109" s="2" t="b">
        <v>0</v>
      </c>
      <c r="E109" s="1">
        <v>3</v>
      </c>
      <c r="F109" s="1">
        <v>1</v>
      </c>
      <c r="G109" s="1">
        <v>0.3</v>
      </c>
    </row>
    <row r="110" spans="1:7" ht="15" thickBot="1" x14ac:dyDescent="0.35">
      <c r="A110" s="1">
        <v>109</v>
      </c>
      <c r="B110" s="3">
        <v>40548</v>
      </c>
      <c r="C110" s="1">
        <v>17</v>
      </c>
      <c r="D110" s="2" t="b">
        <v>0</v>
      </c>
      <c r="E110" s="1">
        <v>3</v>
      </c>
      <c r="F110" s="1">
        <v>1</v>
      </c>
      <c r="G110" s="1">
        <v>0.24</v>
      </c>
    </row>
    <row r="111" spans="1:7" ht="15" thickBot="1" x14ac:dyDescent="0.35">
      <c r="A111" s="1">
        <v>110</v>
      </c>
      <c r="B111" s="3">
        <v>40548</v>
      </c>
      <c r="C111" s="1">
        <v>18</v>
      </c>
      <c r="D111" s="2" t="b">
        <v>0</v>
      </c>
      <c r="E111" s="1">
        <v>3</v>
      </c>
      <c r="F111" s="1">
        <v>1</v>
      </c>
      <c r="G111" s="1">
        <v>0.24</v>
      </c>
    </row>
    <row r="112" spans="1:7" ht="15" thickBot="1" x14ac:dyDescent="0.35">
      <c r="A112" s="1">
        <v>111</v>
      </c>
      <c r="B112" s="3">
        <v>40548</v>
      </c>
      <c r="C112" s="1">
        <v>19</v>
      </c>
      <c r="D112" s="2" t="b">
        <v>0</v>
      </c>
      <c r="E112" s="1">
        <v>3</v>
      </c>
      <c r="F112" s="1">
        <v>1</v>
      </c>
      <c r="G112" s="1">
        <v>0.24</v>
      </c>
    </row>
    <row r="113" spans="1:7" ht="15" thickBot="1" x14ac:dyDescent="0.35">
      <c r="A113" s="1">
        <v>112</v>
      </c>
      <c r="B113" s="3">
        <v>40548</v>
      </c>
      <c r="C113" s="1">
        <v>20</v>
      </c>
      <c r="D113" s="2" t="b">
        <v>0</v>
      </c>
      <c r="E113" s="1">
        <v>3</v>
      </c>
      <c r="F113" s="1">
        <v>1</v>
      </c>
      <c r="G113" s="1">
        <v>0.22</v>
      </c>
    </row>
    <row r="114" spans="1:7" ht="15" thickBot="1" x14ac:dyDescent="0.35">
      <c r="A114" s="1">
        <v>113</v>
      </c>
      <c r="B114" s="3">
        <v>40548</v>
      </c>
      <c r="C114" s="1">
        <v>21</v>
      </c>
      <c r="D114" s="2" t="b">
        <v>0</v>
      </c>
      <c r="E114" s="1">
        <v>3</v>
      </c>
      <c r="F114" s="1">
        <v>1</v>
      </c>
      <c r="G114" s="1">
        <v>0.2</v>
      </c>
    </row>
    <row r="115" spans="1:7" ht="15" thickBot="1" x14ac:dyDescent="0.35">
      <c r="A115" s="1">
        <v>114</v>
      </c>
      <c r="B115" s="3">
        <v>40548</v>
      </c>
      <c r="C115" s="1">
        <v>22</v>
      </c>
      <c r="D115" s="2" t="b">
        <v>0</v>
      </c>
      <c r="E115" s="1">
        <v>3</v>
      </c>
      <c r="F115" s="1">
        <v>1</v>
      </c>
      <c r="G115" s="1">
        <v>0.18</v>
      </c>
    </row>
    <row r="116" spans="1:7" ht="15" thickBot="1" x14ac:dyDescent="0.35">
      <c r="A116" s="1">
        <v>115</v>
      </c>
      <c r="B116" s="3">
        <v>40548</v>
      </c>
      <c r="C116" s="1">
        <v>23</v>
      </c>
      <c r="D116" s="2" t="b">
        <v>0</v>
      </c>
      <c r="E116" s="1">
        <v>3</v>
      </c>
      <c r="F116" s="1">
        <v>1</v>
      </c>
      <c r="G116" s="1">
        <v>0.2</v>
      </c>
    </row>
    <row r="117" spans="1:7" ht="15" thickBot="1" x14ac:dyDescent="0.35">
      <c r="A117" s="1">
        <v>116</v>
      </c>
      <c r="B117" s="3">
        <v>40549</v>
      </c>
      <c r="C117" s="1">
        <v>0</v>
      </c>
      <c r="D117" s="2" t="b">
        <v>0</v>
      </c>
      <c r="E117" s="1">
        <v>4</v>
      </c>
      <c r="F117" s="1">
        <v>1</v>
      </c>
      <c r="G117" s="1">
        <v>0.18</v>
      </c>
    </row>
    <row r="118" spans="1:7" ht="15" thickBot="1" x14ac:dyDescent="0.35">
      <c r="A118" s="1">
        <v>117</v>
      </c>
      <c r="B118" s="3">
        <v>40549</v>
      </c>
      <c r="C118" s="1">
        <v>1</v>
      </c>
      <c r="D118" s="2" t="b">
        <v>0</v>
      </c>
      <c r="E118" s="1">
        <v>4</v>
      </c>
      <c r="F118" s="1">
        <v>1</v>
      </c>
      <c r="G118" s="1">
        <v>0.16</v>
      </c>
    </row>
    <row r="119" spans="1:7" ht="15" thickBot="1" x14ac:dyDescent="0.35">
      <c r="A119" s="1">
        <v>118</v>
      </c>
      <c r="B119" s="3">
        <v>40549</v>
      </c>
      <c r="C119" s="1">
        <v>2</v>
      </c>
      <c r="D119" s="2" t="b">
        <v>0</v>
      </c>
      <c r="E119" s="1">
        <v>4</v>
      </c>
      <c r="F119" s="1">
        <v>1</v>
      </c>
      <c r="G119" s="1">
        <v>0.16</v>
      </c>
    </row>
    <row r="120" spans="1:7" ht="15" thickBot="1" x14ac:dyDescent="0.35">
      <c r="A120" s="1">
        <v>119</v>
      </c>
      <c r="B120" s="3">
        <v>40549</v>
      </c>
      <c r="C120" s="1">
        <v>4</v>
      </c>
      <c r="D120" s="2" t="b">
        <v>0</v>
      </c>
      <c r="E120" s="1">
        <v>4</v>
      </c>
      <c r="F120" s="1">
        <v>2</v>
      </c>
      <c r="G120" s="1">
        <v>0.16</v>
      </c>
    </row>
    <row r="121" spans="1:7" ht="15" thickBot="1" x14ac:dyDescent="0.35">
      <c r="A121" s="1">
        <v>120</v>
      </c>
      <c r="B121" s="3">
        <v>40549</v>
      </c>
      <c r="C121" s="1">
        <v>5</v>
      </c>
      <c r="D121" s="2" t="b">
        <v>0</v>
      </c>
      <c r="E121" s="1">
        <v>4</v>
      </c>
      <c r="F121" s="1">
        <v>2</v>
      </c>
      <c r="G121" s="1">
        <v>0.14000000000000001</v>
      </c>
    </row>
    <row r="122" spans="1:7" ht="15" thickBot="1" x14ac:dyDescent="0.35">
      <c r="A122" s="1">
        <v>121</v>
      </c>
      <c r="B122" s="3">
        <v>40549</v>
      </c>
      <c r="C122" s="1">
        <v>6</v>
      </c>
      <c r="D122" s="2" t="b">
        <v>0</v>
      </c>
      <c r="E122" s="1">
        <v>4</v>
      </c>
      <c r="F122" s="1">
        <v>2</v>
      </c>
      <c r="G122" s="1">
        <v>0.14000000000000001</v>
      </c>
    </row>
    <row r="123" spans="1:7" ht="15" thickBot="1" x14ac:dyDescent="0.35">
      <c r="A123" s="1">
        <v>122</v>
      </c>
      <c r="B123" s="3">
        <v>40549</v>
      </c>
      <c r="C123" s="1">
        <v>7</v>
      </c>
      <c r="D123" s="2" t="b">
        <v>0</v>
      </c>
      <c r="E123" s="1">
        <v>4</v>
      </c>
      <c r="F123" s="1">
        <v>2</v>
      </c>
      <c r="G123" s="1">
        <v>0.16</v>
      </c>
    </row>
    <row r="124" spans="1:7" ht="15" thickBot="1" x14ac:dyDescent="0.35">
      <c r="A124" s="1">
        <v>123</v>
      </c>
      <c r="B124" s="3">
        <v>40549</v>
      </c>
      <c r="C124" s="1">
        <v>8</v>
      </c>
      <c r="D124" s="2" t="b">
        <v>0</v>
      </c>
      <c r="E124" s="1">
        <v>4</v>
      </c>
      <c r="F124" s="1">
        <v>1</v>
      </c>
      <c r="G124" s="1">
        <v>0.16</v>
      </c>
    </row>
    <row r="125" spans="1:7" ht="15" thickBot="1" x14ac:dyDescent="0.35">
      <c r="A125" s="1">
        <v>124</v>
      </c>
      <c r="B125" s="3">
        <v>40549</v>
      </c>
      <c r="C125" s="1">
        <v>9</v>
      </c>
      <c r="D125" s="2" t="b">
        <v>0</v>
      </c>
      <c r="E125" s="1">
        <v>4</v>
      </c>
      <c r="F125" s="1">
        <v>2</v>
      </c>
      <c r="G125" s="1">
        <v>0.18</v>
      </c>
    </row>
    <row r="126" spans="1:7" ht="15" thickBot="1" x14ac:dyDescent="0.35">
      <c r="A126" s="1">
        <v>125</v>
      </c>
      <c r="B126" s="3">
        <v>40549</v>
      </c>
      <c r="C126" s="1">
        <v>10</v>
      </c>
      <c r="D126" s="2" t="b">
        <v>0</v>
      </c>
      <c r="E126" s="1">
        <v>4</v>
      </c>
      <c r="F126" s="1">
        <v>1</v>
      </c>
      <c r="G126" s="1">
        <v>0.2</v>
      </c>
    </row>
    <row r="127" spans="1:7" ht="15" thickBot="1" x14ac:dyDescent="0.35">
      <c r="A127" s="1">
        <v>126</v>
      </c>
      <c r="B127" s="3">
        <v>40549</v>
      </c>
      <c r="C127" s="1">
        <v>11</v>
      </c>
      <c r="D127" s="2" t="b">
        <v>0</v>
      </c>
      <c r="E127" s="1">
        <v>4</v>
      </c>
      <c r="F127" s="1">
        <v>1</v>
      </c>
      <c r="G127" s="1">
        <v>0.22</v>
      </c>
    </row>
    <row r="128" spans="1:7" ht="15" thickBot="1" x14ac:dyDescent="0.35">
      <c r="A128" s="1">
        <v>127</v>
      </c>
      <c r="B128" s="3">
        <v>40549</v>
      </c>
      <c r="C128" s="1">
        <v>12</v>
      </c>
      <c r="D128" s="2" t="b">
        <v>0</v>
      </c>
      <c r="E128" s="1">
        <v>4</v>
      </c>
      <c r="F128" s="1">
        <v>1</v>
      </c>
      <c r="G128" s="1">
        <v>0.26</v>
      </c>
    </row>
    <row r="129" spans="1:7" ht="15" thickBot="1" x14ac:dyDescent="0.35">
      <c r="A129" s="1">
        <v>128</v>
      </c>
      <c r="B129" s="3">
        <v>40549</v>
      </c>
      <c r="C129" s="1">
        <v>13</v>
      </c>
      <c r="D129" s="2" t="b">
        <v>0</v>
      </c>
      <c r="E129" s="1">
        <v>4</v>
      </c>
      <c r="F129" s="1">
        <v>1</v>
      </c>
      <c r="G129" s="1">
        <v>0.26</v>
      </c>
    </row>
    <row r="130" spans="1:7" ht="15" thickBot="1" x14ac:dyDescent="0.35">
      <c r="A130" s="1">
        <v>129</v>
      </c>
      <c r="B130" s="3">
        <v>40549</v>
      </c>
      <c r="C130" s="1">
        <v>14</v>
      </c>
      <c r="D130" s="2" t="b">
        <v>0</v>
      </c>
      <c r="E130" s="1">
        <v>4</v>
      </c>
      <c r="F130" s="1">
        <v>1</v>
      </c>
      <c r="G130" s="1">
        <v>0.28000000000000003</v>
      </c>
    </row>
    <row r="131" spans="1:7" ht="15" thickBot="1" x14ac:dyDescent="0.35">
      <c r="A131" s="1">
        <v>130</v>
      </c>
      <c r="B131" s="3">
        <v>40549</v>
      </c>
      <c r="C131" s="1">
        <v>15</v>
      </c>
      <c r="D131" s="2" t="b">
        <v>0</v>
      </c>
      <c r="E131" s="1">
        <v>4</v>
      </c>
      <c r="F131" s="1">
        <v>1</v>
      </c>
      <c r="G131" s="1">
        <v>0.28000000000000003</v>
      </c>
    </row>
    <row r="132" spans="1:7" ht="15" thickBot="1" x14ac:dyDescent="0.35">
      <c r="A132" s="1">
        <v>131</v>
      </c>
      <c r="B132" s="3">
        <v>40549</v>
      </c>
      <c r="C132" s="1">
        <v>16</v>
      </c>
      <c r="D132" s="2" t="b">
        <v>0</v>
      </c>
      <c r="E132" s="1">
        <v>4</v>
      </c>
      <c r="F132" s="1">
        <v>1</v>
      </c>
      <c r="G132" s="1">
        <v>0.26</v>
      </c>
    </row>
    <row r="133" spans="1:7" ht="15" thickBot="1" x14ac:dyDescent="0.35">
      <c r="A133" s="1">
        <v>132</v>
      </c>
      <c r="B133" s="3">
        <v>40549</v>
      </c>
      <c r="C133" s="1">
        <v>17</v>
      </c>
      <c r="D133" s="2" t="b">
        <v>0</v>
      </c>
      <c r="E133" s="1">
        <v>4</v>
      </c>
      <c r="F133" s="1">
        <v>1</v>
      </c>
      <c r="G133" s="1">
        <v>0.22</v>
      </c>
    </row>
    <row r="134" spans="1:7" ht="15" thickBot="1" x14ac:dyDescent="0.35">
      <c r="A134" s="1">
        <v>133</v>
      </c>
      <c r="B134" s="3">
        <v>40549</v>
      </c>
      <c r="C134" s="1">
        <v>18</v>
      </c>
      <c r="D134" s="2" t="b">
        <v>0</v>
      </c>
      <c r="E134" s="1">
        <v>4</v>
      </c>
      <c r="F134" s="1">
        <v>1</v>
      </c>
      <c r="G134" s="1">
        <v>0.22</v>
      </c>
    </row>
    <row r="135" spans="1:7" ht="15" thickBot="1" x14ac:dyDescent="0.35">
      <c r="A135" s="1">
        <v>134</v>
      </c>
      <c r="B135" s="3">
        <v>40549</v>
      </c>
      <c r="C135" s="1">
        <v>19</v>
      </c>
      <c r="D135" s="2" t="b">
        <v>0</v>
      </c>
      <c r="E135" s="1">
        <v>4</v>
      </c>
      <c r="F135" s="1">
        <v>1</v>
      </c>
      <c r="G135" s="1">
        <v>0.22</v>
      </c>
    </row>
    <row r="136" spans="1:7" ht="15" thickBot="1" x14ac:dyDescent="0.35">
      <c r="A136" s="1">
        <v>135</v>
      </c>
      <c r="B136" s="3">
        <v>40549</v>
      </c>
      <c r="C136" s="1">
        <v>20</v>
      </c>
      <c r="D136" s="2" t="b">
        <v>0</v>
      </c>
      <c r="E136" s="1">
        <v>4</v>
      </c>
      <c r="F136" s="1">
        <v>1</v>
      </c>
      <c r="G136" s="1">
        <v>0.2</v>
      </c>
    </row>
    <row r="137" spans="1:7" ht="15" thickBot="1" x14ac:dyDescent="0.35">
      <c r="A137" s="1">
        <v>136</v>
      </c>
      <c r="B137" s="3">
        <v>40549</v>
      </c>
      <c r="C137" s="1">
        <v>21</v>
      </c>
      <c r="D137" s="2" t="b">
        <v>0</v>
      </c>
      <c r="E137" s="1">
        <v>4</v>
      </c>
      <c r="F137" s="1">
        <v>2</v>
      </c>
      <c r="G137" s="1">
        <v>0.22</v>
      </c>
    </row>
    <row r="138" spans="1:7" ht="15" thickBot="1" x14ac:dyDescent="0.35">
      <c r="A138" s="1">
        <v>137</v>
      </c>
      <c r="B138" s="3">
        <v>40549</v>
      </c>
      <c r="C138" s="1">
        <v>22</v>
      </c>
      <c r="D138" s="2" t="b">
        <v>0</v>
      </c>
      <c r="E138" s="1">
        <v>4</v>
      </c>
      <c r="F138" s="1">
        <v>2</v>
      </c>
      <c r="G138" s="1">
        <v>0.22</v>
      </c>
    </row>
    <row r="139" spans="1:7" ht="15" thickBot="1" x14ac:dyDescent="0.35">
      <c r="A139" s="1">
        <v>138</v>
      </c>
      <c r="B139" s="3">
        <v>40549</v>
      </c>
      <c r="C139" s="1">
        <v>23</v>
      </c>
      <c r="D139" s="2" t="b">
        <v>0</v>
      </c>
      <c r="E139" s="1">
        <v>4</v>
      </c>
      <c r="F139" s="1">
        <v>2</v>
      </c>
      <c r="G139" s="1">
        <v>0.2</v>
      </c>
    </row>
    <row r="140" spans="1:7" ht="15" thickBot="1" x14ac:dyDescent="0.35">
      <c r="A140" s="1">
        <v>139</v>
      </c>
      <c r="B140" s="3">
        <v>40550</v>
      </c>
      <c r="C140" s="1">
        <v>0</v>
      </c>
      <c r="D140" s="2" t="b">
        <v>0</v>
      </c>
      <c r="E140" s="1">
        <v>5</v>
      </c>
      <c r="F140" s="1">
        <v>2</v>
      </c>
      <c r="G140" s="1">
        <v>0.2</v>
      </c>
    </row>
    <row r="141" spans="1:7" ht="15" thickBot="1" x14ac:dyDescent="0.35">
      <c r="A141" s="1">
        <v>140</v>
      </c>
      <c r="B141" s="3">
        <v>40550</v>
      </c>
      <c r="C141" s="1">
        <v>1</v>
      </c>
      <c r="D141" s="2" t="b">
        <v>0</v>
      </c>
      <c r="E141" s="1">
        <v>5</v>
      </c>
      <c r="F141" s="1">
        <v>2</v>
      </c>
      <c r="G141" s="1">
        <v>0.2</v>
      </c>
    </row>
    <row r="142" spans="1:7" ht="15" thickBot="1" x14ac:dyDescent="0.35">
      <c r="A142" s="1">
        <v>141</v>
      </c>
      <c r="B142" s="3">
        <v>40550</v>
      </c>
      <c r="C142" s="1">
        <v>2</v>
      </c>
      <c r="D142" s="2" t="b">
        <v>0</v>
      </c>
      <c r="E142" s="1">
        <v>5</v>
      </c>
      <c r="F142" s="1">
        <v>2</v>
      </c>
      <c r="G142" s="1">
        <v>0.2</v>
      </c>
    </row>
    <row r="143" spans="1:7" ht="15" thickBot="1" x14ac:dyDescent="0.35">
      <c r="A143" s="1">
        <v>142</v>
      </c>
      <c r="B143" s="3">
        <v>40550</v>
      </c>
      <c r="C143" s="1">
        <v>4</v>
      </c>
      <c r="D143" s="2" t="b">
        <v>0</v>
      </c>
      <c r="E143" s="1">
        <v>5</v>
      </c>
      <c r="F143" s="1">
        <v>2</v>
      </c>
      <c r="G143" s="1">
        <v>0.2</v>
      </c>
    </row>
    <row r="144" spans="1:7" ht="15" thickBot="1" x14ac:dyDescent="0.35">
      <c r="A144" s="1">
        <v>143</v>
      </c>
      <c r="B144" s="3">
        <v>40550</v>
      </c>
      <c r="C144" s="1">
        <v>5</v>
      </c>
      <c r="D144" s="2" t="b">
        <v>0</v>
      </c>
      <c r="E144" s="1">
        <v>5</v>
      </c>
      <c r="F144" s="1">
        <v>3</v>
      </c>
      <c r="G144" s="1">
        <v>0.22</v>
      </c>
    </row>
    <row r="145" spans="1:7" ht="15" thickBot="1" x14ac:dyDescent="0.35">
      <c r="A145" s="1">
        <v>144</v>
      </c>
      <c r="B145" s="3">
        <v>40550</v>
      </c>
      <c r="C145" s="1">
        <v>6</v>
      </c>
      <c r="D145" s="2" t="b">
        <v>0</v>
      </c>
      <c r="E145" s="1">
        <v>5</v>
      </c>
      <c r="F145" s="1">
        <v>2</v>
      </c>
      <c r="G145" s="1">
        <v>0.2</v>
      </c>
    </row>
    <row r="146" spans="1:7" ht="15" thickBot="1" x14ac:dyDescent="0.35">
      <c r="A146" s="1">
        <v>145</v>
      </c>
      <c r="B146" s="3">
        <v>40550</v>
      </c>
      <c r="C146" s="1">
        <v>7</v>
      </c>
      <c r="D146" s="2" t="b">
        <v>0</v>
      </c>
      <c r="E146" s="1">
        <v>5</v>
      </c>
      <c r="F146" s="1">
        <v>1</v>
      </c>
      <c r="G146" s="1">
        <v>0.2</v>
      </c>
    </row>
    <row r="147" spans="1:7" ht="15" thickBot="1" x14ac:dyDescent="0.35">
      <c r="A147" s="1">
        <v>146</v>
      </c>
      <c r="B147" s="3">
        <v>40550</v>
      </c>
      <c r="C147" s="1">
        <v>8</v>
      </c>
      <c r="D147" s="2" t="b">
        <v>0</v>
      </c>
      <c r="E147" s="1">
        <v>5</v>
      </c>
      <c r="F147" s="1">
        <v>1</v>
      </c>
      <c r="G147" s="1">
        <v>0.2</v>
      </c>
    </row>
    <row r="148" spans="1:7" ht="15" thickBot="1" x14ac:dyDescent="0.35">
      <c r="A148" s="1">
        <v>147</v>
      </c>
      <c r="B148" s="3">
        <v>40550</v>
      </c>
      <c r="C148" s="1">
        <v>9</v>
      </c>
      <c r="D148" s="2" t="b">
        <v>0</v>
      </c>
      <c r="E148" s="1">
        <v>5</v>
      </c>
      <c r="F148" s="1">
        <v>1</v>
      </c>
      <c r="G148" s="1">
        <v>0.2</v>
      </c>
    </row>
    <row r="149" spans="1:7" ht="15" thickBot="1" x14ac:dyDescent="0.35">
      <c r="A149" s="1">
        <v>148</v>
      </c>
      <c r="B149" s="3">
        <v>40550</v>
      </c>
      <c r="C149" s="1">
        <v>10</v>
      </c>
      <c r="D149" s="2" t="b">
        <v>0</v>
      </c>
      <c r="E149" s="1">
        <v>5</v>
      </c>
      <c r="F149" s="1">
        <v>1</v>
      </c>
      <c r="G149" s="1">
        <v>0.22</v>
      </c>
    </row>
    <row r="150" spans="1:7" ht="15" thickBot="1" x14ac:dyDescent="0.35">
      <c r="A150" s="1">
        <v>149</v>
      </c>
      <c r="B150" s="3">
        <v>40550</v>
      </c>
      <c r="C150" s="1">
        <v>11</v>
      </c>
      <c r="D150" s="2" t="b">
        <v>0</v>
      </c>
      <c r="E150" s="1">
        <v>5</v>
      </c>
      <c r="F150" s="1">
        <v>2</v>
      </c>
      <c r="G150" s="1">
        <v>0.2</v>
      </c>
    </row>
    <row r="151" spans="1:7" ht="15" thickBot="1" x14ac:dyDescent="0.35">
      <c r="A151" s="1">
        <v>150</v>
      </c>
      <c r="B151" s="3">
        <v>40550</v>
      </c>
      <c r="C151" s="1">
        <v>12</v>
      </c>
      <c r="D151" s="2" t="b">
        <v>0</v>
      </c>
      <c r="E151" s="1">
        <v>5</v>
      </c>
      <c r="F151" s="1">
        <v>2</v>
      </c>
      <c r="G151" s="1">
        <v>0.2</v>
      </c>
    </row>
    <row r="152" spans="1:7" ht="15" thickBot="1" x14ac:dyDescent="0.35">
      <c r="A152" s="1">
        <v>151</v>
      </c>
      <c r="B152" s="3">
        <v>40550</v>
      </c>
      <c r="C152" s="1">
        <v>13</v>
      </c>
      <c r="D152" s="2" t="b">
        <v>0</v>
      </c>
      <c r="E152" s="1">
        <v>5</v>
      </c>
      <c r="F152" s="1">
        <v>2</v>
      </c>
      <c r="G152" s="1">
        <v>0.2</v>
      </c>
    </row>
    <row r="153" spans="1:7" ht="15" thickBot="1" x14ac:dyDescent="0.35">
      <c r="A153" s="1">
        <v>152</v>
      </c>
      <c r="B153" s="3">
        <v>40550</v>
      </c>
      <c r="C153" s="1">
        <v>14</v>
      </c>
      <c r="D153" s="2" t="b">
        <v>0</v>
      </c>
      <c r="E153" s="1">
        <v>5</v>
      </c>
      <c r="F153" s="1">
        <v>2</v>
      </c>
      <c r="G153" s="1">
        <v>0.2</v>
      </c>
    </row>
    <row r="154" spans="1:7" ht="15" thickBot="1" x14ac:dyDescent="0.35">
      <c r="A154" s="1">
        <v>153</v>
      </c>
      <c r="B154" s="3">
        <v>40550</v>
      </c>
      <c r="C154" s="1">
        <v>15</v>
      </c>
      <c r="D154" s="2" t="b">
        <v>0</v>
      </c>
      <c r="E154" s="1">
        <v>5</v>
      </c>
      <c r="F154" s="1">
        <v>2</v>
      </c>
      <c r="G154" s="1">
        <v>0.2</v>
      </c>
    </row>
    <row r="155" spans="1:7" ht="15" thickBot="1" x14ac:dyDescent="0.35">
      <c r="A155" s="1">
        <v>154</v>
      </c>
      <c r="B155" s="3">
        <v>40550</v>
      </c>
      <c r="C155" s="1">
        <v>16</v>
      </c>
      <c r="D155" s="2" t="b">
        <v>0</v>
      </c>
      <c r="E155" s="1">
        <v>5</v>
      </c>
      <c r="F155" s="1">
        <v>2</v>
      </c>
      <c r="G155" s="1">
        <v>0.2</v>
      </c>
    </row>
    <row r="156" spans="1:7" ht="15" thickBot="1" x14ac:dyDescent="0.35">
      <c r="A156" s="1">
        <v>155</v>
      </c>
      <c r="B156" s="3">
        <v>40550</v>
      </c>
      <c r="C156" s="1">
        <v>17</v>
      </c>
      <c r="D156" s="2" t="b">
        <v>0</v>
      </c>
      <c r="E156" s="1">
        <v>5</v>
      </c>
      <c r="F156" s="1">
        <v>2</v>
      </c>
      <c r="G156" s="1">
        <v>0.2</v>
      </c>
    </row>
    <row r="157" spans="1:7" ht="15" thickBot="1" x14ac:dyDescent="0.35">
      <c r="A157" s="1">
        <v>156</v>
      </c>
      <c r="B157" s="3">
        <v>40550</v>
      </c>
      <c r="C157" s="1">
        <v>18</v>
      </c>
      <c r="D157" s="2" t="b">
        <v>0</v>
      </c>
      <c r="E157" s="1">
        <v>5</v>
      </c>
      <c r="F157" s="1">
        <v>1</v>
      </c>
      <c r="G157" s="1">
        <v>0.2</v>
      </c>
    </row>
    <row r="158" spans="1:7" ht="15" thickBot="1" x14ac:dyDescent="0.35">
      <c r="A158" s="1">
        <v>157</v>
      </c>
      <c r="B158" s="3">
        <v>40550</v>
      </c>
      <c r="C158" s="1">
        <v>19</v>
      </c>
      <c r="D158" s="2" t="b">
        <v>0</v>
      </c>
      <c r="E158" s="1">
        <v>5</v>
      </c>
      <c r="F158" s="1">
        <v>1</v>
      </c>
      <c r="G158" s="1">
        <v>0.16</v>
      </c>
    </row>
    <row r="159" spans="1:7" ht="15" thickBot="1" x14ac:dyDescent="0.35">
      <c r="A159" s="1">
        <v>158</v>
      </c>
      <c r="B159" s="3">
        <v>40550</v>
      </c>
      <c r="C159" s="1">
        <v>20</v>
      </c>
      <c r="D159" s="2" t="b">
        <v>0</v>
      </c>
      <c r="E159" s="1">
        <v>5</v>
      </c>
      <c r="F159" s="1">
        <v>1</v>
      </c>
      <c r="G159" s="1">
        <v>0.18</v>
      </c>
    </row>
    <row r="160" spans="1:7" ht="15" thickBot="1" x14ac:dyDescent="0.35">
      <c r="A160" s="1">
        <v>159</v>
      </c>
      <c r="B160" s="3">
        <v>40550</v>
      </c>
      <c r="C160" s="1">
        <v>21</v>
      </c>
      <c r="D160" s="2" t="b">
        <v>0</v>
      </c>
      <c r="E160" s="1">
        <v>5</v>
      </c>
      <c r="F160" s="1">
        <v>1</v>
      </c>
      <c r="G160" s="1">
        <v>0.18</v>
      </c>
    </row>
    <row r="161" spans="1:7" ht="15" thickBot="1" x14ac:dyDescent="0.35">
      <c r="A161" s="1">
        <v>160</v>
      </c>
      <c r="B161" s="3">
        <v>40550</v>
      </c>
      <c r="C161" s="1">
        <v>22</v>
      </c>
      <c r="D161" s="2" t="b">
        <v>0</v>
      </c>
      <c r="E161" s="1">
        <v>5</v>
      </c>
      <c r="F161" s="1">
        <v>2</v>
      </c>
      <c r="G161" s="1">
        <v>0.18</v>
      </c>
    </row>
    <row r="162" spans="1:7" ht="15" thickBot="1" x14ac:dyDescent="0.35">
      <c r="A162" s="1">
        <v>161</v>
      </c>
      <c r="B162" s="3">
        <v>40550</v>
      </c>
      <c r="C162" s="1">
        <v>23</v>
      </c>
      <c r="D162" s="2" t="b">
        <v>0</v>
      </c>
      <c r="E162" s="1">
        <v>5</v>
      </c>
      <c r="F162" s="1">
        <v>2</v>
      </c>
      <c r="G162" s="1">
        <v>0.18</v>
      </c>
    </row>
    <row r="163" spans="1:7" ht="15" thickBot="1" x14ac:dyDescent="0.35">
      <c r="A163" s="1">
        <v>162</v>
      </c>
      <c r="B163" s="3">
        <v>40551</v>
      </c>
      <c r="C163" s="1">
        <v>0</v>
      </c>
      <c r="D163" s="2" t="b">
        <v>0</v>
      </c>
      <c r="E163" s="1">
        <v>6</v>
      </c>
      <c r="F163" s="1">
        <v>2</v>
      </c>
      <c r="G163" s="1">
        <v>0.18</v>
      </c>
    </row>
    <row r="164" spans="1:7" ht="15" thickBot="1" x14ac:dyDescent="0.35">
      <c r="A164" s="1">
        <v>163</v>
      </c>
      <c r="B164" s="3">
        <v>40551</v>
      </c>
      <c r="C164" s="1">
        <v>1</v>
      </c>
      <c r="D164" s="2" t="b">
        <v>0</v>
      </c>
      <c r="E164" s="1">
        <v>6</v>
      </c>
      <c r="F164" s="1">
        <v>2</v>
      </c>
      <c r="G164" s="1">
        <v>0.18</v>
      </c>
    </row>
    <row r="165" spans="1:7" ht="15" thickBot="1" x14ac:dyDescent="0.35">
      <c r="A165" s="1">
        <v>164</v>
      </c>
      <c r="B165" s="3">
        <v>40551</v>
      </c>
      <c r="C165" s="1">
        <v>2</v>
      </c>
      <c r="D165" s="2" t="b">
        <v>0</v>
      </c>
      <c r="E165" s="1">
        <v>6</v>
      </c>
      <c r="F165" s="1">
        <v>2</v>
      </c>
      <c r="G165" s="1">
        <v>0.18</v>
      </c>
    </row>
    <row r="166" spans="1:7" ht="15" thickBot="1" x14ac:dyDescent="0.35">
      <c r="A166" s="1">
        <v>165</v>
      </c>
      <c r="B166" s="3">
        <v>40551</v>
      </c>
      <c r="C166" s="1">
        <v>3</v>
      </c>
      <c r="D166" s="2" t="b">
        <v>0</v>
      </c>
      <c r="E166" s="1">
        <v>6</v>
      </c>
      <c r="F166" s="1">
        <v>3</v>
      </c>
      <c r="G166" s="1">
        <v>0.18</v>
      </c>
    </row>
    <row r="167" spans="1:7" ht="15" thickBot="1" x14ac:dyDescent="0.35">
      <c r="A167" s="1">
        <v>166</v>
      </c>
      <c r="B167" s="3">
        <v>40551</v>
      </c>
      <c r="C167" s="1">
        <v>4</v>
      </c>
      <c r="D167" s="2" t="b">
        <v>0</v>
      </c>
      <c r="E167" s="1">
        <v>6</v>
      </c>
      <c r="F167" s="1">
        <v>3</v>
      </c>
      <c r="G167" s="1">
        <v>0.18</v>
      </c>
    </row>
    <row r="168" spans="1:7" ht="15" thickBot="1" x14ac:dyDescent="0.35">
      <c r="A168" s="1">
        <v>167</v>
      </c>
      <c r="B168" s="3">
        <v>40551</v>
      </c>
      <c r="C168" s="1">
        <v>5</v>
      </c>
      <c r="D168" s="2" t="b">
        <v>0</v>
      </c>
      <c r="E168" s="1">
        <v>6</v>
      </c>
      <c r="F168" s="1">
        <v>2</v>
      </c>
      <c r="G168" s="1">
        <v>0.16</v>
      </c>
    </row>
    <row r="169" spans="1:7" ht="15" thickBot="1" x14ac:dyDescent="0.35">
      <c r="A169" s="1">
        <v>168</v>
      </c>
      <c r="B169" s="3">
        <v>40551</v>
      </c>
      <c r="C169" s="1">
        <v>6</v>
      </c>
      <c r="D169" s="2" t="b">
        <v>0</v>
      </c>
      <c r="E169" s="1">
        <v>6</v>
      </c>
      <c r="F169" s="1">
        <v>2</v>
      </c>
      <c r="G169" s="1">
        <v>0.16</v>
      </c>
    </row>
    <row r="170" spans="1:7" ht="15" thickBot="1" x14ac:dyDescent="0.35">
      <c r="A170" s="1">
        <v>169</v>
      </c>
      <c r="B170" s="3">
        <v>40551</v>
      </c>
      <c r="C170" s="1">
        <v>7</v>
      </c>
      <c r="D170" s="2" t="b">
        <v>0</v>
      </c>
      <c r="E170" s="1">
        <v>6</v>
      </c>
      <c r="F170" s="1">
        <v>2</v>
      </c>
      <c r="G170" s="1">
        <v>0.16</v>
      </c>
    </row>
    <row r="171" spans="1:7" ht="15" thickBot="1" x14ac:dyDescent="0.35">
      <c r="A171" s="1">
        <v>170</v>
      </c>
      <c r="B171" s="3">
        <v>40551</v>
      </c>
      <c r="C171" s="1">
        <v>8</v>
      </c>
      <c r="D171" s="2" t="b">
        <v>0</v>
      </c>
      <c r="E171" s="1">
        <v>6</v>
      </c>
      <c r="F171" s="1">
        <v>3</v>
      </c>
      <c r="G171" s="1">
        <v>0.16</v>
      </c>
    </row>
    <row r="172" spans="1:7" ht="15" thickBot="1" x14ac:dyDescent="0.35">
      <c r="A172" s="1">
        <v>171</v>
      </c>
      <c r="B172" s="3">
        <v>40551</v>
      </c>
      <c r="C172" s="1">
        <v>9</v>
      </c>
      <c r="D172" s="2" t="b">
        <v>0</v>
      </c>
      <c r="E172" s="1">
        <v>6</v>
      </c>
      <c r="F172" s="1">
        <v>3</v>
      </c>
      <c r="G172" s="1">
        <v>0.16</v>
      </c>
    </row>
    <row r="173" spans="1:7" ht="15" thickBot="1" x14ac:dyDescent="0.35">
      <c r="A173" s="1">
        <v>172</v>
      </c>
      <c r="B173" s="3">
        <v>40551</v>
      </c>
      <c r="C173" s="1">
        <v>10</v>
      </c>
      <c r="D173" s="2" t="b">
        <v>0</v>
      </c>
      <c r="E173" s="1">
        <v>6</v>
      </c>
      <c r="F173" s="1">
        <v>2</v>
      </c>
      <c r="G173" s="1">
        <v>0.18</v>
      </c>
    </row>
    <row r="174" spans="1:7" ht="15" thickBot="1" x14ac:dyDescent="0.35">
      <c r="A174" s="1">
        <v>173</v>
      </c>
      <c r="B174" s="3">
        <v>40551</v>
      </c>
      <c r="C174" s="1">
        <v>11</v>
      </c>
      <c r="D174" s="2" t="b">
        <v>0</v>
      </c>
      <c r="E174" s="1">
        <v>6</v>
      </c>
      <c r="F174" s="1">
        <v>2</v>
      </c>
      <c r="G174" s="1">
        <v>0.2</v>
      </c>
    </row>
    <row r="175" spans="1:7" ht="15" thickBot="1" x14ac:dyDescent="0.35">
      <c r="A175" s="1">
        <v>174</v>
      </c>
      <c r="B175" s="3">
        <v>40551</v>
      </c>
      <c r="C175" s="1">
        <v>12</v>
      </c>
      <c r="D175" s="2" t="b">
        <v>0</v>
      </c>
      <c r="E175" s="1">
        <v>6</v>
      </c>
      <c r="F175" s="1">
        <v>2</v>
      </c>
      <c r="G175" s="1">
        <v>0.2</v>
      </c>
    </row>
    <row r="176" spans="1:7" ht="15" thickBot="1" x14ac:dyDescent="0.35">
      <c r="A176" s="1">
        <v>175</v>
      </c>
      <c r="B176" s="3">
        <v>40551</v>
      </c>
      <c r="C176" s="1">
        <v>13</v>
      </c>
      <c r="D176" s="2" t="b">
        <v>0</v>
      </c>
      <c r="E176" s="1">
        <v>6</v>
      </c>
      <c r="F176" s="1">
        <v>1</v>
      </c>
      <c r="G176" s="1">
        <v>0.2</v>
      </c>
    </row>
    <row r="177" spans="1:7" ht="15" thickBot="1" x14ac:dyDescent="0.35">
      <c r="A177" s="1">
        <v>176</v>
      </c>
      <c r="B177" s="3">
        <v>40551</v>
      </c>
      <c r="C177" s="1">
        <v>14</v>
      </c>
      <c r="D177" s="2" t="b">
        <v>0</v>
      </c>
      <c r="E177" s="1">
        <v>6</v>
      </c>
      <c r="F177" s="1">
        <v>1</v>
      </c>
      <c r="G177" s="1">
        <v>0.2</v>
      </c>
    </row>
    <row r="178" spans="1:7" ht="15" thickBot="1" x14ac:dyDescent="0.35">
      <c r="A178" s="1">
        <v>177</v>
      </c>
      <c r="B178" s="3">
        <v>40551</v>
      </c>
      <c r="C178" s="1">
        <v>15</v>
      </c>
      <c r="D178" s="2" t="b">
        <v>0</v>
      </c>
      <c r="E178" s="1">
        <v>6</v>
      </c>
      <c r="F178" s="1">
        <v>1</v>
      </c>
      <c r="G178" s="1">
        <v>0.2</v>
      </c>
    </row>
    <row r="179" spans="1:7" ht="15" thickBot="1" x14ac:dyDescent="0.35">
      <c r="A179" s="1">
        <v>178</v>
      </c>
      <c r="B179" s="3">
        <v>40551</v>
      </c>
      <c r="C179" s="1">
        <v>16</v>
      </c>
      <c r="D179" s="2" t="b">
        <v>0</v>
      </c>
      <c r="E179" s="1">
        <v>6</v>
      </c>
      <c r="F179" s="1">
        <v>1</v>
      </c>
      <c r="G179" s="1">
        <v>0.18</v>
      </c>
    </row>
    <row r="180" spans="1:7" ht="15" thickBot="1" x14ac:dyDescent="0.35">
      <c r="A180" s="1">
        <v>179</v>
      </c>
      <c r="B180" s="3">
        <v>40551</v>
      </c>
      <c r="C180" s="1">
        <v>17</v>
      </c>
      <c r="D180" s="2" t="b">
        <v>0</v>
      </c>
      <c r="E180" s="1">
        <v>6</v>
      </c>
      <c r="F180" s="1">
        <v>1</v>
      </c>
      <c r="G180" s="1">
        <v>0.16</v>
      </c>
    </row>
    <row r="181" spans="1:7" ht="15" thickBot="1" x14ac:dyDescent="0.35">
      <c r="A181" s="1">
        <v>180</v>
      </c>
      <c r="B181" s="3">
        <v>40551</v>
      </c>
      <c r="C181" s="1">
        <v>18</v>
      </c>
      <c r="D181" s="2" t="b">
        <v>0</v>
      </c>
      <c r="E181" s="1">
        <v>6</v>
      </c>
      <c r="F181" s="1">
        <v>1</v>
      </c>
      <c r="G181" s="1">
        <v>0.14000000000000001</v>
      </c>
    </row>
    <row r="182" spans="1:7" ht="15" thickBot="1" x14ac:dyDescent="0.35">
      <c r="A182" s="1">
        <v>181</v>
      </c>
      <c r="B182" s="3">
        <v>40551</v>
      </c>
      <c r="C182" s="1">
        <v>19</v>
      </c>
      <c r="D182" s="2" t="b">
        <v>0</v>
      </c>
      <c r="E182" s="1">
        <v>6</v>
      </c>
      <c r="F182" s="1">
        <v>1</v>
      </c>
      <c r="G182" s="1">
        <v>0.14000000000000001</v>
      </c>
    </row>
    <row r="183" spans="1:7" ht="15" thickBot="1" x14ac:dyDescent="0.35">
      <c r="A183" s="1">
        <v>182</v>
      </c>
      <c r="B183" s="3">
        <v>40551</v>
      </c>
      <c r="C183" s="1">
        <v>20</v>
      </c>
      <c r="D183" s="2" t="b">
        <v>0</v>
      </c>
      <c r="E183" s="1">
        <v>6</v>
      </c>
      <c r="F183" s="1">
        <v>1</v>
      </c>
      <c r="G183" s="1">
        <v>0.12</v>
      </c>
    </row>
    <row r="184" spans="1:7" ht="15" thickBot="1" x14ac:dyDescent="0.35">
      <c r="A184" s="1">
        <v>183</v>
      </c>
      <c r="B184" s="3">
        <v>40551</v>
      </c>
      <c r="C184" s="1">
        <v>21</v>
      </c>
      <c r="D184" s="2" t="b">
        <v>0</v>
      </c>
      <c r="E184" s="1">
        <v>6</v>
      </c>
      <c r="F184" s="1">
        <v>1</v>
      </c>
      <c r="G184" s="1">
        <v>0.12</v>
      </c>
    </row>
    <row r="185" spans="1:7" ht="15" thickBot="1" x14ac:dyDescent="0.35">
      <c r="A185" s="1">
        <v>184</v>
      </c>
      <c r="B185" s="3">
        <v>40551</v>
      </c>
      <c r="C185" s="1">
        <v>22</v>
      </c>
      <c r="D185" s="2" t="b">
        <v>0</v>
      </c>
      <c r="E185" s="1">
        <v>6</v>
      </c>
      <c r="F185" s="1">
        <v>1</v>
      </c>
      <c r="G185" s="1">
        <v>0.12</v>
      </c>
    </row>
    <row r="186" spans="1:7" ht="15" thickBot="1" x14ac:dyDescent="0.35">
      <c r="A186" s="1">
        <v>185</v>
      </c>
      <c r="B186" s="3">
        <v>40551</v>
      </c>
      <c r="C186" s="1">
        <v>23</v>
      </c>
      <c r="D186" s="2" t="b">
        <v>0</v>
      </c>
      <c r="E186" s="1">
        <v>6</v>
      </c>
      <c r="F186" s="1">
        <v>1</v>
      </c>
      <c r="G186" s="1">
        <v>0.1</v>
      </c>
    </row>
    <row r="187" spans="1:7" ht="15" thickBot="1" x14ac:dyDescent="0.35">
      <c r="A187" s="1">
        <v>186</v>
      </c>
      <c r="B187" s="3">
        <v>40552</v>
      </c>
      <c r="C187" s="1">
        <v>0</v>
      </c>
      <c r="D187" s="2" t="b">
        <v>0</v>
      </c>
      <c r="E187" s="1">
        <v>0</v>
      </c>
      <c r="F187" s="1">
        <v>1</v>
      </c>
      <c r="G187" s="1">
        <v>0.1</v>
      </c>
    </row>
    <row r="188" spans="1:7" ht="15" thickBot="1" x14ac:dyDescent="0.35">
      <c r="A188" s="1">
        <v>187</v>
      </c>
      <c r="B188" s="3">
        <v>40552</v>
      </c>
      <c r="C188" s="1">
        <v>1</v>
      </c>
      <c r="D188" s="2" t="b">
        <v>0</v>
      </c>
      <c r="E188" s="1">
        <v>0</v>
      </c>
      <c r="F188" s="1">
        <v>1</v>
      </c>
      <c r="G188" s="1">
        <v>0.1</v>
      </c>
    </row>
    <row r="189" spans="1:7" ht="15" thickBot="1" x14ac:dyDescent="0.35">
      <c r="A189" s="1">
        <v>188</v>
      </c>
      <c r="B189" s="3">
        <v>40552</v>
      </c>
      <c r="C189" s="1">
        <v>2</v>
      </c>
      <c r="D189" s="2" t="b">
        <v>0</v>
      </c>
      <c r="E189" s="1">
        <v>0</v>
      </c>
      <c r="F189" s="1">
        <v>1</v>
      </c>
      <c r="G189" s="1">
        <v>0.1</v>
      </c>
    </row>
    <row r="190" spans="1:7" ht="15" thickBot="1" x14ac:dyDescent="0.35">
      <c r="A190" s="1">
        <v>189</v>
      </c>
      <c r="B190" s="3">
        <v>40552</v>
      </c>
      <c r="C190" s="1">
        <v>3</v>
      </c>
      <c r="D190" s="2" t="b">
        <v>0</v>
      </c>
      <c r="E190" s="1">
        <v>0</v>
      </c>
      <c r="F190" s="1">
        <v>1</v>
      </c>
      <c r="G190" s="1">
        <v>0.1</v>
      </c>
    </row>
    <row r="191" spans="1:7" ht="15" thickBot="1" x14ac:dyDescent="0.35">
      <c r="A191" s="1">
        <v>190</v>
      </c>
      <c r="B191" s="3">
        <v>40552</v>
      </c>
      <c r="C191" s="1">
        <v>4</v>
      </c>
      <c r="D191" s="2" t="b">
        <v>0</v>
      </c>
      <c r="E191" s="1">
        <v>0</v>
      </c>
      <c r="F191" s="1">
        <v>1</v>
      </c>
      <c r="G191" s="1">
        <v>0.08</v>
      </c>
    </row>
    <row r="192" spans="1:7" ht="15" thickBot="1" x14ac:dyDescent="0.35">
      <c r="A192" s="1">
        <v>191</v>
      </c>
      <c r="B192" s="3">
        <v>40552</v>
      </c>
      <c r="C192" s="1">
        <v>5</v>
      </c>
      <c r="D192" s="2" t="b">
        <v>0</v>
      </c>
      <c r="E192" s="1">
        <v>0</v>
      </c>
      <c r="F192" s="1">
        <v>1</v>
      </c>
      <c r="G192" s="1">
        <v>0.08</v>
      </c>
    </row>
    <row r="193" spans="1:7" ht="15" thickBot="1" x14ac:dyDescent="0.35">
      <c r="A193" s="1">
        <v>192</v>
      </c>
      <c r="B193" s="3">
        <v>40552</v>
      </c>
      <c r="C193" s="1">
        <v>6</v>
      </c>
      <c r="D193" s="2" t="b">
        <v>0</v>
      </c>
      <c r="E193" s="1">
        <v>0</v>
      </c>
      <c r="F193" s="1">
        <v>1</v>
      </c>
      <c r="G193" s="1">
        <v>0.1</v>
      </c>
    </row>
    <row r="194" spans="1:7" ht="15" thickBot="1" x14ac:dyDescent="0.35">
      <c r="A194" s="1">
        <v>193</v>
      </c>
      <c r="B194" s="3">
        <v>40552</v>
      </c>
      <c r="C194" s="1">
        <v>7</v>
      </c>
      <c r="D194" s="2" t="b">
        <v>0</v>
      </c>
      <c r="E194" s="1">
        <v>0</v>
      </c>
      <c r="F194" s="1">
        <v>1</v>
      </c>
      <c r="G194" s="1">
        <v>0.08</v>
      </c>
    </row>
    <row r="195" spans="1:7" ht="15" thickBot="1" x14ac:dyDescent="0.35">
      <c r="A195" s="1">
        <v>194</v>
      </c>
      <c r="B195" s="3">
        <v>40552</v>
      </c>
      <c r="C195" s="1">
        <v>8</v>
      </c>
      <c r="D195" s="2" t="b">
        <v>0</v>
      </c>
      <c r="E195" s="1">
        <v>0</v>
      </c>
      <c r="F195" s="1">
        <v>1</v>
      </c>
      <c r="G195" s="1">
        <v>0.1</v>
      </c>
    </row>
    <row r="196" spans="1:7" ht="15" thickBot="1" x14ac:dyDescent="0.35">
      <c r="A196" s="1">
        <v>195</v>
      </c>
      <c r="B196" s="3">
        <v>40552</v>
      </c>
      <c r="C196" s="1">
        <v>9</v>
      </c>
      <c r="D196" s="2" t="b">
        <v>0</v>
      </c>
      <c r="E196" s="1">
        <v>0</v>
      </c>
      <c r="F196" s="1">
        <v>1</v>
      </c>
      <c r="G196" s="1">
        <v>0.12</v>
      </c>
    </row>
    <row r="197" spans="1:7" ht="15" thickBot="1" x14ac:dyDescent="0.35">
      <c r="A197" s="1">
        <v>196</v>
      </c>
      <c r="B197" s="3">
        <v>40552</v>
      </c>
      <c r="C197" s="1">
        <v>10</v>
      </c>
      <c r="D197" s="2" t="b">
        <v>0</v>
      </c>
      <c r="E197" s="1">
        <v>0</v>
      </c>
      <c r="F197" s="1">
        <v>1</v>
      </c>
      <c r="G197" s="1">
        <v>0.14000000000000001</v>
      </c>
    </row>
    <row r="198" spans="1:7" ht="15" thickBot="1" x14ac:dyDescent="0.35">
      <c r="A198" s="1">
        <v>197</v>
      </c>
      <c r="B198" s="3">
        <v>40552</v>
      </c>
      <c r="C198" s="1">
        <v>11</v>
      </c>
      <c r="D198" s="2" t="b">
        <v>0</v>
      </c>
      <c r="E198" s="1">
        <v>0</v>
      </c>
      <c r="F198" s="1">
        <v>1</v>
      </c>
      <c r="G198" s="1">
        <v>0.16</v>
      </c>
    </row>
    <row r="199" spans="1:7" ht="15" thickBot="1" x14ac:dyDescent="0.35">
      <c r="A199" s="1">
        <v>198</v>
      </c>
      <c r="B199" s="3">
        <v>40552</v>
      </c>
      <c r="C199" s="1">
        <v>12</v>
      </c>
      <c r="D199" s="2" t="b">
        <v>0</v>
      </c>
      <c r="E199" s="1">
        <v>0</v>
      </c>
      <c r="F199" s="1">
        <v>1</v>
      </c>
      <c r="G199" s="1">
        <v>0.18</v>
      </c>
    </row>
    <row r="200" spans="1:7" ht="15" thickBot="1" x14ac:dyDescent="0.35">
      <c r="A200" s="1">
        <v>199</v>
      </c>
      <c r="B200" s="3">
        <v>40552</v>
      </c>
      <c r="C200" s="1">
        <v>13</v>
      </c>
      <c r="D200" s="2" t="b">
        <v>0</v>
      </c>
      <c r="E200" s="1">
        <v>0</v>
      </c>
      <c r="F200" s="1">
        <v>1</v>
      </c>
      <c r="G200" s="1">
        <v>0.2</v>
      </c>
    </row>
    <row r="201" spans="1:7" ht="15" thickBot="1" x14ac:dyDescent="0.35">
      <c r="A201" s="1">
        <v>200</v>
      </c>
      <c r="B201" s="3">
        <v>40552</v>
      </c>
      <c r="C201" s="1">
        <v>14</v>
      </c>
      <c r="D201" s="2" t="b">
        <v>0</v>
      </c>
      <c r="E201" s="1">
        <v>0</v>
      </c>
      <c r="F201" s="1">
        <v>1</v>
      </c>
      <c r="G201" s="1">
        <v>0.22</v>
      </c>
    </row>
    <row r="202" spans="1:7" ht="15" thickBot="1" x14ac:dyDescent="0.35">
      <c r="A202" s="1">
        <v>201</v>
      </c>
      <c r="B202" s="3">
        <v>40552</v>
      </c>
      <c r="C202" s="1">
        <v>15</v>
      </c>
      <c r="D202" s="2" t="b">
        <v>0</v>
      </c>
      <c r="E202" s="1">
        <v>0</v>
      </c>
      <c r="F202" s="1">
        <v>1</v>
      </c>
      <c r="G202" s="1">
        <v>0.22</v>
      </c>
    </row>
    <row r="203" spans="1:7" ht="15" thickBot="1" x14ac:dyDescent="0.35">
      <c r="A203" s="1">
        <v>202</v>
      </c>
      <c r="B203" s="3">
        <v>40552</v>
      </c>
      <c r="C203" s="1">
        <v>16</v>
      </c>
      <c r="D203" s="2" t="b">
        <v>0</v>
      </c>
      <c r="E203" s="1">
        <v>0</v>
      </c>
      <c r="F203" s="1">
        <v>1</v>
      </c>
      <c r="G203" s="1">
        <v>0.2</v>
      </c>
    </row>
    <row r="204" spans="1:7" ht="15" thickBot="1" x14ac:dyDescent="0.35">
      <c r="A204" s="1">
        <v>203</v>
      </c>
      <c r="B204" s="3">
        <v>40552</v>
      </c>
      <c r="C204" s="1">
        <v>17</v>
      </c>
      <c r="D204" s="2" t="b">
        <v>0</v>
      </c>
      <c r="E204" s="1">
        <v>0</v>
      </c>
      <c r="F204" s="1">
        <v>1</v>
      </c>
      <c r="G204" s="1">
        <v>0.18</v>
      </c>
    </row>
    <row r="205" spans="1:7" ht="15" thickBot="1" x14ac:dyDescent="0.35">
      <c r="A205" s="1">
        <v>204</v>
      </c>
      <c r="B205" s="3">
        <v>40552</v>
      </c>
      <c r="C205" s="1">
        <v>18</v>
      </c>
      <c r="D205" s="2" t="b">
        <v>0</v>
      </c>
      <c r="E205" s="1">
        <v>0</v>
      </c>
      <c r="F205" s="1">
        <v>1</v>
      </c>
      <c r="G205" s="1">
        <v>0.16</v>
      </c>
    </row>
    <row r="206" spans="1:7" ht="15" thickBot="1" x14ac:dyDescent="0.35">
      <c r="A206" s="1">
        <v>205</v>
      </c>
      <c r="B206" s="3">
        <v>40552</v>
      </c>
      <c r="C206" s="1">
        <v>19</v>
      </c>
      <c r="D206" s="2" t="b">
        <v>0</v>
      </c>
      <c r="E206" s="1">
        <v>0</v>
      </c>
      <c r="F206" s="1">
        <v>1</v>
      </c>
      <c r="G206" s="1">
        <v>0.16</v>
      </c>
    </row>
    <row r="207" spans="1:7" ht="15" thickBot="1" x14ac:dyDescent="0.35">
      <c r="A207" s="1">
        <v>206</v>
      </c>
      <c r="B207" s="3">
        <v>40552</v>
      </c>
      <c r="C207" s="1">
        <v>20</v>
      </c>
      <c r="D207" s="2" t="b">
        <v>0</v>
      </c>
      <c r="E207" s="1">
        <v>0</v>
      </c>
      <c r="F207" s="1">
        <v>1</v>
      </c>
      <c r="G207" s="1">
        <v>0.14000000000000001</v>
      </c>
    </row>
    <row r="208" spans="1:7" ht="15" thickBot="1" x14ac:dyDescent="0.35">
      <c r="A208" s="1">
        <v>207</v>
      </c>
      <c r="B208" s="3">
        <v>40552</v>
      </c>
      <c r="C208" s="1">
        <v>21</v>
      </c>
      <c r="D208" s="2" t="b">
        <v>0</v>
      </c>
      <c r="E208" s="1">
        <v>0</v>
      </c>
      <c r="F208" s="1">
        <v>1</v>
      </c>
      <c r="G208" s="1">
        <v>0.14000000000000001</v>
      </c>
    </row>
    <row r="209" spans="1:7" ht="15" thickBot="1" x14ac:dyDescent="0.35">
      <c r="A209" s="1">
        <v>208</v>
      </c>
      <c r="B209" s="3">
        <v>40552</v>
      </c>
      <c r="C209" s="1">
        <v>22</v>
      </c>
      <c r="D209" s="2" t="b">
        <v>0</v>
      </c>
      <c r="E209" s="1">
        <v>0</v>
      </c>
      <c r="F209" s="1">
        <v>1</v>
      </c>
      <c r="G209" s="1">
        <v>0.14000000000000001</v>
      </c>
    </row>
    <row r="210" spans="1:7" ht="15" thickBot="1" x14ac:dyDescent="0.35">
      <c r="A210" s="1">
        <v>209</v>
      </c>
      <c r="B210" s="3">
        <v>40552</v>
      </c>
      <c r="C210" s="1">
        <v>23</v>
      </c>
      <c r="D210" s="2" t="b">
        <v>0</v>
      </c>
      <c r="E210" s="1">
        <v>0</v>
      </c>
      <c r="F210" s="1">
        <v>1</v>
      </c>
      <c r="G210" s="1">
        <v>0.12</v>
      </c>
    </row>
    <row r="211" spans="1:7" ht="15" thickBot="1" x14ac:dyDescent="0.35">
      <c r="A211" s="1">
        <v>210</v>
      </c>
      <c r="B211" s="3">
        <v>40553</v>
      </c>
      <c r="C211" s="1">
        <v>0</v>
      </c>
      <c r="D211" s="2" t="b">
        <v>0</v>
      </c>
      <c r="E211" s="1">
        <v>1</v>
      </c>
      <c r="F211" s="1">
        <v>1</v>
      </c>
      <c r="G211" s="1">
        <v>0.12</v>
      </c>
    </row>
    <row r="212" spans="1:7" ht="15" thickBot="1" x14ac:dyDescent="0.35">
      <c r="A212" s="1">
        <v>211</v>
      </c>
      <c r="B212" s="3">
        <v>40553</v>
      </c>
      <c r="C212" s="1">
        <v>1</v>
      </c>
      <c r="D212" s="2" t="b">
        <v>0</v>
      </c>
      <c r="E212" s="1">
        <v>1</v>
      </c>
      <c r="F212" s="1">
        <v>1</v>
      </c>
      <c r="G212" s="1">
        <v>0.12</v>
      </c>
    </row>
    <row r="213" spans="1:7" ht="15" thickBot="1" x14ac:dyDescent="0.35">
      <c r="A213" s="1">
        <v>212</v>
      </c>
      <c r="B213" s="3">
        <v>40553</v>
      </c>
      <c r="C213" s="1">
        <v>2</v>
      </c>
      <c r="D213" s="2" t="b">
        <v>0</v>
      </c>
      <c r="E213" s="1">
        <v>1</v>
      </c>
      <c r="F213" s="1">
        <v>1</v>
      </c>
      <c r="G213" s="1">
        <v>0.12</v>
      </c>
    </row>
    <row r="214" spans="1:7" ht="15" thickBot="1" x14ac:dyDescent="0.35">
      <c r="A214" s="1">
        <v>213</v>
      </c>
      <c r="B214" s="3">
        <v>40553</v>
      </c>
      <c r="C214" s="1">
        <v>3</v>
      </c>
      <c r="D214" s="2" t="b">
        <v>0</v>
      </c>
      <c r="E214" s="1">
        <v>1</v>
      </c>
      <c r="F214" s="1">
        <v>1</v>
      </c>
      <c r="G214" s="1">
        <v>0.12</v>
      </c>
    </row>
    <row r="215" spans="1:7" ht="15" thickBot="1" x14ac:dyDescent="0.35">
      <c r="A215" s="1">
        <v>214</v>
      </c>
      <c r="B215" s="3">
        <v>40553</v>
      </c>
      <c r="C215" s="1">
        <v>4</v>
      </c>
      <c r="D215" s="2" t="b">
        <v>0</v>
      </c>
      <c r="E215" s="1">
        <v>1</v>
      </c>
      <c r="F215" s="1">
        <v>1</v>
      </c>
      <c r="G215" s="1">
        <v>0.1</v>
      </c>
    </row>
    <row r="216" spans="1:7" ht="15" thickBot="1" x14ac:dyDescent="0.35">
      <c r="A216" s="1">
        <v>215</v>
      </c>
      <c r="B216" s="3">
        <v>40553</v>
      </c>
      <c r="C216" s="1">
        <v>5</v>
      </c>
      <c r="D216" s="2" t="b">
        <v>0</v>
      </c>
      <c r="E216" s="1">
        <v>1</v>
      </c>
      <c r="F216" s="1">
        <v>1</v>
      </c>
      <c r="G216" s="1">
        <v>0.1</v>
      </c>
    </row>
    <row r="217" spans="1:7" ht="15" thickBot="1" x14ac:dyDescent="0.35">
      <c r="A217" s="1">
        <v>216</v>
      </c>
      <c r="B217" s="3">
        <v>40553</v>
      </c>
      <c r="C217" s="1">
        <v>6</v>
      </c>
      <c r="D217" s="2" t="b">
        <v>0</v>
      </c>
      <c r="E217" s="1">
        <v>1</v>
      </c>
      <c r="F217" s="1">
        <v>1</v>
      </c>
      <c r="G217" s="1">
        <v>0.12</v>
      </c>
    </row>
    <row r="218" spans="1:7" ht="15" thickBot="1" x14ac:dyDescent="0.35">
      <c r="A218" s="1">
        <v>217</v>
      </c>
      <c r="B218" s="3">
        <v>40553</v>
      </c>
      <c r="C218" s="1">
        <v>7</v>
      </c>
      <c r="D218" s="2" t="b">
        <v>0</v>
      </c>
      <c r="E218" s="1">
        <v>1</v>
      </c>
      <c r="F218" s="1">
        <v>1</v>
      </c>
      <c r="G218" s="1">
        <v>0.12</v>
      </c>
    </row>
    <row r="219" spans="1:7" ht="15" thickBot="1" x14ac:dyDescent="0.35">
      <c r="A219" s="1">
        <v>218</v>
      </c>
      <c r="B219" s="3">
        <v>40553</v>
      </c>
      <c r="C219" s="1">
        <v>8</v>
      </c>
      <c r="D219" s="2" t="b">
        <v>0</v>
      </c>
      <c r="E219" s="1">
        <v>1</v>
      </c>
      <c r="F219" s="1">
        <v>2</v>
      </c>
      <c r="G219" s="1">
        <v>0.12</v>
      </c>
    </row>
    <row r="220" spans="1:7" ht="15" thickBot="1" x14ac:dyDescent="0.35">
      <c r="A220" s="1">
        <v>219</v>
      </c>
      <c r="B220" s="3">
        <v>40553</v>
      </c>
      <c r="C220" s="1">
        <v>9</v>
      </c>
      <c r="D220" s="2" t="b">
        <v>0</v>
      </c>
      <c r="E220" s="1">
        <v>1</v>
      </c>
      <c r="F220" s="1">
        <v>2</v>
      </c>
      <c r="G220" s="1">
        <v>0.14000000000000001</v>
      </c>
    </row>
    <row r="221" spans="1:7" ht="15" thickBot="1" x14ac:dyDescent="0.35">
      <c r="A221" s="1">
        <v>220</v>
      </c>
      <c r="B221" s="3">
        <v>40553</v>
      </c>
      <c r="C221" s="1">
        <v>10</v>
      </c>
      <c r="D221" s="2" t="b">
        <v>0</v>
      </c>
      <c r="E221" s="1">
        <v>1</v>
      </c>
      <c r="F221" s="1">
        <v>2</v>
      </c>
      <c r="G221" s="1">
        <v>0.14000000000000001</v>
      </c>
    </row>
    <row r="222" spans="1:7" ht="15" thickBot="1" x14ac:dyDescent="0.35">
      <c r="A222" s="1">
        <v>221</v>
      </c>
      <c r="B222" s="3">
        <v>40553</v>
      </c>
      <c r="C222" s="1">
        <v>11</v>
      </c>
      <c r="D222" s="2" t="b">
        <v>0</v>
      </c>
      <c r="E222" s="1">
        <v>1</v>
      </c>
      <c r="F222" s="1">
        <v>2</v>
      </c>
      <c r="G222" s="1">
        <v>0.16</v>
      </c>
    </row>
    <row r="223" spans="1:7" ht="15" thickBot="1" x14ac:dyDescent="0.35">
      <c r="A223" s="1">
        <v>222</v>
      </c>
      <c r="B223" s="3">
        <v>40553</v>
      </c>
      <c r="C223" s="1">
        <v>12</v>
      </c>
      <c r="D223" s="2" t="b">
        <v>0</v>
      </c>
      <c r="E223" s="1">
        <v>1</v>
      </c>
      <c r="F223" s="1">
        <v>2</v>
      </c>
      <c r="G223" s="1">
        <v>0.2</v>
      </c>
    </row>
    <row r="224" spans="1:7" ht="15" thickBot="1" x14ac:dyDescent="0.35">
      <c r="A224" s="1">
        <v>223</v>
      </c>
      <c r="B224" s="3">
        <v>40553</v>
      </c>
      <c r="C224" s="1">
        <v>13</v>
      </c>
      <c r="D224" s="2" t="b">
        <v>0</v>
      </c>
      <c r="E224" s="1">
        <v>1</v>
      </c>
      <c r="F224" s="1">
        <v>2</v>
      </c>
      <c r="G224" s="1">
        <v>0.2</v>
      </c>
    </row>
    <row r="225" spans="1:7" ht="15" thickBot="1" x14ac:dyDescent="0.35">
      <c r="A225" s="1">
        <v>224</v>
      </c>
      <c r="B225" s="3">
        <v>40553</v>
      </c>
      <c r="C225" s="1">
        <v>14</v>
      </c>
      <c r="D225" s="2" t="b">
        <v>0</v>
      </c>
      <c r="E225" s="1">
        <v>1</v>
      </c>
      <c r="F225" s="1">
        <v>2</v>
      </c>
      <c r="G225" s="1">
        <v>0.2</v>
      </c>
    </row>
    <row r="226" spans="1:7" ht="15" thickBot="1" x14ac:dyDescent="0.35">
      <c r="A226" s="1">
        <v>225</v>
      </c>
      <c r="B226" s="3">
        <v>40553</v>
      </c>
      <c r="C226" s="1">
        <v>15</v>
      </c>
      <c r="D226" s="2" t="b">
        <v>0</v>
      </c>
      <c r="E226" s="1">
        <v>1</v>
      </c>
      <c r="F226" s="1">
        <v>2</v>
      </c>
      <c r="G226" s="1">
        <v>0.2</v>
      </c>
    </row>
    <row r="227" spans="1:7" ht="15" thickBot="1" x14ac:dyDescent="0.35">
      <c r="A227" s="1">
        <v>226</v>
      </c>
      <c r="B227" s="3">
        <v>40553</v>
      </c>
      <c r="C227" s="1">
        <v>16</v>
      </c>
      <c r="D227" s="2" t="b">
        <v>0</v>
      </c>
      <c r="E227" s="1">
        <v>1</v>
      </c>
      <c r="F227" s="1">
        <v>1</v>
      </c>
      <c r="G227" s="1">
        <v>0.2</v>
      </c>
    </row>
    <row r="228" spans="1:7" ht="15" thickBot="1" x14ac:dyDescent="0.35">
      <c r="A228" s="1">
        <v>227</v>
      </c>
      <c r="B228" s="3">
        <v>40553</v>
      </c>
      <c r="C228" s="1">
        <v>17</v>
      </c>
      <c r="D228" s="2" t="b">
        <v>0</v>
      </c>
      <c r="E228" s="1">
        <v>1</v>
      </c>
      <c r="F228" s="1">
        <v>1</v>
      </c>
      <c r="G228" s="1">
        <v>0.2</v>
      </c>
    </row>
    <row r="229" spans="1:7" ht="15" thickBot="1" x14ac:dyDescent="0.35">
      <c r="A229" s="1">
        <v>228</v>
      </c>
      <c r="B229" s="3">
        <v>40553</v>
      </c>
      <c r="C229" s="1">
        <v>18</v>
      </c>
      <c r="D229" s="2" t="b">
        <v>0</v>
      </c>
      <c r="E229" s="1">
        <v>1</v>
      </c>
      <c r="F229" s="1">
        <v>1</v>
      </c>
      <c r="G229" s="1">
        <v>0.2</v>
      </c>
    </row>
    <row r="230" spans="1:7" ht="15" thickBot="1" x14ac:dyDescent="0.35">
      <c r="A230" s="1">
        <v>229</v>
      </c>
      <c r="B230" s="3">
        <v>40553</v>
      </c>
      <c r="C230" s="1">
        <v>19</v>
      </c>
      <c r="D230" s="2" t="b">
        <v>0</v>
      </c>
      <c r="E230" s="1">
        <v>1</v>
      </c>
      <c r="F230" s="1">
        <v>1</v>
      </c>
      <c r="G230" s="1">
        <v>0.16</v>
      </c>
    </row>
    <row r="231" spans="1:7" ht="15" thickBot="1" x14ac:dyDescent="0.35">
      <c r="A231" s="1">
        <v>230</v>
      </c>
      <c r="B231" s="3">
        <v>40553</v>
      </c>
      <c r="C231" s="1">
        <v>20</v>
      </c>
      <c r="D231" s="2" t="b">
        <v>0</v>
      </c>
      <c r="E231" s="1">
        <v>1</v>
      </c>
      <c r="F231" s="1">
        <v>1</v>
      </c>
      <c r="G231" s="1">
        <v>0.16</v>
      </c>
    </row>
    <row r="232" spans="1:7" ht="15" thickBot="1" x14ac:dyDescent="0.35">
      <c r="A232" s="1">
        <v>231</v>
      </c>
      <c r="B232" s="3">
        <v>40553</v>
      </c>
      <c r="C232" s="1">
        <v>21</v>
      </c>
      <c r="D232" s="2" t="b">
        <v>0</v>
      </c>
      <c r="E232" s="1">
        <v>1</v>
      </c>
      <c r="F232" s="1">
        <v>1</v>
      </c>
      <c r="G232" s="1">
        <v>0.14000000000000001</v>
      </c>
    </row>
    <row r="233" spans="1:7" ht="15" thickBot="1" x14ac:dyDescent="0.35">
      <c r="A233" s="1">
        <v>232</v>
      </c>
      <c r="B233" s="3">
        <v>40553</v>
      </c>
      <c r="C233" s="1">
        <v>22</v>
      </c>
      <c r="D233" s="2" t="b">
        <v>0</v>
      </c>
      <c r="E233" s="1">
        <v>1</v>
      </c>
      <c r="F233" s="1">
        <v>1</v>
      </c>
      <c r="G233" s="1">
        <v>0.14000000000000001</v>
      </c>
    </row>
    <row r="234" spans="1:7" ht="15" thickBot="1" x14ac:dyDescent="0.35">
      <c r="A234" s="1">
        <v>233</v>
      </c>
      <c r="B234" s="3">
        <v>40553</v>
      </c>
      <c r="C234" s="1">
        <v>23</v>
      </c>
      <c r="D234" s="2" t="b">
        <v>0</v>
      </c>
      <c r="E234" s="1">
        <v>1</v>
      </c>
      <c r="F234" s="1">
        <v>1</v>
      </c>
      <c r="G234" s="1">
        <v>0.14000000000000001</v>
      </c>
    </row>
    <row r="235" spans="1:7" ht="15" thickBot="1" x14ac:dyDescent="0.35">
      <c r="A235" s="1">
        <v>234</v>
      </c>
      <c r="B235" s="3">
        <v>40554</v>
      </c>
      <c r="C235" s="1">
        <v>0</v>
      </c>
      <c r="D235" s="2" t="b">
        <v>0</v>
      </c>
      <c r="E235" s="1">
        <v>2</v>
      </c>
      <c r="F235" s="1">
        <v>1</v>
      </c>
      <c r="G235" s="1">
        <v>0.14000000000000001</v>
      </c>
    </row>
    <row r="236" spans="1:7" ht="15" thickBot="1" x14ac:dyDescent="0.35">
      <c r="A236" s="1">
        <v>235</v>
      </c>
      <c r="B236" s="3">
        <v>40554</v>
      </c>
      <c r="C236" s="1">
        <v>1</v>
      </c>
      <c r="D236" s="2" t="b">
        <v>0</v>
      </c>
      <c r="E236" s="1">
        <v>2</v>
      </c>
      <c r="F236" s="1">
        <v>1</v>
      </c>
      <c r="G236" s="1">
        <v>0.14000000000000001</v>
      </c>
    </row>
    <row r="237" spans="1:7" ht="15" thickBot="1" x14ac:dyDescent="0.35">
      <c r="A237" s="1">
        <v>236</v>
      </c>
      <c r="B237" s="3">
        <v>40554</v>
      </c>
      <c r="C237" s="1">
        <v>2</v>
      </c>
      <c r="D237" s="2" t="b">
        <v>0</v>
      </c>
      <c r="E237" s="1">
        <v>2</v>
      </c>
      <c r="F237" s="1">
        <v>2</v>
      </c>
      <c r="G237" s="1">
        <v>0.16</v>
      </c>
    </row>
    <row r="238" spans="1:7" ht="15" thickBot="1" x14ac:dyDescent="0.35">
      <c r="A238" s="1">
        <v>237</v>
      </c>
      <c r="B238" s="3">
        <v>40554</v>
      </c>
      <c r="C238" s="1">
        <v>5</v>
      </c>
      <c r="D238" s="2" t="b">
        <v>0</v>
      </c>
      <c r="E238" s="1">
        <v>2</v>
      </c>
      <c r="F238" s="1">
        <v>2</v>
      </c>
      <c r="G238" s="1">
        <v>0.16</v>
      </c>
    </row>
    <row r="239" spans="1:7" ht="15" thickBot="1" x14ac:dyDescent="0.35">
      <c r="A239" s="1">
        <v>238</v>
      </c>
      <c r="B239" s="3">
        <v>40554</v>
      </c>
      <c r="C239" s="1">
        <v>6</v>
      </c>
      <c r="D239" s="2" t="b">
        <v>0</v>
      </c>
      <c r="E239" s="1">
        <v>2</v>
      </c>
      <c r="F239" s="1">
        <v>2</v>
      </c>
      <c r="G239" s="1">
        <v>0.16</v>
      </c>
    </row>
    <row r="240" spans="1:7" ht="15" thickBot="1" x14ac:dyDescent="0.35">
      <c r="A240" s="1">
        <v>239</v>
      </c>
      <c r="B240" s="3">
        <v>40554</v>
      </c>
      <c r="C240" s="1">
        <v>7</v>
      </c>
      <c r="D240" s="2" t="b">
        <v>0</v>
      </c>
      <c r="E240" s="1">
        <v>2</v>
      </c>
      <c r="F240" s="1">
        <v>2</v>
      </c>
      <c r="G240" s="1">
        <v>0.16</v>
      </c>
    </row>
    <row r="241" spans="1:7" ht="15" thickBot="1" x14ac:dyDescent="0.35">
      <c r="A241" s="1">
        <v>240</v>
      </c>
      <c r="B241" s="3">
        <v>40554</v>
      </c>
      <c r="C241" s="1">
        <v>8</v>
      </c>
      <c r="D241" s="2" t="b">
        <v>0</v>
      </c>
      <c r="E241" s="1">
        <v>2</v>
      </c>
      <c r="F241" s="1">
        <v>2</v>
      </c>
      <c r="G241" s="1">
        <v>0.18</v>
      </c>
    </row>
    <row r="242" spans="1:7" ht="15" thickBot="1" x14ac:dyDescent="0.35">
      <c r="A242" s="1">
        <v>241</v>
      </c>
      <c r="B242" s="3">
        <v>40554</v>
      </c>
      <c r="C242" s="1">
        <v>9</v>
      </c>
      <c r="D242" s="2" t="b">
        <v>0</v>
      </c>
      <c r="E242" s="1">
        <v>2</v>
      </c>
      <c r="F242" s="1">
        <v>2</v>
      </c>
      <c r="G242" s="1">
        <v>0.18</v>
      </c>
    </row>
    <row r="243" spans="1:7" ht="15" thickBot="1" x14ac:dyDescent="0.35">
      <c r="A243" s="1">
        <v>242</v>
      </c>
      <c r="B243" s="3">
        <v>40554</v>
      </c>
      <c r="C243" s="1">
        <v>10</v>
      </c>
      <c r="D243" s="2" t="b">
        <v>0</v>
      </c>
      <c r="E243" s="1">
        <v>2</v>
      </c>
      <c r="F243" s="1">
        <v>2</v>
      </c>
      <c r="G243" s="1">
        <v>0.2</v>
      </c>
    </row>
    <row r="244" spans="1:7" ht="15" thickBot="1" x14ac:dyDescent="0.35">
      <c r="A244" s="1">
        <v>243</v>
      </c>
      <c r="B244" s="3">
        <v>40554</v>
      </c>
      <c r="C244" s="1">
        <v>11</v>
      </c>
      <c r="D244" s="2" t="b">
        <v>0</v>
      </c>
      <c r="E244" s="1">
        <v>2</v>
      </c>
      <c r="F244" s="1">
        <v>2</v>
      </c>
      <c r="G244" s="1">
        <v>0.2</v>
      </c>
    </row>
    <row r="245" spans="1:7" ht="15" thickBot="1" x14ac:dyDescent="0.35">
      <c r="A245" s="1">
        <v>244</v>
      </c>
      <c r="B245" s="3">
        <v>40554</v>
      </c>
      <c r="C245" s="1">
        <v>12</v>
      </c>
      <c r="D245" s="2" t="b">
        <v>0</v>
      </c>
      <c r="E245" s="1">
        <v>2</v>
      </c>
      <c r="F245" s="1">
        <v>2</v>
      </c>
      <c r="G245" s="1">
        <v>0.2</v>
      </c>
    </row>
    <row r="246" spans="1:7" ht="15" thickBot="1" x14ac:dyDescent="0.35">
      <c r="A246" s="1">
        <v>245</v>
      </c>
      <c r="B246" s="3">
        <v>40554</v>
      </c>
      <c r="C246" s="1">
        <v>13</v>
      </c>
      <c r="D246" s="2" t="b">
        <v>0</v>
      </c>
      <c r="E246" s="1">
        <v>2</v>
      </c>
      <c r="F246" s="1">
        <v>2</v>
      </c>
      <c r="G246" s="1">
        <v>0.2</v>
      </c>
    </row>
    <row r="247" spans="1:7" ht="15" thickBot="1" x14ac:dyDescent="0.35">
      <c r="A247" s="1">
        <v>246</v>
      </c>
      <c r="B247" s="3">
        <v>40554</v>
      </c>
      <c r="C247" s="1">
        <v>14</v>
      </c>
      <c r="D247" s="2" t="b">
        <v>0</v>
      </c>
      <c r="E247" s="1">
        <v>2</v>
      </c>
      <c r="F247" s="1">
        <v>2</v>
      </c>
      <c r="G247" s="1">
        <v>0.2</v>
      </c>
    </row>
    <row r="248" spans="1:7" ht="15" thickBot="1" x14ac:dyDescent="0.35">
      <c r="A248" s="1">
        <v>247</v>
      </c>
      <c r="B248" s="3">
        <v>40554</v>
      </c>
      <c r="C248" s="1">
        <v>15</v>
      </c>
      <c r="D248" s="2" t="b">
        <v>0</v>
      </c>
      <c r="E248" s="1">
        <v>2</v>
      </c>
      <c r="F248" s="1">
        <v>2</v>
      </c>
      <c r="G248" s="1">
        <v>0.16</v>
      </c>
    </row>
    <row r="249" spans="1:7" ht="15" thickBot="1" x14ac:dyDescent="0.35">
      <c r="A249" s="1">
        <v>248</v>
      </c>
      <c r="B249" s="3">
        <v>40554</v>
      </c>
      <c r="C249" s="1">
        <v>16</v>
      </c>
      <c r="D249" s="2" t="b">
        <v>0</v>
      </c>
      <c r="E249" s="1">
        <v>2</v>
      </c>
      <c r="F249" s="1">
        <v>2</v>
      </c>
      <c r="G249" s="1">
        <v>0.16</v>
      </c>
    </row>
    <row r="250" spans="1:7" ht="15" thickBot="1" x14ac:dyDescent="0.35">
      <c r="A250" s="1">
        <v>249</v>
      </c>
      <c r="B250" s="3">
        <v>40554</v>
      </c>
      <c r="C250" s="1">
        <v>17</v>
      </c>
      <c r="D250" s="2" t="b">
        <v>0</v>
      </c>
      <c r="E250" s="1">
        <v>2</v>
      </c>
      <c r="F250" s="1">
        <v>2</v>
      </c>
      <c r="G250" s="1">
        <v>0.16</v>
      </c>
    </row>
    <row r="251" spans="1:7" ht="15" thickBot="1" x14ac:dyDescent="0.35">
      <c r="A251" s="1">
        <v>250</v>
      </c>
      <c r="B251" s="3">
        <v>40554</v>
      </c>
      <c r="C251" s="1">
        <v>18</v>
      </c>
      <c r="D251" s="2" t="b">
        <v>0</v>
      </c>
      <c r="E251" s="1">
        <v>2</v>
      </c>
      <c r="F251" s="1">
        <v>3</v>
      </c>
      <c r="G251" s="1">
        <v>0.16</v>
      </c>
    </row>
    <row r="252" spans="1:7" ht="15" thickBot="1" x14ac:dyDescent="0.35">
      <c r="A252" s="1">
        <v>251</v>
      </c>
      <c r="B252" s="3">
        <v>40554</v>
      </c>
      <c r="C252" s="1">
        <v>19</v>
      </c>
      <c r="D252" s="2" t="b">
        <v>0</v>
      </c>
      <c r="E252" s="1">
        <v>2</v>
      </c>
      <c r="F252" s="1">
        <v>3</v>
      </c>
      <c r="G252" s="1">
        <v>0.16</v>
      </c>
    </row>
    <row r="253" spans="1:7" ht="15" thickBot="1" x14ac:dyDescent="0.35">
      <c r="A253" s="1">
        <v>252</v>
      </c>
      <c r="B253" s="3">
        <v>40554</v>
      </c>
      <c r="C253" s="1">
        <v>20</v>
      </c>
      <c r="D253" s="2" t="b">
        <v>0</v>
      </c>
      <c r="E253" s="1">
        <v>2</v>
      </c>
      <c r="F253" s="1">
        <v>3</v>
      </c>
      <c r="G253" s="1">
        <v>0.16</v>
      </c>
    </row>
    <row r="254" spans="1:7" ht="15" thickBot="1" x14ac:dyDescent="0.35">
      <c r="A254" s="1">
        <v>253</v>
      </c>
      <c r="B254" s="3">
        <v>40554</v>
      </c>
      <c r="C254" s="1">
        <v>21</v>
      </c>
      <c r="D254" s="2" t="b">
        <v>0</v>
      </c>
      <c r="E254" s="1">
        <v>2</v>
      </c>
      <c r="F254" s="1">
        <v>3</v>
      </c>
      <c r="G254" s="1">
        <v>0.16</v>
      </c>
    </row>
    <row r="255" spans="1:7" ht="15" thickBot="1" x14ac:dyDescent="0.35">
      <c r="A255" s="1">
        <v>254</v>
      </c>
      <c r="B255" s="3">
        <v>40554</v>
      </c>
      <c r="C255" s="1">
        <v>22</v>
      </c>
      <c r="D255" s="2" t="b">
        <v>0</v>
      </c>
      <c r="E255" s="1">
        <v>2</v>
      </c>
      <c r="F255" s="1">
        <v>3</v>
      </c>
      <c r="G255" s="1">
        <v>0.16</v>
      </c>
    </row>
    <row r="256" spans="1:7" ht="15" thickBot="1" x14ac:dyDescent="0.35">
      <c r="A256" s="1">
        <v>255</v>
      </c>
      <c r="B256" s="3">
        <v>40554</v>
      </c>
      <c r="C256" s="1">
        <v>23</v>
      </c>
      <c r="D256" s="2" t="b">
        <v>0</v>
      </c>
      <c r="E256" s="1">
        <v>2</v>
      </c>
      <c r="F256" s="1">
        <v>3</v>
      </c>
      <c r="G256" s="1">
        <v>0.16</v>
      </c>
    </row>
    <row r="257" spans="1:7" ht="15" thickBot="1" x14ac:dyDescent="0.35">
      <c r="A257" s="1">
        <v>256</v>
      </c>
      <c r="B257" s="3">
        <v>40555</v>
      </c>
      <c r="C257" s="1">
        <v>0</v>
      </c>
      <c r="D257" s="2" t="b">
        <v>0</v>
      </c>
      <c r="E257" s="1">
        <v>3</v>
      </c>
      <c r="F257" s="1">
        <v>2</v>
      </c>
      <c r="G257" s="1">
        <v>0.16</v>
      </c>
    </row>
    <row r="258" spans="1:7" ht="15" thickBot="1" x14ac:dyDescent="0.35">
      <c r="A258" s="1">
        <v>257</v>
      </c>
      <c r="B258" s="3">
        <v>40555</v>
      </c>
      <c r="C258" s="1">
        <v>1</v>
      </c>
      <c r="D258" s="2" t="b">
        <v>0</v>
      </c>
      <c r="E258" s="1">
        <v>3</v>
      </c>
      <c r="F258" s="1">
        <v>2</v>
      </c>
      <c r="G258" s="1">
        <v>0.16</v>
      </c>
    </row>
    <row r="259" spans="1:7" ht="15" thickBot="1" x14ac:dyDescent="0.35">
      <c r="A259" s="1">
        <v>258</v>
      </c>
      <c r="B259" s="3">
        <v>40555</v>
      </c>
      <c r="C259" s="1">
        <v>2</v>
      </c>
      <c r="D259" s="2" t="b">
        <v>0</v>
      </c>
      <c r="E259" s="1">
        <v>3</v>
      </c>
      <c r="F259" s="1">
        <v>1</v>
      </c>
      <c r="G259" s="1">
        <v>0.14000000000000001</v>
      </c>
    </row>
    <row r="260" spans="1:7" ht="15" thickBot="1" x14ac:dyDescent="0.35">
      <c r="A260" s="1">
        <v>259</v>
      </c>
      <c r="B260" s="3">
        <v>40555</v>
      </c>
      <c r="C260" s="1">
        <v>5</v>
      </c>
      <c r="D260" s="2" t="b">
        <v>0</v>
      </c>
      <c r="E260" s="1">
        <v>3</v>
      </c>
      <c r="F260" s="1">
        <v>1</v>
      </c>
      <c r="G260" s="1">
        <v>0.14000000000000001</v>
      </c>
    </row>
    <row r="261" spans="1:7" ht="15" thickBot="1" x14ac:dyDescent="0.35">
      <c r="A261" s="1">
        <v>260</v>
      </c>
      <c r="B261" s="3">
        <v>40555</v>
      </c>
      <c r="C261" s="1">
        <v>6</v>
      </c>
      <c r="D261" s="2" t="b">
        <v>0</v>
      </c>
      <c r="E261" s="1">
        <v>3</v>
      </c>
      <c r="F261" s="1">
        <v>1</v>
      </c>
      <c r="G261" s="1">
        <v>0.12</v>
      </c>
    </row>
    <row r="262" spans="1:7" ht="15" thickBot="1" x14ac:dyDescent="0.35">
      <c r="A262" s="1">
        <v>261</v>
      </c>
      <c r="B262" s="3">
        <v>40555</v>
      </c>
      <c r="C262" s="1">
        <v>7</v>
      </c>
      <c r="D262" s="2" t="b">
        <v>0</v>
      </c>
      <c r="E262" s="1">
        <v>3</v>
      </c>
      <c r="F262" s="1">
        <v>1</v>
      </c>
      <c r="G262" s="1">
        <v>0.14000000000000001</v>
      </c>
    </row>
    <row r="263" spans="1:7" ht="15" thickBot="1" x14ac:dyDescent="0.35">
      <c r="A263" s="1">
        <v>262</v>
      </c>
      <c r="B263" s="3">
        <v>40555</v>
      </c>
      <c r="C263" s="1">
        <v>8</v>
      </c>
      <c r="D263" s="2" t="b">
        <v>0</v>
      </c>
      <c r="E263" s="1">
        <v>3</v>
      </c>
      <c r="F263" s="1">
        <v>1</v>
      </c>
      <c r="G263" s="1">
        <v>0.16</v>
      </c>
    </row>
    <row r="264" spans="1:7" ht="15" thickBot="1" x14ac:dyDescent="0.35">
      <c r="A264" s="1">
        <v>263</v>
      </c>
      <c r="B264" s="3">
        <v>40555</v>
      </c>
      <c r="C264" s="1">
        <v>9</v>
      </c>
      <c r="D264" s="2" t="b">
        <v>0</v>
      </c>
      <c r="E264" s="1">
        <v>3</v>
      </c>
      <c r="F264" s="1">
        <v>1</v>
      </c>
      <c r="G264" s="1">
        <v>0.16</v>
      </c>
    </row>
    <row r="265" spans="1:7" ht="15" thickBot="1" x14ac:dyDescent="0.35">
      <c r="A265" s="1">
        <v>264</v>
      </c>
      <c r="B265" s="3">
        <v>40555</v>
      </c>
      <c r="C265" s="1">
        <v>10</v>
      </c>
      <c r="D265" s="2" t="b">
        <v>0</v>
      </c>
      <c r="E265" s="1">
        <v>3</v>
      </c>
      <c r="F265" s="1">
        <v>1</v>
      </c>
      <c r="G265" s="1">
        <v>0.18</v>
      </c>
    </row>
    <row r="266" spans="1:7" ht="15" thickBot="1" x14ac:dyDescent="0.35">
      <c r="A266" s="1">
        <v>265</v>
      </c>
      <c r="B266" s="3">
        <v>40555</v>
      </c>
      <c r="C266" s="1">
        <v>11</v>
      </c>
      <c r="D266" s="2" t="b">
        <v>0</v>
      </c>
      <c r="E266" s="1">
        <v>3</v>
      </c>
      <c r="F266" s="1">
        <v>1</v>
      </c>
      <c r="G266" s="1">
        <v>0.2</v>
      </c>
    </row>
    <row r="267" spans="1:7" ht="15" thickBot="1" x14ac:dyDescent="0.35">
      <c r="A267" s="1">
        <v>266</v>
      </c>
      <c r="B267" s="3">
        <v>40555</v>
      </c>
      <c r="C267" s="1">
        <v>12</v>
      </c>
      <c r="D267" s="2" t="b">
        <v>0</v>
      </c>
      <c r="E267" s="1">
        <v>3</v>
      </c>
      <c r="F267" s="1">
        <v>1</v>
      </c>
      <c r="G267" s="1">
        <v>0.2</v>
      </c>
    </row>
    <row r="268" spans="1:7" ht="15" thickBot="1" x14ac:dyDescent="0.35">
      <c r="A268" s="1">
        <v>267</v>
      </c>
      <c r="B268" s="3">
        <v>40555</v>
      </c>
      <c r="C268" s="1">
        <v>13</v>
      </c>
      <c r="D268" s="2" t="b">
        <v>0</v>
      </c>
      <c r="E268" s="1">
        <v>3</v>
      </c>
      <c r="F268" s="1">
        <v>1</v>
      </c>
      <c r="G268" s="1">
        <v>0.22</v>
      </c>
    </row>
    <row r="269" spans="1:7" ht="15" thickBot="1" x14ac:dyDescent="0.35">
      <c r="A269" s="1">
        <v>268</v>
      </c>
      <c r="B269" s="3">
        <v>40555</v>
      </c>
      <c r="C269" s="1">
        <v>14</v>
      </c>
      <c r="D269" s="2" t="b">
        <v>0</v>
      </c>
      <c r="E269" s="1">
        <v>3</v>
      </c>
      <c r="F269" s="1">
        <v>1</v>
      </c>
      <c r="G269" s="1">
        <v>0.2</v>
      </c>
    </row>
    <row r="270" spans="1:7" ht="15" thickBot="1" x14ac:dyDescent="0.35">
      <c r="A270" s="1">
        <v>269</v>
      </c>
      <c r="B270" s="3">
        <v>40555</v>
      </c>
      <c r="C270" s="1">
        <v>15</v>
      </c>
      <c r="D270" s="2" t="b">
        <v>0</v>
      </c>
      <c r="E270" s="1">
        <v>3</v>
      </c>
      <c r="F270" s="1">
        <v>1</v>
      </c>
      <c r="G270" s="1">
        <v>0.2</v>
      </c>
    </row>
    <row r="271" spans="1:7" ht="15" thickBot="1" x14ac:dyDescent="0.35">
      <c r="A271" s="1">
        <v>270</v>
      </c>
      <c r="B271" s="3">
        <v>40555</v>
      </c>
      <c r="C271" s="1">
        <v>16</v>
      </c>
      <c r="D271" s="2" t="b">
        <v>0</v>
      </c>
      <c r="E271" s="1">
        <v>3</v>
      </c>
      <c r="F271" s="1">
        <v>1</v>
      </c>
      <c r="G271" s="1">
        <v>0.22</v>
      </c>
    </row>
    <row r="272" spans="1:7" ht="15" thickBot="1" x14ac:dyDescent="0.35">
      <c r="A272" s="1">
        <v>271</v>
      </c>
      <c r="B272" s="3">
        <v>40555</v>
      </c>
      <c r="C272" s="1">
        <v>17</v>
      </c>
      <c r="D272" s="2" t="b">
        <v>0</v>
      </c>
      <c r="E272" s="1">
        <v>3</v>
      </c>
      <c r="F272" s="1">
        <v>1</v>
      </c>
      <c r="G272" s="1">
        <v>0.2</v>
      </c>
    </row>
    <row r="273" spans="1:7" ht="15" thickBot="1" x14ac:dyDescent="0.35">
      <c r="A273" s="1">
        <v>272</v>
      </c>
      <c r="B273" s="3">
        <v>40555</v>
      </c>
      <c r="C273" s="1">
        <v>18</v>
      </c>
      <c r="D273" s="2" t="b">
        <v>0</v>
      </c>
      <c r="E273" s="1">
        <v>3</v>
      </c>
      <c r="F273" s="1">
        <v>1</v>
      </c>
      <c r="G273" s="1">
        <v>0.2</v>
      </c>
    </row>
    <row r="274" spans="1:7" ht="15" thickBot="1" x14ac:dyDescent="0.35">
      <c r="A274" s="1">
        <v>273</v>
      </c>
      <c r="B274" s="3">
        <v>40555</v>
      </c>
      <c r="C274" s="1">
        <v>19</v>
      </c>
      <c r="D274" s="2" t="b">
        <v>0</v>
      </c>
      <c r="E274" s="1">
        <v>3</v>
      </c>
      <c r="F274" s="1">
        <v>1</v>
      </c>
      <c r="G274" s="1">
        <v>0.18</v>
      </c>
    </row>
    <row r="275" spans="1:7" ht="15" thickBot="1" x14ac:dyDescent="0.35">
      <c r="A275" s="1">
        <v>274</v>
      </c>
      <c r="B275" s="3">
        <v>40555</v>
      </c>
      <c r="C275" s="1">
        <v>20</v>
      </c>
      <c r="D275" s="2" t="b">
        <v>0</v>
      </c>
      <c r="E275" s="1">
        <v>3</v>
      </c>
      <c r="F275" s="1">
        <v>1</v>
      </c>
      <c r="G275" s="1">
        <v>0.16</v>
      </c>
    </row>
    <row r="276" spans="1:7" ht="15" thickBot="1" x14ac:dyDescent="0.35">
      <c r="A276" s="1">
        <v>275</v>
      </c>
      <c r="B276" s="3">
        <v>40555</v>
      </c>
      <c r="C276" s="1">
        <v>21</v>
      </c>
      <c r="D276" s="2" t="b">
        <v>0</v>
      </c>
      <c r="E276" s="1">
        <v>3</v>
      </c>
      <c r="F276" s="1">
        <v>1</v>
      </c>
      <c r="G276" s="1">
        <v>0.16</v>
      </c>
    </row>
    <row r="277" spans="1:7" ht="15" thickBot="1" x14ac:dyDescent="0.35">
      <c r="A277" s="1">
        <v>276</v>
      </c>
      <c r="B277" s="3">
        <v>40555</v>
      </c>
      <c r="C277" s="1">
        <v>22</v>
      </c>
      <c r="D277" s="2" t="b">
        <v>0</v>
      </c>
      <c r="E277" s="1">
        <v>3</v>
      </c>
      <c r="F277" s="1">
        <v>1</v>
      </c>
      <c r="G277" s="1">
        <v>0.16</v>
      </c>
    </row>
    <row r="278" spans="1:7" ht="15" thickBot="1" x14ac:dyDescent="0.35">
      <c r="A278" s="1">
        <v>277</v>
      </c>
      <c r="B278" s="3">
        <v>40555</v>
      </c>
      <c r="C278" s="1">
        <v>23</v>
      </c>
      <c r="D278" s="2" t="b">
        <v>0</v>
      </c>
      <c r="E278" s="1">
        <v>3</v>
      </c>
      <c r="F278" s="1">
        <v>1</v>
      </c>
      <c r="G278" s="1">
        <v>0.14000000000000001</v>
      </c>
    </row>
    <row r="279" spans="1:7" ht="15" thickBot="1" x14ac:dyDescent="0.35">
      <c r="A279" s="1">
        <v>278</v>
      </c>
      <c r="B279" s="3">
        <v>40556</v>
      </c>
      <c r="C279" s="1">
        <v>0</v>
      </c>
      <c r="D279" s="2" t="b">
        <v>0</v>
      </c>
      <c r="E279" s="1">
        <v>4</v>
      </c>
      <c r="F279" s="1">
        <v>1</v>
      </c>
      <c r="G279" s="1">
        <v>0.14000000000000001</v>
      </c>
    </row>
    <row r="280" spans="1:7" ht="15" thickBot="1" x14ac:dyDescent="0.35">
      <c r="A280" s="1">
        <v>279</v>
      </c>
      <c r="B280" s="3">
        <v>40556</v>
      </c>
      <c r="C280" s="1">
        <v>1</v>
      </c>
      <c r="D280" s="2" t="b">
        <v>0</v>
      </c>
      <c r="E280" s="1">
        <v>4</v>
      </c>
      <c r="F280" s="1">
        <v>1</v>
      </c>
      <c r="G280" s="1">
        <v>0.14000000000000001</v>
      </c>
    </row>
    <row r="281" spans="1:7" ht="15" thickBot="1" x14ac:dyDescent="0.35">
      <c r="A281" s="1">
        <v>280</v>
      </c>
      <c r="B281" s="3">
        <v>40556</v>
      </c>
      <c r="C281" s="1">
        <v>2</v>
      </c>
      <c r="D281" s="2" t="b">
        <v>0</v>
      </c>
      <c r="E281" s="1">
        <v>4</v>
      </c>
      <c r="F281" s="1">
        <v>1</v>
      </c>
      <c r="G281" s="1">
        <v>0.14000000000000001</v>
      </c>
    </row>
    <row r="282" spans="1:7" ht="15" thickBot="1" x14ac:dyDescent="0.35">
      <c r="A282" s="1">
        <v>281</v>
      </c>
      <c r="B282" s="3">
        <v>40556</v>
      </c>
      <c r="C282" s="1">
        <v>3</v>
      </c>
      <c r="D282" s="2" t="b">
        <v>0</v>
      </c>
      <c r="E282" s="1">
        <v>4</v>
      </c>
      <c r="F282" s="1">
        <v>1</v>
      </c>
      <c r="G282" s="1">
        <v>0.14000000000000001</v>
      </c>
    </row>
    <row r="283" spans="1:7" ht="15" thickBot="1" x14ac:dyDescent="0.35">
      <c r="A283" s="1">
        <v>282</v>
      </c>
      <c r="B283" s="3">
        <v>40556</v>
      </c>
      <c r="C283" s="1">
        <v>4</v>
      </c>
      <c r="D283" s="2" t="b">
        <v>0</v>
      </c>
      <c r="E283" s="1">
        <v>4</v>
      </c>
      <c r="F283" s="1">
        <v>1</v>
      </c>
      <c r="G283" s="1">
        <v>0.14000000000000001</v>
      </c>
    </row>
    <row r="284" spans="1:7" ht="15" thickBot="1" x14ac:dyDescent="0.35">
      <c r="A284" s="1">
        <v>283</v>
      </c>
      <c r="B284" s="3">
        <v>40556</v>
      </c>
      <c r="C284" s="1">
        <v>5</v>
      </c>
      <c r="D284" s="2" t="b">
        <v>0</v>
      </c>
      <c r="E284" s="1">
        <v>4</v>
      </c>
      <c r="F284" s="1">
        <v>1</v>
      </c>
      <c r="G284" s="1">
        <v>0.14000000000000001</v>
      </c>
    </row>
    <row r="285" spans="1:7" ht="15" thickBot="1" x14ac:dyDescent="0.35">
      <c r="A285" s="1">
        <v>284</v>
      </c>
      <c r="B285" s="3">
        <v>40556</v>
      </c>
      <c r="C285" s="1">
        <v>6</v>
      </c>
      <c r="D285" s="2" t="b">
        <v>0</v>
      </c>
      <c r="E285" s="1">
        <v>4</v>
      </c>
      <c r="F285" s="1">
        <v>1</v>
      </c>
      <c r="G285" s="1">
        <v>0.12</v>
      </c>
    </row>
    <row r="286" spans="1:7" ht="15" thickBot="1" x14ac:dyDescent="0.35">
      <c r="A286" s="1">
        <v>285</v>
      </c>
      <c r="B286" s="3">
        <v>40556</v>
      </c>
      <c r="C286" s="1">
        <v>7</v>
      </c>
      <c r="D286" s="2" t="b">
        <v>0</v>
      </c>
      <c r="E286" s="1">
        <v>4</v>
      </c>
      <c r="F286" s="1">
        <v>1</v>
      </c>
      <c r="G286" s="1">
        <v>0.12</v>
      </c>
    </row>
    <row r="287" spans="1:7" ht="15" thickBot="1" x14ac:dyDescent="0.35">
      <c r="A287" s="1">
        <v>286</v>
      </c>
      <c r="B287" s="3">
        <v>40556</v>
      </c>
      <c r="C287" s="1">
        <v>8</v>
      </c>
      <c r="D287" s="2" t="b">
        <v>0</v>
      </c>
      <c r="E287" s="1">
        <v>4</v>
      </c>
      <c r="F287" s="1">
        <v>1</v>
      </c>
      <c r="G287" s="1">
        <v>0.14000000000000001</v>
      </c>
    </row>
    <row r="288" spans="1:7" ht="15" thickBot="1" x14ac:dyDescent="0.35">
      <c r="A288" s="1">
        <v>287</v>
      </c>
      <c r="B288" s="3">
        <v>40556</v>
      </c>
      <c r="C288" s="1">
        <v>9</v>
      </c>
      <c r="D288" s="2" t="b">
        <v>0</v>
      </c>
      <c r="E288" s="1">
        <v>4</v>
      </c>
      <c r="F288" s="1">
        <v>1</v>
      </c>
      <c r="G288" s="1">
        <v>0.14000000000000001</v>
      </c>
    </row>
    <row r="289" spans="1:7" ht="15" thickBot="1" x14ac:dyDescent="0.35">
      <c r="A289" s="1">
        <v>288</v>
      </c>
      <c r="B289" s="3">
        <v>40556</v>
      </c>
      <c r="C289" s="1">
        <v>10</v>
      </c>
      <c r="D289" s="2" t="b">
        <v>0</v>
      </c>
      <c r="E289" s="1">
        <v>4</v>
      </c>
      <c r="F289" s="1">
        <v>2</v>
      </c>
      <c r="G289" s="1">
        <v>0.16</v>
      </c>
    </row>
    <row r="290" spans="1:7" ht="15" thickBot="1" x14ac:dyDescent="0.35">
      <c r="A290" s="1">
        <v>289</v>
      </c>
      <c r="B290" s="3">
        <v>40556</v>
      </c>
      <c r="C290" s="1">
        <v>11</v>
      </c>
      <c r="D290" s="2" t="b">
        <v>0</v>
      </c>
      <c r="E290" s="1">
        <v>4</v>
      </c>
      <c r="F290" s="1">
        <v>2</v>
      </c>
      <c r="G290" s="1">
        <v>0.2</v>
      </c>
    </row>
    <row r="291" spans="1:7" ht="15" thickBot="1" x14ac:dyDescent="0.35">
      <c r="A291" s="1">
        <v>290</v>
      </c>
      <c r="B291" s="3">
        <v>40556</v>
      </c>
      <c r="C291" s="1">
        <v>12</v>
      </c>
      <c r="D291" s="2" t="b">
        <v>0</v>
      </c>
      <c r="E291" s="1">
        <v>4</v>
      </c>
      <c r="F291" s="1">
        <v>1</v>
      </c>
      <c r="G291" s="1">
        <v>0.2</v>
      </c>
    </row>
    <row r="292" spans="1:7" ht="15" thickBot="1" x14ac:dyDescent="0.35">
      <c r="A292" s="1">
        <v>291</v>
      </c>
      <c r="B292" s="3">
        <v>40556</v>
      </c>
      <c r="C292" s="1">
        <v>13</v>
      </c>
      <c r="D292" s="2" t="b">
        <v>0</v>
      </c>
      <c r="E292" s="1">
        <v>4</v>
      </c>
      <c r="F292" s="1">
        <v>1</v>
      </c>
      <c r="G292" s="1">
        <v>0.22</v>
      </c>
    </row>
    <row r="293" spans="1:7" ht="15" thickBot="1" x14ac:dyDescent="0.35">
      <c r="A293" s="1">
        <v>292</v>
      </c>
      <c r="B293" s="3">
        <v>40556</v>
      </c>
      <c r="C293" s="1">
        <v>14</v>
      </c>
      <c r="D293" s="2" t="b">
        <v>0</v>
      </c>
      <c r="E293" s="1">
        <v>4</v>
      </c>
      <c r="F293" s="1">
        <v>1</v>
      </c>
      <c r="G293" s="1">
        <v>0.22</v>
      </c>
    </row>
    <row r="294" spans="1:7" ht="15" thickBot="1" x14ac:dyDescent="0.35">
      <c r="A294" s="1">
        <v>293</v>
      </c>
      <c r="B294" s="3">
        <v>40556</v>
      </c>
      <c r="C294" s="1">
        <v>15</v>
      </c>
      <c r="D294" s="2" t="b">
        <v>0</v>
      </c>
      <c r="E294" s="1">
        <v>4</v>
      </c>
      <c r="F294" s="1">
        <v>1</v>
      </c>
      <c r="G294" s="1">
        <v>0.24</v>
      </c>
    </row>
    <row r="295" spans="1:7" ht="15" thickBot="1" x14ac:dyDescent="0.35">
      <c r="A295" s="1">
        <v>294</v>
      </c>
      <c r="B295" s="3">
        <v>40556</v>
      </c>
      <c r="C295" s="1">
        <v>16</v>
      </c>
      <c r="D295" s="2" t="b">
        <v>0</v>
      </c>
      <c r="E295" s="1">
        <v>4</v>
      </c>
      <c r="F295" s="1">
        <v>1</v>
      </c>
      <c r="G295" s="1">
        <v>0.24</v>
      </c>
    </row>
    <row r="296" spans="1:7" ht="15" thickBot="1" x14ac:dyDescent="0.35">
      <c r="A296" s="1">
        <v>295</v>
      </c>
      <c r="B296" s="3">
        <v>40556</v>
      </c>
      <c r="C296" s="1">
        <v>17</v>
      </c>
      <c r="D296" s="2" t="b">
        <v>0</v>
      </c>
      <c r="E296" s="1">
        <v>4</v>
      </c>
      <c r="F296" s="1">
        <v>1</v>
      </c>
      <c r="G296" s="1">
        <v>0.2</v>
      </c>
    </row>
    <row r="297" spans="1:7" ht="15" thickBot="1" x14ac:dyDescent="0.35">
      <c r="A297" s="1">
        <v>296</v>
      </c>
      <c r="B297" s="3">
        <v>40556</v>
      </c>
      <c r="C297" s="1">
        <v>18</v>
      </c>
      <c r="D297" s="2" t="b">
        <v>0</v>
      </c>
      <c r="E297" s="1">
        <v>4</v>
      </c>
      <c r="F297" s="1">
        <v>1</v>
      </c>
      <c r="G297" s="1">
        <v>0.2</v>
      </c>
    </row>
    <row r="298" spans="1:7" ht="15" thickBot="1" x14ac:dyDescent="0.35">
      <c r="A298" s="1">
        <v>297</v>
      </c>
      <c r="B298" s="3">
        <v>40556</v>
      </c>
      <c r="C298" s="1">
        <v>19</v>
      </c>
      <c r="D298" s="2" t="b">
        <v>0</v>
      </c>
      <c r="E298" s="1">
        <v>4</v>
      </c>
      <c r="F298" s="1">
        <v>1</v>
      </c>
      <c r="G298" s="1">
        <v>0.16</v>
      </c>
    </row>
    <row r="299" spans="1:7" ht="15" thickBot="1" x14ac:dyDescent="0.35">
      <c r="A299" s="1">
        <v>298</v>
      </c>
      <c r="B299" s="3">
        <v>40556</v>
      </c>
      <c r="C299" s="1">
        <v>20</v>
      </c>
      <c r="D299" s="2" t="b">
        <v>0</v>
      </c>
      <c r="E299" s="1">
        <v>4</v>
      </c>
      <c r="F299" s="1">
        <v>1</v>
      </c>
      <c r="G299" s="1">
        <v>0.16</v>
      </c>
    </row>
    <row r="300" spans="1:7" ht="15" thickBot="1" x14ac:dyDescent="0.35">
      <c r="A300" s="1">
        <v>299</v>
      </c>
      <c r="B300" s="3">
        <v>40556</v>
      </c>
      <c r="C300" s="1">
        <v>21</v>
      </c>
      <c r="D300" s="2" t="b">
        <v>0</v>
      </c>
      <c r="E300" s="1">
        <v>4</v>
      </c>
      <c r="F300" s="1">
        <v>1</v>
      </c>
      <c r="G300" s="1">
        <v>0.14000000000000001</v>
      </c>
    </row>
    <row r="301" spans="1:7" ht="15" thickBot="1" x14ac:dyDescent="0.35">
      <c r="A301" s="1">
        <v>300</v>
      </c>
      <c r="B301" s="3">
        <v>40556</v>
      </c>
      <c r="C301" s="1">
        <v>22</v>
      </c>
      <c r="D301" s="2" t="b">
        <v>0</v>
      </c>
      <c r="E301" s="1">
        <v>4</v>
      </c>
      <c r="F301" s="1">
        <v>1</v>
      </c>
      <c r="G301" s="1">
        <v>0.14000000000000001</v>
      </c>
    </row>
    <row r="302" spans="1:7" ht="15" thickBot="1" x14ac:dyDescent="0.35">
      <c r="A302" s="1">
        <v>301</v>
      </c>
      <c r="B302" s="3">
        <v>40556</v>
      </c>
      <c r="C302" s="1">
        <v>23</v>
      </c>
      <c r="D302" s="2" t="b">
        <v>0</v>
      </c>
      <c r="E302" s="1">
        <v>4</v>
      </c>
      <c r="F302" s="1">
        <v>1</v>
      </c>
      <c r="G302" s="1">
        <v>0.12</v>
      </c>
    </row>
    <row r="303" spans="1:7" ht="15" thickBot="1" x14ac:dyDescent="0.35">
      <c r="A303" s="1">
        <v>302</v>
      </c>
      <c r="B303" s="3">
        <v>40557</v>
      </c>
      <c r="C303" s="1">
        <v>0</v>
      </c>
      <c r="D303" s="2" t="b">
        <v>0</v>
      </c>
      <c r="E303" s="1">
        <v>5</v>
      </c>
      <c r="F303" s="1">
        <v>1</v>
      </c>
      <c r="G303" s="1">
        <v>0.12</v>
      </c>
    </row>
    <row r="304" spans="1:7" ht="15" thickBot="1" x14ac:dyDescent="0.35">
      <c r="A304" s="1">
        <v>303</v>
      </c>
      <c r="B304" s="3">
        <v>40557</v>
      </c>
      <c r="C304" s="1">
        <v>1</v>
      </c>
      <c r="D304" s="2" t="b">
        <v>0</v>
      </c>
      <c r="E304" s="1">
        <v>5</v>
      </c>
      <c r="F304" s="1">
        <v>1</v>
      </c>
      <c r="G304" s="1">
        <v>0.1</v>
      </c>
    </row>
    <row r="305" spans="1:7" ht="15" thickBot="1" x14ac:dyDescent="0.35">
      <c r="A305" s="1">
        <v>304</v>
      </c>
      <c r="B305" s="3">
        <v>40557</v>
      </c>
      <c r="C305" s="1">
        <v>2</v>
      </c>
      <c r="D305" s="2" t="b">
        <v>0</v>
      </c>
      <c r="E305" s="1">
        <v>5</v>
      </c>
      <c r="F305" s="1">
        <v>1</v>
      </c>
      <c r="G305" s="1">
        <v>0.1</v>
      </c>
    </row>
    <row r="306" spans="1:7" ht="15" thickBot="1" x14ac:dyDescent="0.35">
      <c r="A306" s="1">
        <v>305</v>
      </c>
      <c r="B306" s="3">
        <v>40557</v>
      </c>
      <c r="C306" s="1">
        <v>3</v>
      </c>
      <c r="D306" s="2" t="b">
        <v>0</v>
      </c>
      <c r="E306" s="1">
        <v>5</v>
      </c>
      <c r="F306" s="1">
        <v>1</v>
      </c>
      <c r="G306" s="1">
        <v>0.1</v>
      </c>
    </row>
    <row r="307" spans="1:7" ht="15" thickBot="1" x14ac:dyDescent="0.35">
      <c r="A307" s="1">
        <v>306</v>
      </c>
      <c r="B307" s="3">
        <v>40557</v>
      </c>
      <c r="C307" s="1">
        <v>5</v>
      </c>
      <c r="D307" s="2" t="b">
        <v>0</v>
      </c>
      <c r="E307" s="1">
        <v>5</v>
      </c>
      <c r="F307" s="1">
        <v>1</v>
      </c>
      <c r="G307" s="1">
        <v>0.1</v>
      </c>
    </row>
    <row r="308" spans="1:7" ht="15" thickBot="1" x14ac:dyDescent="0.35">
      <c r="A308" s="1">
        <v>307</v>
      </c>
      <c r="B308" s="3">
        <v>40557</v>
      </c>
      <c r="C308" s="1">
        <v>6</v>
      </c>
      <c r="D308" s="2" t="b">
        <v>0</v>
      </c>
      <c r="E308" s="1">
        <v>5</v>
      </c>
      <c r="F308" s="1">
        <v>1</v>
      </c>
      <c r="G308" s="1">
        <v>0.1</v>
      </c>
    </row>
    <row r="309" spans="1:7" ht="15" thickBot="1" x14ac:dyDescent="0.35">
      <c r="A309" s="1">
        <v>308</v>
      </c>
      <c r="B309" s="3">
        <v>40557</v>
      </c>
      <c r="C309" s="1">
        <v>7</v>
      </c>
      <c r="D309" s="2" t="b">
        <v>0</v>
      </c>
      <c r="E309" s="1">
        <v>5</v>
      </c>
      <c r="F309" s="1">
        <v>1</v>
      </c>
      <c r="G309" s="1">
        <v>0.1</v>
      </c>
    </row>
    <row r="310" spans="1:7" ht="15" thickBot="1" x14ac:dyDescent="0.35">
      <c r="A310" s="1">
        <v>309</v>
      </c>
      <c r="B310" s="3">
        <v>40557</v>
      </c>
      <c r="C310" s="1">
        <v>8</v>
      </c>
      <c r="D310" s="2" t="b">
        <v>0</v>
      </c>
      <c r="E310" s="1">
        <v>5</v>
      </c>
      <c r="F310" s="1">
        <v>1</v>
      </c>
      <c r="G310" s="1">
        <v>0.12</v>
      </c>
    </row>
    <row r="311" spans="1:7" ht="15" thickBot="1" x14ac:dyDescent="0.35">
      <c r="A311" s="1">
        <v>310</v>
      </c>
      <c r="B311" s="3">
        <v>40557</v>
      </c>
      <c r="C311" s="1">
        <v>9</v>
      </c>
      <c r="D311" s="2" t="b">
        <v>0</v>
      </c>
      <c r="E311" s="1">
        <v>5</v>
      </c>
      <c r="F311" s="1">
        <v>1</v>
      </c>
      <c r="G311" s="1">
        <v>0.14000000000000001</v>
      </c>
    </row>
    <row r="312" spans="1:7" ht="15" thickBot="1" x14ac:dyDescent="0.35">
      <c r="A312" s="1">
        <v>311</v>
      </c>
      <c r="B312" s="3">
        <v>40557</v>
      </c>
      <c r="C312" s="1">
        <v>10</v>
      </c>
      <c r="D312" s="2" t="b">
        <v>0</v>
      </c>
      <c r="E312" s="1">
        <v>5</v>
      </c>
      <c r="F312" s="1">
        <v>1</v>
      </c>
      <c r="G312" s="1">
        <v>0.18</v>
      </c>
    </row>
    <row r="313" spans="1:7" ht="15" thickBot="1" x14ac:dyDescent="0.35">
      <c r="A313" s="1">
        <v>312</v>
      </c>
      <c r="B313" s="3">
        <v>40557</v>
      </c>
      <c r="C313" s="1">
        <v>11</v>
      </c>
      <c r="D313" s="2" t="b">
        <v>0</v>
      </c>
      <c r="E313" s="1">
        <v>5</v>
      </c>
      <c r="F313" s="1">
        <v>1</v>
      </c>
      <c r="G313" s="1">
        <v>0.18</v>
      </c>
    </row>
    <row r="314" spans="1:7" ht="15" thickBot="1" x14ac:dyDescent="0.35">
      <c r="A314" s="1">
        <v>313</v>
      </c>
      <c r="B314" s="3">
        <v>40557</v>
      </c>
      <c r="C314" s="1">
        <v>12</v>
      </c>
      <c r="D314" s="2" t="b">
        <v>0</v>
      </c>
      <c r="E314" s="1">
        <v>5</v>
      </c>
      <c r="F314" s="1">
        <v>1</v>
      </c>
      <c r="G314" s="1">
        <v>0.2</v>
      </c>
    </row>
    <row r="315" spans="1:7" ht="15" thickBot="1" x14ac:dyDescent="0.35">
      <c r="A315" s="1">
        <v>314</v>
      </c>
      <c r="B315" s="3">
        <v>40557</v>
      </c>
      <c r="C315" s="1">
        <v>13</v>
      </c>
      <c r="D315" s="2" t="b">
        <v>0</v>
      </c>
      <c r="E315" s="1">
        <v>5</v>
      </c>
      <c r="F315" s="1">
        <v>1</v>
      </c>
      <c r="G315" s="1">
        <v>0.22</v>
      </c>
    </row>
    <row r="316" spans="1:7" ht="15" thickBot="1" x14ac:dyDescent="0.35">
      <c r="A316" s="1">
        <v>315</v>
      </c>
      <c r="B316" s="3">
        <v>40557</v>
      </c>
      <c r="C316" s="1">
        <v>14</v>
      </c>
      <c r="D316" s="2" t="b">
        <v>0</v>
      </c>
      <c r="E316" s="1">
        <v>5</v>
      </c>
      <c r="F316" s="1">
        <v>1</v>
      </c>
      <c r="G316" s="1">
        <v>0.22</v>
      </c>
    </row>
    <row r="317" spans="1:7" ht="15" thickBot="1" x14ac:dyDescent="0.35">
      <c r="A317" s="1">
        <v>316</v>
      </c>
      <c r="B317" s="3">
        <v>40557</v>
      </c>
      <c r="C317" s="1">
        <v>15</v>
      </c>
      <c r="D317" s="2" t="b">
        <v>0</v>
      </c>
      <c r="E317" s="1">
        <v>5</v>
      </c>
      <c r="F317" s="1">
        <v>1</v>
      </c>
      <c r="G317" s="1">
        <v>0.24</v>
      </c>
    </row>
    <row r="318" spans="1:7" ht="15" thickBot="1" x14ac:dyDescent="0.35">
      <c r="A318" s="1">
        <v>317</v>
      </c>
      <c r="B318" s="3">
        <v>40557</v>
      </c>
      <c r="C318" s="1">
        <v>16</v>
      </c>
      <c r="D318" s="2" t="b">
        <v>0</v>
      </c>
      <c r="E318" s="1">
        <v>5</v>
      </c>
      <c r="F318" s="1">
        <v>1</v>
      </c>
      <c r="G318" s="1">
        <v>0.22</v>
      </c>
    </row>
    <row r="319" spans="1:7" ht="15" thickBot="1" x14ac:dyDescent="0.35">
      <c r="A319" s="1">
        <v>318</v>
      </c>
      <c r="B319" s="3">
        <v>40557</v>
      </c>
      <c r="C319" s="1">
        <v>17</v>
      </c>
      <c r="D319" s="2" t="b">
        <v>0</v>
      </c>
      <c r="E319" s="1">
        <v>5</v>
      </c>
      <c r="F319" s="1">
        <v>1</v>
      </c>
      <c r="G319" s="1">
        <v>0.22</v>
      </c>
    </row>
    <row r="320" spans="1:7" ht="15" thickBot="1" x14ac:dyDescent="0.35">
      <c r="A320" s="1">
        <v>319</v>
      </c>
      <c r="B320" s="3">
        <v>40557</v>
      </c>
      <c r="C320" s="1">
        <v>18</v>
      </c>
      <c r="D320" s="2" t="b">
        <v>0</v>
      </c>
      <c r="E320" s="1">
        <v>5</v>
      </c>
      <c r="F320" s="1">
        <v>1</v>
      </c>
      <c r="G320" s="1">
        <v>0.2</v>
      </c>
    </row>
    <row r="321" spans="1:7" ht="15" thickBot="1" x14ac:dyDescent="0.35">
      <c r="A321" s="1">
        <v>320</v>
      </c>
      <c r="B321" s="3">
        <v>40557</v>
      </c>
      <c r="C321" s="1">
        <v>19</v>
      </c>
      <c r="D321" s="2" t="b">
        <v>0</v>
      </c>
      <c r="E321" s="1">
        <v>5</v>
      </c>
      <c r="F321" s="1">
        <v>1</v>
      </c>
      <c r="G321" s="1">
        <v>0.16</v>
      </c>
    </row>
    <row r="322" spans="1:7" ht="15" thickBot="1" x14ac:dyDescent="0.35">
      <c r="A322" s="1">
        <v>321</v>
      </c>
      <c r="B322" s="3">
        <v>40557</v>
      </c>
      <c r="C322" s="1">
        <v>20</v>
      </c>
      <c r="D322" s="2" t="b">
        <v>0</v>
      </c>
      <c r="E322" s="1">
        <v>5</v>
      </c>
      <c r="F322" s="1">
        <v>1</v>
      </c>
      <c r="G322" s="1">
        <v>0.18</v>
      </c>
    </row>
    <row r="323" spans="1:7" ht="15" thickBot="1" x14ac:dyDescent="0.35">
      <c r="A323" s="1">
        <v>322</v>
      </c>
      <c r="B323" s="3">
        <v>40557</v>
      </c>
      <c r="C323" s="1">
        <v>21</v>
      </c>
      <c r="D323" s="2" t="b">
        <v>0</v>
      </c>
      <c r="E323" s="1">
        <v>5</v>
      </c>
      <c r="F323" s="1">
        <v>1</v>
      </c>
      <c r="G323" s="1">
        <v>0.16</v>
      </c>
    </row>
    <row r="324" spans="1:7" ht="15" thickBot="1" x14ac:dyDescent="0.35">
      <c r="A324" s="1">
        <v>323</v>
      </c>
      <c r="B324" s="3">
        <v>40557</v>
      </c>
      <c r="C324" s="1">
        <v>22</v>
      </c>
      <c r="D324" s="2" t="b">
        <v>0</v>
      </c>
      <c r="E324" s="1">
        <v>5</v>
      </c>
      <c r="F324" s="1">
        <v>2</v>
      </c>
      <c r="G324" s="1">
        <v>0.16</v>
      </c>
    </row>
    <row r="325" spans="1:7" ht="15" thickBot="1" x14ac:dyDescent="0.35">
      <c r="A325" s="1">
        <v>324</v>
      </c>
      <c r="B325" s="3">
        <v>40557</v>
      </c>
      <c r="C325" s="1">
        <v>23</v>
      </c>
      <c r="D325" s="2" t="b">
        <v>0</v>
      </c>
      <c r="E325" s="1">
        <v>5</v>
      </c>
      <c r="F325" s="1">
        <v>2</v>
      </c>
      <c r="G325" s="1">
        <v>0.18</v>
      </c>
    </row>
    <row r="326" spans="1:7" ht="15" thickBot="1" x14ac:dyDescent="0.35">
      <c r="A326" s="1">
        <v>325</v>
      </c>
      <c r="B326" s="3">
        <v>40558</v>
      </c>
      <c r="C326" s="1">
        <v>0</v>
      </c>
      <c r="D326" s="2" t="b">
        <v>0</v>
      </c>
      <c r="E326" s="1">
        <v>6</v>
      </c>
      <c r="F326" s="1">
        <v>1</v>
      </c>
      <c r="G326" s="1">
        <v>0.18</v>
      </c>
    </row>
    <row r="327" spans="1:7" ht="15" thickBot="1" x14ac:dyDescent="0.35">
      <c r="A327" s="1">
        <v>326</v>
      </c>
      <c r="B327" s="3">
        <v>40558</v>
      </c>
      <c r="C327" s="1">
        <v>1</v>
      </c>
      <c r="D327" s="2" t="b">
        <v>0</v>
      </c>
      <c r="E327" s="1">
        <v>6</v>
      </c>
      <c r="F327" s="1">
        <v>2</v>
      </c>
      <c r="G327" s="1">
        <v>0.16</v>
      </c>
    </row>
    <row r="328" spans="1:7" ht="15" thickBot="1" x14ac:dyDescent="0.35">
      <c r="A328" s="1">
        <v>327</v>
      </c>
      <c r="B328" s="3">
        <v>40558</v>
      </c>
      <c r="C328" s="1">
        <v>2</v>
      </c>
      <c r="D328" s="2" t="b">
        <v>0</v>
      </c>
      <c r="E328" s="1">
        <v>6</v>
      </c>
      <c r="F328" s="1">
        <v>2</v>
      </c>
      <c r="G328" s="1">
        <v>0.16</v>
      </c>
    </row>
    <row r="329" spans="1:7" ht="15" thickBot="1" x14ac:dyDescent="0.35">
      <c r="A329" s="1">
        <v>328</v>
      </c>
      <c r="B329" s="3">
        <v>40558</v>
      </c>
      <c r="C329" s="1">
        <v>3</v>
      </c>
      <c r="D329" s="2" t="b">
        <v>0</v>
      </c>
      <c r="E329" s="1">
        <v>6</v>
      </c>
      <c r="F329" s="1">
        <v>2</v>
      </c>
      <c r="G329" s="1">
        <v>0.16</v>
      </c>
    </row>
    <row r="330" spans="1:7" ht="15" thickBot="1" x14ac:dyDescent="0.35">
      <c r="A330" s="1">
        <v>329</v>
      </c>
      <c r="B330" s="3">
        <v>40558</v>
      </c>
      <c r="C330" s="1">
        <v>4</v>
      </c>
      <c r="D330" s="2" t="b">
        <v>0</v>
      </c>
      <c r="E330" s="1">
        <v>6</v>
      </c>
      <c r="F330" s="1">
        <v>2</v>
      </c>
      <c r="G330" s="1">
        <v>0.16</v>
      </c>
    </row>
    <row r="331" spans="1:7" ht="15" thickBot="1" x14ac:dyDescent="0.35">
      <c r="A331" s="1">
        <v>330</v>
      </c>
      <c r="B331" s="3">
        <v>40558</v>
      </c>
      <c r="C331" s="1">
        <v>5</v>
      </c>
      <c r="D331" s="2" t="b">
        <v>0</v>
      </c>
      <c r="E331" s="1">
        <v>6</v>
      </c>
      <c r="F331" s="1">
        <v>1</v>
      </c>
      <c r="G331" s="1">
        <v>0.16</v>
      </c>
    </row>
    <row r="332" spans="1:7" ht="15" thickBot="1" x14ac:dyDescent="0.35">
      <c r="A332" s="1">
        <v>331</v>
      </c>
      <c r="B332" s="3">
        <v>40558</v>
      </c>
      <c r="C332" s="1">
        <v>6</v>
      </c>
      <c r="D332" s="2" t="b">
        <v>0</v>
      </c>
      <c r="E332" s="1">
        <v>6</v>
      </c>
      <c r="F332" s="1">
        <v>1</v>
      </c>
      <c r="G332" s="1">
        <v>0.14000000000000001</v>
      </c>
    </row>
    <row r="333" spans="1:7" ht="15" thickBot="1" x14ac:dyDescent="0.35">
      <c r="A333" s="1">
        <v>332</v>
      </c>
      <c r="B333" s="3">
        <v>40558</v>
      </c>
      <c r="C333" s="1">
        <v>7</v>
      </c>
      <c r="D333" s="2" t="b">
        <v>0</v>
      </c>
      <c r="E333" s="1">
        <v>6</v>
      </c>
      <c r="F333" s="1">
        <v>1</v>
      </c>
      <c r="G333" s="1">
        <v>0.14000000000000001</v>
      </c>
    </row>
    <row r="334" spans="1:7" ht="15" thickBot="1" x14ac:dyDescent="0.35">
      <c r="A334" s="1">
        <v>333</v>
      </c>
      <c r="B334" s="3">
        <v>40558</v>
      </c>
      <c r="C334" s="1">
        <v>8</v>
      </c>
      <c r="D334" s="2" t="b">
        <v>0</v>
      </c>
      <c r="E334" s="1">
        <v>6</v>
      </c>
      <c r="F334" s="1">
        <v>1</v>
      </c>
      <c r="G334" s="1">
        <v>0.14000000000000001</v>
      </c>
    </row>
    <row r="335" spans="1:7" ht="15" thickBot="1" x14ac:dyDescent="0.35">
      <c r="A335" s="1">
        <v>334</v>
      </c>
      <c r="B335" s="3">
        <v>40558</v>
      </c>
      <c r="C335" s="1">
        <v>9</v>
      </c>
      <c r="D335" s="2" t="b">
        <v>0</v>
      </c>
      <c r="E335" s="1">
        <v>6</v>
      </c>
      <c r="F335" s="1">
        <v>1</v>
      </c>
      <c r="G335" s="1">
        <v>0.16</v>
      </c>
    </row>
    <row r="336" spans="1:7" ht="15" thickBot="1" x14ac:dyDescent="0.35">
      <c r="A336" s="1">
        <v>335</v>
      </c>
      <c r="B336" s="3">
        <v>40558</v>
      </c>
      <c r="C336" s="1">
        <v>10</v>
      </c>
      <c r="D336" s="2" t="b">
        <v>0</v>
      </c>
      <c r="E336" s="1">
        <v>6</v>
      </c>
      <c r="F336" s="1">
        <v>1</v>
      </c>
      <c r="G336" s="1">
        <v>0.18</v>
      </c>
    </row>
    <row r="337" spans="1:7" ht="15" thickBot="1" x14ac:dyDescent="0.35">
      <c r="A337" s="1">
        <v>336</v>
      </c>
      <c r="B337" s="3">
        <v>40558</v>
      </c>
      <c r="C337" s="1">
        <v>11</v>
      </c>
      <c r="D337" s="2" t="b">
        <v>0</v>
      </c>
      <c r="E337" s="1">
        <v>6</v>
      </c>
      <c r="F337" s="1">
        <v>1</v>
      </c>
      <c r="G337" s="1">
        <v>0.2</v>
      </c>
    </row>
    <row r="338" spans="1:7" ht="15" thickBot="1" x14ac:dyDescent="0.35">
      <c r="A338" s="1">
        <v>337</v>
      </c>
      <c r="B338" s="3">
        <v>40558</v>
      </c>
      <c r="C338" s="1">
        <v>12</v>
      </c>
      <c r="D338" s="2" t="b">
        <v>0</v>
      </c>
      <c r="E338" s="1">
        <v>6</v>
      </c>
      <c r="F338" s="1">
        <v>1</v>
      </c>
      <c r="G338" s="1">
        <v>0.24</v>
      </c>
    </row>
    <row r="339" spans="1:7" ht="15" thickBot="1" x14ac:dyDescent="0.35">
      <c r="A339" s="1">
        <v>338</v>
      </c>
      <c r="B339" s="3">
        <v>40558</v>
      </c>
      <c r="C339" s="1">
        <v>13</v>
      </c>
      <c r="D339" s="2" t="b">
        <v>0</v>
      </c>
      <c r="E339" s="1">
        <v>6</v>
      </c>
      <c r="F339" s="1">
        <v>1</v>
      </c>
      <c r="G339" s="1">
        <v>0.28000000000000003</v>
      </c>
    </row>
    <row r="340" spans="1:7" ht="15" thickBot="1" x14ac:dyDescent="0.35">
      <c r="A340" s="1">
        <v>339</v>
      </c>
      <c r="B340" s="3">
        <v>40558</v>
      </c>
      <c r="C340" s="1">
        <v>14</v>
      </c>
      <c r="D340" s="2" t="b">
        <v>0</v>
      </c>
      <c r="E340" s="1">
        <v>6</v>
      </c>
      <c r="F340" s="1">
        <v>1</v>
      </c>
      <c r="G340" s="1">
        <v>0.3</v>
      </c>
    </row>
    <row r="341" spans="1:7" ht="15" thickBot="1" x14ac:dyDescent="0.35">
      <c r="A341" s="1">
        <v>340</v>
      </c>
      <c r="B341" s="3">
        <v>40558</v>
      </c>
      <c r="C341" s="1">
        <v>15</v>
      </c>
      <c r="D341" s="2" t="b">
        <v>0</v>
      </c>
      <c r="E341" s="1">
        <v>6</v>
      </c>
      <c r="F341" s="1">
        <v>2</v>
      </c>
      <c r="G341" s="1">
        <v>0.32</v>
      </c>
    </row>
    <row r="342" spans="1:7" ht="15" thickBot="1" x14ac:dyDescent="0.35">
      <c r="A342" s="1">
        <v>341</v>
      </c>
      <c r="B342" s="3">
        <v>40558</v>
      </c>
      <c r="C342" s="1">
        <v>16</v>
      </c>
      <c r="D342" s="2" t="b">
        <v>0</v>
      </c>
      <c r="E342" s="1">
        <v>6</v>
      </c>
      <c r="F342" s="1">
        <v>2</v>
      </c>
      <c r="G342" s="1">
        <v>0.34</v>
      </c>
    </row>
    <row r="343" spans="1:7" ht="15" thickBot="1" x14ac:dyDescent="0.35">
      <c r="A343" s="1">
        <v>342</v>
      </c>
      <c r="B343" s="3">
        <v>40558</v>
      </c>
      <c r="C343" s="1">
        <v>17</v>
      </c>
      <c r="D343" s="2" t="b">
        <v>0</v>
      </c>
      <c r="E343" s="1">
        <v>6</v>
      </c>
      <c r="F343" s="1">
        <v>2</v>
      </c>
      <c r="G343" s="1">
        <v>0.32</v>
      </c>
    </row>
    <row r="344" spans="1:7" ht="15" thickBot="1" x14ac:dyDescent="0.35">
      <c r="A344" s="1">
        <v>343</v>
      </c>
      <c r="B344" s="3">
        <v>40558</v>
      </c>
      <c r="C344" s="1">
        <v>18</v>
      </c>
      <c r="D344" s="2" t="b">
        <v>0</v>
      </c>
      <c r="E344" s="1">
        <v>6</v>
      </c>
      <c r="F344" s="1">
        <v>2</v>
      </c>
      <c r="G344" s="1">
        <v>0.3</v>
      </c>
    </row>
    <row r="345" spans="1:7" ht="15" thickBot="1" x14ac:dyDescent="0.35">
      <c r="A345" s="1">
        <v>344</v>
      </c>
      <c r="B345" s="3">
        <v>40558</v>
      </c>
      <c r="C345" s="1">
        <v>19</v>
      </c>
      <c r="D345" s="2" t="b">
        <v>0</v>
      </c>
      <c r="E345" s="1">
        <v>6</v>
      </c>
      <c r="F345" s="1">
        <v>2</v>
      </c>
      <c r="G345" s="1">
        <v>0.32</v>
      </c>
    </row>
    <row r="346" spans="1:7" ht="15" thickBot="1" x14ac:dyDescent="0.35">
      <c r="A346" s="1">
        <v>345</v>
      </c>
      <c r="B346" s="3">
        <v>40558</v>
      </c>
      <c r="C346" s="1">
        <v>20</v>
      </c>
      <c r="D346" s="2" t="b">
        <v>0</v>
      </c>
      <c r="E346" s="1">
        <v>6</v>
      </c>
      <c r="F346" s="1">
        <v>2</v>
      </c>
      <c r="G346" s="1">
        <v>0.32</v>
      </c>
    </row>
    <row r="347" spans="1:7" ht="15" thickBot="1" x14ac:dyDescent="0.35">
      <c r="A347" s="1">
        <v>346</v>
      </c>
      <c r="B347" s="3">
        <v>40558</v>
      </c>
      <c r="C347" s="1">
        <v>21</v>
      </c>
      <c r="D347" s="2" t="b">
        <v>0</v>
      </c>
      <c r="E347" s="1">
        <v>6</v>
      </c>
      <c r="F347" s="1">
        <v>2</v>
      </c>
      <c r="G347" s="1">
        <v>0.32</v>
      </c>
    </row>
    <row r="348" spans="1:7" ht="15" thickBot="1" x14ac:dyDescent="0.35">
      <c r="A348" s="1">
        <v>347</v>
      </c>
      <c r="B348" s="3">
        <v>40558</v>
      </c>
      <c r="C348" s="1">
        <v>22</v>
      </c>
      <c r="D348" s="2" t="b">
        <v>0</v>
      </c>
      <c r="E348" s="1">
        <v>6</v>
      </c>
      <c r="F348" s="1">
        <v>2</v>
      </c>
      <c r="G348" s="1">
        <v>0.3</v>
      </c>
    </row>
    <row r="349" spans="1:7" ht="15" thickBot="1" x14ac:dyDescent="0.35">
      <c r="A349" s="1">
        <v>348</v>
      </c>
      <c r="B349" s="3">
        <v>40558</v>
      </c>
      <c r="C349" s="1">
        <v>23</v>
      </c>
      <c r="D349" s="2" t="b">
        <v>0</v>
      </c>
      <c r="E349" s="1">
        <v>6</v>
      </c>
      <c r="F349" s="1">
        <v>1</v>
      </c>
      <c r="G349" s="1">
        <v>0.3</v>
      </c>
    </row>
    <row r="350" spans="1:7" ht="15" thickBot="1" x14ac:dyDescent="0.35">
      <c r="A350" s="1">
        <v>349</v>
      </c>
      <c r="B350" s="3">
        <v>40559</v>
      </c>
      <c r="C350" s="1">
        <v>0</v>
      </c>
      <c r="D350" s="2" t="b">
        <v>0</v>
      </c>
      <c r="E350" s="1">
        <v>0</v>
      </c>
      <c r="F350" s="1">
        <v>1</v>
      </c>
      <c r="G350" s="1">
        <v>0.26</v>
      </c>
    </row>
    <row r="351" spans="1:7" ht="15" thickBot="1" x14ac:dyDescent="0.35">
      <c r="A351" s="1">
        <v>350</v>
      </c>
      <c r="B351" s="3">
        <v>40559</v>
      </c>
      <c r="C351" s="1">
        <v>1</v>
      </c>
      <c r="D351" s="2" t="b">
        <v>0</v>
      </c>
      <c r="E351" s="1">
        <v>0</v>
      </c>
      <c r="F351" s="1">
        <v>1</v>
      </c>
      <c r="G351" s="1">
        <v>0.26</v>
      </c>
    </row>
    <row r="352" spans="1:7" ht="15" thickBot="1" x14ac:dyDescent="0.35">
      <c r="A352" s="1">
        <v>351</v>
      </c>
      <c r="B352" s="3">
        <v>40559</v>
      </c>
      <c r="C352" s="1">
        <v>2</v>
      </c>
      <c r="D352" s="2" t="b">
        <v>0</v>
      </c>
      <c r="E352" s="1">
        <v>0</v>
      </c>
      <c r="F352" s="1">
        <v>1</v>
      </c>
      <c r="G352" s="1">
        <v>0.26</v>
      </c>
    </row>
    <row r="353" spans="1:7" ht="15" thickBot="1" x14ac:dyDescent="0.35">
      <c r="A353" s="1">
        <v>352</v>
      </c>
      <c r="B353" s="3">
        <v>40559</v>
      </c>
      <c r="C353" s="1">
        <v>3</v>
      </c>
      <c r="D353" s="2" t="b">
        <v>0</v>
      </c>
      <c r="E353" s="1">
        <v>0</v>
      </c>
      <c r="F353" s="1">
        <v>1</v>
      </c>
      <c r="G353" s="1">
        <v>0.22</v>
      </c>
    </row>
    <row r="354" spans="1:7" ht="15" thickBot="1" x14ac:dyDescent="0.35">
      <c r="A354" s="1">
        <v>353</v>
      </c>
      <c r="B354" s="3">
        <v>40559</v>
      </c>
      <c r="C354" s="1">
        <v>4</v>
      </c>
      <c r="D354" s="2" t="b">
        <v>0</v>
      </c>
      <c r="E354" s="1">
        <v>0</v>
      </c>
      <c r="F354" s="1">
        <v>1</v>
      </c>
      <c r="G354" s="1">
        <v>0.26</v>
      </c>
    </row>
    <row r="355" spans="1:7" ht="15" thickBot="1" x14ac:dyDescent="0.35">
      <c r="A355" s="1">
        <v>354</v>
      </c>
      <c r="B355" s="3">
        <v>40559</v>
      </c>
      <c r="C355" s="1">
        <v>5</v>
      </c>
      <c r="D355" s="2" t="b">
        <v>0</v>
      </c>
      <c r="E355" s="1">
        <v>0</v>
      </c>
      <c r="F355" s="1">
        <v>2</v>
      </c>
      <c r="G355" s="1">
        <v>0.26</v>
      </c>
    </row>
    <row r="356" spans="1:7" ht="15" thickBot="1" x14ac:dyDescent="0.35">
      <c r="A356" s="1">
        <v>355</v>
      </c>
      <c r="B356" s="3">
        <v>40559</v>
      </c>
      <c r="C356" s="1">
        <v>6</v>
      </c>
      <c r="D356" s="2" t="b">
        <v>0</v>
      </c>
      <c r="E356" s="1">
        <v>0</v>
      </c>
      <c r="F356" s="1">
        <v>2</v>
      </c>
      <c r="G356" s="1">
        <v>0.26</v>
      </c>
    </row>
    <row r="357" spans="1:7" ht="15" thickBot="1" x14ac:dyDescent="0.35">
      <c r="A357" s="1">
        <v>356</v>
      </c>
      <c r="B357" s="3">
        <v>40559</v>
      </c>
      <c r="C357" s="1">
        <v>7</v>
      </c>
      <c r="D357" s="2" t="b">
        <v>0</v>
      </c>
      <c r="E357" s="1">
        <v>0</v>
      </c>
      <c r="F357" s="1">
        <v>2</v>
      </c>
      <c r="G357" s="1">
        <v>0.24</v>
      </c>
    </row>
    <row r="358" spans="1:7" ht="15" thickBot="1" x14ac:dyDescent="0.35">
      <c r="A358" s="1">
        <v>357</v>
      </c>
      <c r="B358" s="3">
        <v>40559</v>
      </c>
      <c r="C358" s="1">
        <v>8</v>
      </c>
      <c r="D358" s="2" t="b">
        <v>0</v>
      </c>
      <c r="E358" s="1">
        <v>0</v>
      </c>
      <c r="F358" s="1">
        <v>1</v>
      </c>
      <c r="G358" s="1">
        <v>0.22</v>
      </c>
    </row>
    <row r="359" spans="1:7" ht="15" thickBot="1" x14ac:dyDescent="0.35">
      <c r="A359" s="1">
        <v>358</v>
      </c>
      <c r="B359" s="3">
        <v>40559</v>
      </c>
      <c r="C359" s="1">
        <v>9</v>
      </c>
      <c r="D359" s="2" t="b">
        <v>0</v>
      </c>
      <c r="E359" s="1">
        <v>0</v>
      </c>
      <c r="F359" s="1">
        <v>1</v>
      </c>
      <c r="G359" s="1">
        <v>0.22</v>
      </c>
    </row>
    <row r="360" spans="1:7" ht="15" thickBot="1" x14ac:dyDescent="0.35">
      <c r="A360" s="1">
        <v>359</v>
      </c>
      <c r="B360" s="3">
        <v>40559</v>
      </c>
      <c r="C360" s="1">
        <v>10</v>
      </c>
      <c r="D360" s="2" t="b">
        <v>0</v>
      </c>
      <c r="E360" s="1">
        <v>0</v>
      </c>
      <c r="F360" s="1">
        <v>1</v>
      </c>
      <c r="G360" s="1">
        <v>0.22</v>
      </c>
    </row>
    <row r="361" spans="1:7" ht="15" thickBot="1" x14ac:dyDescent="0.35">
      <c r="A361" s="1">
        <v>360</v>
      </c>
      <c r="B361" s="3">
        <v>40559</v>
      </c>
      <c r="C361" s="1">
        <v>11</v>
      </c>
      <c r="D361" s="2" t="b">
        <v>0</v>
      </c>
      <c r="E361" s="1">
        <v>0</v>
      </c>
      <c r="F361" s="1">
        <v>1</v>
      </c>
      <c r="G361" s="1">
        <v>0.24</v>
      </c>
    </row>
    <row r="362" spans="1:7" ht="15" thickBot="1" x14ac:dyDescent="0.35">
      <c r="A362" s="1">
        <v>361</v>
      </c>
      <c r="B362" s="3">
        <v>40559</v>
      </c>
      <c r="C362" s="1">
        <v>12</v>
      </c>
      <c r="D362" s="2" t="b">
        <v>0</v>
      </c>
      <c r="E362" s="1">
        <v>0</v>
      </c>
      <c r="F362" s="1">
        <v>1</v>
      </c>
      <c r="G362" s="1">
        <v>0.24</v>
      </c>
    </row>
    <row r="363" spans="1:7" ht="15" thickBot="1" x14ac:dyDescent="0.35">
      <c r="A363" s="1">
        <v>362</v>
      </c>
      <c r="B363" s="3">
        <v>40559</v>
      </c>
      <c r="C363" s="1">
        <v>13</v>
      </c>
      <c r="D363" s="2" t="b">
        <v>0</v>
      </c>
      <c r="E363" s="1">
        <v>0</v>
      </c>
      <c r="F363" s="1">
        <v>1</v>
      </c>
      <c r="G363" s="1">
        <v>0.26</v>
      </c>
    </row>
    <row r="364" spans="1:7" ht="15" thickBot="1" x14ac:dyDescent="0.35">
      <c r="A364" s="1">
        <v>363</v>
      </c>
      <c r="B364" s="3">
        <v>40559</v>
      </c>
      <c r="C364" s="1">
        <v>14</v>
      </c>
      <c r="D364" s="2" t="b">
        <v>0</v>
      </c>
      <c r="E364" s="1">
        <v>0</v>
      </c>
      <c r="F364" s="1">
        <v>1</v>
      </c>
      <c r="G364" s="1">
        <v>0.28000000000000003</v>
      </c>
    </row>
    <row r="365" spans="1:7" ht="15" thickBot="1" x14ac:dyDescent="0.35">
      <c r="A365" s="1">
        <v>364</v>
      </c>
      <c r="B365" s="3">
        <v>40559</v>
      </c>
      <c r="C365" s="1">
        <v>15</v>
      </c>
      <c r="D365" s="2" t="b">
        <v>0</v>
      </c>
      <c r="E365" s="1">
        <v>0</v>
      </c>
      <c r="F365" s="1">
        <v>1</v>
      </c>
      <c r="G365" s="1">
        <v>0.26</v>
      </c>
    </row>
    <row r="366" spans="1:7" ht="15" thickBot="1" x14ac:dyDescent="0.35">
      <c r="A366" s="1">
        <v>365</v>
      </c>
      <c r="B366" s="3">
        <v>40559</v>
      </c>
      <c r="C366" s="1">
        <v>16</v>
      </c>
      <c r="D366" s="2" t="b">
        <v>0</v>
      </c>
      <c r="E366" s="1">
        <v>0</v>
      </c>
      <c r="F366" s="1">
        <v>1</v>
      </c>
      <c r="G366" s="1">
        <v>0.24</v>
      </c>
    </row>
    <row r="367" spans="1:7" ht="15" thickBot="1" x14ac:dyDescent="0.35">
      <c r="A367" s="1">
        <v>366</v>
      </c>
      <c r="B367" s="3">
        <v>40559</v>
      </c>
      <c r="C367" s="1">
        <v>17</v>
      </c>
      <c r="D367" s="2" t="b">
        <v>0</v>
      </c>
      <c r="E367" s="1">
        <v>0</v>
      </c>
      <c r="F367" s="1">
        <v>1</v>
      </c>
      <c r="G367" s="1">
        <v>0.22</v>
      </c>
    </row>
    <row r="368" spans="1:7" ht="15" thickBot="1" x14ac:dyDescent="0.35">
      <c r="A368" s="1">
        <v>367</v>
      </c>
      <c r="B368" s="3">
        <v>40559</v>
      </c>
      <c r="C368" s="1">
        <v>18</v>
      </c>
      <c r="D368" s="2" t="b">
        <v>0</v>
      </c>
      <c r="E368" s="1">
        <v>0</v>
      </c>
      <c r="F368" s="1">
        <v>1</v>
      </c>
      <c r="G368" s="1">
        <v>0.2</v>
      </c>
    </row>
    <row r="369" spans="1:7" ht="15" thickBot="1" x14ac:dyDescent="0.35">
      <c r="A369" s="1">
        <v>368</v>
      </c>
      <c r="B369" s="3">
        <v>40559</v>
      </c>
      <c r="C369" s="1">
        <v>19</v>
      </c>
      <c r="D369" s="2" t="b">
        <v>0</v>
      </c>
      <c r="E369" s="1">
        <v>0</v>
      </c>
      <c r="F369" s="1">
        <v>1</v>
      </c>
      <c r="G369" s="1">
        <v>0.18</v>
      </c>
    </row>
    <row r="370" spans="1:7" ht="15" thickBot="1" x14ac:dyDescent="0.35">
      <c r="A370" s="1">
        <v>369</v>
      </c>
      <c r="B370" s="3">
        <v>40559</v>
      </c>
      <c r="C370" s="1">
        <v>20</v>
      </c>
      <c r="D370" s="2" t="b">
        <v>0</v>
      </c>
      <c r="E370" s="1">
        <v>0</v>
      </c>
      <c r="F370" s="1">
        <v>1</v>
      </c>
      <c r="G370" s="1">
        <v>0.18</v>
      </c>
    </row>
    <row r="371" spans="1:7" ht="15" thickBot="1" x14ac:dyDescent="0.35">
      <c r="A371" s="1">
        <v>370</v>
      </c>
      <c r="B371" s="3">
        <v>40559</v>
      </c>
      <c r="C371" s="1">
        <v>21</v>
      </c>
      <c r="D371" s="2" t="b">
        <v>0</v>
      </c>
      <c r="E371" s="1">
        <v>0</v>
      </c>
      <c r="F371" s="1">
        <v>1</v>
      </c>
      <c r="G371" s="1">
        <v>0.18</v>
      </c>
    </row>
    <row r="372" spans="1:7" ht="15" thickBot="1" x14ac:dyDescent="0.35">
      <c r="A372" s="1">
        <v>371</v>
      </c>
      <c r="B372" s="3">
        <v>40559</v>
      </c>
      <c r="C372" s="1">
        <v>22</v>
      </c>
      <c r="D372" s="2" t="b">
        <v>0</v>
      </c>
      <c r="E372" s="1">
        <v>0</v>
      </c>
      <c r="F372" s="1">
        <v>2</v>
      </c>
      <c r="G372" s="1">
        <v>0.2</v>
      </c>
    </row>
    <row r="373" spans="1:7" ht="15" thickBot="1" x14ac:dyDescent="0.35">
      <c r="A373" s="1">
        <v>372</v>
      </c>
      <c r="B373" s="3">
        <v>40559</v>
      </c>
      <c r="C373" s="1">
        <v>23</v>
      </c>
      <c r="D373" s="2" t="b">
        <v>0</v>
      </c>
      <c r="E373" s="1">
        <v>0</v>
      </c>
      <c r="F373" s="1">
        <v>2</v>
      </c>
      <c r="G373" s="1">
        <v>0.2</v>
      </c>
    </row>
    <row r="374" spans="1:7" ht="15" thickBot="1" x14ac:dyDescent="0.35">
      <c r="A374" s="1">
        <v>373</v>
      </c>
      <c r="B374" s="3">
        <v>40560</v>
      </c>
      <c r="C374" s="1">
        <v>0</v>
      </c>
      <c r="D374" s="2" t="b">
        <v>1</v>
      </c>
      <c r="E374" s="1">
        <v>1</v>
      </c>
      <c r="F374" s="1">
        <v>2</v>
      </c>
      <c r="G374" s="1">
        <v>0.2</v>
      </c>
    </row>
    <row r="375" spans="1:7" ht="15" thickBot="1" x14ac:dyDescent="0.35">
      <c r="A375" s="1">
        <v>374</v>
      </c>
      <c r="B375" s="3">
        <v>40560</v>
      </c>
      <c r="C375" s="1">
        <v>1</v>
      </c>
      <c r="D375" s="2" t="b">
        <v>1</v>
      </c>
      <c r="E375" s="1">
        <v>1</v>
      </c>
      <c r="F375" s="1">
        <v>2</v>
      </c>
      <c r="G375" s="1">
        <v>0.2</v>
      </c>
    </row>
    <row r="376" spans="1:7" ht="15" thickBot="1" x14ac:dyDescent="0.35">
      <c r="A376" s="1">
        <v>375</v>
      </c>
      <c r="B376" s="3">
        <v>40560</v>
      </c>
      <c r="C376" s="1">
        <v>2</v>
      </c>
      <c r="D376" s="2" t="b">
        <v>1</v>
      </c>
      <c r="E376" s="1">
        <v>1</v>
      </c>
      <c r="F376" s="1">
        <v>2</v>
      </c>
      <c r="G376" s="1">
        <v>0.18</v>
      </c>
    </row>
    <row r="377" spans="1:7" ht="15" thickBot="1" x14ac:dyDescent="0.35">
      <c r="A377" s="1">
        <v>376</v>
      </c>
      <c r="B377" s="3">
        <v>40560</v>
      </c>
      <c r="C377" s="1">
        <v>3</v>
      </c>
      <c r="D377" s="2" t="b">
        <v>1</v>
      </c>
      <c r="E377" s="1">
        <v>1</v>
      </c>
      <c r="F377" s="1">
        <v>2</v>
      </c>
      <c r="G377" s="1">
        <v>0.18</v>
      </c>
    </row>
    <row r="378" spans="1:7" ht="15" thickBot="1" x14ac:dyDescent="0.35">
      <c r="A378" s="1">
        <v>377</v>
      </c>
      <c r="B378" s="3">
        <v>40560</v>
      </c>
      <c r="C378" s="1">
        <v>4</v>
      </c>
      <c r="D378" s="2" t="b">
        <v>1</v>
      </c>
      <c r="E378" s="1">
        <v>1</v>
      </c>
      <c r="F378" s="1">
        <v>2</v>
      </c>
      <c r="G378" s="1">
        <v>0.18</v>
      </c>
    </row>
    <row r="379" spans="1:7" ht="15" thickBot="1" x14ac:dyDescent="0.35">
      <c r="A379" s="1">
        <v>378</v>
      </c>
      <c r="B379" s="3">
        <v>40560</v>
      </c>
      <c r="C379" s="1">
        <v>5</v>
      </c>
      <c r="D379" s="2" t="b">
        <v>1</v>
      </c>
      <c r="E379" s="1">
        <v>1</v>
      </c>
      <c r="F379" s="1">
        <v>2</v>
      </c>
      <c r="G379" s="1">
        <v>0.18</v>
      </c>
    </row>
    <row r="380" spans="1:7" ht="15" thickBot="1" x14ac:dyDescent="0.35">
      <c r="A380" s="1">
        <v>379</v>
      </c>
      <c r="B380" s="3">
        <v>40560</v>
      </c>
      <c r="C380" s="1">
        <v>6</v>
      </c>
      <c r="D380" s="2" t="b">
        <v>1</v>
      </c>
      <c r="E380" s="1">
        <v>1</v>
      </c>
      <c r="F380" s="1">
        <v>2</v>
      </c>
      <c r="G380" s="1">
        <v>0.18</v>
      </c>
    </row>
    <row r="381" spans="1:7" ht="15" thickBot="1" x14ac:dyDescent="0.35">
      <c r="A381" s="1">
        <v>380</v>
      </c>
      <c r="B381" s="3">
        <v>40560</v>
      </c>
      <c r="C381" s="1">
        <v>7</v>
      </c>
      <c r="D381" s="2" t="b">
        <v>1</v>
      </c>
      <c r="E381" s="1">
        <v>1</v>
      </c>
      <c r="F381" s="1">
        <v>2</v>
      </c>
      <c r="G381" s="1">
        <v>0.16</v>
      </c>
    </row>
    <row r="382" spans="1:7" ht="15" thickBot="1" x14ac:dyDescent="0.35">
      <c r="A382" s="1">
        <v>381</v>
      </c>
      <c r="B382" s="3">
        <v>40560</v>
      </c>
      <c r="C382" s="1">
        <v>8</v>
      </c>
      <c r="D382" s="2" t="b">
        <v>1</v>
      </c>
      <c r="E382" s="1">
        <v>1</v>
      </c>
      <c r="F382" s="1">
        <v>2</v>
      </c>
      <c r="G382" s="1">
        <v>0.16</v>
      </c>
    </row>
    <row r="383" spans="1:7" ht="15" thickBot="1" x14ac:dyDescent="0.35">
      <c r="A383" s="1">
        <v>382</v>
      </c>
      <c r="B383" s="3">
        <v>40560</v>
      </c>
      <c r="C383" s="1">
        <v>9</v>
      </c>
      <c r="D383" s="2" t="b">
        <v>1</v>
      </c>
      <c r="E383" s="1">
        <v>1</v>
      </c>
      <c r="F383" s="1">
        <v>2</v>
      </c>
      <c r="G383" s="1">
        <v>0.16</v>
      </c>
    </row>
    <row r="384" spans="1:7" ht="15" thickBot="1" x14ac:dyDescent="0.35">
      <c r="A384" s="1">
        <v>383</v>
      </c>
      <c r="B384" s="3">
        <v>40560</v>
      </c>
      <c r="C384" s="1">
        <v>10</v>
      </c>
      <c r="D384" s="2" t="b">
        <v>1</v>
      </c>
      <c r="E384" s="1">
        <v>1</v>
      </c>
      <c r="F384" s="1">
        <v>2</v>
      </c>
      <c r="G384" s="1">
        <v>0.16</v>
      </c>
    </row>
    <row r="385" spans="1:7" ht="15" thickBot="1" x14ac:dyDescent="0.35">
      <c r="A385" s="1">
        <v>384</v>
      </c>
      <c r="B385" s="3">
        <v>40560</v>
      </c>
      <c r="C385" s="1">
        <v>11</v>
      </c>
      <c r="D385" s="2" t="b">
        <v>1</v>
      </c>
      <c r="E385" s="1">
        <v>1</v>
      </c>
      <c r="F385" s="1">
        <v>2</v>
      </c>
      <c r="G385" s="1">
        <v>0.16</v>
      </c>
    </row>
    <row r="386" spans="1:7" ht="15" thickBot="1" x14ac:dyDescent="0.35">
      <c r="A386" s="1">
        <v>385</v>
      </c>
      <c r="B386" s="3">
        <v>40560</v>
      </c>
      <c r="C386" s="1">
        <v>12</v>
      </c>
      <c r="D386" s="2" t="b">
        <v>1</v>
      </c>
      <c r="E386" s="1">
        <v>1</v>
      </c>
      <c r="F386" s="1">
        <v>2</v>
      </c>
      <c r="G386" s="1">
        <v>0.18</v>
      </c>
    </row>
    <row r="387" spans="1:7" ht="15" thickBot="1" x14ac:dyDescent="0.35">
      <c r="A387" s="1">
        <v>386</v>
      </c>
      <c r="B387" s="3">
        <v>40560</v>
      </c>
      <c r="C387" s="1">
        <v>13</v>
      </c>
      <c r="D387" s="2" t="b">
        <v>1</v>
      </c>
      <c r="E387" s="1">
        <v>1</v>
      </c>
      <c r="F387" s="1">
        <v>2</v>
      </c>
      <c r="G387" s="1">
        <v>0.18</v>
      </c>
    </row>
    <row r="388" spans="1:7" ht="15" thickBot="1" x14ac:dyDescent="0.35">
      <c r="A388" s="1">
        <v>387</v>
      </c>
      <c r="B388" s="3">
        <v>40560</v>
      </c>
      <c r="C388" s="1">
        <v>14</v>
      </c>
      <c r="D388" s="2" t="b">
        <v>1</v>
      </c>
      <c r="E388" s="1">
        <v>1</v>
      </c>
      <c r="F388" s="1">
        <v>2</v>
      </c>
      <c r="G388" s="1">
        <v>0.18</v>
      </c>
    </row>
    <row r="389" spans="1:7" ht="15" thickBot="1" x14ac:dyDescent="0.35">
      <c r="A389" s="1">
        <v>388</v>
      </c>
      <c r="B389" s="3">
        <v>40560</v>
      </c>
      <c r="C389" s="1">
        <v>15</v>
      </c>
      <c r="D389" s="2" t="b">
        <v>1</v>
      </c>
      <c r="E389" s="1">
        <v>1</v>
      </c>
      <c r="F389" s="1">
        <v>2</v>
      </c>
      <c r="G389" s="1">
        <v>0.2</v>
      </c>
    </row>
    <row r="390" spans="1:7" ht="15" thickBot="1" x14ac:dyDescent="0.35">
      <c r="A390" s="1">
        <v>389</v>
      </c>
      <c r="B390" s="3">
        <v>40560</v>
      </c>
      <c r="C390" s="1">
        <v>16</v>
      </c>
      <c r="D390" s="2" t="b">
        <v>1</v>
      </c>
      <c r="E390" s="1">
        <v>1</v>
      </c>
      <c r="F390" s="1">
        <v>2</v>
      </c>
      <c r="G390" s="1">
        <v>0.2</v>
      </c>
    </row>
    <row r="391" spans="1:7" ht="15" thickBot="1" x14ac:dyDescent="0.35">
      <c r="A391" s="1">
        <v>390</v>
      </c>
      <c r="B391" s="3">
        <v>40560</v>
      </c>
      <c r="C391" s="1">
        <v>17</v>
      </c>
      <c r="D391" s="2" t="b">
        <v>1</v>
      </c>
      <c r="E391" s="1">
        <v>1</v>
      </c>
      <c r="F391" s="1">
        <v>1</v>
      </c>
      <c r="G391" s="1">
        <v>0.2</v>
      </c>
    </row>
    <row r="392" spans="1:7" ht="15" thickBot="1" x14ac:dyDescent="0.35">
      <c r="A392" s="1">
        <v>391</v>
      </c>
      <c r="B392" s="3">
        <v>40560</v>
      </c>
      <c r="C392" s="1">
        <v>18</v>
      </c>
      <c r="D392" s="2" t="b">
        <v>1</v>
      </c>
      <c r="E392" s="1">
        <v>1</v>
      </c>
      <c r="F392" s="1">
        <v>2</v>
      </c>
      <c r="G392" s="1">
        <v>0.18</v>
      </c>
    </row>
    <row r="393" spans="1:7" ht="15" thickBot="1" x14ac:dyDescent="0.35">
      <c r="A393" s="1">
        <v>392</v>
      </c>
      <c r="B393" s="3">
        <v>40560</v>
      </c>
      <c r="C393" s="1">
        <v>19</v>
      </c>
      <c r="D393" s="2" t="b">
        <v>1</v>
      </c>
      <c r="E393" s="1">
        <v>1</v>
      </c>
      <c r="F393" s="1">
        <v>3</v>
      </c>
      <c r="G393" s="1">
        <v>0.18</v>
      </c>
    </row>
    <row r="394" spans="1:7" ht="15" thickBot="1" x14ac:dyDescent="0.35">
      <c r="A394" s="1">
        <v>393</v>
      </c>
      <c r="B394" s="3">
        <v>40560</v>
      </c>
      <c r="C394" s="1">
        <v>20</v>
      </c>
      <c r="D394" s="2" t="b">
        <v>1</v>
      </c>
      <c r="E394" s="1">
        <v>1</v>
      </c>
      <c r="F394" s="1">
        <v>3</v>
      </c>
      <c r="G394" s="1">
        <v>0.16</v>
      </c>
    </row>
    <row r="395" spans="1:7" ht="15" thickBot="1" x14ac:dyDescent="0.35">
      <c r="A395" s="1">
        <v>394</v>
      </c>
      <c r="B395" s="3">
        <v>40560</v>
      </c>
      <c r="C395" s="1">
        <v>21</v>
      </c>
      <c r="D395" s="2" t="b">
        <v>1</v>
      </c>
      <c r="E395" s="1">
        <v>1</v>
      </c>
      <c r="F395" s="1">
        <v>3</v>
      </c>
      <c r="G395" s="1">
        <v>0.16</v>
      </c>
    </row>
    <row r="396" spans="1:7" ht="15" thickBot="1" x14ac:dyDescent="0.35">
      <c r="A396" s="1">
        <v>395</v>
      </c>
      <c r="B396" s="3">
        <v>40560</v>
      </c>
      <c r="C396" s="1">
        <v>22</v>
      </c>
      <c r="D396" s="2" t="b">
        <v>1</v>
      </c>
      <c r="E396" s="1">
        <v>1</v>
      </c>
      <c r="F396" s="1">
        <v>3</v>
      </c>
      <c r="G396" s="1">
        <v>0.14000000000000001</v>
      </c>
    </row>
    <row r="397" spans="1:7" ht="15" thickBot="1" x14ac:dyDescent="0.35">
      <c r="A397" s="1">
        <v>396</v>
      </c>
      <c r="B397" s="3">
        <v>40560</v>
      </c>
      <c r="C397" s="1">
        <v>23</v>
      </c>
      <c r="D397" s="2" t="b">
        <v>1</v>
      </c>
      <c r="E397" s="1">
        <v>1</v>
      </c>
      <c r="F397" s="1">
        <v>3</v>
      </c>
      <c r="G397" s="1">
        <v>0.16</v>
      </c>
    </row>
    <row r="398" spans="1:7" ht="15" thickBot="1" x14ac:dyDescent="0.35">
      <c r="A398" s="1">
        <v>397</v>
      </c>
      <c r="B398" s="3">
        <v>40561</v>
      </c>
      <c r="C398" s="1">
        <v>12</v>
      </c>
      <c r="D398" s="2" t="b">
        <v>0</v>
      </c>
      <c r="E398" s="1">
        <v>2</v>
      </c>
      <c r="F398" s="1">
        <v>2</v>
      </c>
      <c r="G398" s="1">
        <v>0.2</v>
      </c>
    </row>
    <row r="399" spans="1:7" ht="15" thickBot="1" x14ac:dyDescent="0.35">
      <c r="A399" s="1">
        <v>398</v>
      </c>
      <c r="B399" s="3">
        <v>40561</v>
      </c>
      <c r="C399" s="1">
        <v>13</v>
      </c>
      <c r="D399" s="2" t="b">
        <v>0</v>
      </c>
      <c r="E399" s="1">
        <v>2</v>
      </c>
      <c r="F399" s="1">
        <v>2</v>
      </c>
      <c r="G399" s="1">
        <v>0.2</v>
      </c>
    </row>
    <row r="400" spans="1:7" ht="15" thickBot="1" x14ac:dyDescent="0.35">
      <c r="A400" s="1">
        <v>399</v>
      </c>
      <c r="B400" s="3">
        <v>40561</v>
      </c>
      <c r="C400" s="1">
        <v>14</v>
      </c>
      <c r="D400" s="2" t="b">
        <v>0</v>
      </c>
      <c r="E400" s="1">
        <v>2</v>
      </c>
      <c r="F400" s="1">
        <v>2</v>
      </c>
      <c r="G400" s="1">
        <v>0.22</v>
      </c>
    </row>
    <row r="401" spans="1:7" ht="15" thickBot="1" x14ac:dyDescent="0.35">
      <c r="A401" s="1">
        <v>400</v>
      </c>
      <c r="B401" s="3">
        <v>40561</v>
      </c>
      <c r="C401" s="1">
        <v>15</v>
      </c>
      <c r="D401" s="2" t="b">
        <v>0</v>
      </c>
      <c r="E401" s="1">
        <v>2</v>
      </c>
      <c r="F401" s="1">
        <v>2</v>
      </c>
      <c r="G401" s="1">
        <v>0.22</v>
      </c>
    </row>
    <row r="402" spans="1:7" ht="15" thickBot="1" x14ac:dyDescent="0.35">
      <c r="A402" s="1">
        <v>401</v>
      </c>
      <c r="B402" s="3">
        <v>40561</v>
      </c>
      <c r="C402" s="1">
        <v>16</v>
      </c>
      <c r="D402" s="2" t="b">
        <v>0</v>
      </c>
      <c r="E402" s="1">
        <v>2</v>
      </c>
      <c r="F402" s="1">
        <v>2</v>
      </c>
      <c r="G402" s="1">
        <v>0.22</v>
      </c>
    </row>
    <row r="403" spans="1:7" ht="15" thickBot="1" x14ac:dyDescent="0.35">
      <c r="A403" s="1">
        <v>402</v>
      </c>
      <c r="B403" s="3">
        <v>40561</v>
      </c>
      <c r="C403" s="1">
        <v>17</v>
      </c>
      <c r="D403" s="2" t="b">
        <v>0</v>
      </c>
      <c r="E403" s="1">
        <v>2</v>
      </c>
      <c r="F403" s="1">
        <v>2</v>
      </c>
      <c r="G403" s="1">
        <v>0.22</v>
      </c>
    </row>
    <row r="404" spans="1:7" ht="15" thickBot="1" x14ac:dyDescent="0.35">
      <c r="A404" s="1">
        <v>403</v>
      </c>
      <c r="B404" s="3">
        <v>40561</v>
      </c>
      <c r="C404" s="1">
        <v>18</v>
      </c>
      <c r="D404" s="2" t="b">
        <v>0</v>
      </c>
      <c r="E404" s="1">
        <v>2</v>
      </c>
      <c r="F404" s="1">
        <v>2</v>
      </c>
      <c r="G404" s="1">
        <v>0.22</v>
      </c>
    </row>
    <row r="405" spans="1:7" ht="15" thickBot="1" x14ac:dyDescent="0.35">
      <c r="A405" s="1">
        <v>404</v>
      </c>
      <c r="B405" s="3">
        <v>40561</v>
      </c>
      <c r="C405" s="1">
        <v>19</v>
      </c>
      <c r="D405" s="2" t="b">
        <v>0</v>
      </c>
      <c r="E405" s="1">
        <v>2</v>
      </c>
      <c r="F405" s="1">
        <v>2</v>
      </c>
      <c r="G405" s="1">
        <v>0.22</v>
      </c>
    </row>
    <row r="406" spans="1:7" ht="15" thickBot="1" x14ac:dyDescent="0.35">
      <c r="A406" s="1">
        <v>405</v>
      </c>
      <c r="B406" s="3">
        <v>40561</v>
      </c>
      <c r="C406" s="1">
        <v>20</v>
      </c>
      <c r="D406" s="2" t="b">
        <v>0</v>
      </c>
      <c r="E406" s="1">
        <v>2</v>
      </c>
      <c r="F406" s="1">
        <v>2</v>
      </c>
      <c r="G406" s="1">
        <v>0.22</v>
      </c>
    </row>
    <row r="407" spans="1:7" ht="15" thickBot="1" x14ac:dyDescent="0.35">
      <c r="A407" s="1">
        <v>406</v>
      </c>
      <c r="B407" s="3">
        <v>40561</v>
      </c>
      <c r="C407" s="1">
        <v>21</v>
      </c>
      <c r="D407" s="2" t="b">
        <v>0</v>
      </c>
      <c r="E407" s="1">
        <v>2</v>
      </c>
      <c r="F407" s="1">
        <v>2</v>
      </c>
      <c r="G407" s="1">
        <v>0.22</v>
      </c>
    </row>
    <row r="408" spans="1:7" ht="15" thickBot="1" x14ac:dyDescent="0.35">
      <c r="A408" s="1">
        <v>407</v>
      </c>
      <c r="B408" s="3">
        <v>40561</v>
      </c>
      <c r="C408" s="1">
        <v>22</v>
      </c>
      <c r="D408" s="2" t="b">
        <v>0</v>
      </c>
      <c r="E408" s="1">
        <v>2</v>
      </c>
      <c r="F408" s="1">
        <v>2</v>
      </c>
      <c r="G408" s="1">
        <v>0.22</v>
      </c>
    </row>
    <row r="409" spans="1:7" ht="15" thickBot="1" x14ac:dyDescent="0.35">
      <c r="A409" s="1">
        <v>408</v>
      </c>
      <c r="B409" s="3">
        <v>40561</v>
      </c>
      <c r="C409" s="1">
        <v>23</v>
      </c>
      <c r="D409" s="2" t="b">
        <v>0</v>
      </c>
      <c r="E409" s="1">
        <v>2</v>
      </c>
      <c r="F409" s="1">
        <v>2</v>
      </c>
      <c r="G409" s="1">
        <v>0.22</v>
      </c>
    </row>
    <row r="410" spans="1:7" ht="15" thickBot="1" x14ac:dyDescent="0.35">
      <c r="A410" s="1">
        <v>409</v>
      </c>
      <c r="B410" s="3">
        <v>40562</v>
      </c>
      <c r="C410" s="1">
        <v>0</v>
      </c>
      <c r="D410" s="2" t="b">
        <v>0</v>
      </c>
      <c r="E410" s="1">
        <v>3</v>
      </c>
      <c r="F410" s="1">
        <v>2</v>
      </c>
      <c r="G410" s="1">
        <v>0.22</v>
      </c>
    </row>
    <row r="411" spans="1:7" ht="15" thickBot="1" x14ac:dyDescent="0.35">
      <c r="A411" s="1">
        <v>410</v>
      </c>
      <c r="B411" s="3">
        <v>40562</v>
      </c>
      <c r="C411" s="1">
        <v>1</v>
      </c>
      <c r="D411" s="2" t="b">
        <v>0</v>
      </c>
      <c r="E411" s="1">
        <v>3</v>
      </c>
      <c r="F411" s="1">
        <v>3</v>
      </c>
      <c r="G411" s="1">
        <v>0.22</v>
      </c>
    </row>
    <row r="412" spans="1:7" ht="15" thickBot="1" x14ac:dyDescent="0.35">
      <c r="A412" s="1">
        <v>411</v>
      </c>
      <c r="B412" s="3">
        <v>40562</v>
      </c>
      <c r="C412" s="1">
        <v>2</v>
      </c>
      <c r="D412" s="2" t="b">
        <v>0</v>
      </c>
      <c r="E412" s="1">
        <v>3</v>
      </c>
      <c r="F412" s="1">
        <v>3</v>
      </c>
      <c r="G412" s="1">
        <v>0.22</v>
      </c>
    </row>
    <row r="413" spans="1:7" ht="15" thickBot="1" x14ac:dyDescent="0.35">
      <c r="A413" s="1">
        <v>412</v>
      </c>
      <c r="B413" s="3">
        <v>40562</v>
      </c>
      <c r="C413" s="1">
        <v>4</v>
      </c>
      <c r="D413" s="2" t="b">
        <v>0</v>
      </c>
      <c r="E413" s="1">
        <v>3</v>
      </c>
      <c r="F413" s="1">
        <v>3</v>
      </c>
      <c r="G413" s="1">
        <v>0.22</v>
      </c>
    </row>
    <row r="414" spans="1:7" ht="15" thickBot="1" x14ac:dyDescent="0.35">
      <c r="A414" s="1">
        <v>413</v>
      </c>
      <c r="B414" s="3">
        <v>40562</v>
      </c>
      <c r="C414" s="1">
        <v>5</v>
      </c>
      <c r="D414" s="2" t="b">
        <v>0</v>
      </c>
      <c r="E414" s="1">
        <v>3</v>
      </c>
      <c r="F414" s="1">
        <v>2</v>
      </c>
      <c r="G414" s="1">
        <v>0.22</v>
      </c>
    </row>
    <row r="415" spans="1:7" ht="15" thickBot="1" x14ac:dyDescent="0.35">
      <c r="A415" s="1">
        <v>414</v>
      </c>
      <c r="B415" s="3">
        <v>40562</v>
      </c>
      <c r="C415" s="1">
        <v>6</v>
      </c>
      <c r="D415" s="2" t="b">
        <v>0</v>
      </c>
      <c r="E415" s="1">
        <v>3</v>
      </c>
      <c r="F415" s="1">
        <v>2</v>
      </c>
      <c r="G415" s="1">
        <v>0.22</v>
      </c>
    </row>
    <row r="416" spans="1:7" ht="15" thickBot="1" x14ac:dyDescent="0.35">
      <c r="A416" s="1">
        <v>415</v>
      </c>
      <c r="B416" s="3">
        <v>40562</v>
      </c>
      <c r="C416" s="1">
        <v>7</v>
      </c>
      <c r="D416" s="2" t="b">
        <v>0</v>
      </c>
      <c r="E416" s="1">
        <v>3</v>
      </c>
      <c r="F416" s="1">
        <v>2</v>
      </c>
      <c r="G416" s="1">
        <v>0.24</v>
      </c>
    </row>
    <row r="417" spans="1:7" ht="15" thickBot="1" x14ac:dyDescent="0.35">
      <c r="A417" s="1">
        <v>416</v>
      </c>
      <c r="B417" s="3">
        <v>40562</v>
      </c>
      <c r="C417" s="1">
        <v>8</v>
      </c>
      <c r="D417" s="2" t="b">
        <v>0</v>
      </c>
      <c r="E417" s="1">
        <v>3</v>
      </c>
      <c r="F417" s="1">
        <v>2</v>
      </c>
      <c r="G417" s="1">
        <v>0.24</v>
      </c>
    </row>
    <row r="418" spans="1:7" ht="15" thickBot="1" x14ac:dyDescent="0.35">
      <c r="A418" s="1">
        <v>417</v>
      </c>
      <c r="B418" s="3">
        <v>40562</v>
      </c>
      <c r="C418" s="1">
        <v>9</v>
      </c>
      <c r="D418" s="2" t="b">
        <v>0</v>
      </c>
      <c r="E418" s="1">
        <v>3</v>
      </c>
      <c r="F418" s="1">
        <v>2</v>
      </c>
      <c r="G418" s="1">
        <v>0.24</v>
      </c>
    </row>
    <row r="419" spans="1:7" ht="15" thickBot="1" x14ac:dyDescent="0.35">
      <c r="A419" s="1">
        <v>418</v>
      </c>
      <c r="B419" s="3">
        <v>40562</v>
      </c>
      <c r="C419" s="1">
        <v>10</v>
      </c>
      <c r="D419" s="2" t="b">
        <v>0</v>
      </c>
      <c r="E419" s="1">
        <v>3</v>
      </c>
      <c r="F419" s="1">
        <v>2</v>
      </c>
      <c r="G419" s="1">
        <v>0.26</v>
      </c>
    </row>
    <row r="420" spans="1:7" ht="15" thickBot="1" x14ac:dyDescent="0.35">
      <c r="A420" s="1">
        <v>419</v>
      </c>
      <c r="B420" s="3">
        <v>40562</v>
      </c>
      <c r="C420" s="1">
        <v>11</v>
      </c>
      <c r="D420" s="2" t="b">
        <v>0</v>
      </c>
      <c r="E420" s="1">
        <v>3</v>
      </c>
      <c r="F420" s="1">
        <v>2</v>
      </c>
      <c r="G420" s="1">
        <v>0.28000000000000003</v>
      </c>
    </row>
    <row r="421" spans="1:7" ht="15" thickBot="1" x14ac:dyDescent="0.35">
      <c r="A421" s="1">
        <v>420</v>
      </c>
      <c r="B421" s="3">
        <v>40562</v>
      </c>
      <c r="C421" s="1">
        <v>12</v>
      </c>
      <c r="D421" s="2" t="b">
        <v>0</v>
      </c>
      <c r="E421" s="1">
        <v>3</v>
      </c>
      <c r="F421" s="1">
        <v>2</v>
      </c>
      <c r="G421" s="1">
        <v>0.3</v>
      </c>
    </row>
    <row r="422" spans="1:7" ht="15" thickBot="1" x14ac:dyDescent="0.35">
      <c r="A422" s="1">
        <v>421</v>
      </c>
      <c r="B422" s="3">
        <v>40562</v>
      </c>
      <c r="C422" s="1">
        <v>13</v>
      </c>
      <c r="D422" s="2" t="b">
        <v>0</v>
      </c>
      <c r="E422" s="1">
        <v>3</v>
      </c>
      <c r="F422" s="1">
        <v>1</v>
      </c>
      <c r="G422" s="1">
        <v>0.4</v>
      </c>
    </row>
    <row r="423" spans="1:7" ht="15" thickBot="1" x14ac:dyDescent="0.35">
      <c r="A423" s="1">
        <v>422</v>
      </c>
      <c r="B423" s="3">
        <v>40562</v>
      </c>
      <c r="C423" s="1">
        <v>14</v>
      </c>
      <c r="D423" s="2" t="b">
        <v>0</v>
      </c>
      <c r="E423" s="1">
        <v>3</v>
      </c>
      <c r="F423" s="1">
        <v>1</v>
      </c>
      <c r="G423" s="1">
        <v>0.4</v>
      </c>
    </row>
    <row r="424" spans="1:7" ht="15" thickBot="1" x14ac:dyDescent="0.35">
      <c r="A424" s="1">
        <v>423</v>
      </c>
      <c r="B424" s="3">
        <v>40562</v>
      </c>
      <c r="C424" s="1">
        <v>15</v>
      </c>
      <c r="D424" s="2" t="b">
        <v>0</v>
      </c>
      <c r="E424" s="1">
        <v>3</v>
      </c>
      <c r="F424" s="1">
        <v>1</v>
      </c>
      <c r="G424" s="1">
        <v>0.4</v>
      </c>
    </row>
    <row r="425" spans="1:7" ht="15" thickBot="1" x14ac:dyDescent="0.35">
      <c r="A425" s="1">
        <v>424</v>
      </c>
      <c r="B425" s="3">
        <v>40562</v>
      </c>
      <c r="C425" s="1">
        <v>16</v>
      </c>
      <c r="D425" s="2" t="b">
        <v>0</v>
      </c>
      <c r="E425" s="1">
        <v>3</v>
      </c>
      <c r="F425" s="1">
        <v>1</v>
      </c>
      <c r="G425" s="1">
        <v>0.38</v>
      </c>
    </row>
    <row r="426" spans="1:7" ht="15" thickBot="1" x14ac:dyDescent="0.35">
      <c r="A426" s="1">
        <v>425</v>
      </c>
      <c r="B426" s="3">
        <v>40562</v>
      </c>
      <c r="C426" s="1">
        <v>17</v>
      </c>
      <c r="D426" s="2" t="b">
        <v>0</v>
      </c>
      <c r="E426" s="1">
        <v>3</v>
      </c>
      <c r="F426" s="1">
        <v>1</v>
      </c>
      <c r="G426" s="1">
        <v>0.36</v>
      </c>
    </row>
    <row r="427" spans="1:7" ht="15" thickBot="1" x14ac:dyDescent="0.35">
      <c r="A427" s="1">
        <v>426</v>
      </c>
      <c r="B427" s="3">
        <v>40562</v>
      </c>
      <c r="C427" s="1">
        <v>18</v>
      </c>
      <c r="D427" s="2" t="b">
        <v>0</v>
      </c>
      <c r="E427" s="1">
        <v>3</v>
      </c>
      <c r="F427" s="1">
        <v>1</v>
      </c>
      <c r="G427" s="1">
        <v>0.34</v>
      </c>
    </row>
    <row r="428" spans="1:7" ht="15" thickBot="1" x14ac:dyDescent="0.35">
      <c r="A428" s="1">
        <v>427</v>
      </c>
      <c r="B428" s="3">
        <v>40562</v>
      </c>
      <c r="C428" s="1">
        <v>19</v>
      </c>
      <c r="D428" s="2" t="b">
        <v>0</v>
      </c>
      <c r="E428" s="1">
        <v>3</v>
      </c>
      <c r="F428" s="1">
        <v>1</v>
      </c>
      <c r="G428" s="1">
        <v>0.32</v>
      </c>
    </row>
    <row r="429" spans="1:7" ht="15" thickBot="1" x14ac:dyDescent="0.35">
      <c r="A429" s="1">
        <v>428</v>
      </c>
      <c r="B429" s="3">
        <v>40562</v>
      </c>
      <c r="C429" s="1">
        <v>20</v>
      </c>
      <c r="D429" s="2" t="b">
        <v>0</v>
      </c>
      <c r="E429" s="1">
        <v>3</v>
      </c>
      <c r="F429" s="1">
        <v>1</v>
      </c>
      <c r="G429" s="1">
        <v>0.32</v>
      </c>
    </row>
    <row r="430" spans="1:7" ht="15" thickBot="1" x14ac:dyDescent="0.35">
      <c r="A430" s="1">
        <v>429</v>
      </c>
      <c r="B430" s="3">
        <v>40562</v>
      </c>
      <c r="C430" s="1">
        <v>21</v>
      </c>
      <c r="D430" s="2" t="b">
        <v>0</v>
      </c>
      <c r="E430" s="1">
        <v>3</v>
      </c>
      <c r="F430" s="1">
        <v>1</v>
      </c>
      <c r="G430" s="1">
        <v>0.32</v>
      </c>
    </row>
    <row r="431" spans="1:7" ht="15" thickBot="1" x14ac:dyDescent="0.35">
      <c r="A431" s="1">
        <v>430</v>
      </c>
      <c r="B431" s="3">
        <v>40562</v>
      </c>
      <c r="C431" s="1">
        <v>22</v>
      </c>
      <c r="D431" s="2" t="b">
        <v>0</v>
      </c>
      <c r="E431" s="1">
        <v>3</v>
      </c>
      <c r="F431" s="1">
        <v>1</v>
      </c>
      <c r="G431" s="1">
        <v>0.3</v>
      </c>
    </row>
    <row r="432" spans="1:7" ht="15" thickBot="1" x14ac:dyDescent="0.35">
      <c r="A432" s="1">
        <v>431</v>
      </c>
      <c r="B432" s="3">
        <v>40562</v>
      </c>
      <c r="C432" s="1">
        <v>23</v>
      </c>
      <c r="D432" s="2" t="b">
        <v>0</v>
      </c>
      <c r="E432" s="1">
        <v>3</v>
      </c>
      <c r="F432" s="1">
        <v>1</v>
      </c>
      <c r="G432" s="1">
        <v>0.3</v>
      </c>
    </row>
    <row r="433" spans="1:7" ht="15" thickBot="1" x14ac:dyDescent="0.35">
      <c r="A433" s="1">
        <v>432</v>
      </c>
      <c r="B433" s="3">
        <v>40563</v>
      </c>
      <c r="C433" s="1">
        <v>0</v>
      </c>
      <c r="D433" s="2" t="b">
        <v>0</v>
      </c>
      <c r="E433" s="1">
        <v>4</v>
      </c>
      <c r="F433" s="1">
        <v>1</v>
      </c>
      <c r="G433" s="1">
        <v>0.26</v>
      </c>
    </row>
    <row r="434" spans="1:7" ht="15" thickBot="1" x14ac:dyDescent="0.35">
      <c r="A434" s="1">
        <v>433</v>
      </c>
      <c r="B434" s="3">
        <v>40563</v>
      </c>
      <c r="C434" s="1">
        <v>1</v>
      </c>
      <c r="D434" s="2" t="b">
        <v>0</v>
      </c>
      <c r="E434" s="1">
        <v>4</v>
      </c>
      <c r="F434" s="1">
        <v>1</v>
      </c>
      <c r="G434" s="1">
        <v>0.26</v>
      </c>
    </row>
    <row r="435" spans="1:7" ht="15" thickBot="1" x14ac:dyDescent="0.35">
      <c r="A435" s="1">
        <v>434</v>
      </c>
      <c r="B435" s="3">
        <v>40563</v>
      </c>
      <c r="C435" s="1">
        <v>2</v>
      </c>
      <c r="D435" s="2" t="b">
        <v>0</v>
      </c>
      <c r="E435" s="1">
        <v>4</v>
      </c>
      <c r="F435" s="1">
        <v>1</v>
      </c>
      <c r="G435" s="1">
        <v>0.26</v>
      </c>
    </row>
    <row r="436" spans="1:7" ht="15" thickBot="1" x14ac:dyDescent="0.35">
      <c r="A436" s="1">
        <v>435</v>
      </c>
      <c r="B436" s="3">
        <v>40563</v>
      </c>
      <c r="C436" s="1">
        <v>3</v>
      </c>
      <c r="D436" s="2" t="b">
        <v>0</v>
      </c>
      <c r="E436" s="1">
        <v>4</v>
      </c>
      <c r="F436" s="1">
        <v>1</v>
      </c>
      <c r="G436" s="1">
        <v>0.26</v>
      </c>
    </row>
    <row r="437" spans="1:7" ht="15" thickBot="1" x14ac:dyDescent="0.35">
      <c r="A437" s="1">
        <v>436</v>
      </c>
      <c r="B437" s="3">
        <v>40563</v>
      </c>
      <c r="C437" s="1">
        <v>4</v>
      </c>
      <c r="D437" s="2" t="b">
        <v>0</v>
      </c>
      <c r="E437" s="1">
        <v>4</v>
      </c>
      <c r="F437" s="1">
        <v>1</v>
      </c>
      <c r="G437" s="1">
        <v>0.26</v>
      </c>
    </row>
    <row r="438" spans="1:7" ht="15" thickBot="1" x14ac:dyDescent="0.35">
      <c r="A438" s="1">
        <v>437</v>
      </c>
      <c r="B438" s="3">
        <v>40563</v>
      </c>
      <c r="C438" s="1">
        <v>5</v>
      </c>
      <c r="D438" s="2" t="b">
        <v>0</v>
      </c>
      <c r="E438" s="1">
        <v>4</v>
      </c>
      <c r="F438" s="1">
        <v>1</v>
      </c>
      <c r="G438" s="1">
        <v>0.24</v>
      </c>
    </row>
    <row r="439" spans="1:7" ht="15" thickBot="1" x14ac:dyDescent="0.35">
      <c r="A439" s="1">
        <v>438</v>
      </c>
      <c r="B439" s="3">
        <v>40563</v>
      </c>
      <c r="C439" s="1">
        <v>6</v>
      </c>
      <c r="D439" s="2" t="b">
        <v>0</v>
      </c>
      <c r="E439" s="1">
        <v>4</v>
      </c>
      <c r="F439" s="1">
        <v>1</v>
      </c>
      <c r="G439" s="1">
        <v>0.22</v>
      </c>
    </row>
    <row r="440" spans="1:7" ht="15" thickBot="1" x14ac:dyDescent="0.35">
      <c r="A440" s="1">
        <v>439</v>
      </c>
      <c r="B440" s="3">
        <v>40563</v>
      </c>
      <c r="C440" s="1">
        <v>7</v>
      </c>
      <c r="D440" s="2" t="b">
        <v>0</v>
      </c>
      <c r="E440" s="1">
        <v>4</v>
      </c>
      <c r="F440" s="1">
        <v>1</v>
      </c>
      <c r="G440" s="1">
        <v>0.22</v>
      </c>
    </row>
    <row r="441" spans="1:7" ht="15" thickBot="1" x14ac:dyDescent="0.35">
      <c r="A441" s="1">
        <v>440</v>
      </c>
      <c r="B441" s="3">
        <v>40563</v>
      </c>
      <c r="C441" s="1">
        <v>8</v>
      </c>
      <c r="D441" s="2" t="b">
        <v>0</v>
      </c>
      <c r="E441" s="1">
        <v>4</v>
      </c>
      <c r="F441" s="1">
        <v>1</v>
      </c>
      <c r="G441" s="1">
        <v>0.22</v>
      </c>
    </row>
    <row r="442" spans="1:7" ht="15" thickBot="1" x14ac:dyDescent="0.35">
      <c r="A442" s="1">
        <v>441</v>
      </c>
      <c r="B442" s="3">
        <v>40563</v>
      </c>
      <c r="C442" s="1">
        <v>9</v>
      </c>
      <c r="D442" s="2" t="b">
        <v>0</v>
      </c>
      <c r="E442" s="1">
        <v>4</v>
      </c>
      <c r="F442" s="1">
        <v>2</v>
      </c>
      <c r="G442" s="1">
        <v>0.24</v>
      </c>
    </row>
    <row r="443" spans="1:7" ht="15" thickBot="1" x14ac:dyDescent="0.35">
      <c r="A443" s="1">
        <v>442</v>
      </c>
      <c r="B443" s="3">
        <v>40563</v>
      </c>
      <c r="C443" s="1">
        <v>10</v>
      </c>
      <c r="D443" s="2" t="b">
        <v>0</v>
      </c>
      <c r="E443" s="1">
        <v>4</v>
      </c>
      <c r="F443" s="1">
        <v>1</v>
      </c>
      <c r="G443" s="1">
        <v>0.26</v>
      </c>
    </row>
    <row r="444" spans="1:7" ht="15" thickBot="1" x14ac:dyDescent="0.35">
      <c r="A444" s="1">
        <v>443</v>
      </c>
      <c r="B444" s="3">
        <v>40563</v>
      </c>
      <c r="C444" s="1">
        <v>11</v>
      </c>
      <c r="D444" s="2" t="b">
        <v>0</v>
      </c>
      <c r="E444" s="1">
        <v>4</v>
      </c>
      <c r="F444" s="1">
        <v>2</v>
      </c>
      <c r="G444" s="1">
        <v>0.28000000000000003</v>
      </c>
    </row>
    <row r="445" spans="1:7" ht="15" thickBot="1" x14ac:dyDescent="0.35">
      <c r="A445" s="1">
        <v>444</v>
      </c>
      <c r="B445" s="3">
        <v>40563</v>
      </c>
      <c r="C445" s="1">
        <v>12</v>
      </c>
      <c r="D445" s="2" t="b">
        <v>0</v>
      </c>
      <c r="E445" s="1">
        <v>4</v>
      </c>
      <c r="F445" s="1">
        <v>2</v>
      </c>
      <c r="G445" s="1">
        <v>0.3</v>
      </c>
    </row>
    <row r="446" spans="1:7" ht="15" thickBot="1" x14ac:dyDescent="0.35">
      <c r="A446" s="1">
        <v>445</v>
      </c>
      <c r="B446" s="3">
        <v>40563</v>
      </c>
      <c r="C446" s="1">
        <v>13</v>
      </c>
      <c r="D446" s="2" t="b">
        <v>0</v>
      </c>
      <c r="E446" s="1">
        <v>4</v>
      </c>
      <c r="F446" s="1">
        <v>2</v>
      </c>
      <c r="G446" s="1">
        <v>0.28000000000000003</v>
      </c>
    </row>
    <row r="447" spans="1:7" ht="15" thickBot="1" x14ac:dyDescent="0.35">
      <c r="A447" s="1">
        <v>446</v>
      </c>
      <c r="B447" s="3">
        <v>40563</v>
      </c>
      <c r="C447" s="1">
        <v>14</v>
      </c>
      <c r="D447" s="2" t="b">
        <v>0</v>
      </c>
      <c r="E447" s="1">
        <v>4</v>
      </c>
      <c r="F447" s="1">
        <v>2</v>
      </c>
      <c r="G447" s="1">
        <v>0.3</v>
      </c>
    </row>
    <row r="448" spans="1:7" ht="15" thickBot="1" x14ac:dyDescent="0.35">
      <c r="A448" s="1">
        <v>447</v>
      </c>
      <c r="B448" s="3">
        <v>40563</v>
      </c>
      <c r="C448" s="1">
        <v>15</v>
      </c>
      <c r="D448" s="2" t="b">
        <v>0</v>
      </c>
      <c r="E448" s="1">
        <v>4</v>
      </c>
      <c r="F448" s="1">
        <v>2</v>
      </c>
      <c r="G448" s="1">
        <v>0.32</v>
      </c>
    </row>
    <row r="449" spans="1:7" ht="15" thickBot="1" x14ac:dyDescent="0.35">
      <c r="A449" s="1">
        <v>448</v>
      </c>
      <c r="B449" s="3">
        <v>40563</v>
      </c>
      <c r="C449" s="1">
        <v>16</v>
      </c>
      <c r="D449" s="2" t="b">
        <v>0</v>
      </c>
      <c r="E449" s="1">
        <v>4</v>
      </c>
      <c r="F449" s="1">
        <v>2</v>
      </c>
      <c r="G449" s="1">
        <v>0.3</v>
      </c>
    </row>
    <row r="450" spans="1:7" ht="15" thickBot="1" x14ac:dyDescent="0.35">
      <c r="A450" s="1">
        <v>449</v>
      </c>
      <c r="B450" s="3">
        <v>40563</v>
      </c>
      <c r="C450" s="1">
        <v>17</v>
      </c>
      <c r="D450" s="2" t="b">
        <v>0</v>
      </c>
      <c r="E450" s="1">
        <v>4</v>
      </c>
      <c r="F450" s="1">
        <v>2</v>
      </c>
      <c r="G450" s="1">
        <v>0.3</v>
      </c>
    </row>
    <row r="451" spans="1:7" ht="15" thickBot="1" x14ac:dyDescent="0.35">
      <c r="A451" s="1">
        <v>450</v>
      </c>
      <c r="B451" s="3">
        <v>40563</v>
      </c>
      <c r="C451" s="1">
        <v>18</v>
      </c>
      <c r="D451" s="2" t="b">
        <v>0</v>
      </c>
      <c r="E451" s="1">
        <v>4</v>
      </c>
      <c r="F451" s="1">
        <v>2</v>
      </c>
      <c r="G451" s="1">
        <v>0.26</v>
      </c>
    </row>
    <row r="452" spans="1:7" ht="15" thickBot="1" x14ac:dyDescent="0.35">
      <c r="A452" s="1">
        <v>451</v>
      </c>
      <c r="B452" s="3">
        <v>40563</v>
      </c>
      <c r="C452" s="1">
        <v>19</v>
      </c>
      <c r="D452" s="2" t="b">
        <v>0</v>
      </c>
      <c r="E452" s="1">
        <v>4</v>
      </c>
      <c r="F452" s="1">
        <v>1</v>
      </c>
      <c r="G452" s="1">
        <v>0.26</v>
      </c>
    </row>
    <row r="453" spans="1:7" ht="15" thickBot="1" x14ac:dyDescent="0.35">
      <c r="A453" s="1">
        <v>452</v>
      </c>
      <c r="B453" s="3">
        <v>40563</v>
      </c>
      <c r="C453" s="1">
        <v>20</v>
      </c>
      <c r="D453" s="2" t="b">
        <v>0</v>
      </c>
      <c r="E453" s="1">
        <v>4</v>
      </c>
      <c r="F453" s="1">
        <v>2</v>
      </c>
      <c r="G453" s="1">
        <v>0.26</v>
      </c>
    </row>
    <row r="454" spans="1:7" ht="15" thickBot="1" x14ac:dyDescent="0.35">
      <c r="A454" s="1">
        <v>453</v>
      </c>
      <c r="B454" s="3">
        <v>40563</v>
      </c>
      <c r="C454" s="1">
        <v>21</v>
      </c>
      <c r="D454" s="2" t="b">
        <v>0</v>
      </c>
      <c r="E454" s="1">
        <v>4</v>
      </c>
      <c r="F454" s="1">
        <v>2</v>
      </c>
      <c r="G454" s="1">
        <v>0.24</v>
      </c>
    </row>
    <row r="455" spans="1:7" ht="15" thickBot="1" x14ac:dyDescent="0.35">
      <c r="A455" s="1">
        <v>454</v>
      </c>
      <c r="B455" s="3">
        <v>40563</v>
      </c>
      <c r="C455" s="1">
        <v>22</v>
      </c>
      <c r="D455" s="2" t="b">
        <v>0</v>
      </c>
      <c r="E455" s="1">
        <v>4</v>
      </c>
      <c r="F455" s="1">
        <v>2</v>
      </c>
      <c r="G455" s="1">
        <v>0.24</v>
      </c>
    </row>
    <row r="456" spans="1:7" ht="15" thickBot="1" x14ac:dyDescent="0.35">
      <c r="A456" s="1">
        <v>455</v>
      </c>
      <c r="B456" s="3">
        <v>40563</v>
      </c>
      <c r="C456" s="1">
        <v>23</v>
      </c>
      <c r="D456" s="2" t="b">
        <v>0</v>
      </c>
      <c r="E456" s="1">
        <v>4</v>
      </c>
      <c r="F456" s="1">
        <v>2</v>
      </c>
      <c r="G456" s="1">
        <v>0.24</v>
      </c>
    </row>
    <row r="457" spans="1:7" ht="15" thickBot="1" x14ac:dyDescent="0.35">
      <c r="A457" s="1">
        <v>456</v>
      </c>
      <c r="B457" s="3">
        <v>40564</v>
      </c>
      <c r="C457" s="1">
        <v>0</v>
      </c>
      <c r="D457" s="2" t="b">
        <v>0</v>
      </c>
      <c r="E457" s="1">
        <v>5</v>
      </c>
      <c r="F457" s="1">
        <v>2</v>
      </c>
      <c r="G457" s="1">
        <v>0.24</v>
      </c>
    </row>
    <row r="458" spans="1:7" ht="15" thickBot="1" x14ac:dyDescent="0.35">
      <c r="A458" s="1">
        <v>457</v>
      </c>
      <c r="B458" s="3">
        <v>40564</v>
      </c>
      <c r="C458" s="1">
        <v>1</v>
      </c>
      <c r="D458" s="2" t="b">
        <v>0</v>
      </c>
      <c r="E458" s="1">
        <v>5</v>
      </c>
      <c r="F458" s="1">
        <v>2</v>
      </c>
      <c r="G458" s="1">
        <v>0.24</v>
      </c>
    </row>
    <row r="459" spans="1:7" ht="15" thickBot="1" x14ac:dyDescent="0.35">
      <c r="A459" s="1">
        <v>458</v>
      </c>
      <c r="B459" s="3">
        <v>40564</v>
      </c>
      <c r="C459" s="1">
        <v>2</v>
      </c>
      <c r="D459" s="2" t="b">
        <v>0</v>
      </c>
      <c r="E459" s="1">
        <v>5</v>
      </c>
      <c r="F459" s="1">
        <v>3</v>
      </c>
      <c r="G459" s="1">
        <v>0.24</v>
      </c>
    </row>
    <row r="460" spans="1:7" ht="15" thickBot="1" x14ac:dyDescent="0.35">
      <c r="A460" s="1">
        <v>459</v>
      </c>
      <c r="B460" s="3">
        <v>40564</v>
      </c>
      <c r="C460" s="1">
        <v>3</v>
      </c>
      <c r="D460" s="2" t="b">
        <v>0</v>
      </c>
      <c r="E460" s="1">
        <v>5</v>
      </c>
      <c r="F460" s="1">
        <v>3</v>
      </c>
      <c r="G460" s="1">
        <v>0.22</v>
      </c>
    </row>
    <row r="461" spans="1:7" ht="15" thickBot="1" x14ac:dyDescent="0.35">
      <c r="A461" s="1">
        <v>460</v>
      </c>
      <c r="B461" s="3">
        <v>40564</v>
      </c>
      <c r="C461" s="1">
        <v>4</v>
      </c>
      <c r="D461" s="2" t="b">
        <v>0</v>
      </c>
      <c r="E461" s="1">
        <v>5</v>
      </c>
      <c r="F461" s="1">
        <v>2</v>
      </c>
      <c r="G461" s="1">
        <v>0.22</v>
      </c>
    </row>
    <row r="462" spans="1:7" ht="15" thickBot="1" x14ac:dyDescent="0.35">
      <c r="A462" s="1">
        <v>461</v>
      </c>
      <c r="B462" s="3">
        <v>40564</v>
      </c>
      <c r="C462" s="1">
        <v>5</v>
      </c>
      <c r="D462" s="2" t="b">
        <v>0</v>
      </c>
      <c r="E462" s="1">
        <v>5</v>
      </c>
      <c r="F462" s="1">
        <v>1</v>
      </c>
      <c r="G462" s="1">
        <v>0.24</v>
      </c>
    </row>
    <row r="463" spans="1:7" ht="15" thickBot="1" x14ac:dyDescent="0.35">
      <c r="A463" s="1">
        <v>462</v>
      </c>
      <c r="B463" s="3">
        <v>40564</v>
      </c>
      <c r="C463" s="1">
        <v>6</v>
      </c>
      <c r="D463" s="2" t="b">
        <v>0</v>
      </c>
      <c r="E463" s="1">
        <v>5</v>
      </c>
      <c r="F463" s="1">
        <v>1</v>
      </c>
      <c r="G463" s="1">
        <v>0.22</v>
      </c>
    </row>
    <row r="464" spans="1:7" ht="15" thickBot="1" x14ac:dyDescent="0.35">
      <c r="A464" s="1">
        <v>463</v>
      </c>
      <c r="B464" s="3">
        <v>40564</v>
      </c>
      <c r="C464" s="1">
        <v>7</v>
      </c>
      <c r="D464" s="2" t="b">
        <v>0</v>
      </c>
      <c r="E464" s="1">
        <v>5</v>
      </c>
      <c r="F464" s="1">
        <v>1</v>
      </c>
      <c r="G464" s="1">
        <v>0.2</v>
      </c>
    </row>
    <row r="465" spans="1:7" ht="15" thickBot="1" x14ac:dyDescent="0.35">
      <c r="A465" s="1">
        <v>464</v>
      </c>
      <c r="B465" s="3">
        <v>40564</v>
      </c>
      <c r="C465" s="1">
        <v>8</v>
      </c>
      <c r="D465" s="2" t="b">
        <v>0</v>
      </c>
      <c r="E465" s="1">
        <v>5</v>
      </c>
      <c r="F465" s="1">
        <v>1</v>
      </c>
      <c r="G465" s="1">
        <v>0.2</v>
      </c>
    </row>
    <row r="466" spans="1:7" ht="15" thickBot="1" x14ac:dyDescent="0.35">
      <c r="A466" s="1">
        <v>465</v>
      </c>
      <c r="B466" s="3">
        <v>40564</v>
      </c>
      <c r="C466" s="1">
        <v>9</v>
      </c>
      <c r="D466" s="2" t="b">
        <v>0</v>
      </c>
      <c r="E466" s="1">
        <v>5</v>
      </c>
      <c r="F466" s="1">
        <v>1</v>
      </c>
      <c r="G466" s="1">
        <v>0.2</v>
      </c>
    </row>
    <row r="467" spans="1:7" ht="15" thickBot="1" x14ac:dyDescent="0.35">
      <c r="A467" s="1">
        <v>466</v>
      </c>
      <c r="B467" s="3">
        <v>40564</v>
      </c>
      <c r="C467" s="1">
        <v>10</v>
      </c>
      <c r="D467" s="2" t="b">
        <v>0</v>
      </c>
      <c r="E467" s="1">
        <v>5</v>
      </c>
      <c r="F467" s="1">
        <v>1</v>
      </c>
      <c r="G467" s="1">
        <v>0.2</v>
      </c>
    </row>
    <row r="468" spans="1:7" ht="15" thickBot="1" x14ac:dyDescent="0.35">
      <c r="A468" s="1">
        <v>467</v>
      </c>
      <c r="B468" s="3">
        <v>40564</v>
      </c>
      <c r="C468" s="1">
        <v>11</v>
      </c>
      <c r="D468" s="2" t="b">
        <v>0</v>
      </c>
      <c r="E468" s="1">
        <v>5</v>
      </c>
      <c r="F468" s="1">
        <v>1</v>
      </c>
      <c r="G468" s="1">
        <v>0.22</v>
      </c>
    </row>
    <row r="469" spans="1:7" ht="15" thickBot="1" x14ac:dyDescent="0.35">
      <c r="A469" s="1">
        <v>468</v>
      </c>
      <c r="B469" s="3">
        <v>40564</v>
      </c>
      <c r="C469" s="1">
        <v>12</v>
      </c>
      <c r="D469" s="2" t="b">
        <v>0</v>
      </c>
      <c r="E469" s="1">
        <v>5</v>
      </c>
      <c r="F469" s="1">
        <v>1</v>
      </c>
      <c r="G469" s="1">
        <v>0.22</v>
      </c>
    </row>
    <row r="470" spans="1:7" ht="15" thickBot="1" x14ac:dyDescent="0.35">
      <c r="A470" s="1">
        <v>469</v>
      </c>
      <c r="B470" s="3">
        <v>40564</v>
      </c>
      <c r="C470" s="1">
        <v>13</v>
      </c>
      <c r="D470" s="2" t="b">
        <v>0</v>
      </c>
      <c r="E470" s="1">
        <v>5</v>
      </c>
      <c r="F470" s="1">
        <v>1</v>
      </c>
      <c r="G470" s="1">
        <v>0.2</v>
      </c>
    </row>
    <row r="471" spans="1:7" ht="15" thickBot="1" x14ac:dyDescent="0.35">
      <c r="A471" s="1">
        <v>470</v>
      </c>
      <c r="B471" s="3">
        <v>40564</v>
      </c>
      <c r="C471" s="1">
        <v>14</v>
      </c>
      <c r="D471" s="2" t="b">
        <v>0</v>
      </c>
      <c r="E471" s="1">
        <v>5</v>
      </c>
      <c r="F471" s="1">
        <v>1</v>
      </c>
      <c r="G471" s="1">
        <v>0.2</v>
      </c>
    </row>
    <row r="472" spans="1:7" ht="15" thickBot="1" x14ac:dyDescent="0.35">
      <c r="A472" s="1">
        <v>471</v>
      </c>
      <c r="B472" s="3">
        <v>40564</v>
      </c>
      <c r="C472" s="1">
        <v>15</v>
      </c>
      <c r="D472" s="2" t="b">
        <v>0</v>
      </c>
      <c r="E472" s="1">
        <v>5</v>
      </c>
      <c r="F472" s="1">
        <v>1</v>
      </c>
      <c r="G472" s="1">
        <v>0.16</v>
      </c>
    </row>
    <row r="473" spans="1:7" ht="15" thickBot="1" x14ac:dyDescent="0.35">
      <c r="A473" s="1">
        <v>472</v>
      </c>
      <c r="B473" s="3">
        <v>40564</v>
      </c>
      <c r="C473" s="1">
        <v>16</v>
      </c>
      <c r="D473" s="2" t="b">
        <v>0</v>
      </c>
      <c r="E473" s="1">
        <v>5</v>
      </c>
      <c r="F473" s="1">
        <v>1</v>
      </c>
      <c r="G473" s="1">
        <v>0.16</v>
      </c>
    </row>
    <row r="474" spans="1:7" ht="15" thickBot="1" x14ac:dyDescent="0.35">
      <c r="A474" s="1">
        <v>473</v>
      </c>
      <c r="B474" s="3">
        <v>40564</v>
      </c>
      <c r="C474" s="1">
        <v>17</v>
      </c>
      <c r="D474" s="2" t="b">
        <v>0</v>
      </c>
      <c r="E474" s="1">
        <v>5</v>
      </c>
      <c r="F474" s="1">
        <v>1</v>
      </c>
      <c r="G474" s="1">
        <v>0.14000000000000001</v>
      </c>
    </row>
    <row r="475" spans="1:7" ht="15" thickBot="1" x14ac:dyDescent="0.35">
      <c r="A475" s="1">
        <v>474</v>
      </c>
      <c r="B475" s="3">
        <v>40564</v>
      </c>
      <c r="C475" s="1">
        <v>18</v>
      </c>
      <c r="D475" s="2" t="b">
        <v>0</v>
      </c>
      <c r="E475" s="1">
        <v>5</v>
      </c>
      <c r="F475" s="1">
        <v>1</v>
      </c>
      <c r="G475" s="1">
        <v>0.12</v>
      </c>
    </row>
    <row r="476" spans="1:7" ht="15" thickBot="1" x14ac:dyDescent="0.35">
      <c r="A476" s="1">
        <v>475</v>
      </c>
      <c r="B476" s="3">
        <v>40564</v>
      </c>
      <c r="C476" s="1">
        <v>19</v>
      </c>
      <c r="D476" s="2" t="b">
        <v>0</v>
      </c>
      <c r="E476" s="1">
        <v>5</v>
      </c>
      <c r="F476" s="1">
        <v>1</v>
      </c>
      <c r="G476" s="1">
        <v>0.12</v>
      </c>
    </row>
    <row r="477" spans="1:7" ht="15" thickBot="1" x14ac:dyDescent="0.35">
      <c r="A477" s="1">
        <v>476</v>
      </c>
      <c r="B477" s="3">
        <v>40564</v>
      </c>
      <c r="C477" s="1">
        <v>20</v>
      </c>
      <c r="D477" s="2" t="b">
        <v>0</v>
      </c>
      <c r="E477" s="1">
        <v>5</v>
      </c>
      <c r="F477" s="1">
        <v>1</v>
      </c>
      <c r="G477" s="1">
        <v>0.1</v>
      </c>
    </row>
    <row r="478" spans="1:7" ht="15" thickBot="1" x14ac:dyDescent="0.35">
      <c r="A478" s="1">
        <v>477</v>
      </c>
      <c r="B478" s="3">
        <v>40564</v>
      </c>
      <c r="C478" s="1">
        <v>21</v>
      </c>
      <c r="D478" s="2" t="b">
        <v>0</v>
      </c>
      <c r="E478" s="1">
        <v>5</v>
      </c>
      <c r="F478" s="1">
        <v>1</v>
      </c>
      <c r="G478" s="1">
        <v>0.08</v>
      </c>
    </row>
    <row r="479" spans="1:7" ht="15" thickBot="1" x14ac:dyDescent="0.35">
      <c r="A479" s="1">
        <v>478</v>
      </c>
      <c r="B479" s="3">
        <v>40564</v>
      </c>
      <c r="C479" s="1">
        <v>22</v>
      </c>
      <c r="D479" s="2" t="b">
        <v>0</v>
      </c>
      <c r="E479" s="1">
        <v>5</v>
      </c>
      <c r="F479" s="1">
        <v>1</v>
      </c>
      <c r="G479" s="1">
        <v>0.06</v>
      </c>
    </row>
    <row r="480" spans="1:7" ht="15" thickBot="1" x14ac:dyDescent="0.35">
      <c r="A480" s="1">
        <v>479</v>
      </c>
      <c r="B480" s="3">
        <v>40564</v>
      </c>
      <c r="C480" s="1">
        <v>23</v>
      </c>
      <c r="D480" s="2" t="b">
        <v>0</v>
      </c>
      <c r="E480" s="1">
        <v>5</v>
      </c>
      <c r="F480" s="1">
        <v>1</v>
      </c>
      <c r="G480" s="1">
        <v>0.06</v>
      </c>
    </row>
    <row r="481" spans="1:7" ht="15" thickBot="1" x14ac:dyDescent="0.35">
      <c r="A481" s="1">
        <v>480</v>
      </c>
      <c r="B481" s="3">
        <v>40565</v>
      </c>
      <c r="C481" s="1">
        <v>0</v>
      </c>
      <c r="D481" s="2" t="b">
        <v>0</v>
      </c>
      <c r="E481" s="1">
        <v>6</v>
      </c>
      <c r="F481" s="1">
        <v>1</v>
      </c>
      <c r="G481" s="1">
        <v>0.04</v>
      </c>
    </row>
    <row r="482" spans="1:7" ht="15" thickBot="1" x14ac:dyDescent="0.35">
      <c r="A482" s="1">
        <v>481</v>
      </c>
      <c r="B482" s="3">
        <v>40565</v>
      </c>
      <c r="C482" s="1">
        <v>1</v>
      </c>
      <c r="D482" s="2" t="b">
        <v>0</v>
      </c>
      <c r="E482" s="1">
        <v>6</v>
      </c>
      <c r="F482" s="1">
        <v>2</v>
      </c>
      <c r="G482" s="1">
        <v>0.04</v>
      </c>
    </row>
    <row r="483" spans="1:7" ht="15" thickBot="1" x14ac:dyDescent="0.35">
      <c r="A483" s="1">
        <v>482</v>
      </c>
      <c r="B483" s="3">
        <v>40565</v>
      </c>
      <c r="C483" s="1">
        <v>2</v>
      </c>
      <c r="D483" s="2" t="b">
        <v>0</v>
      </c>
      <c r="E483" s="1">
        <v>6</v>
      </c>
      <c r="F483" s="1">
        <v>2</v>
      </c>
      <c r="G483" s="1">
        <v>0.04</v>
      </c>
    </row>
    <row r="484" spans="1:7" ht="15" thickBot="1" x14ac:dyDescent="0.35">
      <c r="A484" s="1">
        <v>483</v>
      </c>
      <c r="B484" s="3">
        <v>40565</v>
      </c>
      <c r="C484" s="1">
        <v>3</v>
      </c>
      <c r="D484" s="2" t="b">
        <v>0</v>
      </c>
      <c r="E484" s="1">
        <v>6</v>
      </c>
      <c r="F484" s="1">
        <v>2</v>
      </c>
      <c r="G484" s="1">
        <v>0.04</v>
      </c>
    </row>
    <row r="485" spans="1:7" ht="15" thickBot="1" x14ac:dyDescent="0.35">
      <c r="A485" s="1">
        <v>484</v>
      </c>
      <c r="B485" s="3">
        <v>40565</v>
      </c>
      <c r="C485" s="1">
        <v>4</v>
      </c>
      <c r="D485" s="2" t="b">
        <v>0</v>
      </c>
      <c r="E485" s="1">
        <v>6</v>
      </c>
      <c r="F485" s="1">
        <v>2</v>
      </c>
      <c r="G485" s="1">
        <v>0.02</v>
      </c>
    </row>
    <row r="486" spans="1:7" ht="15" thickBot="1" x14ac:dyDescent="0.35">
      <c r="A486" s="1">
        <v>485</v>
      </c>
      <c r="B486" s="3">
        <v>40565</v>
      </c>
      <c r="C486" s="1">
        <v>6</v>
      </c>
      <c r="D486" s="2" t="b">
        <v>0</v>
      </c>
      <c r="E486" s="1">
        <v>6</v>
      </c>
      <c r="F486" s="1">
        <v>2</v>
      </c>
      <c r="G486" s="1">
        <v>0.02</v>
      </c>
    </row>
    <row r="487" spans="1:7" ht="15" thickBot="1" x14ac:dyDescent="0.35">
      <c r="A487" s="1">
        <v>486</v>
      </c>
      <c r="B487" s="3">
        <v>40565</v>
      </c>
      <c r="C487" s="1">
        <v>7</v>
      </c>
      <c r="D487" s="2" t="b">
        <v>0</v>
      </c>
      <c r="E487" s="1">
        <v>6</v>
      </c>
      <c r="F487" s="1">
        <v>1</v>
      </c>
      <c r="G487" s="1">
        <v>0.02</v>
      </c>
    </row>
    <row r="488" spans="1:7" ht="15" thickBot="1" x14ac:dyDescent="0.35">
      <c r="A488" s="1">
        <v>487</v>
      </c>
      <c r="B488" s="3">
        <v>40565</v>
      </c>
      <c r="C488" s="1">
        <v>8</v>
      </c>
      <c r="D488" s="2" t="b">
        <v>0</v>
      </c>
      <c r="E488" s="1">
        <v>6</v>
      </c>
      <c r="F488" s="1">
        <v>1</v>
      </c>
      <c r="G488" s="1">
        <v>0.02</v>
      </c>
    </row>
    <row r="489" spans="1:7" ht="15" thickBot="1" x14ac:dyDescent="0.35">
      <c r="A489" s="1">
        <v>488</v>
      </c>
      <c r="B489" s="3">
        <v>40565</v>
      </c>
      <c r="C489" s="1">
        <v>9</v>
      </c>
      <c r="D489" s="2" t="b">
        <v>0</v>
      </c>
      <c r="E489" s="1">
        <v>6</v>
      </c>
      <c r="F489" s="1">
        <v>1</v>
      </c>
      <c r="G489" s="1">
        <v>0.04</v>
      </c>
    </row>
    <row r="490" spans="1:7" ht="15" thickBot="1" x14ac:dyDescent="0.35">
      <c r="A490" s="1">
        <v>489</v>
      </c>
      <c r="B490" s="3">
        <v>40565</v>
      </c>
      <c r="C490" s="1">
        <v>10</v>
      </c>
      <c r="D490" s="2" t="b">
        <v>0</v>
      </c>
      <c r="E490" s="1">
        <v>6</v>
      </c>
      <c r="F490" s="1">
        <v>2</v>
      </c>
      <c r="G490" s="1">
        <v>0.04</v>
      </c>
    </row>
    <row r="491" spans="1:7" ht="15" thickBot="1" x14ac:dyDescent="0.35">
      <c r="A491" s="1">
        <v>490</v>
      </c>
      <c r="B491" s="3">
        <v>40565</v>
      </c>
      <c r="C491" s="1">
        <v>11</v>
      </c>
      <c r="D491" s="2" t="b">
        <v>0</v>
      </c>
      <c r="E491" s="1">
        <v>6</v>
      </c>
      <c r="F491" s="1">
        <v>2</v>
      </c>
      <c r="G491" s="1">
        <v>0.06</v>
      </c>
    </row>
    <row r="492" spans="1:7" ht="15" thickBot="1" x14ac:dyDescent="0.35">
      <c r="A492" s="1">
        <v>491</v>
      </c>
      <c r="B492" s="3">
        <v>40565</v>
      </c>
      <c r="C492" s="1">
        <v>12</v>
      </c>
      <c r="D492" s="2" t="b">
        <v>0</v>
      </c>
      <c r="E492" s="1">
        <v>6</v>
      </c>
      <c r="F492" s="1">
        <v>2</v>
      </c>
      <c r="G492" s="1">
        <v>0.06</v>
      </c>
    </row>
    <row r="493" spans="1:7" ht="15" thickBot="1" x14ac:dyDescent="0.35">
      <c r="A493" s="1">
        <v>492</v>
      </c>
      <c r="B493" s="3">
        <v>40565</v>
      </c>
      <c r="C493" s="1">
        <v>13</v>
      </c>
      <c r="D493" s="2" t="b">
        <v>0</v>
      </c>
      <c r="E493" s="1">
        <v>6</v>
      </c>
      <c r="F493" s="1">
        <v>1</v>
      </c>
      <c r="G493" s="1">
        <v>0.08</v>
      </c>
    </row>
    <row r="494" spans="1:7" ht="15" thickBot="1" x14ac:dyDescent="0.35">
      <c r="A494" s="1">
        <v>493</v>
      </c>
      <c r="B494" s="3">
        <v>40565</v>
      </c>
      <c r="C494" s="1">
        <v>14</v>
      </c>
      <c r="D494" s="2" t="b">
        <v>0</v>
      </c>
      <c r="E494" s="1">
        <v>6</v>
      </c>
      <c r="F494" s="1">
        <v>1</v>
      </c>
      <c r="G494" s="1">
        <v>0.1</v>
      </c>
    </row>
    <row r="495" spans="1:7" ht="15" thickBot="1" x14ac:dyDescent="0.35">
      <c r="A495" s="1">
        <v>494</v>
      </c>
      <c r="B495" s="3">
        <v>40565</v>
      </c>
      <c r="C495" s="1">
        <v>15</v>
      </c>
      <c r="D495" s="2" t="b">
        <v>0</v>
      </c>
      <c r="E495" s="1">
        <v>6</v>
      </c>
      <c r="F495" s="1">
        <v>1</v>
      </c>
      <c r="G495" s="1">
        <v>0.12</v>
      </c>
    </row>
    <row r="496" spans="1:7" ht="15" thickBot="1" x14ac:dyDescent="0.35">
      <c r="A496" s="1">
        <v>495</v>
      </c>
      <c r="B496" s="3">
        <v>40565</v>
      </c>
      <c r="C496" s="1">
        <v>16</v>
      </c>
      <c r="D496" s="2" t="b">
        <v>0</v>
      </c>
      <c r="E496" s="1">
        <v>6</v>
      </c>
      <c r="F496" s="1">
        <v>1</v>
      </c>
      <c r="G496" s="1">
        <v>0.12</v>
      </c>
    </row>
    <row r="497" spans="1:7" ht="15" thickBot="1" x14ac:dyDescent="0.35">
      <c r="A497" s="1">
        <v>496</v>
      </c>
      <c r="B497" s="3">
        <v>40565</v>
      </c>
      <c r="C497" s="1">
        <v>17</v>
      </c>
      <c r="D497" s="2" t="b">
        <v>0</v>
      </c>
      <c r="E497" s="1">
        <v>6</v>
      </c>
      <c r="F497" s="1">
        <v>1</v>
      </c>
      <c r="G497" s="1">
        <v>0.12</v>
      </c>
    </row>
    <row r="498" spans="1:7" ht="15" thickBot="1" x14ac:dyDescent="0.35">
      <c r="A498" s="1">
        <v>497</v>
      </c>
      <c r="B498" s="3">
        <v>40565</v>
      </c>
      <c r="C498" s="1">
        <v>18</v>
      </c>
      <c r="D498" s="2" t="b">
        <v>0</v>
      </c>
      <c r="E498" s="1">
        <v>6</v>
      </c>
      <c r="F498" s="1">
        <v>1</v>
      </c>
      <c r="G498" s="1">
        <v>0.08</v>
      </c>
    </row>
    <row r="499" spans="1:7" ht="15" thickBot="1" x14ac:dyDescent="0.35">
      <c r="A499" s="1">
        <v>498</v>
      </c>
      <c r="B499" s="3">
        <v>40565</v>
      </c>
      <c r="C499" s="1">
        <v>19</v>
      </c>
      <c r="D499" s="2" t="b">
        <v>0</v>
      </c>
      <c r="E499" s="1">
        <v>6</v>
      </c>
      <c r="F499" s="1">
        <v>1</v>
      </c>
      <c r="G499" s="1">
        <v>0.08</v>
      </c>
    </row>
    <row r="500" spans="1:7" ht="15" thickBot="1" x14ac:dyDescent="0.35">
      <c r="A500" s="1">
        <v>499</v>
      </c>
      <c r="B500" s="3">
        <v>40565</v>
      </c>
      <c r="C500" s="1">
        <v>20</v>
      </c>
      <c r="D500" s="2" t="b">
        <v>0</v>
      </c>
      <c r="E500" s="1">
        <v>6</v>
      </c>
      <c r="F500" s="1">
        <v>1</v>
      </c>
      <c r="G500" s="1">
        <v>0.06</v>
      </c>
    </row>
    <row r="501" spans="1:7" ht="15" thickBot="1" x14ac:dyDescent="0.35">
      <c r="A501" s="1">
        <v>500</v>
      </c>
      <c r="B501" s="3">
        <v>40565</v>
      </c>
      <c r="C501" s="1">
        <v>21</v>
      </c>
      <c r="D501" s="2" t="b">
        <v>0</v>
      </c>
      <c r="E501" s="1">
        <v>6</v>
      </c>
      <c r="F501" s="1">
        <v>1</v>
      </c>
      <c r="G501" s="1">
        <v>0.06</v>
      </c>
    </row>
    <row r="502" spans="1:7" ht="15" thickBot="1" x14ac:dyDescent="0.35">
      <c r="A502" s="1">
        <v>501</v>
      </c>
      <c r="B502" s="3">
        <v>40565</v>
      </c>
      <c r="C502" s="1">
        <v>22</v>
      </c>
      <c r="D502" s="2" t="b">
        <v>0</v>
      </c>
      <c r="E502" s="1">
        <v>6</v>
      </c>
      <c r="F502" s="1">
        <v>1</v>
      </c>
      <c r="G502" s="1">
        <v>0.06</v>
      </c>
    </row>
    <row r="503" spans="1:7" ht="15" thickBot="1" x14ac:dyDescent="0.35">
      <c r="A503" s="1">
        <v>502</v>
      </c>
      <c r="B503" s="3">
        <v>40565</v>
      </c>
      <c r="C503" s="1">
        <v>23</v>
      </c>
      <c r="D503" s="2" t="b">
        <v>0</v>
      </c>
      <c r="E503" s="1">
        <v>6</v>
      </c>
      <c r="F503" s="1">
        <v>1</v>
      </c>
      <c r="G503" s="1">
        <v>0.04</v>
      </c>
    </row>
    <row r="504" spans="1:7" ht="15" thickBot="1" x14ac:dyDescent="0.35">
      <c r="A504" s="1">
        <v>503</v>
      </c>
      <c r="B504" s="3">
        <v>40566</v>
      </c>
      <c r="C504" s="1">
        <v>0</v>
      </c>
      <c r="D504" s="2" t="b">
        <v>0</v>
      </c>
      <c r="E504" s="1">
        <v>0</v>
      </c>
      <c r="F504" s="1">
        <v>1</v>
      </c>
      <c r="G504" s="1">
        <v>0.04</v>
      </c>
    </row>
    <row r="505" spans="1:7" ht="15" thickBot="1" x14ac:dyDescent="0.35">
      <c r="A505" s="1">
        <v>504</v>
      </c>
      <c r="B505" s="3">
        <v>40566</v>
      </c>
      <c r="C505" s="1">
        <v>1</v>
      </c>
      <c r="D505" s="2" t="b">
        <v>0</v>
      </c>
      <c r="E505" s="1">
        <v>0</v>
      </c>
      <c r="F505" s="1">
        <v>1</v>
      </c>
      <c r="G505" s="1">
        <v>0.04</v>
      </c>
    </row>
    <row r="506" spans="1:7" ht="15" thickBot="1" x14ac:dyDescent="0.35">
      <c r="A506" s="1">
        <v>505</v>
      </c>
      <c r="B506" s="3">
        <v>40566</v>
      </c>
      <c r="C506" s="1">
        <v>2</v>
      </c>
      <c r="D506" s="2" t="b">
        <v>0</v>
      </c>
      <c r="E506" s="1">
        <v>0</v>
      </c>
      <c r="F506" s="1">
        <v>1</v>
      </c>
      <c r="G506" s="1">
        <v>0.02</v>
      </c>
    </row>
    <row r="507" spans="1:7" ht="15" thickBot="1" x14ac:dyDescent="0.35">
      <c r="A507" s="1">
        <v>506</v>
      </c>
      <c r="B507" s="3">
        <v>40566</v>
      </c>
      <c r="C507" s="1">
        <v>3</v>
      </c>
      <c r="D507" s="2" t="b">
        <v>0</v>
      </c>
      <c r="E507" s="1">
        <v>0</v>
      </c>
      <c r="F507" s="1">
        <v>1</v>
      </c>
      <c r="G507" s="1">
        <v>0.02</v>
      </c>
    </row>
    <row r="508" spans="1:7" ht="15" thickBot="1" x14ac:dyDescent="0.35">
      <c r="A508" s="1">
        <v>507</v>
      </c>
      <c r="B508" s="3">
        <v>40566</v>
      </c>
      <c r="C508" s="1">
        <v>5</v>
      </c>
      <c r="D508" s="2" t="b">
        <v>0</v>
      </c>
      <c r="E508" s="1">
        <v>0</v>
      </c>
      <c r="F508" s="1">
        <v>2</v>
      </c>
      <c r="G508" s="1">
        <v>0.04</v>
      </c>
    </row>
    <row r="509" spans="1:7" ht="15" thickBot="1" x14ac:dyDescent="0.35">
      <c r="A509" s="1">
        <v>508</v>
      </c>
      <c r="B509" s="3">
        <v>40566</v>
      </c>
      <c r="C509" s="1">
        <v>6</v>
      </c>
      <c r="D509" s="2" t="b">
        <v>0</v>
      </c>
      <c r="E509" s="1">
        <v>0</v>
      </c>
      <c r="F509" s="1">
        <v>2</v>
      </c>
      <c r="G509" s="1">
        <v>0.04</v>
      </c>
    </row>
    <row r="510" spans="1:7" ht="15" thickBot="1" x14ac:dyDescent="0.35">
      <c r="A510" s="1">
        <v>509</v>
      </c>
      <c r="B510" s="3">
        <v>40566</v>
      </c>
      <c r="C510" s="1">
        <v>7</v>
      </c>
      <c r="D510" s="2" t="b">
        <v>0</v>
      </c>
      <c r="E510" s="1">
        <v>0</v>
      </c>
      <c r="F510" s="1">
        <v>1</v>
      </c>
      <c r="G510" s="1">
        <v>0.08</v>
      </c>
    </row>
    <row r="511" spans="1:7" ht="15" thickBot="1" x14ac:dyDescent="0.35">
      <c r="A511" s="1">
        <v>510</v>
      </c>
      <c r="B511" s="3">
        <v>40566</v>
      </c>
      <c r="C511" s="1">
        <v>8</v>
      </c>
      <c r="D511" s="2" t="b">
        <v>0</v>
      </c>
      <c r="E511" s="1">
        <v>0</v>
      </c>
      <c r="F511" s="1">
        <v>1</v>
      </c>
      <c r="G511" s="1">
        <v>0.06</v>
      </c>
    </row>
    <row r="512" spans="1:7" ht="15" thickBot="1" x14ac:dyDescent="0.35">
      <c r="A512" s="1">
        <v>511</v>
      </c>
      <c r="B512" s="3">
        <v>40566</v>
      </c>
      <c r="C512" s="1">
        <v>9</v>
      </c>
      <c r="D512" s="2" t="b">
        <v>0</v>
      </c>
      <c r="E512" s="1">
        <v>0</v>
      </c>
      <c r="F512" s="1">
        <v>1</v>
      </c>
      <c r="G512" s="1">
        <v>0.1</v>
      </c>
    </row>
    <row r="513" spans="1:7" ht="15" thickBot="1" x14ac:dyDescent="0.35">
      <c r="A513" s="1">
        <v>512</v>
      </c>
      <c r="B513" s="3">
        <v>40566</v>
      </c>
      <c r="C513" s="1">
        <v>10</v>
      </c>
      <c r="D513" s="2" t="b">
        <v>0</v>
      </c>
      <c r="E513" s="1">
        <v>0</v>
      </c>
      <c r="F513" s="1">
        <v>1</v>
      </c>
      <c r="G513" s="1">
        <v>0.14000000000000001</v>
      </c>
    </row>
    <row r="514" spans="1:7" ht="15" thickBot="1" x14ac:dyDescent="0.35">
      <c r="A514" s="1">
        <v>513</v>
      </c>
      <c r="B514" s="3">
        <v>40566</v>
      </c>
      <c r="C514" s="1">
        <v>11</v>
      </c>
      <c r="D514" s="2" t="b">
        <v>0</v>
      </c>
      <c r="E514" s="1">
        <v>0</v>
      </c>
      <c r="F514" s="1">
        <v>1</v>
      </c>
      <c r="G514" s="1">
        <v>0.14000000000000001</v>
      </c>
    </row>
    <row r="515" spans="1:7" ht="15" thickBot="1" x14ac:dyDescent="0.35">
      <c r="A515" s="1">
        <v>514</v>
      </c>
      <c r="B515" s="3">
        <v>40566</v>
      </c>
      <c r="C515" s="1">
        <v>12</v>
      </c>
      <c r="D515" s="2" t="b">
        <v>0</v>
      </c>
      <c r="E515" s="1">
        <v>0</v>
      </c>
      <c r="F515" s="1">
        <v>1</v>
      </c>
      <c r="G515" s="1">
        <v>0.16</v>
      </c>
    </row>
    <row r="516" spans="1:7" ht="15" thickBot="1" x14ac:dyDescent="0.35">
      <c r="A516" s="1">
        <v>515</v>
      </c>
      <c r="B516" s="3">
        <v>40566</v>
      </c>
      <c r="C516" s="1">
        <v>13</v>
      </c>
      <c r="D516" s="2" t="b">
        <v>0</v>
      </c>
      <c r="E516" s="1">
        <v>0</v>
      </c>
      <c r="F516" s="1">
        <v>1</v>
      </c>
      <c r="G516" s="1">
        <v>0.14000000000000001</v>
      </c>
    </row>
    <row r="517" spans="1:7" ht="15" thickBot="1" x14ac:dyDescent="0.35">
      <c r="A517" s="1">
        <v>516</v>
      </c>
      <c r="B517" s="3">
        <v>40566</v>
      </c>
      <c r="C517" s="1">
        <v>14</v>
      </c>
      <c r="D517" s="2" t="b">
        <v>0</v>
      </c>
      <c r="E517" s="1">
        <v>0</v>
      </c>
      <c r="F517" s="1">
        <v>1</v>
      </c>
      <c r="G517" s="1">
        <v>0.16</v>
      </c>
    </row>
    <row r="518" spans="1:7" ht="15" thickBot="1" x14ac:dyDescent="0.35">
      <c r="A518" s="1">
        <v>517</v>
      </c>
      <c r="B518" s="3">
        <v>40566</v>
      </c>
      <c r="C518" s="1">
        <v>15</v>
      </c>
      <c r="D518" s="2" t="b">
        <v>0</v>
      </c>
      <c r="E518" s="1">
        <v>0</v>
      </c>
      <c r="F518" s="1">
        <v>1</v>
      </c>
      <c r="G518" s="1">
        <v>0.16</v>
      </c>
    </row>
    <row r="519" spans="1:7" ht="15" thickBot="1" x14ac:dyDescent="0.35">
      <c r="A519" s="1">
        <v>518</v>
      </c>
      <c r="B519" s="3">
        <v>40566</v>
      </c>
      <c r="C519" s="1">
        <v>16</v>
      </c>
      <c r="D519" s="2" t="b">
        <v>0</v>
      </c>
      <c r="E519" s="1">
        <v>0</v>
      </c>
      <c r="F519" s="1">
        <v>1</v>
      </c>
      <c r="G519" s="1">
        <v>0.16</v>
      </c>
    </row>
    <row r="520" spans="1:7" ht="15" thickBot="1" x14ac:dyDescent="0.35">
      <c r="A520" s="1">
        <v>519</v>
      </c>
      <c r="B520" s="3">
        <v>40566</v>
      </c>
      <c r="C520" s="1">
        <v>17</v>
      </c>
      <c r="D520" s="2" t="b">
        <v>0</v>
      </c>
      <c r="E520" s="1">
        <v>0</v>
      </c>
      <c r="F520" s="1">
        <v>1</v>
      </c>
      <c r="G520" s="1">
        <v>0.14000000000000001</v>
      </c>
    </row>
    <row r="521" spans="1:7" ht="15" thickBot="1" x14ac:dyDescent="0.35">
      <c r="A521" s="1">
        <v>520</v>
      </c>
      <c r="B521" s="3">
        <v>40566</v>
      </c>
      <c r="C521" s="1">
        <v>18</v>
      </c>
      <c r="D521" s="2" t="b">
        <v>0</v>
      </c>
      <c r="E521" s="1">
        <v>0</v>
      </c>
      <c r="F521" s="1">
        <v>1</v>
      </c>
      <c r="G521" s="1">
        <v>0.12</v>
      </c>
    </row>
    <row r="522" spans="1:7" ht="15" thickBot="1" x14ac:dyDescent="0.35">
      <c r="A522" s="1">
        <v>521</v>
      </c>
      <c r="B522" s="3">
        <v>40566</v>
      </c>
      <c r="C522" s="1">
        <v>19</v>
      </c>
      <c r="D522" s="2" t="b">
        <v>0</v>
      </c>
      <c r="E522" s="1">
        <v>0</v>
      </c>
      <c r="F522" s="1">
        <v>1</v>
      </c>
      <c r="G522" s="1">
        <v>0.12</v>
      </c>
    </row>
    <row r="523" spans="1:7" ht="15" thickBot="1" x14ac:dyDescent="0.35">
      <c r="A523" s="1">
        <v>522</v>
      </c>
      <c r="B523" s="3">
        <v>40566</v>
      </c>
      <c r="C523" s="1">
        <v>20</v>
      </c>
      <c r="D523" s="2" t="b">
        <v>0</v>
      </c>
      <c r="E523" s="1">
        <v>0</v>
      </c>
      <c r="F523" s="1">
        <v>1</v>
      </c>
      <c r="G523" s="1">
        <v>0.1</v>
      </c>
    </row>
    <row r="524" spans="1:7" ht="15" thickBot="1" x14ac:dyDescent="0.35">
      <c r="A524" s="1">
        <v>523</v>
      </c>
      <c r="B524" s="3">
        <v>40566</v>
      </c>
      <c r="C524" s="1">
        <v>21</v>
      </c>
      <c r="D524" s="2" t="b">
        <v>0</v>
      </c>
      <c r="E524" s="1">
        <v>0</v>
      </c>
      <c r="F524" s="1">
        <v>1</v>
      </c>
      <c r="G524" s="1">
        <v>0.1</v>
      </c>
    </row>
    <row r="525" spans="1:7" ht="15" thickBot="1" x14ac:dyDescent="0.35">
      <c r="A525" s="1">
        <v>524</v>
      </c>
      <c r="B525" s="3">
        <v>40566</v>
      </c>
      <c r="C525" s="1">
        <v>22</v>
      </c>
      <c r="D525" s="2" t="b">
        <v>0</v>
      </c>
      <c r="E525" s="1">
        <v>0</v>
      </c>
      <c r="F525" s="1">
        <v>1</v>
      </c>
      <c r="G525" s="1">
        <v>0.08</v>
      </c>
    </row>
    <row r="526" spans="1:7" ht="15" thickBot="1" x14ac:dyDescent="0.35">
      <c r="A526" s="1">
        <v>525</v>
      </c>
      <c r="B526" s="3">
        <v>40566</v>
      </c>
      <c r="C526" s="1">
        <v>23</v>
      </c>
      <c r="D526" s="2" t="b">
        <v>0</v>
      </c>
      <c r="E526" s="1">
        <v>0</v>
      </c>
      <c r="F526" s="1">
        <v>1</v>
      </c>
      <c r="G526" s="1">
        <v>0.06</v>
      </c>
    </row>
    <row r="527" spans="1:7" ht="15" thickBot="1" x14ac:dyDescent="0.35">
      <c r="A527" s="1">
        <v>526</v>
      </c>
      <c r="B527" s="3">
        <v>40567</v>
      </c>
      <c r="C527" s="1">
        <v>0</v>
      </c>
      <c r="D527" s="2" t="b">
        <v>0</v>
      </c>
      <c r="E527" s="1">
        <v>1</v>
      </c>
      <c r="F527" s="1">
        <v>1</v>
      </c>
      <c r="G527" s="1">
        <v>0.06</v>
      </c>
    </row>
    <row r="528" spans="1:7" ht="15" thickBot="1" x14ac:dyDescent="0.35">
      <c r="A528" s="1">
        <v>527</v>
      </c>
      <c r="B528" s="3">
        <v>40567</v>
      </c>
      <c r="C528" s="1">
        <v>1</v>
      </c>
      <c r="D528" s="2" t="b">
        <v>0</v>
      </c>
      <c r="E528" s="1">
        <v>1</v>
      </c>
      <c r="F528" s="1">
        <v>1</v>
      </c>
      <c r="G528" s="1">
        <v>0.04</v>
      </c>
    </row>
    <row r="529" spans="1:7" ht="15" thickBot="1" x14ac:dyDescent="0.35">
      <c r="A529" s="1">
        <v>528</v>
      </c>
      <c r="B529" s="3">
        <v>40567</v>
      </c>
      <c r="C529" s="1">
        <v>3</v>
      </c>
      <c r="D529" s="2" t="b">
        <v>0</v>
      </c>
      <c r="E529" s="1">
        <v>1</v>
      </c>
      <c r="F529" s="1">
        <v>1</v>
      </c>
      <c r="G529" s="1">
        <v>0.04</v>
      </c>
    </row>
    <row r="530" spans="1:7" ht="15" thickBot="1" x14ac:dyDescent="0.35">
      <c r="A530" s="1">
        <v>529</v>
      </c>
      <c r="B530" s="3">
        <v>40567</v>
      </c>
      <c r="C530" s="1">
        <v>4</v>
      </c>
      <c r="D530" s="2" t="b">
        <v>0</v>
      </c>
      <c r="E530" s="1">
        <v>1</v>
      </c>
      <c r="F530" s="1">
        <v>1</v>
      </c>
      <c r="G530" s="1">
        <v>0.02</v>
      </c>
    </row>
    <row r="531" spans="1:7" ht="15" thickBot="1" x14ac:dyDescent="0.35">
      <c r="A531" s="1">
        <v>530</v>
      </c>
      <c r="B531" s="3">
        <v>40567</v>
      </c>
      <c r="C531" s="1">
        <v>5</v>
      </c>
      <c r="D531" s="2" t="b">
        <v>0</v>
      </c>
      <c r="E531" s="1">
        <v>1</v>
      </c>
      <c r="F531" s="1">
        <v>1</v>
      </c>
      <c r="G531" s="1">
        <v>0.02</v>
      </c>
    </row>
    <row r="532" spans="1:7" ht="15" thickBot="1" x14ac:dyDescent="0.35">
      <c r="A532" s="1">
        <v>531</v>
      </c>
      <c r="B532" s="3">
        <v>40567</v>
      </c>
      <c r="C532" s="1">
        <v>6</v>
      </c>
      <c r="D532" s="2" t="b">
        <v>0</v>
      </c>
      <c r="E532" s="1">
        <v>1</v>
      </c>
      <c r="F532" s="1">
        <v>1</v>
      </c>
      <c r="G532" s="1">
        <v>0.02</v>
      </c>
    </row>
    <row r="533" spans="1:7" ht="15" thickBot="1" x14ac:dyDescent="0.35">
      <c r="A533" s="1">
        <v>532</v>
      </c>
      <c r="B533" s="3">
        <v>40567</v>
      </c>
      <c r="C533" s="1">
        <v>7</v>
      </c>
      <c r="D533" s="2" t="b">
        <v>0</v>
      </c>
      <c r="E533" s="1">
        <v>1</v>
      </c>
      <c r="F533" s="1">
        <v>1</v>
      </c>
      <c r="G533" s="1">
        <v>0.02</v>
      </c>
    </row>
    <row r="534" spans="1:7" ht="15" thickBot="1" x14ac:dyDescent="0.35">
      <c r="A534" s="1">
        <v>533</v>
      </c>
      <c r="B534" s="3">
        <v>40567</v>
      </c>
      <c r="C534" s="1">
        <v>8</v>
      </c>
      <c r="D534" s="2" t="b">
        <v>0</v>
      </c>
      <c r="E534" s="1">
        <v>1</v>
      </c>
      <c r="F534" s="1">
        <v>1</v>
      </c>
      <c r="G534" s="1">
        <v>0.04</v>
      </c>
    </row>
    <row r="535" spans="1:7" ht="15" thickBot="1" x14ac:dyDescent="0.35">
      <c r="A535" s="1">
        <v>534</v>
      </c>
      <c r="B535" s="3">
        <v>40567</v>
      </c>
      <c r="C535" s="1">
        <v>9</v>
      </c>
      <c r="D535" s="2" t="b">
        <v>0</v>
      </c>
      <c r="E535" s="1">
        <v>1</v>
      </c>
      <c r="F535" s="1">
        <v>1</v>
      </c>
      <c r="G535" s="1">
        <v>0.06</v>
      </c>
    </row>
    <row r="536" spans="1:7" ht="15" thickBot="1" x14ac:dyDescent="0.35">
      <c r="A536" s="1">
        <v>535</v>
      </c>
      <c r="B536" s="3">
        <v>40567</v>
      </c>
      <c r="C536" s="1">
        <v>10</v>
      </c>
      <c r="D536" s="2" t="b">
        <v>0</v>
      </c>
      <c r="E536" s="1">
        <v>1</v>
      </c>
      <c r="F536" s="1">
        <v>1</v>
      </c>
      <c r="G536" s="1">
        <v>0.1</v>
      </c>
    </row>
    <row r="537" spans="1:7" ht="15" thickBot="1" x14ac:dyDescent="0.35">
      <c r="A537" s="1">
        <v>536</v>
      </c>
      <c r="B537" s="3">
        <v>40567</v>
      </c>
      <c r="C537" s="1">
        <v>11</v>
      </c>
      <c r="D537" s="2" t="b">
        <v>0</v>
      </c>
      <c r="E537" s="1">
        <v>1</v>
      </c>
      <c r="F537" s="1">
        <v>1</v>
      </c>
      <c r="G537" s="1">
        <v>0.1</v>
      </c>
    </row>
    <row r="538" spans="1:7" ht="15" thickBot="1" x14ac:dyDescent="0.35">
      <c r="A538" s="1">
        <v>537</v>
      </c>
      <c r="B538" s="3">
        <v>40567</v>
      </c>
      <c r="C538" s="1">
        <v>12</v>
      </c>
      <c r="D538" s="2" t="b">
        <v>0</v>
      </c>
      <c r="E538" s="1">
        <v>1</v>
      </c>
      <c r="F538" s="1">
        <v>2</v>
      </c>
      <c r="G538" s="1">
        <v>0.12</v>
      </c>
    </row>
    <row r="539" spans="1:7" ht="15" thickBot="1" x14ac:dyDescent="0.35">
      <c r="A539" s="1">
        <v>538</v>
      </c>
      <c r="B539" s="3">
        <v>40567</v>
      </c>
      <c r="C539" s="1">
        <v>13</v>
      </c>
      <c r="D539" s="2" t="b">
        <v>0</v>
      </c>
      <c r="E539" s="1">
        <v>1</v>
      </c>
      <c r="F539" s="1">
        <v>2</v>
      </c>
      <c r="G539" s="1">
        <v>0.14000000000000001</v>
      </c>
    </row>
    <row r="540" spans="1:7" ht="15" thickBot="1" x14ac:dyDescent="0.35">
      <c r="A540" s="1">
        <v>539</v>
      </c>
      <c r="B540" s="3">
        <v>40567</v>
      </c>
      <c r="C540" s="1">
        <v>14</v>
      </c>
      <c r="D540" s="2" t="b">
        <v>0</v>
      </c>
      <c r="E540" s="1">
        <v>1</v>
      </c>
      <c r="F540" s="1">
        <v>2</v>
      </c>
      <c r="G540" s="1">
        <v>0.14000000000000001</v>
      </c>
    </row>
    <row r="541" spans="1:7" ht="15" thickBot="1" x14ac:dyDescent="0.35">
      <c r="A541" s="1">
        <v>540</v>
      </c>
      <c r="B541" s="3">
        <v>40567</v>
      </c>
      <c r="C541" s="1">
        <v>15</v>
      </c>
      <c r="D541" s="2" t="b">
        <v>0</v>
      </c>
      <c r="E541" s="1">
        <v>1</v>
      </c>
      <c r="F541" s="1">
        <v>1</v>
      </c>
      <c r="G541" s="1">
        <v>0.16</v>
      </c>
    </row>
    <row r="542" spans="1:7" ht="15" thickBot="1" x14ac:dyDescent="0.35">
      <c r="A542" s="1">
        <v>541</v>
      </c>
      <c r="B542" s="3">
        <v>40567</v>
      </c>
      <c r="C542" s="1">
        <v>16</v>
      </c>
      <c r="D542" s="2" t="b">
        <v>0</v>
      </c>
      <c r="E542" s="1">
        <v>1</v>
      </c>
      <c r="F542" s="1">
        <v>1</v>
      </c>
      <c r="G542" s="1">
        <v>0.16</v>
      </c>
    </row>
    <row r="543" spans="1:7" ht="15" thickBot="1" x14ac:dyDescent="0.35">
      <c r="A543" s="1">
        <v>542</v>
      </c>
      <c r="B543" s="3">
        <v>40567</v>
      </c>
      <c r="C543" s="1">
        <v>17</v>
      </c>
      <c r="D543" s="2" t="b">
        <v>0</v>
      </c>
      <c r="E543" s="1">
        <v>1</v>
      </c>
      <c r="F543" s="1">
        <v>1</v>
      </c>
      <c r="G543" s="1">
        <v>0.14000000000000001</v>
      </c>
    </row>
    <row r="544" spans="1:7" ht="15" thickBot="1" x14ac:dyDescent="0.35">
      <c r="A544" s="1">
        <v>543</v>
      </c>
      <c r="B544" s="3">
        <v>40567</v>
      </c>
      <c r="C544" s="1">
        <v>18</v>
      </c>
      <c r="D544" s="2" t="b">
        <v>0</v>
      </c>
      <c r="E544" s="1">
        <v>1</v>
      </c>
      <c r="F544" s="1">
        <v>1</v>
      </c>
      <c r="G544" s="1">
        <v>0.14000000000000001</v>
      </c>
    </row>
    <row r="545" spans="1:7" ht="15" thickBot="1" x14ac:dyDescent="0.35">
      <c r="A545" s="1">
        <v>544</v>
      </c>
      <c r="B545" s="3">
        <v>40567</v>
      </c>
      <c r="C545" s="1">
        <v>19</v>
      </c>
      <c r="D545" s="2" t="b">
        <v>0</v>
      </c>
      <c r="E545" s="1">
        <v>1</v>
      </c>
      <c r="F545" s="1">
        <v>1</v>
      </c>
      <c r="G545" s="1">
        <v>0.14000000000000001</v>
      </c>
    </row>
    <row r="546" spans="1:7" ht="15" thickBot="1" x14ac:dyDescent="0.35">
      <c r="A546" s="1">
        <v>545</v>
      </c>
      <c r="B546" s="3">
        <v>40567</v>
      </c>
      <c r="C546" s="1">
        <v>20</v>
      </c>
      <c r="D546" s="2" t="b">
        <v>0</v>
      </c>
      <c r="E546" s="1">
        <v>1</v>
      </c>
      <c r="F546" s="1">
        <v>1</v>
      </c>
      <c r="G546" s="1">
        <v>0.14000000000000001</v>
      </c>
    </row>
    <row r="547" spans="1:7" ht="15" thickBot="1" x14ac:dyDescent="0.35">
      <c r="A547" s="1">
        <v>546</v>
      </c>
      <c r="B547" s="3">
        <v>40567</v>
      </c>
      <c r="C547" s="1">
        <v>21</v>
      </c>
      <c r="D547" s="2" t="b">
        <v>0</v>
      </c>
      <c r="E547" s="1">
        <v>1</v>
      </c>
      <c r="F547" s="1">
        <v>1</v>
      </c>
      <c r="G547" s="1">
        <v>0.14000000000000001</v>
      </c>
    </row>
    <row r="548" spans="1:7" ht="15" thickBot="1" x14ac:dyDescent="0.35">
      <c r="A548" s="1">
        <v>547</v>
      </c>
      <c r="B548" s="3">
        <v>40567</v>
      </c>
      <c r="C548" s="1">
        <v>22</v>
      </c>
      <c r="D548" s="2" t="b">
        <v>0</v>
      </c>
      <c r="E548" s="1">
        <v>1</v>
      </c>
      <c r="F548" s="1">
        <v>2</v>
      </c>
      <c r="G548" s="1">
        <v>0.14000000000000001</v>
      </c>
    </row>
    <row r="549" spans="1:7" ht="15" thickBot="1" x14ac:dyDescent="0.35">
      <c r="A549" s="1">
        <v>548</v>
      </c>
      <c r="B549" s="3">
        <v>40567</v>
      </c>
      <c r="C549" s="1">
        <v>23</v>
      </c>
      <c r="D549" s="2" t="b">
        <v>0</v>
      </c>
      <c r="E549" s="1">
        <v>1</v>
      </c>
      <c r="F549" s="1">
        <v>2</v>
      </c>
      <c r="G549" s="1">
        <v>0.16</v>
      </c>
    </row>
    <row r="550" spans="1:7" ht="15" thickBot="1" x14ac:dyDescent="0.35">
      <c r="A550" s="1">
        <v>549</v>
      </c>
      <c r="B550" s="3">
        <v>40568</v>
      </c>
      <c r="C550" s="1">
        <v>0</v>
      </c>
      <c r="D550" s="2" t="b">
        <v>0</v>
      </c>
      <c r="E550" s="1">
        <v>2</v>
      </c>
      <c r="F550" s="1">
        <v>2</v>
      </c>
      <c r="G550" s="1">
        <v>0.16</v>
      </c>
    </row>
    <row r="551" spans="1:7" ht="15" thickBot="1" x14ac:dyDescent="0.35">
      <c r="A551" s="1">
        <v>550</v>
      </c>
      <c r="B551" s="3">
        <v>40568</v>
      </c>
      <c r="C551" s="1">
        <v>1</v>
      </c>
      <c r="D551" s="2" t="b">
        <v>0</v>
      </c>
      <c r="E551" s="1">
        <v>2</v>
      </c>
      <c r="F551" s="1">
        <v>2</v>
      </c>
      <c r="G551" s="1">
        <v>0.16</v>
      </c>
    </row>
    <row r="552" spans="1:7" ht="15" thickBot="1" x14ac:dyDescent="0.35">
      <c r="A552" s="1">
        <v>551</v>
      </c>
      <c r="B552" s="3">
        <v>40568</v>
      </c>
      <c r="C552" s="1">
        <v>2</v>
      </c>
      <c r="D552" s="2" t="b">
        <v>0</v>
      </c>
      <c r="E552" s="1">
        <v>2</v>
      </c>
      <c r="F552" s="1">
        <v>1</v>
      </c>
      <c r="G552" s="1">
        <v>0.16</v>
      </c>
    </row>
    <row r="553" spans="1:7" ht="15" thickBot="1" x14ac:dyDescent="0.35">
      <c r="A553" s="1">
        <v>552</v>
      </c>
      <c r="B553" s="3">
        <v>40568</v>
      </c>
      <c r="C553" s="1">
        <v>4</v>
      </c>
      <c r="D553" s="2" t="b">
        <v>0</v>
      </c>
      <c r="E553" s="1">
        <v>2</v>
      </c>
      <c r="F553" s="1">
        <v>1</v>
      </c>
      <c r="G553" s="1">
        <v>0.14000000000000001</v>
      </c>
    </row>
    <row r="554" spans="1:7" ht="15" thickBot="1" x14ac:dyDescent="0.35">
      <c r="A554" s="1">
        <v>553</v>
      </c>
      <c r="B554" s="3">
        <v>40568</v>
      </c>
      <c r="C554" s="1">
        <v>5</v>
      </c>
      <c r="D554" s="2" t="b">
        <v>0</v>
      </c>
      <c r="E554" s="1">
        <v>2</v>
      </c>
      <c r="F554" s="1">
        <v>1</v>
      </c>
      <c r="G554" s="1">
        <v>0.14000000000000001</v>
      </c>
    </row>
    <row r="555" spans="1:7" ht="15" thickBot="1" x14ac:dyDescent="0.35">
      <c r="A555" s="1">
        <v>554</v>
      </c>
      <c r="B555" s="3">
        <v>40568</v>
      </c>
      <c r="C555" s="1">
        <v>6</v>
      </c>
      <c r="D555" s="2" t="b">
        <v>0</v>
      </c>
      <c r="E555" s="1">
        <v>2</v>
      </c>
      <c r="F555" s="1">
        <v>1</v>
      </c>
      <c r="G555" s="1">
        <v>0.16</v>
      </c>
    </row>
    <row r="556" spans="1:7" ht="15" thickBot="1" x14ac:dyDescent="0.35">
      <c r="A556" s="1">
        <v>555</v>
      </c>
      <c r="B556" s="3">
        <v>40568</v>
      </c>
      <c r="C556" s="1">
        <v>7</v>
      </c>
      <c r="D556" s="2" t="b">
        <v>0</v>
      </c>
      <c r="E556" s="1">
        <v>2</v>
      </c>
      <c r="F556" s="1">
        <v>1</v>
      </c>
      <c r="G556" s="1">
        <v>0.16</v>
      </c>
    </row>
    <row r="557" spans="1:7" ht="15" thickBot="1" x14ac:dyDescent="0.35">
      <c r="A557" s="1">
        <v>556</v>
      </c>
      <c r="B557" s="3">
        <v>40568</v>
      </c>
      <c r="C557" s="1">
        <v>8</v>
      </c>
      <c r="D557" s="2" t="b">
        <v>0</v>
      </c>
      <c r="E557" s="1">
        <v>2</v>
      </c>
      <c r="F557" s="1">
        <v>2</v>
      </c>
      <c r="G557" s="1">
        <v>0.16</v>
      </c>
    </row>
    <row r="558" spans="1:7" ht="15" thickBot="1" x14ac:dyDescent="0.35">
      <c r="A558" s="1">
        <v>557</v>
      </c>
      <c r="B558" s="3">
        <v>40568</v>
      </c>
      <c r="C558" s="1">
        <v>9</v>
      </c>
      <c r="D558" s="2" t="b">
        <v>0</v>
      </c>
      <c r="E558" s="1">
        <v>2</v>
      </c>
      <c r="F558" s="1">
        <v>2</v>
      </c>
      <c r="G558" s="1">
        <v>0.2</v>
      </c>
    </row>
    <row r="559" spans="1:7" ht="15" thickBot="1" x14ac:dyDescent="0.35">
      <c r="A559" s="1">
        <v>558</v>
      </c>
      <c r="B559" s="3">
        <v>40568</v>
      </c>
      <c r="C559" s="1">
        <v>10</v>
      </c>
      <c r="D559" s="2" t="b">
        <v>0</v>
      </c>
      <c r="E559" s="1">
        <v>2</v>
      </c>
      <c r="F559" s="1">
        <v>2</v>
      </c>
      <c r="G559" s="1">
        <v>0.22</v>
      </c>
    </row>
    <row r="560" spans="1:7" ht="15" thickBot="1" x14ac:dyDescent="0.35">
      <c r="A560" s="1">
        <v>559</v>
      </c>
      <c r="B560" s="3">
        <v>40568</v>
      </c>
      <c r="C560" s="1">
        <v>11</v>
      </c>
      <c r="D560" s="2" t="b">
        <v>0</v>
      </c>
      <c r="E560" s="1">
        <v>2</v>
      </c>
      <c r="F560" s="1">
        <v>2</v>
      </c>
      <c r="G560" s="1">
        <v>0.24</v>
      </c>
    </row>
    <row r="561" spans="1:7" ht="15" thickBot="1" x14ac:dyDescent="0.35">
      <c r="A561" s="1">
        <v>560</v>
      </c>
      <c r="B561" s="3">
        <v>40568</v>
      </c>
      <c r="C561" s="1">
        <v>12</v>
      </c>
      <c r="D561" s="2" t="b">
        <v>0</v>
      </c>
      <c r="E561" s="1">
        <v>2</v>
      </c>
      <c r="F561" s="1">
        <v>2</v>
      </c>
      <c r="G561" s="1">
        <v>0.26</v>
      </c>
    </row>
    <row r="562" spans="1:7" ht="15" thickBot="1" x14ac:dyDescent="0.35">
      <c r="A562" s="1">
        <v>561</v>
      </c>
      <c r="B562" s="3">
        <v>40568</v>
      </c>
      <c r="C562" s="1">
        <v>13</v>
      </c>
      <c r="D562" s="2" t="b">
        <v>0</v>
      </c>
      <c r="E562" s="1">
        <v>2</v>
      </c>
      <c r="F562" s="1">
        <v>2</v>
      </c>
      <c r="G562" s="1">
        <v>0.26</v>
      </c>
    </row>
    <row r="563" spans="1:7" ht="15" thickBot="1" x14ac:dyDescent="0.35">
      <c r="A563" s="1">
        <v>562</v>
      </c>
      <c r="B563" s="3">
        <v>40568</v>
      </c>
      <c r="C563" s="1">
        <v>14</v>
      </c>
      <c r="D563" s="2" t="b">
        <v>0</v>
      </c>
      <c r="E563" s="1">
        <v>2</v>
      </c>
      <c r="F563" s="1">
        <v>2</v>
      </c>
      <c r="G563" s="1">
        <v>0.3</v>
      </c>
    </row>
    <row r="564" spans="1:7" ht="15" thickBot="1" x14ac:dyDescent="0.35">
      <c r="A564" s="1">
        <v>563</v>
      </c>
      <c r="B564" s="3">
        <v>40568</v>
      </c>
      <c r="C564" s="1">
        <v>15</v>
      </c>
      <c r="D564" s="2" t="b">
        <v>0</v>
      </c>
      <c r="E564" s="1">
        <v>2</v>
      </c>
      <c r="F564" s="1">
        <v>2</v>
      </c>
      <c r="G564" s="1">
        <v>0.32</v>
      </c>
    </row>
    <row r="565" spans="1:7" ht="15" thickBot="1" x14ac:dyDescent="0.35">
      <c r="A565" s="1">
        <v>564</v>
      </c>
      <c r="B565" s="3">
        <v>40568</v>
      </c>
      <c r="C565" s="1">
        <v>16</v>
      </c>
      <c r="D565" s="2" t="b">
        <v>0</v>
      </c>
      <c r="E565" s="1">
        <v>2</v>
      </c>
      <c r="F565" s="1">
        <v>2</v>
      </c>
      <c r="G565" s="1">
        <v>0.32</v>
      </c>
    </row>
    <row r="566" spans="1:7" ht="15" thickBot="1" x14ac:dyDescent="0.35">
      <c r="A566" s="1">
        <v>565</v>
      </c>
      <c r="B566" s="3">
        <v>40568</v>
      </c>
      <c r="C566" s="1">
        <v>17</v>
      </c>
      <c r="D566" s="2" t="b">
        <v>0</v>
      </c>
      <c r="E566" s="1">
        <v>2</v>
      </c>
      <c r="F566" s="1">
        <v>1</v>
      </c>
      <c r="G566" s="1">
        <v>0.3</v>
      </c>
    </row>
    <row r="567" spans="1:7" ht="15" thickBot="1" x14ac:dyDescent="0.35">
      <c r="A567" s="1">
        <v>566</v>
      </c>
      <c r="B567" s="3">
        <v>40568</v>
      </c>
      <c r="C567" s="1">
        <v>18</v>
      </c>
      <c r="D567" s="2" t="b">
        <v>0</v>
      </c>
      <c r="E567" s="1">
        <v>2</v>
      </c>
      <c r="F567" s="1">
        <v>2</v>
      </c>
      <c r="G567" s="1">
        <v>0.3</v>
      </c>
    </row>
    <row r="568" spans="1:7" ht="15" thickBot="1" x14ac:dyDescent="0.35">
      <c r="A568" s="1">
        <v>567</v>
      </c>
      <c r="B568" s="3">
        <v>40568</v>
      </c>
      <c r="C568" s="1">
        <v>19</v>
      </c>
      <c r="D568" s="2" t="b">
        <v>0</v>
      </c>
      <c r="E568" s="1">
        <v>2</v>
      </c>
      <c r="F568" s="1">
        <v>2</v>
      </c>
      <c r="G568" s="1">
        <v>0.26</v>
      </c>
    </row>
    <row r="569" spans="1:7" ht="15" thickBot="1" x14ac:dyDescent="0.35">
      <c r="A569" s="1">
        <v>568</v>
      </c>
      <c r="B569" s="3">
        <v>40568</v>
      </c>
      <c r="C569" s="1">
        <v>20</v>
      </c>
      <c r="D569" s="2" t="b">
        <v>0</v>
      </c>
      <c r="E569" s="1">
        <v>2</v>
      </c>
      <c r="F569" s="1">
        <v>1</v>
      </c>
      <c r="G569" s="1">
        <v>0.24</v>
      </c>
    </row>
    <row r="570" spans="1:7" ht="15" thickBot="1" x14ac:dyDescent="0.35">
      <c r="A570" s="1">
        <v>569</v>
      </c>
      <c r="B570" s="3">
        <v>40568</v>
      </c>
      <c r="C570" s="1">
        <v>21</v>
      </c>
      <c r="D570" s="2" t="b">
        <v>0</v>
      </c>
      <c r="E570" s="1">
        <v>2</v>
      </c>
      <c r="F570" s="1">
        <v>1</v>
      </c>
      <c r="G570" s="1">
        <v>0.24</v>
      </c>
    </row>
    <row r="571" spans="1:7" ht="15" thickBot="1" x14ac:dyDescent="0.35">
      <c r="A571" s="1">
        <v>570</v>
      </c>
      <c r="B571" s="3">
        <v>40568</v>
      </c>
      <c r="C571" s="1">
        <v>22</v>
      </c>
      <c r="D571" s="2" t="b">
        <v>0</v>
      </c>
      <c r="E571" s="1">
        <v>2</v>
      </c>
      <c r="F571" s="1">
        <v>1</v>
      </c>
      <c r="G571" s="1">
        <v>0.22</v>
      </c>
    </row>
    <row r="572" spans="1:7" ht="15" thickBot="1" x14ac:dyDescent="0.35">
      <c r="A572" s="1">
        <v>571</v>
      </c>
      <c r="B572" s="3">
        <v>40568</v>
      </c>
      <c r="C572" s="1">
        <v>23</v>
      </c>
      <c r="D572" s="2" t="b">
        <v>0</v>
      </c>
      <c r="E572" s="1">
        <v>2</v>
      </c>
      <c r="F572" s="1">
        <v>2</v>
      </c>
      <c r="G572" s="1">
        <v>0.22</v>
      </c>
    </row>
    <row r="573" spans="1:7" ht="15" thickBot="1" x14ac:dyDescent="0.35">
      <c r="A573" s="1">
        <v>572</v>
      </c>
      <c r="B573" s="3">
        <v>40569</v>
      </c>
      <c r="C573" s="1">
        <v>0</v>
      </c>
      <c r="D573" s="2" t="b">
        <v>0</v>
      </c>
      <c r="E573" s="1">
        <v>3</v>
      </c>
      <c r="F573" s="1">
        <v>2</v>
      </c>
      <c r="G573" s="1">
        <v>0.22</v>
      </c>
    </row>
    <row r="574" spans="1:7" ht="15" thickBot="1" x14ac:dyDescent="0.35">
      <c r="A574" s="1">
        <v>573</v>
      </c>
      <c r="B574" s="3">
        <v>40569</v>
      </c>
      <c r="C574" s="1">
        <v>1</v>
      </c>
      <c r="D574" s="2" t="b">
        <v>0</v>
      </c>
      <c r="E574" s="1">
        <v>3</v>
      </c>
      <c r="F574" s="1">
        <v>2</v>
      </c>
      <c r="G574" s="1">
        <v>0.24</v>
      </c>
    </row>
    <row r="575" spans="1:7" ht="15" thickBot="1" x14ac:dyDescent="0.35">
      <c r="A575" s="1">
        <v>574</v>
      </c>
      <c r="B575" s="3">
        <v>40569</v>
      </c>
      <c r="C575" s="1">
        <v>2</v>
      </c>
      <c r="D575" s="2" t="b">
        <v>0</v>
      </c>
      <c r="E575" s="1">
        <v>3</v>
      </c>
      <c r="F575" s="1">
        <v>3</v>
      </c>
      <c r="G575" s="1">
        <v>0.22</v>
      </c>
    </row>
    <row r="576" spans="1:7" ht="15" thickBot="1" x14ac:dyDescent="0.35">
      <c r="A576" s="1">
        <v>575</v>
      </c>
      <c r="B576" s="3">
        <v>40569</v>
      </c>
      <c r="C576" s="1">
        <v>5</v>
      </c>
      <c r="D576" s="2" t="b">
        <v>0</v>
      </c>
      <c r="E576" s="1">
        <v>3</v>
      </c>
      <c r="F576" s="1">
        <v>3</v>
      </c>
      <c r="G576" s="1">
        <v>0.2</v>
      </c>
    </row>
    <row r="577" spans="1:7" ht="15" thickBot="1" x14ac:dyDescent="0.35">
      <c r="A577" s="1">
        <v>576</v>
      </c>
      <c r="B577" s="3">
        <v>40569</v>
      </c>
      <c r="C577" s="1">
        <v>6</v>
      </c>
      <c r="D577" s="2" t="b">
        <v>0</v>
      </c>
      <c r="E577" s="1">
        <v>3</v>
      </c>
      <c r="F577" s="1">
        <v>3</v>
      </c>
      <c r="G577" s="1">
        <v>0.2</v>
      </c>
    </row>
    <row r="578" spans="1:7" ht="15" thickBot="1" x14ac:dyDescent="0.35">
      <c r="A578" s="1">
        <v>577</v>
      </c>
      <c r="B578" s="3">
        <v>40569</v>
      </c>
      <c r="C578" s="1">
        <v>7</v>
      </c>
      <c r="D578" s="2" t="b">
        <v>0</v>
      </c>
      <c r="E578" s="1">
        <v>3</v>
      </c>
      <c r="F578" s="1">
        <v>3</v>
      </c>
      <c r="G578" s="1">
        <v>0.22</v>
      </c>
    </row>
    <row r="579" spans="1:7" ht="15" thickBot="1" x14ac:dyDescent="0.35">
      <c r="A579" s="1">
        <v>578</v>
      </c>
      <c r="B579" s="3">
        <v>40569</v>
      </c>
      <c r="C579" s="1">
        <v>8</v>
      </c>
      <c r="D579" s="2" t="b">
        <v>0</v>
      </c>
      <c r="E579" s="1">
        <v>3</v>
      </c>
      <c r="F579" s="1">
        <v>3</v>
      </c>
      <c r="G579" s="1">
        <v>0.22</v>
      </c>
    </row>
    <row r="580" spans="1:7" ht="15" thickBot="1" x14ac:dyDescent="0.35">
      <c r="A580" s="1">
        <v>579</v>
      </c>
      <c r="B580" s="3">
        <v>40569</v>
      </c>
      <c r="C580" s="1">
        <v>9</v>
      </c>
      <c r="D580" s="2" t="b">
        <v>0</v>
      </c>
      <c r="E580" s="1">
        <v>3</v>
      </c>
      <c r="F580" s="1">
        <v>3</v>
      </c>
      <c r="G580" s="1">
        <v>0.22</v>
      </c>
    </row>
    <row r="581" spans="1:7" ht="15" thickBot="1" x14ac:dyDescent="0.35">
      <c r="A581" s="1">
        <v>580</v>
      </c>
      <c r="B581" s="3">
        <v>40569</v>
      </c>
      <c r="C581" s="1">
        <v>10</v>
      </c>
      <c r="D581" s="2" t="b">
        <v>0</v>
      </c>
      <c r="E581" s="1">
        <v>3</v>
      </c>
      <c r="F581" s="1">
        <v>3</v>
      </c>
      <c r="G581" s="1">
        <v>0.22</v>
      </c>
    </row>
    <row r="582" spans="1:7" ht="15" thickBot="1" x14ac:dyDescent="0.35">
      <c r="A582" s="1">
        <v>581</v>
      </c>
      <c r="B582" s="3">
        <v>40569</v>
      </c>
      <c r="C582" s="1">
        <v>11</v>
      </c>
      <c r="D582" s="2" t="b">
        <v>0</v>
      </c>
      <c r="E582" s="1">
        <v>3</v>
      </c>
      <c r="F582" s="1">
        <v>3</v>
      </c>
      <c r="G582" s="1">
        <v>0.22</v>
      </c>
    </row>
    <row r="583" spans="1:7" ht="15" thickBot="1" x14ac:dyDescent="0.35">
      <c r="A583" s="1">
        <v>582</v>
      </c>
      <c r="B583" s="3">
        <v>40569</v>
      </c>
      <c r="C583" s="1">
        <v>12</v>
      </c>
      <c r="D583" s="2" t="b">
        <v>0</v>
      </c>
      <c r="E583" s="1">
        <v>3</v>
      </c>
      <c r="F583" s="1">
        <v>3</v>
      </c>
      <c r="G583" s="1">
        <v>0.22</v>
      </c>
    </row>
    <row r="584" spans="1:7" ht="15" thickBot="1" x14ac:dyDescent="0.35">
      <c r="A584" s="1">
        <v>583</v>
      </c>
      <c r="B584" s="3">
        <v>40569</v>
      </c>
      <c r="C584" s="1">
        <v>13</v>
      </c>
      <c r="D584" s="2" t="b">
        <v>0</v>
      </c>
      <c r="E584" s="1">
        <v>3</v>
      </c>
      <c r="F584" s="1">
        <v>3</v>
      </c>
      <c r="G584" s="1">
        <v>0.22</v>
      </c>
    </row>
    <row r="585" spans="1:7" ht="15" thickBot="1" x14ac:dyDescent="0.35">
      <c r="A585" s="1">
        <v>584</v>
      </c>
      <c r="B585" s="3">
        <v>40569</v>
      </c>
      <c r="C585" s="1">
        <v>14</v>
      </c>
      <c r="D585" s="2" t="b">
        <v>0</v>
      </c>
      <c r="E585" s="1">
        <v>3</v>
      </c>
      <c r="F585" s="1">
        <v>3</v>
      </c>
      <c r="G585" s="1">
        <v>0.22</v>
      </c>
    </row>
    <row r="586" spans="1:7" ht="15" thickBot="1" x14ac:dyDescent="0.35">
      <c r="A586" s="1">
        <v>585</v>
      </c>
      <c r="B586" s="3">
        <v>40569</v>
      </c>
      <c r="C586" s="1">
        <v>15</v>
      </c>
      <c r="D586" s="2" t="b">
        <v>0</v>
      </c>
      <c r="E586" s="1">
        <v>3</v>
      </c>
      <c r="F586" s="1">
        <v>3</v>
      </c>
      <c r="G586" s="1">
        <v>0.22</v>
      </c>
    </row>
    <row r="587" spans="1:7" ht="15" thickBot="1" x14ac:dyDescent="0.35">
      <c r="A587" s="1">
        <v>586</v>
      </c>
      <c r="B587" s="3">
        <v>40569</v>
      </c>
      <c r="C587" s="1">
        <v>16</v>
      </c>
      <c r="D587" s="2" t="b">
        <v>0</v>
      </c>
      <c r="E587" s="1">
        <v>3</v>
      </c>
      <c r="F587" s="1">
        <v>4</v>
      </c>
      <c r="G587" s="1">
        <v>0.22</v>
      </c>
    </row>
    <row r="588" spans="1:7" ht="15" thickBot="1" x14ac:dyDescent="0.35">
      <c r="A588" s="1">
        <v>587</v>
      </c>
      <c r="B588" s="3">
        <v>40569</v>
      </c>
      <c r="C588" s="1">
        <v>17</v>
      </c>
      <c r="D588" s="2" t="b">
        <v>0</v>
      </c>
      <c r="E588" s="1">
        <v>3</v>
      </c>
      <c r="F588" s="1">
        <v>3</v>
      </c>
      <c r="G588" s="1">
        <v>0.2</v>
      </c>
    </row>
    <row r="589" spans="1:7" ht="15" thickBot="1" x14ac:dyDescent="0.35">
      <c r="A589" s="1">
        <v>588</v>
      </c>
      <c r="B589" s="3">
        <v>40570</v>
      </c>
      <c r="C589" s="1">
        <v>16</v>
      </c>
      <c r="D589" s="2" t="b">
        <v>0</v>
      </c>
      <c r="E589" s="1">
        <v>4</v>
      </c>
      <c r="F589" s="1">
        <v>1</v>
      </c>
      <c r="G589" s="1">
        <v>0.22</v>
      </c>
    </row>
    <row r="590" spans="1:7" ht="15" thickBot="1" x14ac:dyDescent="0.35">
      <c r="A590" s="1">
        <v>589</v>
      </c>
      <c r="B590" s="3">
        <v>40570</v>
      </c>
      <c r="C590" s="1">
        <v>17</v>
      </c>
      <c r="D590" s="2" t="b">
        <v>0</v>
      </c>
      <c r="E590" s="1">
        <v>4</v>
      </c>
      <c r="F590" s="1">
        <v>1</v>
      </c>
      <c r="G590" s="1">
        <v>0.22</v>
      </c>
    </row>
    <row r="591" spans="1:7" ht="15" thickBot="1" x14ac:dyDescent="0.35">
      <c r="A591" s="1">
        <v>590</v>
      </c>
      <c r="B591" s="3">
        <v>40570</v>
      </c>
      <c r="C591" s="1">
        <v>18</v>
      </c>
      <c r="D591" s="2" t="b">
        <v>0</v>
      </c>
      <c r="E591" s="1">
        <v>4</v>
      </c>
      <c r="F591" s="1">
        <v>1</v>
      </c>
      <c r="G591" s="1">
        <v>0.2</v>
      </c>
    </row>
    <row r="592" spans="1:7" ht="15" thickBot="1" x14ac:dyDescent="0.35">
      <c r="A592" s="1">
        <v>591</v>
      </c>
      <c r="B592" s="3">
        <v>40570</v>
      </c>
      <c r="C592" s="1">
        <v>19</v>
      </c>
      <c r="D592" s="2" t="b">
        <v>0</v>
      </c>
      <c r="E592" s="1">
        <v>4</v>
      </c>
      <c r="F592" s="1">
        <v>1</v>
      </c>
      <c r="G592" s="1">
        <v>0.2</v>
      </c>
    </row>
    <row r="593" spans="1:7" ht="15" thickBot="1" x14ac:dyDescent="0.35">
      <c r="A593" s="1">
        <v>592</v>
      </c>
      <c r="B593" s="3">
        <v>40570</v>
      </c>
      <c r="C593" s="1">
        <v>20</v>
      </c>
      <c r="D593" s="2" t="b">
        <v>0</v>
      </c>
      <c r="E593" s="1">
        <v>4</v>
      </c>
      <c r="F593" s="1">
        <v>1</v>
      </c>
      <c r="G593" s="1">
        <v>0.18</v>
      </c>
    </row>
    <row r="594" spans="1:7" ht="15" thickBot="1" x14ac:dyDescent="0.35">
      <c r="A594" s="1">
        <v>593</v>
      </c>
      <c r="B594" s="3">
        <v>40570</v>
      </c>
      <c r="C594" s="1">
        <v>21</v>
      </c>
      <c r="D594" s="2" t="b">
        <v>0</v>
      </c>
      <c r="E594" s="1">
        <v>4</v>
      </c>
      <c r="F594" s="1">
        <v>1</v>
      </c>
      <c r="G594" s="1">
        <v>0.18</v>
      </c>
    </row>
    <row r="595" spans="1:7" ht="15" thickBot="1" x14ac:dyDescent="0.35">
      <c r="A595" s="1">
        <v>594</v>
      </c>
      <c r="B595" s="3">
        <v>40570</v>
      </c>
      <c r="C595" s="1">
        <v>22</v>
      </c>
      <c r="D595" s="2" t="b">
        <v>0</v>
      </c>
      <c r="E595" s="1">
        <v>4</v>
      </c>
      <c r="F595" s="1">
        <v>1</v>
      </c>
      <c r="G595" s="1">
        <v>0.18</v>
      </c>
    </row>
    <row r="596" spans="1:7" ht="15" thickBot="1" x14ac:dyDescent="0.35">
      <c r="A596" s="1">
        <v>595</v>
      </c>
      <c r="B596" s="3">
        <v>40570</v>
      </c>
      <c r="C596" s="1">
        <v>23</v>
      </c>
      <c r="D596" s="2" t="b">
        <v>0</v>
      </c>
      <c r="E596" s="1">
        <v>4</v>
      </c>
      <c r="F596" s="1">
        <v>1</v>
      </c>
      <c r="G596" s="1">
        <v>0.18</v>
      </c>
    </row>
    <row r="597" spans="1:7" ht="15" thickBot="1" x14ac:dyDescent="0.35">
      <c r="A597" s="1">
        <v>596</v>
      </c>
      <c r="B597" s="3">
        <v>40571</v>
      </c>
      <c r="C597" s="1">
        <v>0</v>
      </c>
      <c r="D597" s="2" t="b">
        <v>0</v>
      </c>
      <c r="E597" s="1">
        <v>5</v>
      </c>
      <c r="F597" s="1">
        <v>2</v>
      </c>
      <c r="G597" s="1">
        <v>0.2</v>
      </c>
    </row>
    <row r="598" spans="1:7" ht="15" thickBot="1" x14ac:dyDescent="0.35">
      <c r="A598" s="1">
        <v>597</v>
      </c>
      <c r="B598" s="3">
        <v>40571</v>
      </c>
      <c r="C598" s="1">
        <v>1</v>
      </c>
      <c r="D598" s="2" t="b">
        <v>0</v>
      </c>
      <c r="E598" s="1">
        <v>5</v>
      </c>
      <c r="F598" s="1">
        <v>2</v>
      </c>
      <c r="G598" s="1">
        <v>0.2</v>
      </c>
    </row>
    <row r="599" spans="1:7" ht="15" thickBot="1" x14ac:dyDescent="0.35">
      <c r="A599" s="1">
        <v>598</v>
      </c>
      <c r="B599" s="3">
        <v>40571</v>
      </c>
      <c r="C599" s="1">
        <v>2</v>
      </c>
      <c r="D599" s="2" t="b">
        <v>0</v>
      </c>
      <c r="E599" s="1">
        <v>5</v>
      </c>
      <c r="F599" s="1">
        <v>2</v>
      </c>
      <c r="G599" s="1">
        <v>0.2</v>
      </c>
    </row>
    <row r="600" spans="1:7" ht="15" thickBot="1" x14ac:dyDescent="0.35">
      <c r="A600" s="1">
        <v>599</v>
      </c>
      <c r="B600" s="3">
        <v>40571</v>
      </c>
      <c r="C600" s="1">
        <v>3</v>
      </c>
      <c r="D600" s="2" t="b">
        <v>0</v>
      </c>
      <c r="E600" s="1">
        <v>5</v>
      </c>
      <c r="F600" s="1">
        <v>2</v>
      </c>
      <c r="G600" s="1">
        <v>0.2</v>
      </c>
    </row>
    <row r="601" spans="1:7" ht="15" thickBot="1" x14ac:dyDescent="0.35">
      <c r="A601" s="1">
        <v>600</v>
      </c>
      <c r="B601" s="3">
        <v>40571</v>
      </c>
      <c r="C601" s="1">
        <v>5</v>
      </c>
      <c r="D601" s="2" t="b">
        <v>0</v>
      </c>
      <c r="E601" s="1">
        <v>5</v>
      </c>
      <c r="F601" s="1">
        <v>2</v>
      </c>
      <c r="G601" s="1">
        <v>0.18</v>
      </c>
    </row>
    <row r="602" spans="1:7" ht="15" thickBot="1" x14ac:dyDescent="0.35">
      <c r="A602" s="1">
        <v>601</v>
      </c>
      <c r="B602" s="3">
        <v>40571</v>
      </c>
      <c r="C602" s="1">
        <v>6</v>
      </c>
      <c r="D602" s="2" t="b">
        <v>0</v>
      </c>
      <c r="E602" s="1">
        <v>5</v>
      </c>
      <c r="F602" s="1">
        <v>2</v>
      </c>
      <c r="G602" s="1">
        <v>0.18</v>
      </c>
    </row>
    <row r="603" spans="1:7" ht="15" thickBot="1" x14ac:dyDescent="0.35">
      <c r="A603" s="1">
        <v>602</v>
      </c>
      <c r="B603" s="3">
        <v>40571</v>
      </c>
      <c r="C603" s="1">
        <v>7</v>
      </c>
      <c r="D603" s="2" t="b">
        <v>0</v>
      </c>
      <c r="E603" s="1">
        <v>5</v>
      </c>
      <c r="F603" s="1">
        <v>2</v>
      </c>
      <c r="G603" s="1">
        <v>0.16</v>
      </c>
    </row>
    <row r="604" spans="1:7" ht="15" thickBot="1" x14ac:dyDescent="0.35">
      <c r="A604" s="1">
        <v>603</v>
      </c>
      <c r="B604" s="3">
        <v>40571</v>
      </c>
      <c r="C604" s="1">
        <v>8</v>
      </c>
      <c r="D604" s="2" t="b">
        <v>0</v>
      </c>
      <c r="E604" s="1">
        <v>5</v>
      </c>
      <c r="F604" s="1">
        <v>2</v>
      </c>
      <c r="G604" s="1">
        <v>0.16</v>
      </c>
    </row>
    <row r="605" spans="1:7" ht="15" thickBot="1" x14ac:dyDescent="0.35">
      <c r="A605" s="1">
        <v>604</v>
      </c>
      <c r="B605" s="3">
        <v>40571</v>
      </c>
      <c r="C605" s="1">
        <v>9</v>
      </c>
      <c r="D605" s="2" t="b">
        <v>0</v>
      </c>
      <c r="E605" s="1">
        <v>5</v>
      </c>
      <c r="F605" s="1">
        <v>3</v>
      </c>
      <c r="G605" s="1">
        <v>0.18</v>
      </c>
    </row>
    <row r="606" spans="1:7" ht="15" thickBot="1" x14ac:dyDescent="0.35">
      <c r="A606" s="1">
        <v>605</v>
      </c>
      <c r="B606" s="3">
        <v>40571</v>
      </c>
      <c r="C606" s="1">
        <v>10</v>
      </c>
      <c r="D606" s="2" t="b">
        <v>0</v>
      </c>
      <c r="E606" s="1">
        <v>5</v>
      </c>
      <c r="F606" s="1">
        <v>3</v>
      </c>
      <c r="G606" s="1">
        <v>0.18</v>
      </c>
    </row>
    <row r="607" spans="1:7" ht="15" thickBot="1" x14ac:dyDescent="0.35">
      <c r="A607" s="1">
        <v>606</v>
      </c>
      <c r="B607" s="3">
        <v>40571</v>
      </c>
      <c r="C607" s="1">
        <v>11</v>
      </c>
      <c r="D607" s="2" t="b">
        <v>0</v>
      </c>
      <c r="E607" s="1">
        <v>5</v>
      </c>
      <c r="F607" s="1">
        <v>3</v>
      </c>
      <c r="G607" s="1">
        <v>0.18</v>
      </c>
    </row>
    <row r="608" spans="1:7" ht="15" thickBot="1" x14ac:dyDescent="0.35">
      <c r="A608" s="1">
        <v>607</v>
      </c>
      <c r="B608" s="3">
        <v>40571</v>
      </c>
      <c r="C608" s="1">
        <v>12</v>
      </c>
      <c r="D608" s="2" t="b">
        <v>0</v>
      </c>
      <c r="E608" s="1">
        <v>5</v>
      </c>
      <c r="F608" s="1">
        <v>3</v>
      </c>
      <c r="G608" s="1">
        <v>0.18</v>
      </c>
    </row>
    <row r="609" spans="1:7" ht="15" thickBot="1" x14ac:dyDescent="0.35">
      <c r="A609" s="1">
        <v>608</v>
      </c>
      <c r="B609" s="3">
        <v>40571</v>
      </c>
      <c r="C609" s="1">
        <v>13</v>
      </c>
      <c r="D609" s="2" t="b">
        <v>0</v>
      </c>
      <c r="E609" s="1">
        <v>5</v>
      </c>
      <c r="F609" s="1">
        <v>3</v>
      </c>
      <c r="G609" s="1">
        <v>0.18</v>
      </c>
    </row>
    <row r="610" spans="1:7" ht="15" thickBot="1" x14ac:dyDescent="0.35">
      <c r="A610" s="1">
        <v>609</v>
      </c>
      <c r="B610" s="3">
        <v>40571</v>
      </c>
      <c r="C610" s="1">
        <v>14</v>
      </c>
      <c r="D610" s="2" t="b">
        <v>0</v>
      </c>
      <c r="E610" s="1">
        <v>5</v>
      </c>
      <c r="F610" s="1">
        <v>3</v>
      </c>
      <c r="G610" s="1">
        <v>0.22</v>
      </c>
    </row>
    <row r="611" spans="1:7" ht="15" thickBot="1" x14ac:dyDescent="0.35">
      <c r="A611" s="1">
        <v>610</v>
      </c>
      <c r="B611" s="3">
        <v>40571</v>
      </c>
      <c r="C611" s="1">
        <v>15</v>
      </c>
      <c r="D611" s="2" t="b">
        <v>0</v>
      </c>
      <c r="E611" s="1">
        <v>5</v>
      </c>
      <c r="F611" s="1">
        <v>2</v>
      </c>
      <c r="G611" s="1">
        <v>0.2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B1E7F-59B4-4C2E-880D-9B21D65E9E78}">
  <sheetPr>
    <tabColor theme="0"/>
  </sheetPr>
  <dimension ref="A1:G611"/>
  <sheetViews>
    <sheetView workbookViewId="0">
      <selection activeCell="I2" sqref="I2"/>
    </sheetView>
  </sheetViews>
  <sheetFormatPr defaultRowHeight="14.4" x14ac:dyDescent="0.3"/>
  <cols>
    <col min="4" max="4" width="12" customWidth="1"/>
    <col min="6" max="6" width="11.21875" customWidth="1"/>
  </cols>
  <sheetData>
    <row r="1" spans="1:7" ht="15" thickBot="1" x14ac:dyDescent="0.35">
      <c r="A1" s="15" t="s">
        <v>12</v>
      </c>
      <c r="B1" s="15" t="s">
        <v>5</v>
      </c>
      <c r="C1" s="15" t="s">
        <v>4</v>
      </c>
      <c r="D1" s="15" t="s">
        <v>3</v>
      </c>
      <c r="E1" s="15" t="s">
        <v>2</v>
      </c>
      <c r="F1" s="15" t="s">
        <v>1</v>
      </c>
      <c r="G1" s="15" t="s">
        <v>0</v>
      </c>
    </row>
    <row r="2" spans="1:7" ht="15" thickBot="1" x14ac:dyDescent="0.35">
      <c r="A2" s="16">
        <v>1</v>
      </c>
      <c r="B2" s="16">
        <v>0.28789999999999999</v>
      </c>
      <c r="C2" s="16">
        <v>0.81</v>
      </c>
      <c r="D2" s="16">
        <v>0</v>
      </c>
      <c r="E2" s="16">
        <v>3</v>
      </c>
      <c r="F2" s="16">
        <v>13</v>
      </c>
      <c r="G2" s="16">
        <v>16</v>
      </c>
    </row>
    <row r="3" spans="1:7" ht="15" thickBot="1" x14ac:dyDescent="0.35">
      <c r="A3" s="16">
        <v>2</v>
      </c>
      <c r="B3" s="16">
        <v>0.2727</v>
      </c>
      <c r="C3" s="16">
        <v>0.8</v>
      </c>
      <c r="D3" s="16">
        <v>0</v>
      </c>
      <c r="E3" s="16">
        <v>8</v>
      </c>
      <c r="F3" s="16">
        <v>32</v>
      </c>
      <c r="G3" s="16">
        <v>40</v>
      </c>
    </row>
    <row r="4" spans="1:7" ht="15" thickBot="1" x14ac:dyDescent="0.35">
      <c r="A4" s="16">
        <v>3</v>
      </c>
      <c r="B4" s="16">
        <v>0.2727</v>
      </c>
      <c r="C4" s="16">
        <v>0.8</v>
      </c>
      <c r="D4" s="16">
        <v>0</v>
      </c>
      <c r="E4" s="16">
        <v>5</v>
      </c>
      <c r="F4" s="16">
        <v>27</v>
      </c>
      <c r="G4" s="16">
        <v>32</v>
      </c>
    </row>
    <row r="5" spans="1:7" ht="15" thickBot="1" x14ac:dyDescent="0.35">
      <c r="A5" s="16">
        <v>4</v>
      </c>
      <c r="B5" s="16">
        <v>0.28789999999999999</v>
      </c>
      <c r="C5" s="16">
        <v>0.75</v>
      </c>
      <c r="D5" s="16">
        <v>0</v>
      </c>
      <c r="E5" s="16">
        <v>3</v>
      </c>
      <c r="F5" s="16">
        <v>10</v>
      </c>
      <c r="G5" s="16">
        <v>13</v>
      </c>
    </row>
    <row r="6" spans="1:7" ht="15" thickBot="1" x14ac:dyDescent="0.35">
      <c r="A6" s="16">
        <v>5</v>
      </c>
      <c r="B6" s="16">
        <v>0.28789999999999999</v>
      </c>
      <c r="C6" s="16">
        <v>0.75</v>
      </c>
      <c r="D6" s="16">
        <v>0</v>
      </c>
      <c r="E6" s="16">
        <v>0</v>
      </c>
      <c r="F6" s="16">
        <v>1</v>
      </c>
      <c r="G6" s="16">
        <v>1</v>
      </c>
    </row>
    <row r="7" spans="1:7" ht="15" thickBot="1" x14ac:dyDescent="0.35">
      <c r="A7" s="16">
        <v>6</v>
      </c>
      <c r="B7" s="16">
        <v>0.2576</v>
      </c>
      <c r="C7" s="16">
        <v>0.75</v>
      </c>
      <c r="D7" s="16">
        <v>8.9599999999999999E-2</v>
      </c>
      <c r="E7" s="16">
        <v>0</v>
      </c>
      <c r="F7" s="16">
        <v>1</v>
      </c>
      <c r="G7" s="16">
        <v>1</v>
      </c>
    </row>
    <row r="8" spans="1:7" ht="15" thickBot="1" x14ac:dyDescent="0.35">
      <c r="A8" s="16">
        <v>7</v>
      </c>
      <c r="B8" s="16">
        <v>0.2727</v>
      </c>
      <c r="C8" s="16">
        <v>0.8</v>
      </c>
      <c r="D8" s="16">
        <v>0</v>
      </c>
      <c r="E8" s="16">
        <v>2</v>
      </c>
      <c r="F8" s="16">
        <v>0</v>
      </c>
      <c r="G8" s="16">
        <v>2</v>
      </c>
    </row>
    <row r="9" spans="1:7" ht="15" thickBot="1" x14ac:dyDescent="0.35">
      <c r="A9" s="16">
        <v>8</v>
      </c>
      <c r="B9" s="16">
        <v>0.2576</v>
      </c>
      <c r="C9" s="16">
        <v>0.86</v>
      </c>
      <c r="D9" s="16">
        <v>0</v>
      </c>
      <c r="E9" s="16">
        <v>1</v>
      </c>
      <c r="F9" s="16">
        <v>2</v>
      </c>
      <c r="G9" s="16">
        <v>3</v>
      </c>
    </row>
    <row r="10" spans="1:7" ht="15" thickBot="1" x14ac:dyDescent="0.35">
      <c r="A10" s="16">
        <v>9</v>
      </c>
      <c r="B10" s="4">
        <f>AVERAGE(B2:B9,B11:B18,B20:B24,B26:B29,B31:B33,B35:B38,B40:B44,B46:B49,B51:B59,B61:B66,B68:B70,B72:B611)</f>
        <v>0.19993489148580987</v>
      </c>
      <c r="C10" s="16">
        <v>0.75</v>
      </c>
      <c r="D10" s="16">
        <v>0</v>
      </c>
      <c r="E10" s="16">
        <v>1</v>
      </c>
      <c r="F10" s="16">
        <v>7</v>
      </c>
      <c r="G10" s="16">
        <v>8</v>
      </c>
    </row>
    <row r="11" spans="1:7" ht="15" thickBot="1" x14ac:dyDescent="0.35">
      <c r="A11" s="16">
        <v>10</v>
      </c>
      <c r="B11" s="16">
        <v>0.34849999999999998</v>
      </c>
      <c r="C11" s="16">
        <v>0.76</v>
      </c>
      <c r="D11" s="16">
        <v>0</v>
      </c>
      <c r="E11" s="16">
        <v>8</v>
      </c>
      <c r="F11" s="16">
        <v>6</v>
      </c>
      <c r="G11" s="16">
        <v>14</v>
      </c>
    </row>
    <row r="12" spans="1:7" ht="15" thickBot="1" x14ac:dyDescent="0.35">
      <c r="A12" s="16">
        <v>11</v>
      </c>
      <c r="B12" s="16">
        <v>0.39389999999999997</v>
      </c>
      <c r="C12" s="16">
        <v>0.76</v>
      </c>
      <c r="D12" s="16">
        <v>0.25369999999999998</v>
      </c>
      <c r="E12" s="16">
        <v>12</v>
      </c>
      <c r="F12" s="16">
        <v>24</v>
      </c>
      <c r="G12" s="16">
        <v>36</v>
      </c>
    </row>
    <row r="13" spans="1:7" ht="15" thickBot="1" x14ac:dyDescent="0.35">
      <c r="A13" s="16">
        <v>12</v>
      </c>
      <c r="B13" s="16">
        <v>0.33329999999999999</v>
      </c>
      <c r="C13" s="16">
        <v>0.81</v>
      </c>
      <c r="D13" s="16">
        <v>0.28360000000000002</v>
      </c>
      <c r="E13" s="16">
        <v>26</v>
      </c>
      <c r="F13" s="16">
        <v>30</v>
      </c>
      <c r="G13" s="16">
        <v>56</v>
      </c>
    </row>
    <row r="14" spans="1:7" ht="15" thickBot="1" x14ac:dyDescent="0.35">
      <c r="A14" s="16">
        <v>13</v>
      </c>
      <c r="B14" s="16">
        <v>0.42420000000000002</v>
      </c>
      <c r="C14" s="16">
        <v>0.77</v>
      </c>
      <c r="D14" s="16">
        <v>0.28360000000000002</v>
      </c>
      <c r="E14" s="16">
        <v>29</v>
      </c>
      <c r="F14" s="16">
        <v>55</v>
      </c>
      <c r="G14" s="16">
        <v>84</v>
      </c>
    </row>
    <row r="15" spans="1:7" ht="15" thickBot="1" x14ac:dyDescent="0.35">
      <c r="A15" s="16">
        <v>14</v>
      </c>
      <c r="B15" s="16">
        <v>0.45450000000000002</v>
      </c>
      <c r="C15" s="16">
        <v>0.72</v>
      </c>
      <c r="D15" s="16">
        <v>0.29849999999999999</v>
      </c>
      <c r="E15" s="16">
        <v>47</v>
      </c>
      <c r="F15" s="16">
        <v>47</v>
      </c>
      <c r="G15" s="16">
        <v>94</v>
      </c>
    </row>
    <row r="16" spans="1:7" ht="15" thickBot="1" x14ac:dyDescent="0.35">
      <c r="A16" s="16">
        <v>15</v>
      </c>
      <c r="B16" s="16">
        <v>0.45450000000000002</v>
      </c>
      <c r="C16" s="16">
        <v>0.72</v>
      </c>
      <c r="D16" s="16">
        <v>0.28360000000000002</v>
      </c>
      <c r="E16" s="16">
        <v>35</v>
      </c>
      <c r="F16" s="16">
        <v>71</v>
      </c>
      <c r="G16" s="16">
        <v>106</v>
      </c>
    </row>
    <row r="17" spans="1:7" ht="15" thickBot="1" x14ac:dyDescent="0.35">
      <c r="A17" s="16">
        <v>16</v>
      </c>
      <c r="B17" s="16">
        <v>0.43940000000000001</v>
      </c>
      <c r="C17" s="16">
        <v>0.77</v>
      </c>
      <c r="D17" s="16">
        <v>0.29849999999999999</v>
      </c>
      <c r="E17" s="16">
        <v>40</v>
      </c>
      <c r="F17" s="16">
        <v>70</v>
      </c>
      <c r="G17" s="16">
        <v>110</v>
      </c>
    </row>
    <row r="18" spans="1:7" ht="15" thickBot="1" x14ac:dyDescent="0.35">
      <c r="A18" s="16">
        <v>17</v>
      </c>
      <c r="B18" s="16">
        <v>0.42420000000000002</v>
      </c>
      <c r="C18" s="16">
        <v>0.82</v>
      </c>
      <c r="D18" s="16">
        <v>0.29849999999999999</v>
      </c>
      <c r="E18" s="16">
        <v>41</v>
      </c>
      <c r="F18" s="16">
        <v>52</v>
      </c>
      <c r="G18" s="16">
        <v>93</v>
      </c>
    </row>
    <row r="19" spans="1:7" ht="15" thickBot="1" x14ac:dyDescent="0.35">
      <c r="A19" s="16">
        <v>18</v>
      </c>
      <c r="B19" s="4">
        <f>AVERAGE(B2:B18,B20:B24,B26:B29,B31:B33,B35:B38,B40:B44,B46:B49,B51:B59,B61:B66,B68:B70,B72:B611)</f>
        <v>0.19993489148580987</v>
      </c>
      <c r="C19" s="16">
        <v>0.82</v>
      </c>
      <c r="D19" s="16">
        <v>0.28360000000000002</v>
      </c>
      <c r="E19" s="16">
        <v>15</v>
      </c>
      <c r="F19" s="16">
        <v>52</v>
      </c>
      <c r="G19" s="16">
        <v>67</v>
      </c>
    </row>
    <row r="20" spans="1:7" ht="15" thickBot="1" x14ac:dyDescent="0.35">
      <c r="A20" s="16">
        <v>19</v>
      </c>
      <c r="B20" s="16">
        <v>0.42420000000000002</v>
      </c>
      <c r="C20" s="16">
        <v>0.88</v>
      </c>
      <c r="D20" s="16">
        <v>0.25369999999999998</v>
      </c>
      <c r="E20" s="16">
        <v>9</v>
      </c>
      <c r="F20" s="16">
        <v>26</v>
      </c>
      <c r="G20" s="16">
        <v>35</v>
      </c>
    </row>
    <row r="21" spans="1:7" ht="15" thickBot="1" x14ac:dyDescent="0.35">
      <c r="A21" s="16">
        <v>20</v>
      </c>
      <c r="B21" s="16">
        <v>0.42420000000000002</v>
      </c>
      <c r="C21" s="16">
        <v>0.88</v>
      </c>
      <c r="D21" s="16">
        <v>0.25369999999999998</v>
      </c>
      <c r="E21" s="16">
        <v>6</v>
      </c>
      <c r="F21" s="16">
        <v>31</v>
      </c>
      <c r="G21" s="16">
        <v>37</v>
      </c>
    </row>
    <row r="22" spans="1:7" ht="15" thickBot="1" x14ac:dyDescent="0.35">
      <c r="A22" s="16">
        <v>21</v>
      </c>
      <c r="B22" s="16">
        <v>0.40910000000000002</v>
      </c>
      <c r="C22" s="16">
        <v>0.87</v>
      </c>
      <c r="D22" s="16">
        <v>0.25369999999999998</v>
      </c>
      <c r="E22" s="16">
        <v>11</v>
      </c>
      <c r="F22" s="16">
        <v>25</v>
      </c>
      <c r="G22" s="16">
        <v>36</v>
      </c>
    </row>
    <row r="23" spans="1:7" ht="15" thickBot="1" x14ac:dyDescent="0.35">
      <c r="A23" s="16">
        <v>22</v>
      </c>
      <c r="B23" s="16">
        <v>0.40910000000000002</v>
      </c>
      <c r="C23" s="16">
        <v>0.87</v>
      </c>
      <c r="D23" s="16">
        <v>0.19400000000000001</v>
      </c>
      <c r="E23" s="16">
        <v>3</v>
      </c>
      <c r="F23" s="16">
        <v>31</v>
      </c>
      <c r="G23" s="16">
        <v>34</v>
      </c>
    </row>
    <row r="24" spans="1:7" ht="15" thickBot="1" x14ac:dyDescent="0.35">
      <c r="A24" s="16">
        <v>23</v>
      </c>
      <c r="B24" s="16">
        <v>0.40910000000000002</v>
      </c>
      <c r="C24" s="16">
        <v>0.94</v>
      </c>
      <c r="D24" s="16">
        <v>0.22389999999999999</v>
      </c>
      <c r="E24" s="16">
        <v>11</v>
      </c>
      <c r="F24" s="16">
        <v>17</v>
      </c>
      <c r="G24" s="16">
        <v>28</v>
      </c>
    </row>
    <row r="25" spans="1:7" ht="15" thickBot="1" x14ac:dyDescent="0.35">
      <c r="A25" s="16">
        <v>24</v>
      </c>
      <c r="B25" s="4">
        <f>AVERAGE(B2:B24,B26:B29,B31:B33,B35:B38,B40:B44,B46:B49,B51:B59,B61:B66,B68:B70,B72:B611)</f>
        <v>0.1999348914858099</v>
      </c>
      <c r="C25" s="16">
        <v>0.88</v>
      </c>
      <c r="D25" s="16">
        <v>0.29849999999999999</v>
      </c>
      <c r="E25" s="16">
        <v>15</v>
      </c>
      <c r="F25" s="16">
        <v>24</v>
      </c>
      <c r="G25" s="16">
        <v>39</v>
      </c>
    </row>
    <row r="26" spans="1:7" ht="15" thickBot="1" x14ac:dyDescent="0.35">
      <c r="A26" s="16">
        <v>25</v>
      </c>
      <c r="B26" s="16">
        <v>0.45450000000000002</v>
      </c>
      <c r="C26" s="16">
        <v>0.88</v>
      </c>
      <c r="D26" s="16">
        <v>0.29849999999999999</v>
      </c>
      <c r="E26" s="16">
        <v>4</v>
      </c>
      <c r="F26" s="16">
        <v>13</v>
      </c>
      <c r="G26" s="16">
        <v>17</v>
      </c>
    </row>
    <row r="27" spans="1:7" ht="15" thickBot="1" x14ac:dyDescent="0.35">
      <c r="A27" s="16">
        <v>26</v>
      </c>
      <c r="B27" s="16">
        <v>0.43940000000000001</v>
      </c>
      <c r="C27" s="16">
        <v>0.94</v>
      </c>
      <c r="D27" s="16">
        <v>0.25369999999999998</v>
      </c>
      <c r="E27" s="16">
        <v>1</v>
      </c>
      <c r="F27" s="16">
        <v>16</v>
      </c>
      <c r="G27" s="16">
        <v>17</v>
      </c>
    </row>
    <row r="28" spans="1:7" ht="15" thickBot="1" x14ac:dyDescent="0.35">
      <c r="A28" s="16">
        <v>27</v>
      </c>
      <c r="B28" s="16">
        <v>0.42420000000000002</v>
      </c>
      <c r="C28" s="16">
        <v>1</v>
      </c>
      <c r="D28" s="16">
        <v>0.28360000000000002</v>
      </c>
      <c r="E28" s="16">
        <v>1</v>
      </c>
      <c r="F28" s="16">
        <v>8</v>
      </c>
      <c r="G28" s="16">
        <v>9</v>
      </c>
    </row>
    <row r="29" spans="1:7" ht="15" thickBot="1" x14ac:dyDescent="0.35">
      <c r="A29" s="16">
        <v>28</v>
      </c>
      <c r="B29" s="16">
        <v>0.45450000000000002</v>
      </c>
      <c r="C29" s="16">
        <v>0.94</v>
      </c>
      <c r="D29" s="16">
        <v>0.19400000000000001</v>
      </c>
      <c r="E29" s="16">
        <v>2</v>
      </c>
      <c r="F29" s="16">
        <v>4</v>
      </c>
      <c r="G29" s="16">
        <v>6</v>
      </c>
    </row>
    <row r="30" spans="1:7" ht="15" thickBot="1" x14ac:dyDescent="0.35">
      <c r="A30" s="16">
        <v>29</v>
      </c>
      <c r="B30" s="4">
        <f>AVERAGE(B2:B29,B31:B33,B35:B38,B40:B44,B46:B49,B51:B59,B61:B66,B68:B70,B72:B611)</f>
        <v>0.19993489148580987</v>
      </c>
      <c r="C30" s="16">
        <v>0.94</v>
      </c>
      <c r="D30" s="16">
        <v>0.19400000000000001</v>
      </c>
      <c r="E30" s="16">
        <v>2</v>
      </c>
      <c r="F30" s="16">
        <v>1</v>
      </c>
      <c r="G30" s="16">
        <v>3</v>
      </c>
    </row>
    <row r="31" spans="1:7" ht="15" thickBot="1" x14ac:dyDescent="0.35">
      <c r="A31" s="16">
        <v>30</v>
      </c>
      <c r="B31" s="16">
        <v>0.42420000000000002</v>
      </c>
      <c r="C31" s="16">
        <v>0.77</v>
      </c>
      <c r="D31" s="16">
        <v>0.29849999999999999</v>
      </c>
      <c r="E31" s="16">
        <v>0</v>
      </c>
      <c r="F31" s="16">
        <v>2</v>
      </c>
      <c r="G31" s="16">
        <v>2</v>
      </c>
    </row>
    <row r="32" spans="1:7" ht="15" thickBot="1" x14ac:dyDescent="0.35">
      <c r="A32" s="16">
        <v>31</v>
      </c>
      <c r="B32" s="16">
        <v>0.40910000000000002</v>
      </c>
      <c r="C32" s="16">
        <v>0.76</v>
      </c>
      <c r="D32" s="16">
        <v>0.19400000000000001</v>
      </c>
      <c r="E32" s="16">
        <v>0</v>
      </c>
      <c r="F32" s="16">
        <v>1</v>
      </c>
      <c r="G32" s="16">
        <v>1</v>
      </c>
    </row>
    <row r="33" spans="1:7" ht="15" thickBot="1" x14ac:dyDescent="0.35">
      <c r="A33" s="16">
        <v>32</v>
      </c>
      <c r="B33" s="16">
        <v>0.40910000000000002</v>
      </c>
      <c r="C33" s="16">
        <v>0.71</v>
      </c>
      <c r="D33" s="16">
        <v>0.22389999999999999</v>
      </c>
      <c r="E33" s="16">
        <v>0</v>
      </c>
      <c r="F33" s="16">
        <v>8</v>
      </c>
      <c r="G33" s="16">
        <v>8</v>
      </c>
    </row>
    <row r="34" spans="1:7" ht="15" thickBot="1" x14ac:dyDescent="0.35">
      <c r="A34" s="16">
        <v>33</v>
      </c>
      <c r="B34" s="4">
        <f>AVERAGE(B2:B33,B35:B38,B40:B44,B46:B49,B51:B59,B61:B66,B68:B70,B72:B611)</f>
        <v>0.19993489148580984</v>
      </c>
      <c r="C34" s="16">
        <v>0.76</v>
      </c>
      <c r="D34" s="16">
        <v>0.22389999999999999</v>
      </c>
      <c r="E34" s="16">
        <v>1</v>
      </c>
      <c r="F34" s="16">
        <v>19</v>
      </c>
      <c r="G34" s="16">
        <v>20</v>
      </c>
    </row>
    <row r="35" spans="1:7" ht="15" thickBot="1" x14ac:dyDescent="0.35">
      <c r="A35" s="16">
        <v>34</v>
      </c>
      <c r="B35" s="16">
        <v>0.34849999999999998</v>
      </c>
      <c r="C35" s="16">
        <v>0.81</v>
      </c>
      <c r="D35" s="16">
        <v>0.22389999999999999</v>
      </c>
      <c r="E35" s="16">
        <v>7</v>
      </c>
      <c r="F35" s="16">
        <v>46</v>
      </c>
      <c r="G35" s="16">
        <v>53</v>
      </c>
    </row>
    <row r="36" spans="1:7" ht="15" thickBot="1" x14ac:dyDescent="0.35">
      <c r="A36" s="16">
        <v>35</v>
      </c>
      <c r="B36" s="16">
        <v>0.33329999999999999</v>
      </c>
      <c r="C36" s="16">
        <v>0.71</v>
      </c>
      <c r="D36" s="16">
        <v>0.25369999999999998</v>
      </c>
      <c r="E36" s="16">
        <v>16</v>
      </c>
      <c r="F36" s="16">
        <v>54</v>
      </c>
      <c r="G36" s="16">
        <v>70</v>
      </c>
    </row>
    <row r="37" spans="1:7" ht="15" thickBot="1" x14ac:dyDescent="0.35">
      <c r="A37" s="16">
        <v>36</v>
      </c>
      <c r="B37" s="16">
        <v>0.33329999999999999</v>
      </c>
      <c r="C37" s="16">
        <v>0.66</v>
      </c>
      <c r="D37" s="16">
        <v>0.29849999999999999</v>
      </c>
      <c r="E37" s="16">
        <v>20</v>
      </c>
      <c r="F37" s="16">
        <v>73</v>
      </c>
      <c r="G37" s="16">
        <v>93</v>
      </c>
    </row>
    <row r="38" spans="1:7" ht="15" thickBot="1" x14ac:dyDescent="0.35">
      <c r="A38" s="16">
        <v>37</v>
      </c>
      <c r="B38" s="16">
        <v>0.34849999999999998</v>
      </c>
      <c r="C38" s="16">
        <v>0.66</v>
      </c>
      <c r="D38" s="16">
        <v>0.1343</v>
      </c>
      <c r="E38" s="16">
        <v>11</v>
      </c>
      <c r="F38" s="16">
        <v>64</v>
      </c>
      <c r="G38" s="16">
        <v>75</v>
      </c>
    </row>
    <row r="39" spans="1:7" ht="15" thickBot="1" x14ac:dyDescent="0.35">
      <c r="A39" s="16">
        <v>38</v>
      </c>
      <c r="B39" s="4">
        <f>AVERAGE(B2:B38,B40:B44,B46:B49,B51:B59,B61:B66,B68:B70,B72:B611)</f>
        <v>0.19993489148580984</v>
      </c>
      <c r="C39" s="16">
        <v>0.76</v>
      </c>
      <c r="D39" s="16">
        <v>0.19400000000000001</v>
      </c>
      <c r="E39" s="16">
        <v>4</v>
      </c>
      <c r="F39" s="16">
        <v>55</v>
      </c>
      <c r="G39" s="16">
        <v>59</v>
      </c>
    </row>
    <row r="40" spans="1:7" ht="15" thickBot="1" x14ac:dyDescent="0.35">
      <c r="A40" s="16">
        <v>39</v>
      </c>
      <c r="B40" s="16">
        <v>0.33329999999999999</v>
      </c>
      <c r="C40" s="16">
        <v>0.81</v>
      </c>
      <c r="D40" s="16">
        <v>0.16420000000000001</v>
      </c>
      <c r="E40" s="16">
        <v>19</v>
      </c>
      <c r="F40" s="16">
        <v>55</v>
      </c>
      <c r="G40" s="16">
        <v>74</v>
      </c>
    </row>
    <row r="41" spans="1:7" ht="15" thickBot="1" x14ac:dyDescent="0.35">
      <c r="A41" s="16">
        <v>40</v>
      </c>
      <c r="B41" s="16">
        <v>0.33329999999999999</v>
      </c>
      <c r="C41" s="16">
        <v>0.71</v>
      </c>
      <c r="D41" s="16">
        <v>0.16420000000000001</v>
      </c>
      <c r="E41" s="16">
        <v>9</v>
      </c>
      <c r="F41" s="16">
        <v>67</v>
      </c>
      <c r="G41" s="16">
        <v>76</v>
      </c>
    </row>
    <row r="42" spans="1:7" ht="15" thickBot="1" x14ac:dyDescent="0.35">
      <c r="A42" s="16">
        <v>41</v>
      </c>
      <c r="B42" s="16">
        <v>0.33329999999999999</v>
      </c>
      <c r="C42" s="16">
        <v>0.56999999999999995</v>
      </c>
      <c r="D42" s="16">
        <v>0.19400000000000001</v>
      </c>
      <c r="E42" s="16">
        <v>7</v>
      </c>
      <c r="F42" s="16">
        <v>58</v>
      </c>
      <c r="G42" s="16">
        <v>65</v>
      </c>
    </row>
    <row r="43" spans="1:7" ht="15" thickBot="1" x14ac:dyDescent="0.35">
      <c r="A43" s="16">
        <v>42</v>
      </c>
      <c r="B43" s="16">
        <v>0.33329999999999999</v>
      </c>
      <c r="C43" s="16">
        <v>0.46</v>
      </c>
      <c r="D43" s="16">
        <v>0.32840000000000003</v>
      </c>
      <c r="E43" s="16">
        <v>10</v>
      </c>
      <c r="F43" s="16">
        <v>43</v>
      </c>
      <c r="G43" s="16">
        <v>53</v>
      </c>
    </row>
    <row r="44" spans="1:7" ht="15" thickBot="1" x14ac:dyDescent="0.35">
      <c r="A44" s="16">
        <v>43</v>
      </c>
      <c r="B44" s="16">
        <v>0.28789999999999999</v>
      </c>
      <c r="C44" s="16">
        <v>0.42</v>
      </c>
      <c r="D44" s="16">
        <v>0.44779999999999998</v>
      </c>
      <c r="E44" s="16">
        <v>1</v>
      </c>
      <c r="F44" s="16">
        <v>29</v>
      </c>
      <c r="G44" s="16">
        <v>30</v>
      </c>
    </row>
    <row r="45" spans="1:7" ht="15" thickBot="1" x14ac:dyDescent="0.35">
      <c r="A45" s="16">
        <v>44</v>
      </c>
      <c r="B45" s="4">
        <f>AVERAGE(B2:B44,B46:B49,B51:B59,B61:B66,B68:B70,B72:B611)</f>
        <v>0.19993489148580984</v>
      </c>
      <c r="C45" s="16">
        <v>0.39</v>
      </c>
      <c r="D45" s="16">
        <v>0.35820000000000002</v>
      </c>
      <c r="E45" s="16">
        <v>5</v>
      </c>
      <c r="F45" s="16">
        <v>17</v>
      </c>
      <c r="G45" s="16">
        <v>22</v>
      </c>
    </row>
    <row r="46" spans="1:7" ht="15" thickBot="1" x14ac:dyDescent="0.35">
      <c r="A46" s="16">
        <v>45</v>
      </c>
      <c r="B46" s="16">
        <v>0.2273</v>
      </c>
      <c r="C46" s="16">
        <v>0.44</v>
      </c>
      <c r="D46" s="16">
        <v>0.32840000000000003</v>
      </c>
      <c r="E46" s="16">
        <v>11</v>
      </c>
      <c r="F46" s="16">
        <v>20</v>
      </c>
      <c r="G46" s="16">
        <v>31</v>
      </c>
    </row>
    <row r="47" spans="1:7" ht="15" thickBot="1" x14ac:dyDescent="0.35">
      <c r="A47" s="16">
        <v>46</v>
      </c>
      <c r="B47" s="16">
        <v>0.21210000000000001</v>
      </c>
      <c r="C47" s="16">
        <v>0.44</v>
      </c>
      <c r="D47" s="16">
        <v>0.29849999999999999</v>
      </c>
      <c r="E47" s="16">
        <v>0</v>
      </c>
      <c r="F47" s="16">
        <v>9</v>
      </c>
      <c r="G47" s="16">
        <v>9</v>
      </c>
    </row>
    <row r="48" spans="1:7" ht="15" thickBot="1" x14ac:dyDescent="0.35">
      <c r="A48" s="16">
        <v>47</v>
      </c>
      <c r="B48" s="16">
        <v>0.2273</v>
      </c>
      <c r="C48" s="16">
        <v>0.47</v>
      </c>
      <c r="D48" s="16">
        <v>0.16420000000000001</v>
      </c>
      <c r="E48" s="16">
        <v>0</v>
      </c>
      <c r="F48" s="16">
        <v>8</v>
      </c>
      <c r="G48" s="16">
        <v>8</v>
      </c>
    </row>
    <row r="49" spans="1:7" ht="15" thickBot="1" x14ac:dyDescent="0.35">
      <c r="A49" s="16">
        <v>48</v>
      </c>
      <c r="B49" s="16">
        <v>0.19700000000000001</v>
      </c>
      <c r="C49" s="16">
        <v>0.44</v>
      </c>
      <c r="D49" s="16">
        <v>0.35820000000000002</v>
      </c>
      <c r="E49" s="16">
        <v>0</v>
      </c>
      <c r="F49" s="16">
        <v>5</v>
      </c>
      <c r="G49" s="16">
        <v>5</v>
      </c>
    </row>
    <row r="50" spans="1:7" ht="15" thickBot="1" x14ac:dyDescent="0.35">
      <c r="A50" s="16">
        <v>49</v>
      </c>
      <c r="B50" s="4">
        <f>AVERAGE(B2:B49,B51:B59,B61:B66,B68:B70,B72:B611)</f>
        <v>0.19993489148580987</v>
      </c>
      <c r="C50" s="16">
        <v>0.44</v>
      </c>
      <c r="D50" s="16">
        <v>0.41789999999999999</v>
      </c>
      <c r="E50" s="16">
        <v>0</v>
      </c>
      <c r="F50" s="16">
        <v>2</v>
      </c>
      <c r="G50" s="16">
        <v>2</v>
      </c>
    </row>
    <row r="51" spans="1:7" ht="15" thickBot="1" x14ac:dyDescent="0.35">
      <c r="A51" s="16">
        <v>50</v>
      </c>
      <c r="B51" s="16">
        <v>0.13639999999999999</v>
      </c>
      <c r="C51" s="16">
        <v>0.47</v>
      </c>
      <c r="D51" s="16">
        <v>0.3881</v>
      </c>
      <c r="E51" s="16">
        <v>0</v>
      </c>
      <c r="F51" s="16">
        <v>1</v>
      </c>
      <c r="G51" s="16">
        <v>1</v>
      </c>
    </row>
    <row r="52" spans="1:7" ht="15" thickBot="1" x14ac:dyDescent="0.35">
      <c r="A52" s="16">
        <v>51</v>
      </c>
      <c r="B52" s="16">
        <v>0.13639999999999999</v>
      </c>
      <c r="C52" s="16">
        <v>0.47</v>
      </c>
      <c r="D52" s="16">
        <v>0.28360000000000002</v>
      </c>
      <c r="E52" s="16">
        <v>0</v>
      </c>
      <c r="F52" s="16">
        <v>3</v>
      </c>
      <c r="G52" s="16">
        <v>3</v>
      </c>
    </row>
    <row r="53" spans="1:7" ht="15" thickBot="1" x14ac:dyDescent="0.35">
      <c r="A53" s="16">
        <v>52</v>
      </c>
      <c r="B53" s="16">
        <v>0.1061</v>
      </c>
      <c r="C53" s="16">
        <v>0.5</v>
      </c>
      <c r="D53" s="16">
        <v>0.3881</v>
      </c>
      <c r="E53" s="16">
        <v>0</v>
      </c>
      <c r="F53" s="16">
        <v>30</v>
      </c>
      <c r="G53" s="16">
        <v>30</v>
      </c>
    </row>
    <row r="54" spans="1:7" ht="15" thickBot="1" x14ac:dyDescent="0.35">
      <c r="A54" s="16">
        <v>53</v>
      </c>
      <c r="B54" s="16">
        <v>0.13639999999999999</v>
      </c>
      <c r="C54" s="16">
        <v>0.5</v>
      </c>
      <c r="D54" s="16">
        <v>0.19400000000000001</v>
      </c>
      <c r="E54" s="16">
        <v>1</v>
      </c>
      <c r="F54" s="16">
        <v>63</v>
      </c>
      <c r="G54" s="16">
        <v>64</v>
      </c>
    </row>
    <row r="55" spans="1:7" ht="15" thickBot="1" x14ac:dyDescent="0.35">
      <c r="A55" s="16">
        <v>54</v>
      </c>
      <c r="B55" s="16">
        <v>0.1212</v>
      </c>
      <c r="C55" s="16">
        <v>0.5</v>
      </c>
      <c r="D55" s="16">
        <v>0.28360000000000002</v>
      </c>
      <c r="E55" s="16">
        <v>1</v>
      </c>
      <c r="F55" s="16">
        <v>153</v>
      </c>
      <c r="G55" s="16">
        <v>154</v>
      </c>
    </row>
    <row r="56" spans="1:7" ht="15" thickBot="1" x14ac:dyDescent="0.35">
      <c r="A56" s="16">
        <v>55</v>
      </c>
      <c r="B56" s="16">
        <v>0.13639999999999999</v>
      </c>
      <c r="C56" s="16">
        <v>0.43</v>
      </c>
      <c r="D56" s="16">
        <v>0.3881</v>
      </c>
      <c r="E56" s="16">
        <v>7</v>
      </c>
      <c r="F56" s="16">
        <v>81</v>
      </c>
      <c r="G56" s="16">
        <v>88</v>
      </c>
    </row>
    <row r="57" spans="1:7" ht="15" thickBot="1" x14ac:dyDescent="0.35">
      <c r="A57" s="16">
        <v>56</v>
      </c>
      <c r="B57" s="16">
        <v>0.16669999999999999</v>
      </c>
      <c r="C57" s="16">
        <v>0.43</v>
      </c>
      <c r="D57" s="16">
        <v>0.25369999999999998</v>
      </c>
      <c r="E57" s="16">
        <v>11</v>
      </c>
      <c r="F57" s="16">
        <v>33</v>
      </c>
      <c r="G57" s="16">
        <v>44</v>
      </c>
    </row>
    <row r="58" spans="1:7" ht="15" thickBot="1" x14ac:dyDescent="0.35">
      <c r="A58" s="16">
        <v>57</v>
      </c>
      <c r="B58" s="16">
        <v>0.18179999999999999</v>
      </c>
      <c r="C58" s="16">
        <v>0.4</v>
      </c>
      <c r="D58" s="16">
        <v>0.32840000000000003</v>
      </c>
      <c r="E58" s="16">
        <v>10</v>
      </c>
      <c r="F58" s="16">
        <v>41</v>
      </c>
      <c r="G58" s="16">
        <v>51</v>
      </c>
    </row>
    <row r="59" spans="1:7" ht="15" thickBot="1" x14ac:dyDescent="0.35">
      <c r="A59" s="16">
        <v>58</v>
      </c>
      <c r="B59" s="16">
        <v>0.21210000000000001</v>
      </c>
      <c r="C59" s="16">
        <v>0.35</v>
      </c>
      <c r="D59" s="16">
        <v>0.29849999999999999</v>
      </c>
      <c r="E59" s="16">
        <v>13</v>
      </c>
      <c r="F59" s="16">
        <v>48</v>
      </c>
      <c r="G59" s="16">
        <v>61</v>
      </c>
    </row>
    <row r="60" spans="1:7" ht="15" thickBot="1" x14ac:dyDescent="0.35">
      <c r="A60" s="16">
        <v>59</v>
      </c>
      <c r="B60" s="4">
        <f>AVERAGE(B2:B59,B61:B66,B68:B70,B72:B611)</f>
        <v>0.19993489148580987</v>
      </c>
      <c r="C60" s="16">
        <v>0.35</v>
      </c>
      <c r="D60" s="16">
        <v>0.28360000000000002</v>
      </c>
      <c r="E60" s="16">
        <v>8</v>
      </c>
      <c r="F60" s="16">
        <v>53</v>
      </c>
      <c r="G60" s="16">
        <v>61</v>
      </c>
    </row>
    <row r="61" spans="1:7" ht="15" thickBot="1" x14ac:dyDescent="0.35">
      <c r="A61" s="16">
        <v>60</v>
      </c>
      <c r="B61" s="16">
        <v>0.2424</v>
      </c>
      <c r="C61" s="16">
        <v>0.3</v>
      </c>
      <c r="D61" s="16">
        <v>0.28360000000000002</v>
      </c>
      <c r="E61" s="16">
        <v>11</v>
      </c>
      <c r="F61" s="16">
        <v>66</v>
      </c>
      <c r="G61" s="16">
        <v>77</v>
      </c>
    </row>
    <row r="62" spans="1:7" ht="15" thickBot="1" x14ac:dyDescent="0.35">
      <c r="A62" s="16">
        <v>61</v>
      </c>
      <c r="B62" s="16">
        <v>0.2424</v>
      </c>
      <c r="C62" s="16">
        <v>0.3</v>
      </c>
      <c r="D62" s="16">
        <v>0.25369999999999998</v>
      </c>
      <c r="E62" s="16">
        <v>14</v>
      </c>
      <c r="F62" s="16">
        <v>58</v>
      </c>
      <c r="G62" s="16">
        <v>72</v>
      </c>
    </row>
    <row r="63" spans="1:7" ht="15" thickBot="1" x14ac:dyDescent="0.35">
      <c r="A63" s="16">
        <v>62</v>
      </c>
      <c r="B63" s="16">
        <v>0.2424</v>
      </c>
      <c r="C63" s="16">
        <v>0.3</v>
      </c>
      <c r="D63" s="16">
        <v>0.25369999999999998</v>
      </c>
      <c r="E63" s="16">
        <v>9</v>
      </c>
      <c r="F63" s="16">
        <v>67</v>
      </c>
      <c r="G63" s="16">
        <v>76</v>
      </c>
    </row>
    <row r="64" spans="1:7" ht="15" thickBot="1" x14ac:dyDescent="0.35">
      <c r="A64" s="16">
        <v>63</v>
      </c>
      <c r="B64" s="16">
        <v>0.2273</v>
      </c>
      <c r="C64" s="16">
        <v>0.3</v>
      </c>
      <c r="D64" s="16">
        <v>0.22389999999999999</v>
      </c>
      <c r="E64" s="16">
        <v>11</v>
      </c>
      <c r="F64" s="16">
        <v>146</v>
      </c>
      <c r="G64" s="16">
        <v>157</v>
      </c>
    </row>
    <row r="65" spans="1:7" ht="15" thickBot="1" x14ac:dyDescent="0.35">
      <c r="A65" s="16">
        <v>64</v>
      </c>
      <c r="B65" s="16">
        <v>0.2576</v>
      </c>
      <c r="C65" s="16">
        <v>0.32</v>
      </c>
      <c r="D65" s="16">
        <v>0.1045</v>
      </c>
      <c r="E65" s="16">
        <v>9</v>
      </c>
      <c r="F65" s="16">
        <v>148</v>
      </c>
      <c r="G65" s="16">
        <v>157</v>
      </c>
    </row>
    <row r="66" spans="1:7" ht="15" thickBot="1" x14ac:dyDescent="0.35">
      <c r="A66" s="16">
        <v>65</v>
      </c>
      <c r="B66" s="16">
        <v>0.2576</v>
      </c>
      <c r="C66" s="16">
        <v>0.47</v>
      </c>
      <c r="D66" s="16">
        <v>0</v>
      </c>
      <c r="E66" s="16">
        <v>8</v>
      </c>
      <c r="F66" s="16">
        <v>102</v>
      </c>
      <c r="G66" s="16">
        <v>110</v>
      </c>
    </row>
    <row r="67" spans="1:7" ht="15" thickBot="1" x14ac:dyDescent="0.35">
      <c r="A67" s="16">
        <v>66</v>
      </c>
      <c r="B67" s="4">
        <f>AVERAGE(B2:B66,B68:B70,B72:B611)</f>
        <v>0.19993489148580984</v>
      </c>
      <c r="C67" s="16">
        <v>0.47</v>
      </c>
      <c r="D67" s="16">
        <v>0.1045</v>
      </c>
      <c r="E67" s="16">
        <v>3</v>
      </c>
      <c r="F67" s="16">
        <v>49</v>
      </c>
      <c r="G67" s="16">
        <v>52</v>
      </c>
    </row>
    <row r="68" spans="1:7" ht="15" thickBot="1" x14ac:dyDescent="0.35">
      <c r="A68" s="16">
        <v>67</v>
      </c>
      <c r="B68" s="16">
        <v>0.19700000000000001</v>
      </c>
      <c r="C68" s="16">
        <v>0.64</v>
      </c>
      <c r="D68" s="16">
        <v>0.1343</v>
      </c>
      <c r="E68" s="16">
        <v>3</v>
      </c>
      <c r="F68" s="16">
        <v>49</v>
      </c>
      <c r="G68" s="16">
        <v>52</v>
      </c>
    </row>
    <row r="69" spans="1:7" ht="15" thickBot="1" x14ac:dyDescent="0.35">
      <c r="A69" s="16">
        <v>68</v>
      </c>
      <c r="B69" s="16">
        <v>0.1515</v>
      </c>
      <c r="C69" s="16">
        <v>0.69</v>
      </c>
      <c r="D69" s="16">
        <v>0.1343</v>
      </c>
      <c r="E69" s="16">
        <v>0</v>
      </c>
      <c r="F69" s="16">
        <v>20</v>
      </c>
      <c r="G69" s="16">
        <v>20</v>
      </c>
    </row>
    <row r="70" spans="1:7" ht="15" thickBot="1" x14ac:dyDescent="0.35">
      <c r="A70" s="16">
        <v>69</v>
      </c>
      <c r="B70" s="16">
        <v>0.21210000000000001</v>
      </c>
      <c r="C70" s="16">
        <v>0.55000000000000004</v>
      </c>
      <c r="D70" s="16">
        <v>0.1045</v>
      </c>
      <c r="E70" s="16">
        <v>1</v>
      </c>
      <c r="F70" s="16">
        <v>11</v>
      </c>
      <c r="G70" s="16">
        <v>12</v>
      </c>
    </row>
    <row r="71" spans="1:7" ht="15" thickBot="1" x14ac:dyDescent="0.35">
      <c r="A71" s="16">
        <v>70</v>
      </c>
      <c r="B71" s="4">
        <f>AVERAGE(B2:B70,B72:B611)</f>
        <v>0.19993489148580984</v>
      </c>
      <c r="C71" s="16">
        <v>0.55000000000000004</v>
      </c>
      <c r="D71" s="16">
        <v>0.1045</v>
      </c>
      <c r="E71" s="16">
        <v>0</v>
      </c>
      <c r="F71" s="16">
        <v>5</v>
      </c>
      <c r="G71" s="16">
        <v>5</v>
      </c>
    </row>
    <row r="72" spans="1:7" ht="15" thickBot="1" x14ac:dyDescent="0.35">
      <c r="A72" s="16">
        <v>71</v>
      </c>
      <c r="B72" s="16">
        <v>0.18179999999999999</v>
      </c>
      <c r="C72" s="16">
        <v>0.59</v>
      </c>
      <c r="D72" s="16">
        <v>0.1045</v>
      </c>
      <c r="E72" s="16">
        <v>0</v>
      </c>
      <c r="F72" s="16">
        <v>2</v>
      </c>
      <c r="G72" s="16">
        <v>2</v>
      </c>
    </row>
    <row r="73" spans="1:7" ht="15" thickBot="1" x14ac:dyDescent="0.35">
      <c r="A73" s="16">
        <v>72</v>
      </c>
      <c r="B73" s="16">
        <v>0.1515</v>
      </c>
      <c r="C73" s="16">
        <v>0.63</v>
      </c>
      <c r="D73" s="16">
        <v>0.1343</v>
      </c>
      <c r="E73" s="16">
        <v>0</v>
      </c>
      <c r="F73" s="16">
        <v>1</v>
      </c>
      <c r="G73" s="16">
        <v>1</v>
      </c>
    </row>
    <row r="74" spans="1:7" ht="15" thickBot="1" x14ac:dyDescent="0.35">
      <c r="A74" s="16">
        <v>73</v>
      </c>
      <c r="B74" s="16">
        <v>0.18179999999999999</v>
      </c>
      <c r="C74" s="16">
        <v>0.63</v>
      </c>
      <c r="D74" s="16">
        <v>8.9599999999999999E-2</v>
      </c>
      <c r="E74" s="16">
        <v>0</v>
      </c>
      <c r="F74" s="16">
        <v>2</v>
      </c>
      <c r="G74" s="16">
        <v>2</v>
      </c>
    </row>
    <row r="75" spans="1:7" ht="15" thickBot="1" x14ac:dyDescent="0.35">
      <c r="A75" s="16">
        <v>74</v>
      </c>
      <c r="B75" s="16">
        <v>0.1515</v>
      </c>
      <c r="C75" s="16">
        <v>0.68</v>
      </c>
      <c r="D75" s="16">
        <v>0.1045</v>
      </c>
      <c r="E75" s="16">
        <v>0</v>
      </c>
      <c r="F75" s="16">
        <v>4</v>
      </c>
      <c r="G75" s="16">
        <v>4</v>
      </c>
    </row>
    <row r="76" spans="1:7" ht="15" thickBot="1" x14ac:dyDescent="0.35">
      <c r="A76" s="16">
        <v>75</v>
      </c>
      <c r="B76" s="16">
        <v>0.1515</v>
      </c>
      <c r="C76" s="16">
        <v>0.74</v>
      </c>
      <c r="D76" s="16">
        <v>0.1045</v>
      </c>
      <c r="E76" s="16">
        <v>0</v>
      </c>
      <c r="F76" s="16">
        <v>36</v>
      </c>
      <c r="G76" s="16">
        <v>36</v>
      </c>
    </row>
    <row r="77" spans="1:7" ht="15" thickBot="1" x14ac:dyDescent="0.35">
      <c r="A77" s="16">
        <v>76</v>
      </c>
      <c r="B77" s="16">
        <v>0.1515</v>
      </c>
      <c r="C77" s="16">
        <v>0.74</v>
      </c>
      <c r="D77" s="16">
        <v>0.1343</v>
      </c>
      <c r="E77" s="16">
        <v>2</v>
      </c>
      <c r="F77" s="16">
        <v>92</v>
      </c>
      <c r="G77" s="16">
        <v>94</v>
      </c>
    </row>
    <row r="78" spans="1:7" ht="15" thickBot="1" x14ac:dyDescent="0.35">
      <c r="A78" s="16">
        <v>77</v>
      </c>
      <c r="B78" s="16">
        <v>0.1515</v>
      </c>
      <c r="C78" s="16">
        <v>0.69</v>
      </c>
      <c r="D78" s="16">
        <v>0.16420000000000001</v>
      </c>
      <c r="E78" s="16">
        <v>2</v>
      </c>
      <c r="F78" s="16">
        <v>177</v>
      </c>
      <c r="G78" s="16">
        <v>179</v>
      </c>
    </row>
    <row r="79" spans="1:7" ht="15" thickBot="1" x14ac:dyDescent="0.35">
      <c r="A79" s="16">
        <v>78</v>
      </c>
      <c r="B79" s="16">
        <v>0.1515</v>
      </c>
      <c r="C79" s="16">
        <v>0.64</v>
      </c>
      <c r="D79" s="16">
        <v>0.22389999999999999</v>
      </c>
      <c r="E79" s="16">
        <v>2</v>
      </c>
      <c r="F79" s="16">
        <v>98</v>
      </c>
      <c r="G79" s="16">
        <v>100</v>
      </c>
    </row>
    <row r="80" spans="1:7" ht="15" thickBot="1" x14ac:dyDescent="0.35">
      <c r="A80" s="16">
        <v>79</v>
      </c>
      <c r="B80" s="16">
        <v>0.13639999999999999</v>
      </c>
      <c r="C80" s="16">
        <v>0.69</v>
      </c>
      <c r="D80" s="16">
        <v>0.32840000000000003</v>
      </c>
      <c r="E80" s="16">
        <v>5</v>
      </c>
      <c r="F80" s="16">
        <v>37</v>
      </c>
      <c r="G80" s="16">
        <v>42</v>
      </c>
    </row>
    <row r="81" spans="1:7" ht="15" thickBot="1" x14ac:dyDescent="0.35">
      <c r="A81" s="16">
        <v>80</v>
      </c>
      <c r="B81" s="16">
        <v>0.21210000000000001</v>
      </c>
      <c r="C81" s="16">
        <v>0.51</v>
      </c>
      <c r="D81" s="16">
        <v>0.29849999999999999</v>
      </c>
      <c r="E81" s="16">
        <v>7</v>
      </c>
      <c r="F81" s="16">
        <v>50</v>
      </c>
      <c r="G81" s="16">
        <v>57</v>
      </c>
    </row>
    <row r="82" spans="1:7" ht="15" thickBot="1" x14ac:dyDescent="0.35">
      <c r="A82" s="16">
        <v>81</v>
      </c>
      <c r="B82" s="16">
        <v>0.2273</v>
      </c>
      <c r="C82" s="16">
        <v>0.51</v>
      </c>
      <c r="D82" s="16">
        <v>0.16420000000000001</v>
      </c>
      <c r="E82" s="16">
        <v>12</v>
      </c>
      <c r="F82" s="16">
        <v>66</v>
      </c>
      <c r="G82" s="16">
        <v>78</v>
      </c>
    </row>
    <row r="83" spans="1:7" ht="15" thickBot="1" x14ac:dyDescent="0.35">
      <c r="A83" s="16">
        <v>82</v>
      </c>
      <c r="B83" s="16">
        <v>0.2273</v>
      </c>
      <c r="C83" s="16">
        <v>0.56000000000000005</v>
      </c>
      <c r="D83" s="16">
        <v>0.19400000000000001</v>
      </c>
      <c r="E83" s="16">
        <v>18</v>
      </c>
      <c r="F83" s="16">
        <v>79</v>
      </c>
      <c r="G83" s="16">
        <v>97</v>
      </c>
    </row>
    <row r="84" spans="1:7" ht="15" thickBot="1" x14ac:dyDescent="0.35">
      <c r="A84" s="16">
        <v>83</v>
      </c>
      <c r="B84" s="16">
        <v>0.2576</v>
      </c>
      <c r="C84" s="16">
        <v>0.52</v>
      </c>
      <c r="D84" s="16">
        <v>0.22389999999999999</v>
      </c>
      <c r="E84" s="16">
        <v>9</v>
      </c>
      <c r="F84" s="16">
        <v>54</v>
      </c>
      <c r="G84" s="16">
        <v>63</v>
      </c>
    </row>
    <row r="85" spans="1:7" ht="15" thickBot="1" x14ac:dyDescent="0.35">
      <c r="A85" s="16">
        <v>84</v>
      </c>
      <c r="B85" s="16">
        <v>0.2727</v>
      </c>
      <c r="C85" s="16">
        <v>0.52</v>
      </c>
      <c r="D85" s="16">
        <v>0.25369999999999998</v>
      </c>
      <c r="E85" s="16">
        <v>17</v>
      </c>
      <c r="F85" s="16">
        <v>48</v>
      </c>
      <c r="G85" s="16">
        <v>65</v>
      </c>
    </row>
    <row r="86" spans="1:7" ht="15" thickBot="1" x14ac:dyDescent="0.35">
      <c r="A86" s="16">
        <v>85</v>
      </c>
      <c r="B86" s="16">
        <v>0.28789999999999999</v>
      </c>
      <c r="C86" s="16">
        <v>0.49</v>
      </c>
      <c r="D86" s="16">
        <v>0.25369999999999998</v>
      </c>
      <c r="E86" s="16">
        <v>15</v>
      </c>
      <c r="F86" s="16">
        <v>68</v>
      </c>
      <c r="G86" s="16">
        <v>83</v>
      </c>
    </row>
    <row r="87" spans="1:7" ht="15" thickBot="1" x14ac:dyDescent="0.35">
      <c r="A87" s="16">
        <v>86</v>
      </c>
      <c r="B87" s="16">
        <v>0.2727</v>
      </c>
      <c r="C87" s="16">
        <v>0.48</v>
      </c>
      <c r="D87" s="16">
        <v>0.22389999999999999</v>
      </c>
      <c r="E87" s="16">
        <v>10</v>
      </c>
      <c r="F87" s="16">
        <v>202</v>
      </c>
      <c r="G87" s="16">
        <v>212</v>
      </c>
    </row>
    <row r="88" spans="1:7" ht="15" thickBot="1" x14ac:dyDescent="0.35">
      <c r="A88" s="16">
        <v>87</v>
      </c>
      <c r="B88" s="16">
        <v>0.2576</v>
      </c>
      <c r="C88" s="16">
        <v>0.48</v>
      </c>
      <c r="D88" s="16">
        <v>0.19400000000000001</v>
      </c>
      <c r="E88" s="16">
        <v>3</v>
      </c>
      <c r="F88" s="16">
        <v>179</v>
      </c>
      <c r="G88" s="16">
        <v>182</v>
      </c>
    </row>
    <row r="89" spans="1:7" ht="15" thickBot="1" x14ac:dyDescent="0.35">
      <c r="A89" s="16">
        <v>88</v>
      </c>
      <c r="B89" s="16">
        <v>0.2576</v>
      </c>
      <c r="C89" s="16">
        <v>0.48</v>
      </c>
      <c r="D89" s="16">
        <v>0.1045</v>
      </c>
      <c r="E89" s="16">
        <v>2</v>
      </c>
      <c r="F89" s="16">
        <v>110</v>
      </c>
      <c r="G89" s="16">
        <v>112</v>
      </c>
    </row>
    <row r="90" spans="1:7" ht="15" thickBot="1" x14ac:dyDescent="0.35">
      <c r="A90" s="16">
        <v>89</v>
      </c>
      <c r="B90" s="16">
        <v>0.2576</v>
      </c>
      <c r="C90" s="16">
        <v>0.48</v>
      </c>
      <c r="D90" s="16">
        <v>0.1045</v>
      </c>
      <c r="E90" s="16">
        <v>1</v>
      </c>
      <c r="F90" s="16">
        <v>53</v>
      </c>
      <c r="G90" s="16">
        <v>54</v>
      </c>
    </row>
    <row r="91" spans="1:7" ht="15" thickBot="1" x14ac:dyDescent="0.35">
      <c r="A91" s="16">
        <v>90</v>
      </c>
      <c r="B91" s="16">
        <v>0.2727</v>
      </c>
      <c r="C91" s="16">
        <v>0.64</v>
      </c>
      <c r="D91" s="16">
        <v>0</v>
      </c>
      <c r="E91" s="16">
        <v>0</v>
      </c>
      <c r="F91" s="16">
        <v>48</v>
      </c>
      <c r="G91" s="16">
        <v>48</v>
      </c>
    </row>
    <row r="92" spans="1:7" ht="15" thickBot="1" x14ac:dyDescent="0.35">
      <c r="A92" s="16">
        <v>91</v>
      </c>
      <c r="B92" s="16">
        <v>0.2576</v>
      </c>
      <c r="C92" s="16">
        <v>0.64</v>
      </c>
      <c r="D92" s="16">
        <v>8.9599999999999999E-2</v>
      </c>
      <c r="E92" s="16">
        <v>1</v>
      </c>
      <c r="F92" s="16">
        <v>34</v>
      </c>
      <c r="G92" s="16">
        <v>35</v>
      </c>
    </row>
    <row r="93" spans="1:7" ht="15" thickBot="1" x14ac:dyDescent="0.35">
      <c r="A93" s="16">
        <v>92</v>
      </c>
      <c r="B93" s="16">
        <v>0.2273</v>
      </c>
      <c r="C93" s="16">
        <v>0.69</v>
      </c>
      <c r="D93" s="16">
        <v>8.9599999999999999E-2</v>
      </c>
      <c r="E93" s="16">
        <v>2</v>
      </c>
      <c r="F93" s="16">
        <v>9</v>
      </c>
      <c r="G93" s="16">
        <v>11</v>
      </c>
    </row>
    <row r="94" spans="1:7" ht="15" thickBot="1" x14ac:dyDescent="0.35">
      <c r="A94" s="16">
        <v>93</v>
      </c>
      <c r="B94" s="16">
        <v>0.2576</v>
      </c>
      <c r="C94" s="16">
        <v>0.64</v>
      </c>
      <c r="D94" s="16">
        <v>0</v>
      </c>
      <c r="E94" s="16">
        <v>0</v>
      </c>
      <c r="F94" s="16">
        <v>6</v>
      </c>
      <c r="G94" s="16">
        <v>6</v>
      </c>
    </row>
    <row r="95" spans="1:7" ht="15" thickBot="1" x14ac:dyDescent="0.35">
      <c r="A95" s="16">
        <v>94</v>
      </c>
      <c r="B95" s="16">
        <v>0.19700000000000001</v>
      </c>
      <c r="C95" s="16">
        <v>0.74</v>
      </c>
      <c r="D95" s="16">
        <v>8.9599999999999999E-2</v>
      </c>
      <c r="E95" s="16">
        <v>0</v>
      </c>
      <c r="F95" s="16">
        <v>6</v>
      </c>
      <c r="G95" s="16">
        <v>6</v>
      </c>
    </row>
    <row r="96" spans="1:7" ht="15" thickBot="1" x14ac:dyDescent="0.35">
      <c r="A96" s="16">
        <v>95</v>
      </c>
      <c r="B96" s="16">
        <v>0.19700000000000001</v>
      </c>
      <c r="C96" s="16">
        <v>0.74</v>
      </c>
      <c r="D96" s="16">
        <v>8.9599999999999999E-2</v>
      </c>
      <c r="E96" s="16">
        <v>0</v>
      </c>
      <c r="F96" s="16">
        <v>2</v>
      </c>
      <c r="G96" s="16">
        <v>2</v>
      </c>
    </row>
    <row r="97" spans="1:7" ht="15" thickBot="1" x14ac:dyDescent="0.35">
      <c r="A97" s="16">
        <v>96</v>
      </c>
      <c r="B97" s="16">
        <v>0.2273</v>
      </c>
      <c r="C97" s="16">
        <v>0.48</v>
      </c>
      <c r="D97" s="16">
        <v>0.22389999999999999</v>
      </c>
      <c r="E97" s="16">
        <v>0</v>
      </c>
      <c r="F97" s="16">
        <v>2</v>
      </c>
      <c r="G97" s="16">
        <v>2</v>
      </c>
    </row>
    <row r="98" spans="1:7" ht="15" thickBot="1" x14ac:dyDescent="0.35">
      <c r="A98" s="16">
        <v>97</v>
      </c>
      <c r="B98" s="16">
        <v>0.2273</v>
      </c>
      <c r="C98" s="16">
        <v>0.47</v>
      </c>
      <c r="D98" s="16">
        <v>0.16420000000000001</v>
      </c>
      <c r="E98" s="16">
        <v>0</v>
      </c>
      <c r="F98" s="16">
        <v>3</v>
      </c>
      <c r="G98" s="16">
        <v>3</v>
      </c>
    </row>
    <row r="99" spans="1:7" ht="15" thickBot="1" x14ac:dyDescent="0.35">
      <c r="A99" s="16">
        <v>98</v>
      </c>
      <c r="B99" s="16">
        <v>0.19700000000000001</v>
      </c>
      <c r="C99" s="16">
        <v>0.47</v>
      </c>
      <c r="D99" s="16">
        <v>0.22389999999999999</v>
      </c>
      <c r="E99" s="16">
        <v>0</v>
      </c>
      <c r="F99" s="16">
        <v>33</v>
      </c>
      <c r="G99" s="16">
        <v>33</v>
      </c>
    </row>
    <row r="100" spans="1:7" ht="15" thickBot="1" x14ac:dyDescent="0.35">
      <c r="A100" s="16">
        <v>99</v>
      </c>
      <c r="B100" s="16">
        <v>0.18179999999999999</v>
      </c>
      <c r="C100" s="16">
        <v>0.43</v>
      </c>
      <c r="D100" s="16">
        <v>0.19400000000000001</v>
      </c>
      <c r="E100" s="16">
        <v>1</v>
      </c>
      <c r="F100" s="16">
        <v>87</v>
      </c>
      <c r="G100" s="16">
        <v>88</v>
      </c>
    </row>
    <row r="101" spans="1:7" ht="15" thickBot="1" x14ac:dyDescent="0.35">
      <c r="A101" s="16">
        <v>100</v>
      </c>
      <c r="B101" s="16">
        <v>0.18179999999999999</v>
      </c>
      <c r="C101" s="16">
        <v>0.4</v>
      </c>
      <c r="D101" s="16">
        <v>0.29849999999999999</v>
      </c>
      <c r="E101" s="16">
        <v>3</v>
      </c>
      <c r="F101" s="16">
        <v>192</v>
      </c>
      <c r="G101" s="16">
        <v>195</v>
      </c>
    </row>
    <row r="102" spans="1:7" ht="15" thickBot="1" x14ac:dyDescent="0.35">
      <c r="A102" s="16">
        <v>101</v>
      </c>
      <c r="B102" s="16">
        <v>0.19700000000000001</v>
      </c>
      <c r="C102" s="16">
        <v>0.37</v>
      </c>
      <c r="D102" s="16">
        <v>0.32840000000000003</v>
      </c>
      <c r="E102" s="16">
        <v>6</v>
      </c>
      <c r="F102" s="16">
        <v>109</v>
      </c>
      <c r="G102" s="16">
        <v>115</v>
      </c>
    </row>
    <row r="103" spans="1:7" ht="15" thickBot="1" x14ac:dyDescent="0.35">
      <c r="A103" s="16">
        <v>102</v>
      </c>
      <c r="B103" s="16">
        <v>0.19700000000000001</v>
      </c>
      <c r="C103" s="16">
        <v>0.37</v>
      </c>
      <c r="D103" s="16">
        <v>0.32840000000000003</v>
      </c>
      <c r="E103" s="16">
        <v>4</v>
      </c>
      <c r="F103" s="16">
        <v>53</v>
      </c>
      <c r="G103" s="16">
        <v>57</v>
      </c>
    </row>
    <row r="104" spans="1:7" ht="15" thickBot="1" x14ac:dyDescent="0.35">
      <c r="A104" s="16">
        <v>103</v>
      </c>
      <c r="B104" s="16">
        <v>0.2273</v>
      </c>
      <c r="C104" s="16">
        <v>0.33</v>
      </c>
      <c r="D104" s="16">
        <v>0.32840000000000003</v>
      </c>
      <c r="E104" s="16">
        <v>12</v>
      </c>
      <c r="F104" s="16">
        <v>34</v>
      </c>
      <c r="G104" s="16">
        <v>46</v>
      </c>
    </row>
    <row r="105" spans="1:7" ht="15" thickBot="1" x14ac:dyDescent="0.35">
      <c r="A105" s="16">
        <v>104</v>
      </c>
      <c r="B105" s="16">
        <v>0.2273</v>
      </c>
      <c r="C105" s="16">
        <v>0.33</v>
      </c>
      <c r="D105" s="16">
        <v>0.32840000000000003</v>
      </c>
      <c r="E105" s="16">
        <v>5</v>
      </c>
      <c r="F105" s="16">
        <v>74</v>
      </c>
      <c r="G105" s="16">
        <v>79</v>
      </c>
    </row>
    <row r="106" spans="1:7" ht="15" thickBot="1" x14ac:dyDescent="0.35">
      <c r="A106" s="16">
        <v>105</v>
      </c>
      <c r="B106" s="16">
        <v>0.2576</v>
      </c>
      <c r="C106" s="16">
        <v>0.3</v>
      </c>
      <c r="D106" s="16">
        <v>0.29849999999999999</v>
      </c>
      <c r="E106" s="16">
        <v>6</v>
      </c>
      <c r="F106" s="16">
        <v>65</v>
      </c>
      <c r="G106" s="16">
        <v>71</v>
      </c>
    </row>
    <row r="107" spans="1:7" ht="15" thickBot="1" x14ac:dyDescent="0.35">
      <c r="A107" s="16">
        <v>106</v>
      </c>
      <c r="B107" s="16">
        <v>0.28789999999999999</v>
      </c>
      <c r="C107" s="16">
        <v>0.28000000000000003</v>
      </c>
      <c r="D107" s="16">
        <v>0.19400000000000001</v>
      </c>
      <c r="E107" s="16">
        <v>10</v>
      </c>
      <c r="F107" s="16">
        <v>52</v>
      </c>
      <c r="G107" s="16">
        <v>62</v>
      </c>
    </row>
    <row r="108" spans="1:7" ht="15" thickBot="1" x14ac:dyDescent="0.35">
      <c r="A108" s="16">
        <v>107</v>
      </c>
      <c r="B108" s="16">
        <v>0.28789999999999999</v>
      </c>
      <c r="C108" s="16">
        <v>0.28000000000000003</v>
      </c>
      <c r="D108" s="16">
        <v>0.19400000000000001</v>
      </c>
      <c r="E108" s="16">
        <v>7</v>
      </c>
      <c r="F108" s="16">
        <v>55</v>
      </c>
      <c r="G108" s="16">
        <v>62</v>
      </c>
    </row>
    <row r="109" spans="1:7" ht="15" thickBot="1" x14ac:dyDescent="0.35">
      <c r="A109" s="16">
        <v>108</v>
      </c>
      <c r="B109" s="16">
        <v>0.31819999999999998</v>
      </c>
      <c r="C109" s="16">
        <v>0.28000000000000003</v>
      </c>
      <c r="D109" s="16">
        <v>8.9599999999999999E-2</v>
      </c>
      <c r="E109" s="16">
        <v>4</v>
      </c>
      <c r="F109" s="16">
        <v>85</v>
      </c>
      <c r="G109" s="16">
        <v>89</v>
      </c>
    </row>
    <row r="110" spans="1:7" ht="15" thickBot="1" x14ac:dyDescent="0.35">
      <c r="A110" s="16">
        <v>109</v>
      </c>
      <c r="B110" s="16">
        <v>0.2273</v>
      </c>
      <c r="C110" s="16">
        <v>0.38</v>
      </c>
      <c r="D110" s="16">
        <v>0.19400000000000001</v>
      </c>
      <c r="E110" s="16">
        <v>4</v>
      </c>
      <c r="F110" s="16">
        <v>186</v>
      </c>
      <c r="G110" s="16">
        <v>190</v>
      </c>
    </row>
    <row r="111" spans="1:7" ht="15" thickBot="1" x14ac:dyDescent="0.35">
      <c r="A111" s="16">
        <v>110</v>
      </c>
      <c r="B111" s="16">
        <v>0.2424</v>
      </c>
      <c r="C111" s="16">
        <v>0.38</v>
      </c>
      <c r="D111" s="16">
        <v>0.1343</v>
      </c>
      <c r="E111" s="16">
        <v>3</v>
      </c>
      <c r="F111" s="16">
        <v>166</v>
      </c>
      <c r="G111" s="16">
        <v>169</v>
      </c>
    </row>
    <row r="112" spans="1:7" ht="15" thickBot="1" x14ac:dyDescent="0.35">
      <c r="A112" s="16">
        <v>111</v>
      </c>
      <c r="B112" s="16">
        <v>0.2576</v>
      </c>
      <c r="C112" s="16">
        <v>0.38</v>
      </c>
      <c r="D112" s="16">
        <v>0.1045</v>
      </c>
      <c r="E112" s="16">
        <v>5</v>
      </c>
      <c r="F112" s="16">
        <v>127</v>
      </c>
      <c r="G112" s="16">
        <v>132</v>
      </c>
    </row>
    <row r="113" spans="1:7" ht="15" thickBot="1" x14ac:dyDescent="0.35">
      <c r="A113" s="16">
        <v>112</v>
      </c>
      <c r="B113" s="16">
        <v>0.2273</v>
      </c>
      <c r="C113" s="16">
        <v>0.47</v>
      </c>
      <c r="D113" s="16">
        <v>0.16420000000000001</v>
      </c>
      <c r="E113" s="16">
        <v>7</v>
      </c>
      <c r="F113" s="16">
        <v>82</v>
      </c>
      <c r="G113" s="16">
        <v>89</v>
      </c>
    </row>
    <row r="114" spans="1:7" ht="15" thickBot="1" x14ac:dyDescent="0.35">
      <c r="A114" s="16">
        <v>113</v>
      </c>
      <c r="B114" s="16">
        <v>0.19700000000000001</v>
      </c>
      <c r="C114" s="16">
        <v>0.51</v>
      </c>
      <c r="D114" s="16">
        <v>0.19400000000000001</v>
      </c>
      <c r="E114" s="16">
        <v>3</v>
      </c>
      <c r="F114" s="16">
        <v>40</v>
      </c>
      <c r="G114" s="16">
        <v>43</v>
      </c>
    </row>
    <row r="115" spans="1:7" ht="15" thickBot="1" x14ac:dyDescent="0.35">
      <c r="A115" s="16">
        <v>114</v>
      </c>
      <c r="B115" s="16">
        <v>0.19700000000000001</v>
      </c>
      <c r="C115" s="16">
        <v>0.55000000000000004</v>
      </c>
      <c r="D115" s="16">
        <v>0.1343</v>
      </c>
      <c r="E115" s="16">
        <v>1</v>
      </c>
      <c r="F115" s="16">
        <v>41</v>
      </c>
      <c r="G115" s="16">
        <v>42</v>
      </c>
    </row>
    <row r="116" spans="1:7" ht="15" thickBot="1" x14ac:dyDescent="0.35">
      <c r="A116" s="16">
        <v>115</v>
      </c>
      <c r="B116" s="16">
        <v>0.2576</v>
      </c>
      <c r="C116" s="16">
        <v>0.47</v>
      </c>
      <c r="D116" s="16">
        <v>0</v>
      </c>
      <c r="E116" s="16">
        <v>1</v>
      </c>
      <c r="F116" s="16">
        <v>18</v>
      </c>
      <c r="G116" s="16">
        <v>19</v>
      </c>
    </row>
    <row r="117" spans="1:7" ht="15" thickBot="1" x14ac:dyDescent="0.35">
      <c r="A117" s="16">
        <v>116</v>
      </c>
      <c r="B117" s="16">
        <v>0.2424</v>
      </c>
      <c r="C117" s="16">
        <v>0.55000000000000004</v>
      </c>
      <c r="D117" s="16">
        <v>0</v>
      </c>
      <c r="E117" s="16">
        <v>0</v>
      </c>
      <c r="F117" s="16">
        <v>11</v>
      </c>
      <c r="G117" s="16">
        <v>11</v>
      </c>
    </row>
    <row r="118" spans="1:7" ht="15" thickBot="1" x14ac:dyDescent="0.35">
      <c r="A118" s="16">
        <v>117</v>
      </c>
      <c r="B118" s="16">
        <v>0.2273</v>
      </c>
      <c r="C118" s="16">
        <v>0.64</v>
      </c>
      <c r="D118" s="16">
        <v>0</v>
      </c>
      <c r="E118" s="16">
        <v>0</v>
      </c>
      <c r="F118" s="16">
        <v>4</v>
      </c>
      <c r="G118" s="16">
        <v>4</v>
      </c>
    </row>
    <row r="119" spans="1:7" ht="15" thickBot="1" x14ac:dyDescent="0.35">
      <c r="A119" s="16">
        <v>118</v>
      </c>
      <c r="B119" s="16">
        <v>0.2273</v>
      </c>
      <c r="C119" s="16">
        <v>0.64</v>
      </c>
      <c r="D119" s="16">
        <v>0</v>
      </c>
      <c r="E119" s="16">
        <v>0</v>
      </c>
      <c r="F119" s="16">
        <v>2</v>
      </c>
      <c r="G119" s="16">
        <v>2</v>
      </c>
    </row>
    <row r="120" spans="1:7" ht="15" thickBot="1" x14ac:dyDescent="0.35">
      <c r="A120" s="16">
        <v>119</v>
      </c>
      <c r="B120" s="16">
        <v>0.19700000000000001</v>
      </c>
      <c r="C120" s="16">
        <v>0.64</v>
      </c>
      <c r="D120" s="16">
        <v>8.9599999999999999E-2</v>
      </c>
      <c r="E120" s="16">
        <v>0</v>
      </c>
      <c r="F120" s="16">
        <v>1</v>
      </c>
      <c r="G120" s="16">
        <v>1</v>
      </c>
    </row>
    <row r="121" spans="1:7" ht="15" thickBot="1" x14ac:dyDescent="0.35">
      <c r="A121" s="16">
        <v>120</v>
      </c>
      <c r="B121" s="16">
        <v>0.18179999999999999</v>
      </c>
      <c r="C121" s="16">
        <v>0.69</v>
      </c>
      <c r="D121" s="16">
        <v>8.9599999999999999E-2</v>
      </c>
      <c r="E121" s="16">
        <v>0</v>
      </c>
      <c r="F121" s="16">
        <v>4</v>
      </c>
      <c r="G121" s="16">
        <v>4</v>
      </c>
    </row>
    <row r="122" spans="1:7" ht="15" thickBot="1" x14ac:dyDescent="0.35">
      <c r="A122" s="16">
        <v>121</v>
      </c>
      <c r="B122" s="16">
        <v>0.16669999999999999</v>
      </c>
      <c r="C122" s="16">
        <v>0.63</v>
      </c>
      <c r="D122" s="16">
        <v>0.1045</v>
      </c>
      <c r="E122" s="16">
        <v>0</v>
      </c>
      <c r="F122" s="16">
        <v>36</v>
      </c>
      <c r="G122" s="16">
        <v>36</v>
      </c>
    </row>
    <row r="123" spans="1:7" ht="15" thickBot="1" x14ac:dyDescent="0.35">
      <c r="A123" s="16">
        <v>122</v>
      </c>
      <c r="B123" s="16">
        <v>0.2273</v>
      </c>
      <c r="C123" s="16">
        <v>0.59</v>
      </c>
      <c r="D123" s="16">
        <v>0</v>
      </c>
      <c r="E123" s="16">
        <v>0</v>
      </c>
      <c r="F123" s="16">
        <v>95</v>
      </c>
      <c r="G123" s="16">
        <v>95</v>
      </c>
    </row>
    <row r="124" spans="1:7" ht="15" thickBot="1" x14ac:dyDescent="0.35">
      <c r="A124" s="16">
        <v>123</v>
      </c>
      <c r="B124" s="16">
        <v>0.2273</v>
      </c>
      <c r="C124" s="16">
        <v>0.59</v>
      </c>
      <c r="D124" s="16">
        <v>0</v>
      </c>
      <c r="E124" s="16">
        <v>3</v>
      </c>
      <c r="F124" s="16">
        <v>216</v>
      </c>
      <c r="G124" s="16">
        <v>219</v>
      </c>
    </row>
    <row r="125" spans="1:7" ht="15" thickBot="1" x14ac:dyDescent="0.35">
      <c r="A125" s="16">
        <v>124</v>
      </c>
      <c r="B125" s="16">
        <v>0.2424</v>
      </c>
      <c r="C125" s="16">
        <v>0.51</v>
      </c>
      <c r="D125" s="16">
        <v>0</v>
      </c>
      <c r="E125" s="16">
        <v>6</v>
      </c>
      <c r="F125" s="16">
        <v>116</v>
      </c>
      <c r="G125" s="16">
        <v>122</v>
      </c>
    </row>
    <row r="126" spans="1:7" ht="15" thickBot="1" x14ac:dyDescent="0.35">
      <c r="A126" s="16">
        <v>125</v>
      </c>
      <c r="B126" s="16">
        <v>0.2576</v>
      </c>
      <c r="C126" s="16">
        <v>0.47</v>
      </c>
      <c r="D126" s="16">
        <v>0</v>
      </c>
      <c r="E126" s="16">
        <v>3</v>
      </c>
      <c r="F126" s="16">
        <v>42</v>
      </c>
      <c r="G126" s="16">
        <v>45</v>
      </c>
    </row>
    <row r="127" spans="1:7" ht="15" thickBot="1" x14ac:dyDescent="0.35">
      <c r="A127" s="16">
        <v>126</v>
      </c>
      <c r="B127" s="16">
        <v>0.2576</v>
      </c>
      <c r="C127" s="16">
        <v>0.44</v>
      </c>
      <c r="D127" s="16">
        <v>8.9599999999999999E-2</v>
      </c>
      <c r="E127" s="16">
        <v>2</v>
      </c>
      <c r="F127" s="16">
        <v>57</v>
      </c>
      <c r="G127" s="16">
        <v>59</v>
      </c>
    </row>
    <row r="128" spans="1:7" ht="15" thickBot="1" x14ac:dyDescent="0.35">
      <c r="A128" s="16">
        <v>127</v>
      </c>
      <c r="B128" s="16">
        <v>0.28789999999999999</v>
      </c>
      <c r="C128" s="16">
        <v>0.35</v>
      </c>
      <c r="D128" s="16">
        <v>0</v>
      </c>
      <c r="E128" s="16">
        <v>6</v>
      </c>
      <c r="F128" s="16">
        <v>78</v>
      </c>
      <c r="G128" s="16">
        <v>84</v>
      </c>
    </row>
    <row r="129" spans="1:7" ht="15" thickBot="1" x14ac:dyDescent="0.35">
      <c r="A129" s="16">
        <v>128</v>
      </c>
      <c r="B129" s="16">
        <v>0.2727</v>
      </c>
      <c r="C129" s="16">
        <v>0.35</v>
      </c>
      <c r="D129" s="16">
        <v>0.1045</v>
      </c>
      <c r="E129" s="16">
        <v>12</v>
      </c>
      <c r="F129" s="16">
        <v>55</v>
      </c>
      <c r="G129" s="16">
        <v>67</v>
      </c>
    </row>
    <row r="130" spans="1:7" ht="15" thickBot="1" x14ac:dyDescent="0.35">
      <c r="A130" s="16">
        <v>129</v>
      </c>
      <c r="B130" s="16">
        <v>0.2727</v>
      </c>
      <c r="C130" s="16">
        <v>0.36</v>
      </c>
      <c r="D130" s="16">
        <v>0.16420000000000001</v>
      </c>
      <c r="E130" s="16">
        <v>11</v>
      </c>
      <c r="F130" s="16">
        <v>59</v>
      </c>
      <c r="G130" s="16">
        <v>70</v>
      </c>
    </row>
    <row r="131" spans="1:7" ht="15" thickBot="1" x14ac:dyDescent="0.35">
      <c r="A131" s="16">
        <v>130</v>
      </c>
      <c r="B131" s="16">
        <v>0.2727</v>
      </c>
      <c r="C131" s="16">
        <v>0.36</v>
      </c>
      <c r="D131" s="16">
        <v>0</v>
      </c>
      <c r="E131" s="16">
        <v>8</v>
      </c>
      <c r="F131" s="16">
        <v>54</v>
      </c>
      <c r="G131" s="16">
        <v>62</v>
      </c>
    </row>
    <row r="132" spans="1:7" ht="15" thickBot="1" x14ac:dyDescent="0.35">
      <c r="A132" s="16">
        <v>131</v>
      </c>
      <c r="B132" s="16">
        <v>0.2576</v>
      </c>
      <c r="C132" s="16">
        <v>0.38</v>
      </c>
      <c r="D132" s="16">
        <v>0.16420000000000001</v>
      </c>
      <c r="E132" s="16">
        <v>12</v>
      </c>
      <c r="F132" s="16">
        <v>74</v>
      </c>
      <c r="G132" s="16">
        <v>86</v>
      </c>
    </row>
    <row r="133" spans="1:7" ht="15" thickBot="1" x14ac:dyDescent="0.35">
      <c r="A133" s="16">
        <v>132</v>
      </c>
      <c r="B133" s="16">
        <v>0.2273</v>
      </c>
      <c r="C133" s="16">
        <v>0.51</v>
      </c>
      <c r="D133" s="16">
        <v>0.16420000000000001</v>
      </c>
      <c r="E133" s="16">
        <v>9</v>
      </c>
      <c r="F133" s="16">
        <v>163</v>
      </c>
      <c r="G133" s="16">
        <v>172</v>
      </c>
    </row>
    <row r="134" spans="1:7" ht="15" thickBot="1" x14ac:dyDescent="0.35">
      <c r="A134" s="16">
        <v>133</v>
      </c>
      <c r="B134" s="16">
        <v>0.2273</v>
      </c>
      <c r="C134" s="16">
        <v>0.51</v>
      </c>
      <c r="D134" s="16">
        <v>0.1343</v>
      </c>
      <c r="E134" s="16">
        <v>5</v>
      </c>
      <c r="F134" s="16">
        <v>158</v>
      </c>
      <c r="G134" s="16">
        <v>163</v>
      </c>
    </row>
    <row r="135" spans="1:7" ht="15" thickBot="1" x14ac:dyDescent="0.35">
      <c r="A135" s="16">
        <v>134</v>
      </c>
      <c r="B135" s="16">
        <v>0.2576</v>
      </c>
      <c r="C135" s="16">
        <v>0.55000000000000004</v>
      </c>
      <c r="D135" s="16">
        <v>8.9599999999999999E-2</v>
      </c>
      <c r="E135" s="16">
        <v>3</v>
      </c>
      <c r="F135" s="16">
        <v>109</v>
      </c>
      <c r="G135" s="16">
        <v>112</v>
      </c>
    </row>
    <row r="136" spans="1:7" ht="15" thickBot="1" x14ac:dyDescent="0.35">
      <c r="A136" s="16">
        <v>135</v>
      </c>
      <c r="B136" s="16">
        <v>0.21210000000000001</v>
      </c>
      <c r="C136" s="16">
        <v>0.51</v>
      </c>
      <c r="D136" s="16">
        <v>0.16420000000000001</v>
      </c>
      <c r="E136" s="16">
        <v>3</v>
      </c>
      <c r="F136" s="16">
        <v>66</v>
      </c>
      <c r="G136" s="16">
        <v>69</v>
      </c>
    </row>
    <row r="137" spans="1:7" ht="15" thickBot="1" x14ac:dyDescent="0.35">
      <c r="A137" s="16">
        <v>136</v>
      </c>
      <c r="B137" s="16">
        <v>0.21210000000000001</v>
      </c>
      <c r="C137" s="16">
        <v>0.55000000000000004</v>
      </c>
      <c r="D137" s="16">
        <v>0.22389999999999999</v>
      </c>
      <c r="E137" s="16">
        <v>0</v>
      </c>
      <c r="F137" s="16">
        <v>48</v>
      </c>
      <c r="G137" s="16">
        <v>48</v>
      </c>
    </row>
    <row r="138" spans="1:7" ht="15" thickBot="1" x14ac:dyDescent="0.35">
      <c r="A138" s="16">
        <v>137</v>
      </c>
      <c r="B138" s="16">
        <v>0.21210000000000001</v>
      </c>
      <c r="C138" s="16">
        <v>0.51</v>
      </c>
      <c r="D138" s="16">
        <v>0.28360000000000002</v>
      </c>
      <c r="E138" s="16">
        <v>1</v>
      </c>
      <c r="F138" s="16">
        <v>51</v>
      </c>
      <c r="G138" s="16">
        <v>52</v>
      </c>
    </row>
    <row r="139" spans="1:7" ht="15" thickBot="1" x14ac:dyDescent="0.35">
      <c r="A139" s="16">
        <v>138</v>
      </c>
      <c r="B139" s="16">
        <v>0.19700000000000001</v>
      </c>
      <c r="C139" s="16">
        <v>0.59</v>
      </c>
      <c r="D139" s="16">
        <v>0.19400000000000001</v>
      </c>
      <c r="E139" s="16">
        <v>4</v>
      </c>
      <c r="F139" s="16">
        <v>19</v>
      </c>
      <c r="G139" s="16">
        <v>23</v>
      </c>
    </row>
    <row r="140" spans="1:7" ht="15" thickBot="1" x14ac:dyDescent="0.35">
      <c r="A140" s="16">
        <v>139</v>
      </c>
      <c r="B140" s="16">
        <v>0.19700000000000001</v>
      </c>
      <c r="C140" s="16">
        <v>0.64</v>
      </c>
      <c r="D140" s="16">
        <v>0.19400000000000001</v>
      </c>
      <c r="E140" s="16">
        <v>4</v>
      </c>
      <c r="F140" s="16">
        <v>13</v>
      </c>
      <c r="G140" s="16">
        <v>17</v>
      </c>
    </row>
    <row r="141" spans="1:7" ht="15" thickBot="1" x14ac:dyDescent="0.35">
      <c r="A141" s="16">
        <v>140</v>
      </c>
      <c r="B141" s="16">
        <v>0.19700000000000001</v>
      </c>
      <c r="C141" s="16">
        <v>0.69</v>
      </c>
      <c r="D141" s="16">
        <v>0.22389999999999999</v>
      </c>
      <c r="E141" s="16">
        <v>2</v>
      </c>
      <c r="F141" s="16">
        <v>5</v>
      </c>
      <c r="G141" s="16">
        <v>7</v>
      </c>
    </row>
    <row r="142" spans="1:7" ht="15" thickBot="1" x14ac:dyDescent="0.35">
      <c r="A142" s="16">
        <v>141</v>
      </c>
      <c r="B142" s="16">
        <v>0.19700000000000001</v>
      </c>
      <c r="C142" s="16">
        <v>0.69</v>
      </c>
      <c r="D142" s="16">
        <v>0.22389999999999999</v>
      </c>
      <c r="E142" s="16">
        <v>0</v>
      </c>
      <c r="F142" s="16">
        <v>1</v>
      </c>
      <c r="G142" s="16">
        <v>1</v>
      </c>
    </row>
    <row r="143" spans="1:7" ht="15" thickBot="1" x14ac:dyDescent="0.35">
      <c r="A143" s="16">
        <v>142</v>
      </c>
      <c r="B143" s="16">
        <v>0.21210000000000001</v>
      </c>
      <c r="C143" s="16">
        <v>0.69</v>
      </c>
      <c r="D143" s="16">
        <v>0.1343</v>
      </c>
      <c r="E143" s="16">
        <v>0</v>
      </c>
      <c r="F143" s="16">
        <v>1</v>
      </c>
      <c r="G143" s="16">
        <v>1</v>
      </c>
    </row>
    <row r="144" spans="1:7" ht="15" thickBot="1" x14ac:dyDescent="0.35">
      <c r="A144" s="16">
        <v>143</v>
      </c>
      <c r="B144" s="16">
        <v>0.2727</v>
      </c>
      <c r="C144" s="16">
        <v>0.55000000000000004</v>
      </c>
      <c r="D144" s="16">
        <v>0</v>
      </c>
      <c r="E144" s="16">
        <v>0</v>
      </c>
      <c r="F144" s="16">
        <v>5</v>
      </c>
      <c r="G144" s="16">
        <v>5</v>
      </c>
    </row>
    <row r="145" spans="1:7" ht="15" thickBot="1" x14ac:dyDescent="0.35">
      <c r="A145" s="16">
        <v>144</v>
      </c>
      <c r="B145" s="16">
        <v>0.2576</v>
      </c>
      <c r="C145" s="16">
        <v>0.69</v>
      </c>
      <c r="D145" s="16">
        <v>0</v>
      </c>
      <c r="E145" s="16">
        <v>8</v>
      </c>
      <c r="F145" s="16">
        <v>26</v>
      </c>
      <c r="G145" s="16">
        <v>34</v>
      </c>
    </row>
    <row r="146" spans="1:7" ht="15" thickBot="1" x14ac:dyDescent="0.35">
      <c r="A146" s="16">
        <v>145</v>
      </c>
      <c r="B146" s="16">
        <v>0.21210000000000001</v>
      </c>
      <c r="C146" s="16">
        <v>0.69</v>
      </c>
      <c r="D146" s="16">
        <v>0.1343</v>
      </c>
      <c r="E146" s="16">
        <v>8</v>
      </c>
      <c r="F146" s="16">
        <v>76</v>
      </c>
      <c r="G146" s="16">
        <v>84</v>
      </c>
    </row>
    <row r="147" spans="1:7" ht="15" thickBot="1" x14ac:dyDescent="0.35">
      <c r="A147" s="16">
        <v>146</v>
      </c>
      <c r="B147" s="16">
        <v>0.19700000000000001</v>
      </c>
      <c r="C147" s="16">
        <v>0.51</v>
      </c>
      <c r="D147" s="16">
        <v>0.25369999999999998</v>
      </c>
      <c r="E147" s="16">
        <v>20</v>
      </c>
      <c r="F147" s="16">
        <v>190</v>
      </c>
      <c r="G147" s="16">
        <v>210</v>
      </c>
    </row>
    <row r="148" spans="1:7" ht="15" thickBot="1" x14ac:dyDescent="0.35">
      <c r="A148" s="16">
        <v>147</v>
      </c>
      <c r="B148" s="16">
        <v>0.18179999999999999</v>
      </c>
      <c r="C148" s="16">
        <v>0.47</v>
      </c>
      <c r="D148" s="16">
        <v>0.29849999999999999</v>
      </c>
      <c r="E148" s="16">
        <v>9</v>
      </c>
      <c r="F148" s="16">
        <v>125</v>
      </c>
      <c r="G148" s="16">
        <v>134</v>
      </c>
    </row>
    <row r="149" spans="1:7" ht="15" thickBot="1" x14ac:dyDescent="0.35">
      <c r="A149" s="16">
        <v>148</v>
      </c>
      <c r="B149" s="16">
        <v>0.19700000000000001</v>
      </c>
      <c r="C149" s="16">
        <v>0.37</v>
      </c>
      <c r="D149" s="16">
        <v>0.32840000000000003</v>
      </c>
      <c r="E149" s="16">
        <v>16</v>
      </c>
      <c r="F149" s="16">
        <v>47</v>
      </c>
      <c r="G149" s="16">
        <v>63</v>
      </c>
    </row>
    <row r="150" spans="1:7" ht="15" thickBot="1" x14ac:dyDescent="0.35">
      <c r="A150" s="16">
        <v>149</v>
      </c>
      <c r="B150" s="16">
        <v>0.19700000000000001</v>
      </c>
      <c r="C150" s="16">
        <v>0.4</v>
      </c>
      <c r="D150" s="16">
        <v>0.22389999999999999</v>
      </c>
      <c r="E150" s="16">
        <v>19</v>
      </c>
      <c r="F150" s="16">
        <v>48</v>
      </c>
      <c r="G150" s="16">
        <v>67</v>
      </c>
    </row>
    <row r="151" spans="1:7" ht="15" thickBot="1" x14ac:dyDescent="0.35">
      <c r="A151" s="16">
        <v>150</v>
      </c>
      <c r="B151" s="16">
        <v>0.19700000000000001</v>
      </c>
      <c r="C151" s="16">
        <v>0.37</v>
      </c>
      <c r="D151" s="16">
        <v>0.25369999999999998</v>
      </c>
      <c r="E151" s="16">
        <v>9</v>
      </c>
      <c r="F151" s="16">
        <v>50</v>
      </c>
      <c r="G151" s="16">
        <v>59</v>
      </c>
    </row>
    <row r="152" spans="1:7" ht="15" thickBot="1" x14ac:dyDescent="0.35">
      <c r="A152" s="16">
        <v>151</v>
      </c>
      <c r="B152" s="16">
        <v>0.18179999999999999</v>
      </c>
      <c r="C152" s="16">
        <v>0.37</v>
      </c>
      <c r="D152" s="16">
        <v>0.28360000000000002</v>
      </c>
      <c r="E152" s="16">
        <v>9</v>
      </c>
      <c r="F152" s="16">
        <v>64</v>
      </c>
      <c r="G152" s="16">
        <v>73</v>
      </c>
    </row>
    <row r="153" spans="1:7" ht="15" thickBot="1" x14ac:dyDescent="0.35">
      <c r="A153" s="16">
        <v>152</v>
      </c>
      <c r="B153" s="16">
        <v>0.19700000000000001</v>
      </c>
      <c r="C153" s="16">
        <v>0.4</v>
      </c>
      <c r="D153" s="16">
        <v>0.25369999999999998</v>
      </c>
      <c r="E153" s="16">
        <v>7</v>
      </c>
      <c r="F153" s="16">
        <v>43</v>
      </c>
      <c r="G153" s="16">
        <v>50</v>
      </c>
    </row>
    <row r="154" spans="1:7" ht="15" thickBot="1" x14ac:dyDescent="0.35">
      <c r="A154" s="16">
        <v>153</v>
      </c>
      <c r="B154" s="16">
        <v>0.21210000000000001</v>
      </c>
      <c r="C154" s="16">
        <v>0.37</v>
      </c>
      <c r="D154" s="16">
        <v>0.16420000000000001</v>
      </c>
      <c r="E154" s="16">
        <v>9</v>
      </c>
      <c r="F154" s="16">
        <v>63</v>
      </c>
      <c r="G154" s="16">
        <v>72</v>
      </c>
    </row>
    <row r="155" spans="1:7" ht="15" thickBot="1" x14ac:dyDescent="0.35">
      <c r="A155" s="16">
        <v>154</v>
      </c>
      <c r="B155" s="16">
        <v>0.21210000000000001</v>
      </c>
      <c r="C155" s="16">
        <v>0.37</v>
      </c>
      <c r="D155" s="16">
        <v>0.16420000000000001</v>
      </c>
      <c r="E155" s="16">
        <v>5</v>
      </c>
      <c r="F155" s="16">
        <v>82</v>
      </c>
      <c r="G155" s="16">
        <v>87</v>
      </c>
    </row>
    <row r="156" spans="1:7" ht="15" thickBot="1" x14ac:dyDescent="0.35">
      <c r="A156" s="16">
        <v>155</v>
      </c>
      <c r="B156" s="16">
        <v>0.2576</v>
      </c>
      <c r="C156" s="16">
        <v>0.37</v>
      </c>
      <c r="D156" s="16">
        <v>0</v>
      </c>
      <c r="E156" s="16">
        <v>9</v>
      </c>
      <c r="F156" s="16">
        <v>178</v>
      </c>
      <c r="G156" s="16">
        <v>187</v>
      </c>
    </row>
    <row r="157" spans="1:7" ht="15" thickBot="1" x14ac:dyDescent="0.35">
      <c r="A157" s="16">
        <v>156</v>
      </c>
      <c r="B157" s="16">
        <v>0.2273</v>
      </c>
      <c r="C157" s="16">
        <v>0.4</v>
      </c>
      <c r="D157" s="16">
        <v>8.9599999999999999E-2</v>
      </c>
      <c r="E157" s="16">
        <v>7</v>
      </c>
      <c r="F157" s="16">
        <v>116</v>
      </c>
      <c r="G157" s="16">
        <v>123</v>
      </c>
    </row>
    <row r="158" spans="1:7" ht="15" thickBot="1" x14ac:dyDescent="0.35">
      <c r="A158" s="16">
        <v>157</v>
      </c>
      <c r="B158" s="16">
        <v>0.19700000000000001</v>
      </c>
      <c r="C158" s="16">
        <v>0.55000000000000004</v>
      </c>
      <c r="D158" s="16">
        <v>8.9599999999999999E-2</v>
      </c>
      <c r="E158" s="16">
        <v>3</v>
      </c>
      <c r="F158" s="16">
        <v>92</v>
      </c>
      <c r="G158" s="16">
        <v>95</v>
      </c>
    </row>
    <row r="159" spans="1:7" ht="15" thickBot="1" x14ac:dyDescent="0.35">
      <c r="A159" s="16">
        <v>158</v>
      </c>
      <c r="B159" s="16">
        <v>0.21210000000000001</v>
      </c>
      <c r="C159" s="16">
        <v>0.47</v>
      </c>
      <c r="D159" s="16">
        <v>0.1045</v>
      </c>
      <c r="E159" s="16">
        <v>1</v>
      </c>
      <c r="F159" s="16">
        <v>50</v>
      </c>
      <c r="G159" s="16">
        <v>51</v>
      </c>
    </row>
    <row r="160" spans="1:7" ht="15" thickBot="1" x14ac:dyDescent="0.35">
      <c r="A160" s="16">
        <v>159</v>
      </c>
      <c r="B160" s="16">
        <v>0.19700000000000001</v>
      </c>
      <c r="C160" s="16">
        <v>0.47</v>
      </c>
      <c r="D160" s="16">
        <v>0.1343</v>
      </c>
      <c r="E160" s="16">
        <v>0</v>
      </c>
      <c r="F160" s="16">
        <v>39</v>
      </c>
      <c r="G160" s="16">
        <v>39</v>
      </c>
    </row>
    <row r="161" spans="1:7" ht="15" thickBot="1" x14ac:dyDescent="0.35">
      <c r="A161" s="16">
        <v>160</v>
      </c>
      <c r="B161" s="16">
        <v>0.19700000000000001</v>
      </c>
      <c r="C161" s="16">
        <v>0.43</v>
      </c>
      <c r="D161" s="16">
        <v>0.16420000000000001</v>
      </c>
      <c r="E161" s="16">
        <v>2</v>
      </c>
      <c r="F161" s="16">
        <v>34</v>
      </c>
      <c r="G161" s="16">
        <v>36</v>
      </c>
    </row>
    <row r="162" spans="1:7" ht="15" thickBot="1" x14ac:dyDescent="0.35">
      <c r="A162" s="16">
        <v>161</v>
      </c>
      <c r="B162" s="16">
        <v>0.19700000000000001</v>
      </c>
      <c r="C162" s="16">
        <v>0.51</v>
      </c>
      <c r="D162" s="16">
        <v>0.16420000000000001</v>
      </c>
      <c r="E162" s="16">
        <v>1</v>
      </c>
      <c r="F162" s="16">
        <v>14</v>
      </c>
      <c r="G162" s="16">
        <v>15</v>
      </c>
    </row>
    <row r="163" spans="1:7" ht="15" thickBot="1" x14ac:dyDescent="0.35">
      <c r="A163" s="16">
        <v>162</v>
      </c>
      <c r="B163" s="16">
        <v>0.19700000000000001</v>
      </c>
      <c r="C163" s="16">
        <v>0.51</v>
      </c>
      <c r="D163" s="16">
        <v>0.16420000000000001</v>
      </c>
      <c r="E163" s="16">
        <v>1</v>
      </c>
      <c r="F163" s="16">
        <v>24</v>
      </c>
      <c r="G163" s="16">
        <v>25</v>
      </c>
    </row>
    <row r="164" spans="1:7" ht="15" thickBot="1" x14ac:dyDescent="0.35">
      <c r="A164" s="16">
        <v>163</v>
      </c>
      <c r="B164" s="16">
        <v>0.21210000000000001</v>
      </c>
      <c r="C164" s="16">
        <v>0.55000000000000004</v>
      </c>
      <c r="D164" s="16">
        <v>8.9599999999999999E-2</v>
      </c>
      <c r="E164" s="16">
        <v>1</v>
      </c>
      <c r="F164" s="16">
        <v>15</v>
      </c>
      <c r="G164" s="16">
        <v>16</v>
      </c>
    </row>
    <row r="165" spans="1:7" ht="15" thickBot="1" x14ac:dyDescent="0.35">
      <c r="A165" s="16">
        <v>164</v>
      </c>
      <c r="B165" s="16">
        <v>0.2424</v>
      </c>
      <c r="C165" s="16">
        <v>0.55000000000000004</v>
      </c>
      <c r="D165" s="16">
        <v>0</v>
      </c>
      <c r="E165" s="16">
        <v>3</v>
      </c>
      <c r="F165" s="16">
        <v>13</v>
      </c>
      <c r="G165" s="16">
        <v>16</v>
      </c>
    </row>
    <row r="166" spans="1:7" ht="15" thickBot="1" x14ac:dyDescent="0.35">
      <c r="A166" s="16">
        <v>165</v>
      </c>
      <c r="B166" s="16">
        <v>0.19700000000000001</v>
      </c>
      <c r="C166" s="16">
        <v>0.55000000000000004</v>
      </c>
      <c r="D166" s="16">
        <v>0.16420000000000001</v>
      </c>
      <c r="E166" s="16">
        <v>0</v>
      </c>
      <c r="F166" s="16">
        <v>7</v>
      </c>
      <c r="G166" s="16">
        <v>7</v>
      </c>
    </row>
    <row r="167" spans="1:7" ht="15" thickBot="1" x14ac:dyDescent="0.35">
      <c r="A167" s="16">
        <v>166</v>
      </c>
      <c r="B167" s="16">
        <v>0.19700000000000001</v>
      </c>
      <c r="C167" s="16">
        <v>0.55000000000000004</v>
      </c>
      <c r="D167" s="16">
        <v>0.16420000000000001</v>
      </c>
      <c r="E167" s="16">
        <v>0</v>
      </c>
      <c r="F167" s="16">
        <v>1</v>
      </c>
      <c r="G167" s="16">
        <v>1</v>
      </c>
    </row>
    <row r="168" spans="1:7" ht="15" thickBot="1" x14ac:dyDescent="0.35">
      <c r="A168" s="16">
        <v>167</v>
      </c>
      <c r="B168" s="16">
        <v>0.16669999999999999</v>
      </c>
      <c r="C168" s="16">
        <v>0.74</v>
      </c>
      <c r="D168" s="16">
        <v>0.16420000000000001</v>
      </c>
      <c r="E168" s="16">
        <v>0</v>
      </c>
      <c r="F168" s="16">
        <v>5</v>
      </c>
      <c r="G168" s="16">
        <v>5</v>
      </c>
    </row>
    <row r="169" spans="1:7" ht="15" thickBot="1" x14ac:dyDescent="0.35">
      <c r="A169" s="16">
        <v>168</v>
      </c>
      <c r="B169" s="16">
        <v>0.16669999999999999</v>
      </c>
      <c r="C169" s="16">
        <v>0.74</v>
      </c>
      <c r="D169" s="16">
        <v>0.16420000000000001</v>
      </c>
      <c r="E169" s="16">
        <v>0</v>
      </c>
      <c r="F169" s="16">
        <v>2</v>
      </c>
      <c r="G169" s="16">
        <v>2</v>
      </c>
    </row>
    <row r="170" spans="1:7" ht="15" thickBot="1" x14ac:dyDescent="0.35">
      <c r="A170" s="16">
        <v>169</v>
      </c>
      <c r="B170" s="16">
        <v>0.18179999999999999</v>
      </c>
      <c r="C170" s="16">
        <v>0.74</v>
      </c>
      <c r="D170" s="16">
        <v>0.1045</v>
      </c>
      <c r="E170" s="16">
        <v>1</v>
      </c>
      <c r="F170" s="16">
        <v>8</v>
      </c>
      <c r="G170" s="16">
        <v>9</v>
      </c>
    </row>
    <row r="171" spans="1:7" ht="15" thickBot="1" x14ac:dyDescent="0.35">
      <c r="A171" s="16">
        <v>170</v>
      </c>
      <c r="B171" s="16">
        <v>0.18179999999999999</v>
      </c>
      <c r="C171" s="16">
        <v>0.93</v>
      </c>
      <c r="D171" s="16">
        <v>0.1045</v>
      </c>
      <c r="E171" s="16">
        <v>0</v>
      </c>
      <c r="F171" s="16">
        <v>15</v>
      </c>
      <c r="G171" s="16">
        <v>15</v>
      </c>
    </row>
    <row r="172" spans="1:7" ht="15" thickBot="1" x14ac:dyDescent="0.35">
      <c r="A172" s="16">
        <v>171</v>
      </c>
      <c r="B172" s="16">
        <v>0.18179999999999999</v>
      </c>
      <c r="C172" s="16">
        <v>0.93</v>
      </c>
      <c r="D172" s="16">
        <v>0.1045</v>
      </c>
      <c r="E172" s="16">
        <v>0</v>
      </c>
      <c r="F172" s="16">
        <v>20</v>
      </c>
      <c r="G172" s="16">
        <v>20</v>
      </c>
    </row>
    <row r="173" spans="1:7" ht="15" thickBot="1" x14ac:dyDescent="0.35">
      <c r="A173" s="16">
        <v>172</v>
      </c>
      <c r="B173" s="16">
        <v>0.19700000000000001</v>
      </c>
      <c r="C173" s="16">
        <v>0.8</v>
      </c>
      <c r="D173" s="16">
        <v>0.16420000000000001</v>
      </c>
      <c r="E173" s="16">
        <v>5</v>
      </c>
      <c r="F173" s="16">
        <v>56</v>
      </c>
      <c r="G173" s="16">
        <v>61</v>
      </c>
    </row>
    <row r="174" spans="1:7" ht="15" thickBot="1" x14ac:dyDescent="0.35">
      <c r="A174" s="16">
        <v>173</v>
      </c>
      <c r="B174" s="16">
        <v>0.18179999999999999</v>
      </c>
      <c r="C174" s="16">
        <v>0.69</v>
      </c>
      <c r="D174" s="16">
        <v>0.3881</v>
      </c>
      <c r="E174" s="16">
        <v>2</v>
      </c>
      <c r="F174" s="16">
        <v>60</v>
      </c>
      <c r="G174" s="16">
        <v>62</v>
      </c>
    </row>
    <row r="175" spans="1:7" ht="15" thickBot="1" x14ac:dyDescent="0.35">
      <c r="A175" s="16">
        <v>174</v>
      </c>
      <c r="B175" s="16">
        <v>0.18179999999999999</v>
      </c>
      <c r="C175" s="16">
        <v>0.59</v>
      </c>
      <c r="D175" s="16">
        <v>0.35820000000000002</v>
      </c>
      <c r="E175" s="16">
        <v>8</v>
      </c>
      <c r="F175" s="16">
        <v>90</v>
      </c>
      <c r="G175" s="16">
        <v>98</v>
      </c>
    </row>
    <row r="176" spans="1:7" ht="15" thickBot="1" x14ac:dyDescent="0.35">
      <c r="A176" s="16">
        <v>175</v>
      </c>
      <c r="B176" s="16">
        <v>0.18179999999999999</v>
      </c>
      <c r="C176" s="16">
        <v>0.44</v>
      </c>
      <c r="D176" s="16">
        <v>0.32840000000000003</v>
      </c>
      <c r="E176" s="16">
        <v>7</v>
      </c>
      <c r="F176" s="16">
        <v>95</v>
      </c>
      <c r="G176" s="16">
        <v>102</v>
      </c>
    </row>
    <row r="177" spans="1:7" ht="15" thickBot="1" x14ac:dyDescent="0.35">
      <c r="A177" s="16">
        <v>176</v>
      </c>
      <c r="B177" s="16">
        <v>0.16669999999999999</v>
      </c>
      <c r="C177" s="16">
        <v>0.32</v>
      </c>
      <c r="D177" s="16">
        <v>0.49249999999999999</v>
      </c>
      <c r="E177" s="16">
        <v>12</v>
      </c>
      <c r="F177" s="16">
        <v>83</v>
      </c>
      <c r="G177" s="16">
        <v>95</v>
      </c>
    </row>
    <row r="178" spans="1:7" ht="15" thickBot="1" x14ac:dyDescent="0.35">
      <c r="A178" s="16">
        <v>177</v>
      </c>
      <c r="B178" s="16">
        <v>0.16669999999999999</v>
      </c>
      <c r="C178" s="16">
        <v>0.32</v>
      </c>
      <c r="D178" s="16">
        <v>0.44779999999999998</v>
      </c>
      <c r="E178" s="16">
        <v>5</v>
      </c>
      <c r="F178" s="16">
        <v>69</v>
      </c>
      <c r="G178" s="16">
        <v>74</v>
      </c>
    </row>
    <row r="179" spans="1:7" ht="15" thickBot="1" x14ac:dyDescent="0.35">
      <c r="A179" s="16">
        <v>178</v>
      </c>
      <c r="B179" s="16">
        <v>0.13639999999999999</v>
      </c>
      <c r="C179" s="16">
        <v>0.28999999999999998</v>
      </c>
      <c r="D179" s="16">
        <v>0.44779999999999998</v>
      </c>
      <c r="E179" s="16">
        <v>8</v>
      </c>
      <c r="F179" s="16">
        <v>68</v>
      </c>
      <c r="G179" s="16">
        <v>76</v>
      </c>
    </row>
    <row r="180" spans="1:7" ht="15" thickBot="1" x14ac:dyDescent="0.35">
      <c r="A180" s="16">
        <v>179</v>
      </c>
      <c r="B180" s="16">
        <v>0.1212</v>
      </c>
      <c r="C180" s="16">
        <v>0.37</v>
      </c>
      <c r="D180" s="16">
        <v>0.55220000000000002</v>
      </c>
      <c r="E180" s="16">
        <v>5</v>
      </c>
      <c r="F180" s="16">
        <v>64</v>
      </c>
      <c r="G180" s="16">
        <v>69</v>
      </c>
    </row>
    <row r="181" spans="1:7" ht="15" thickBot="1" x14ac:dyDescent="0.35">
      <c r="A181" s="16">
        <v>180</v>
      </c>
      <c r="B181" s="16">
        <v>0.1212</v>
      </c>
      <c r="C181" s="16">
        <v>0.39</v>
      </c>
      <c r="D181" s="16">
        <v>0.29849999999999999</v>
      </c>
      <c r="E181" s="16">
        <v>3</v>
      </c>
      <c r="F181" s="16">
        <v>52</v>
      </c>
      <c r="G181" s="16">
        <v>55</v>
      </c>
    </row>
    <row r="182" spans="1:7" ht="15" thickBot="1" x14ac:dyDescent="0.35">
      <c r="A182" s="16">
        <v>181</v>
      </c>
      <c r="B182" s="16">
        <v>0.1212</v>
      </c>
      <c r="C182" s="16">
        <v>0.36</v>
      </c>
      <c r="D182" s="16">
        <v>0.25369999999999998</v>
      </c>
      <c r="E182" s="16">
        <v>4</v>
      </c>
      <c r="F182" s="16">
        <v>26</v>
      </c>
      <c r="G182" s="16">
        <v>30</v>
      </c>
    </row>
    <row r="183" spans="1:7" ht="15" thickBot="1" x14ac:dyDescent="0.35">
      <c r="A183" s="16">
        <v>182</v>
      </c>
      <c r="B183" s="16">
        <v>0.1212</v>
      </c>
      <c r="C183" s="16">
        <v>0.36</v>
      </c>
      <c r="D183" s="16">
        <v>0.25369999999999998</v>
      </c>
      <c r="E183" s="16">
        <v>0</v>
      </c>
      <c r="F183" s="16">
        <v>28</v>
      </c>
      <c r="G183" s="16">
        <v>28</v>
      </c>
    </row>
    <row r="184" spans="1:7" ht="15" thickBot="1" x14ac:dyDescent="0.35">
      <c r="A184" s="16">
        <v>183</v>
      </c>
      <c r="B184" s="16">
        <v>0.1061</v>
      </c>
      <c r="C184" s="16">
        <v>0.39</v>
      </c>
      <c r="D184" s="16">
        <v>0.35820000000000002</v>
      </c>
      <c r="E184" s="16">
        <v>2</v>
      </c>
      <c r="F184" s="16">
        <v>35</v>
      </c>
      <c r="G184" s="16">
        <v>37</v>
      </c>
    </row>
    <row r="185" spans="1:7" ht="15" thickBot="1" x14ac:dyDescent="0.35">
      <c r="A185" s="16">
        <v>184</v>
      </c>
      <c r="B185" s="16">
        <v>0.1061</v>
      </c>
      <c r="C185" s="16">
        <v>0.36</v>
      </c>
      <c r="D185" s="16">
        <v>0.3881</v>
      </c>
      <c r="E185" s="16">
        <v>1</v>
      </c>
      <c r="F185" s="16">
        <v>33</v>
      </c>
      <c r="G185" s="16">
        <v>34</v>
      </c>
    </row>
    <row r="186" spans="1:7" ht="15" thickBot="1" x14ac:dyDescent="0.35">
      <c r="A186" s="16">
        <v>185</v>
      </c>
      <c r="B186" s="16">
        <v>6.0600000000000001E-2</v>
      </c>
      <c r="C186" s="16">
        <v>0.39</v>
      </c>
      <c r="D186" s="16">
        <v>0.44779999999999998</v>
      </c>
      <c r="E186" s="16">
        <v>0</v>
      </c>
      <c r="F186" s="16">
        <v>22</v>
      </c>
      <c r="G186" s="16">
        <v>22</v>
      </c>
    </row>
    <row r="187" spans="1:7" ht="15" thickBot="1" x14ac:dyDescent="0.35">
      <c r="A187" s="16">
        <v>186</v>
      </c>
      <c r="B187" s="16">
        <v>7.5800000000000006E-2</v>
      </c>
      <c r="C187" s="16">
        <v>0.42</v>
      </c>
      <c r="D187" s="16">
        <v>0.3881</v>
      </c>
      <c r="E187" s="16">
        <v>1</v>
      </c>
      <c r="F187" s="16">
        <v>24</v>
      </c>
      <c r="G187" s="16">
        <v>25</v>
      </c>
    </row>
    <row r="188" spans="1:7" ht="15" thickBot="1" x14ac:dyDescent="0.35">
      <c r="A188" s="16">
        <v>187</v>
      </c>
      <c r="B188" s="16">
        <v>6.0600000000000001E-2</v>
      </c>
      <c r="C188" s="16">
        <v>0.42</v>
      </c>
      <c r="D188" s="16">
        <v>0.4627</v>
      </c>
      <c r="E188" s="16">
        <v>0</v>
      </c>
      <c r="F188" s="16">
        <v>12</v>
      </c>
      <c r="G188" s="16">
        <v>12</v>
      </c>
    </row>
    <row r="189" spans="1:7" ht="15" thickBot="1" x14ac:dyDescent="0.35">
      <c r="A189" s="16">
        <v>188</v>
      </c>
      <c r="B189" s="16">
        <v>6.0600000000000001E-2</v>
      </c>
      <c r="C189" s="16">
        <v>0.46</v>
      </c>
      <c r="D189" s="16">
        <v>0.4627</v>
      </c>
      <c r="E189" s="16">
        <v>0</v>
      </c>
      <c r="F189" s="16">
        <v>11</v>
      </c>
      <c r="G189" s="16">
        <v>11</v>
      </c>
    </row>
    <row r="190" spans="1:7" ht="15" thickBot="1" x14ac:dyDescent="0.35">
      <c r="A190" s="16">
        <v>189</v>
      </c>
      <c r="B190" s="16">
        <v>7.5800000000000006E-2</v>
      </c>
      <c r="C190" s="16">
        <v>0.46</v>
      </c>
      <c r="D190" s="16">
        <v>0.41789999999999999</v>
      </c>
      <c r="E190" s="16">
        <v>0</v>
      </c>
      <c r="F190" s="16">
        <v>4</v>
      </c>
      <c r="G190" s="16">
        <v>4</v>
      </c>
    </row>
    <row r="191" spans="1:7" ht="15" thickBot="1" x14ac:dyDescent="0.35">
      <c r="A191" s="16">
        <v>190</v>
      </c>
      <c r="B191" s="16">
        <v>9.0899999999999995E-2</v>
      </c>
      <c r="C191" s="16">
        <v>0.53</v>
      </c>
      <c r="D191" s="16">
        <v>0.19400000000000001</v>
      </c>
      <c r="E191" s="16">
        <v>0</v>
      </c>
      <c r="F191" s="16">
        <v>1</v>
      </c>
      <c r="G191" s="16">
        <v>1</v>
      </c>
    </row>
    <row r="192" spans="1:7" ht="15" thickBot="1" x14ac:dyDescent="0.35">
      <c r="A192" s="16">
        <v>191</v>
      </c>
      <c r="B192" s="16">
        <v>9.0899999999999995E-2</v>
      </c>
      <c r="C192" s="16">
        <v>0.53</v>
      </c>
      <c r="D192" s="16">
        <v>0.19400000000000001</v>
      </c>
      <c r="E192" s="16">
        <v>0</v>
      </c>
      <c r="F192" s="16">
        <v>1</v>
      </c>
      <c r="G192" s="16">
        <v>1</v>
      </c>
    </row>
    <row r="193" spans="1:7" ht="15" thickBot="1" x14ac:dyDescent="0.35">
      <c r="A193" s="16">
        <v>192</v>
      </c>
      <c r="B193" s="16">
        <v>9.0899999999999995E-2</v>
      </c>
      <c r="C193" s="16">
        <v>0.49</v>
      </c>
      <c r="D193" s="16">
        <v>0.28360000000000002</v>
      </c>
      <c r="E193" s="16">
        <v>0</v>
      </c>
      <c r="F193" s="16">
        <v>1</v>
      </c>
      <c r="G193" s="16">
        <v>1</v>
      </c>
    </row>
    <row r="194" spans="1:7" ht="15" thickBot="1" x14ac:dyDescent="0.35">
      <c r="A194" s="16">
        <v>193</v>
      </c>
      <c r="B194" s="16">
        <v>9.0899999999999995E-2</v>
      </c>
      <c r="C194" s="16">
        <v>0.53</v>
      </c>
      <c r="D194" s="16">
        <v>0.19400000000000001</v>
      </c>
      <c r="E194" s="16">
        <v>1</v>
      </c>
      <c r="F194" s="16">
        <v>5</v>
      </c>
      <c r="G194" s="16">
        <v>6</v>
      </c>
    </row>
    <row r="195" spans="1:7" ht="15" thickBot="1" x14ac:dyDescent="0.35">
      <c r="A195" s="16">
        <v>194</v>
      </c>
      <c r="B195" s="16">
        <v>9.0899999999999995E-2</v>
      </c>
      <c r="C195" s="16">
        <v>0.49</v>
      </c>
      <c r="D195" s="16">
        <v>0.28360000000000002</v>
      </c>
      <c r="E195" s="16">
        <v>0</v>
      </c>
      <c r="F195" s="16">
        <v>10</v>
      </c>
      <c r="G195" s="16">
        <v>10</v>
      </c>
    </row>
    <row r="196" spans="1:7" ht="15" thickBot="1" x14ac:dyDescent="0.35">
      <c r="A196" s="16">
        <v>195</v>
      </c>
      <c r="B196" s="16">
        <v>7.5800000000000006E-2</v>
      </c>
      <c r="C196" s="16">
        <v>0.46</v>
      </c>
      <c r="D196" s="16">
        <v>0.52239999999999998</v>
      </c>
      <c r="E196" s="16">
        <v>0</v>
      </c>
      <c r="F196" s="16">
        <v>19</v>
      </c>
      <c r="G196" s="16">
        <v>19</v>
      </c>
    </row>
    <row r="197" spans="1:7" ht="15" thickBot="1" x14ac:dyDescent="0.35">
      <c r="A197" s="16">
        <v>196</v>
      </c>
      <c r="B197" s="16">
        <v>0.1061</v>
      </c>
      <c r="C197" s="16">
        <v>0.43</v>
      </c>
      <c r="D197" s="16">
        <v>0.3881</v>
      </c>
      <c r="E197" s="16">
        <v>0</v>
      </c>
      <c r="F197" s="16">
        <v>49</v>
      </c>
      <c r="G197" s="16">
        <v>49</v>
      </c>
    </row>
    <row r="198" spans="1:7" ht="15" thickBot="1" x14ac:dyDescent="0.35">
      <c r="A198" s="16">
        <v>197</v>
      </c>
      <c r="B198" s="16">
        <v>0.1212</v>
      </c>
      <c r="C198" s="16">
        <v>0.4</v>
      </c>
      <c r="D198" s="16">
        <v>0.52239999999999998</v>
      </c>
      <c r="E198" s="16">
        <v>2</v>
      </c>
      <c r="F198" s="16">
        <v>47</v>
      </c>
      <c r="G198" s="16">
        <v>49</v>
      </c>
    </row>
    <row r="199" spans="1:7" ht="15" thickBot="1" x14ac:dyDescent="0.35">
      <c r="A199" s="16">
        <v>198</v>
      </c>
      <c r="B199" s="16">
        <v>0.13639999999999999</v>
      </c>
      <c r="C199" s="16">
        <v>0.37</v>
      </c>
      <c r="D199" s="16">
        <v>0.44779999999999998</v>
      </c>
      <c r="E199" s="16">
        <v>4</v>
      </c>
      <c r="F199" s="16">
        <v>79</v>
      </c>
      <c r="G199" s="16">
        <v>83</v>
      </c>
    </row>
    <row r="200" spans="1:7" ht="15" thickBot="1" x14ac:dyDescent="0.35">
      <c r="A200" s="16">
        <v>199</v>
      </c>
      <c r="B200" s="16">
        <v>0.16669999999999999</v>
      </c>
      <c r="C200" s="16">
        <v>0.34</v>
      </c>
      <c r="D200" s="16">
        <v>0.44779999999999998</v>
      </c>
      <c r="E200" s="16">
        <v>6</v>
      </c>
      <c r="F200" s="16">
        <v>69</v>
      </c>
      <c r="G200" s="16">
        <v>75</v>
      </c>
    </row>
    <row r="201" spans="1:7" ht="15" thickBot="1" x14ac:dyDescent="0.35">
      <c r="A201" s="16">
        <v>200</v>
      </c>
      <c r="B201" s="16">
        <v>0.18179999999999999</v>
      </c>
      <c r="C201" s="16">
        <v>0.32</v>
      </c>
      <c r="D201" s="16">
        <v>0.4627</v>
      </c>
      <c r="E201" s="16">
        <v>8</v>
      </c>
      <c r="F201" s="16">
        <v>64</v>
      </c>
      <c r="G201" s="16">
        <v>72</v>
      </c>
    </row>
    <row r="202" spans="1:7" ht="15" thickBot="1" x14ac:dyDescent="0.35">
      <c r="A202" s="16">
        <v>201</v>
      </c>
      <c r="B202" s="16">
        <v>0.19700000000000001</v>
      </c>
      <c r="C202" s="16">
        <v>0.35</v>
      </c>
      <c r="D202" s="16">
        <v>0.35820000000000002</v>
      </c>
      <c r="E202" s="16">
        <v>5</v>
      </c>
      <c r="F202" s="16">
        <v>77</v>
      </c>
      <c r="G202" s="16">
        <v>82</v>
      </c>
    </row>
    <row r="203" spans="1:7" ht="15" thickBot="1" x14ac:dyDescent="0.35">
      <c r="A203" s="16">
        <v>202</v>
      </c>
      <c r="B203" s="16">
        <v>0.16669999999999999</v>
      </c>
      <c r="C203" s="16">
        <v>0.34</v>
      </c>
      <c r="D203" s="16">
        <v>0.44779999999999998</v>
      </c>
      <c r="E203" s="16">
        <v>13</v>
      </c>
      <c r="F203" s="16">
        <v>79</v>
      </c>
      <c r="G203" s="16">
        <v>92</v>
      </c>
    </row>
    <row r="204" spans="1:7" ht="15" thickBot="1" x14ac:dyDescent="0.35">
      <c r="A204" s="16">
        <v>203</v>
      </c>
      <c r="B204" s="16">
        <v>0.1515</v>
      </c>
      <c r="C204" s="16">
        <v>0.37</v>
      </c>
      <c r="D204" s="16">
        <v>0.3881</v>
      </c>
      <c r="E204" s="16">
        <v>3</v>
      </c>
      <c r="F204" s="16">
        <v>59</v>
      </c>
      <c r="G204" s="16">
        <v>62</v>
      </c>
    </row>
    <row r="205" spans="1:7" ht="15" thickBot="1" x14ac:dyDescent="0.35">
      <c r="A205" s="16">
        <v>204</v>
      </c>
      <c r="B205" s="16">
        <v>0.13639999999999999</v>
      </c>
      <c r="C205" s="16">
        <v>0.4</v>
      </c>
      <c r="D205" s="16">
        <v>0.32840000000000003</v>
      </c>
      <c r="E205" s="16">
        <v>4</v>
      </c>
      <c r="F205" s="16">
        <v>44</v>
      </c>
      <c r="G205" s="16">
        <v>48</v>
      </c>
    </row>
    <row r="206" spans="1:7" ht="15" thickBot="1" x14ac:dyDescent="0.35">
      <c r="A206" s="16">
        <v>205</v>
      </c>
      <c r="B206" s="16">
        <v>0.13639999999999999</v>
      </c>
      <c r="C206" s="16">
        <v>0.43</v>
      </c>
      <c r="D206" s="16">
        <v>0.32840000000000003</v>
      </c>
      <c r="E206" s="16">
        <v>1</v>
      </c>
      <c r="F206" s="16">
        <v>40</v>
      </c>
      <c r="G206" s="16">
        <v>41</v>
      </c>
    </row>
    <row r="207" spans="1:7" ht="15" thickBot="1" x14ac:dyDescent="0.35">
      <c r="A207" s="16">
        <v>206</v>
      </c>
      <c r="B207" s="16">
        <v>0.1212</v>
      </c>
      <c r="C207" s="16">
        <v>0.46</v>
      </c>
      <c r="D207" s="16">
        <v>0.25369999999999998</v>
      </c>
      <c r="E207" s="16">
        <v>0</v>
      </c>
      <c r="F207" s="16">
        <v>38</v>
      </c>
      <c r="G207" s="16">
        <v>38</v>
      </c>
    </row>
    <row r="208" spans="1:7" ht="15" thickBot="1" x14ac:dyDescent="0.35">
      <c r="A208" s="16">
        <v>207</v>
      </c>
      <c r="B208" s="16">
        <v>0.1061</v>
      </c>
      <c r="C208" s="16">
        <v>0.46</v>
      </c>
      <c r="D208" s="16">
        <v>0.41789999999999999</v>
      </c>
      <c r="E208" s="16">
        <v>1</v>
      </c>
      <c r="F208" s="16">
        <v>19</v>
      </c>
      <c r="G208" s="16">
        <v>20</v>
      </c>
    </row>
    <row r="209" spans="1:7" ht="15" thickBot="1" x14ac:dyDescent="0.35">
      <c r="A209" s="16">
        <v>208</v>
      </c>
      <c r="B209" s="16">
        <v>0.1212</v>
      </c>
      <c r="C209" s="16">
        <v>0.46</v>
      </c>
      <c r="D209" s="16">
        <v>0.29849999999999999</v>
      </c>
      <c r="E209" s="16">
        <v>5</v>
      </c>
      <c r="F209" s="16">
        <v>10</v>
      </c>
      <c r="G209" s="16">
        <v>15</v>
      </c>
    </row>
    <row r="210" spans="1:7" ht="15" thickBot="1" x14ac:dyDescent="0.35">
      <c r="A210" s="16">
        <v>209</v>
      </c>
      <c r="B210" s="16">
        <v>0.13639999999999999</v>
      </c>
      <c r="C210" s="16">
        <v>0.5</v>
      </c>
      <c r="D210" s="16">
        <v>0.19400000000000001</v>
      </c>
      <c r="E210" s="16">
        <v>0</v>
      </c>
      <c r="F210" s="16">
        <v>6</v>
      </c>
      <c r="G210" s="16">
        <v>6</v>
      </c>
    </row>
    <row r="211" spans="1:7" ht="15" thickBot="1" x14ac:dyDescent="0.35">
      <c r="A211" s="16">
        <v>210</v>
      </c>
      <c r="B211" s="16">
        <v>0.1212</v>
      </c>
      <c r="C211" s="16">
        <v>0.5</v>
      </c>
      <c r="D211" s="16">
        <v>0.28360000000000002</v>
      </c>
      <c r="E211" s="16">
        <v>2</v>
      </c>
      <c r="F211" s="16">
        <v>3</v>
      </c>
      <c r="G211" s="16">
        <v>5</v>
      </c>
    </row>
    <row r="212" spans="1:7" ht="15" thickBot="1" x14ac:dyDescent="0.35">
      <c r="A212" s="16">
        <v>211</v>
      </c>
      <c r="B212" s="16">
        <v>0.1212</v>
      </c>
      <c r="C212" s="16">
        <v>0.5</v>
      </c>
      <c r="D212" s="16">
        <v>0.28360000000000002</v>
      </c>
      <c r="E212" s="16">
        <v>1</v>
      </c>
      <c r="F212" s="16">
        <v>0</v>
      </c>
      <c r="G212" s="16">
        <v>1</v>
      </c>
    </row>
    <row r="213" spans="1:7" ht="15" thickBot="1" x14ac:dyDescent="0.35">
      <c r="A213" s="16">
        <v>212</v>
      </c>
      <c r="B213" s="16">
        <v>0.1212</v>
      </c>
      <c r="C213" s="16">
        <v>0.5</v>
      </c>
      <c r="D213" s="16">
        <v>0.22389999999999999</v>
      </c>
      <c r="E213" s="16">
        <v>0</v>
      </c>
      <c r="F213" s="16">
        <v>3</v>
      </c>
      <c r="G213" s="16">
        <v>3</v>
      </c>
    </row>
    <row r="214" spans="1:7" ht="15" thickBot="1" x14ac:dyDescent="0.35">
      <c r="A214" s="16">
        <v>213</v>
      </c>
      <c r="B214" s="16">
        <v>0.1212</v>
      </c>
      <c r="C214" s="16">
        <v>0.5</v>
      </c>
      <c r="D214" s="16">
        <v>0.22389999999999999</v>
      </c>
      <c r="E214" s="16">
        <v>0</v>
      </c>
      <c r="F214" s="16">
        <v>1</v>
      </c>
      <c r="G214" s="16">
        <v>1</v>
      </c>
    </row>
    <row r="215" spans="1:7" ht="15" thickBot="1" x14ac:dyDescent="0.35">
      <c r="A215" s="16">
        <v>214</v>
      </c>
      <c r="B215" s="16">
        <v>0.1212</v>
      </c>
      <c r="C215" s="16">
        <v>0.54</v>
      </c>
      <c r="D215" s="16">
        <v>0.1343</v>
      </c>
      <c r="E215" s="16">
        <v>1</v>
      </c>
      <c r="F215" s="16">
        <v>2</v>
      </c>
      <c r="G215" s="16">
        <v>3</v>
      </c>
    </row>
    <row r="216" spans="1:7" ht="15" thickBot="1" x14ac:dyDescent="0.35">
      <c r="A216" s="16">
        <v>215</v>
      </c>
      <c r="B216" s="16">
        <v>0.1061</v>
      </c>
      <c r="C216" s="16">
        <v>0.54</v>
      </c>
      <c r="D216" s="16">
        <v>0.25369999999999998</v>
      </c>
      <c r="E216" s="16">
        <v>0</v>
      </c>
      <c r="F216" s="16">
        <v>3</v>
      </c>
      <c r="G216" s="16">
        <v>3</v>
      </c>
    </row>
    <row r="217" spans="1:7" ht="15" thickBot="1" x14ac:dyDescent="0.35">
      <c r="A217" s="16">
        <v>216</v>
      </c>
      <c r="B217" s="16">
        <v>0.1212</v>
      </c>
      <c r="C217" s="16">
        <v>0.5</v>
      </c>
      <c r="D217" s="16">
        <v>0.28360000000000002</v>
      </c>
      <c r="E217" s="16">
        <v>0</v>
      </c>
      <c r="F217" s="16">
        <v>31</v>
      </c>
      <c r="G217" s="16">
        <v>31</v>
      </c>
    </row>
    <row r="218" spans="1:7" ht="15" thickBot="1" x14ac:dyDescent="0.35">
      <c r="A218" s="16">
        <v>217</v>
      </c>
      <c r="B218" s="16">
        <v>0.1212</v>
      </c>
      <c r="C218" s="16">
        <v>0.5</v>
      </c>
      <c r="D218" s="16">
        <v>0.22389999999999999</v>
      </c>
      <c r="E218" s="16">
        <v>2</v>
      </c>
      <c r="F218" s="16">
        <v>75</v>
      </c>
      <c r="G218" s="16">
        <v>77</v>
      </c>
    </row>
    <row r="219" spans="1:7" ht="15" thickBot="1" x14ac:dyDescent="0.35">
      <c r="A219" s="16">
        <v>218</v>
      </c>
      <c r="B219" s="16">
        <v>0.1212</v>
      </c>
      <c r="C219" s="16">
        <v>0.5</v>
      </c>
      <c r="D219" s="16">
        <v>0.28360000000000002</v>
      </c>
      <c r="E219" s="16">
        <v>4</v>
      </c>
      <c r="F219" s="16">
        <v>184</v>
      </c>
      <c r="G219" s="16">
        <v>188</v>
      </c>
    </row>
    <row r="220" spans="1:7" ht="15" thickBot="1" x14ac:dyDescent="0.35">
      <c r="A220" s="16">
        <v>219</v>
      </c>
      <c r="B220" s="16">
        <v>0.1212</v>
      </c>
      <c r="C220" s="16">
        <v>0.5</v>
      </c>
      <c r="D220" s="16">
        <v>0.25369999999999998</v>
      </c>
      <c r="E220" s="16">
        <v>2</v>
      </c>
      <c r="F220" s="16">
        <v>92</v>
      </c>
      <c r="G220" s="16">
        <v>94</v>
      </c>
    </row>
    <row r="221" spans="1:7" ht="15" thickBot="1" x14ac:dyDescent="0.35">
      <c r="A221" s="16">
        <v>220</v>
      </c>
      <c r="B221" s="16">
        <v>0.1212</v>
      </c>
      <c r="C221" s="16">
        <v>0.5</v>
      </c>
      <c r="D221" s="16">
        <v>0.29849999999999999</v>
      </c>
      <c r="E221" s="16">
        <v>0</v>
      </c>
      <c r="F221" s="16">
        <v>31</v>
      </c>
      <c r="G221" s="16">
        <v>31</v>
      </c>
    </row>
    <row r="222" spans="1:7" ht="15" thickBot="1" x14ac:dyDescent="0.35">
      <c r="A222" s="16">
        <v>221</v>
      </c>
      <c r="B222" s="16">
        <v>0.13639999999999999</v>
      </c>
      <c r="C222" s="16">
        <v>0.47</v>
      </c>
      <c r="D222" s="16">
        <v>0.28360000000000002</v>
      </c>
      <c r="E222" s="16">
        <v>2</v>
      </c>
      <c r="F222" s="16">
        <v>28</v>
      </c>
      <c r="G222" s="16">
        <v>30</v>
      </c>
    </row>
    <row r="223" spans="1:7" ht="15" thickBot="1" x14ac:dyDescent="0.35">
      <c r="A223" s="16">
        <v>222</v>
      </c>
      <c r="B223" s="16">
        <v>0.18179999999999999</v>
      </c>
      <c r="C223" s="16">
        <v>0.4</v>
      </c>
      <c r="D223" s="16">
        <v>0.28360000000000002</v>
      </c>
      <c r="E223" s="16">
        <v>5</v>
      </c>
      <c r="F223" s="16">
        <v>47</v>
      </c>
      <c r="G223" s="16">
        <v>52</v>
      </c>
    </row>
    <row r="224" spans="1:7" ht="15" thickBot="1" x14ac:dyDescent="0.35">
      <c r="A224" s="16">
        <v>223</v>
      </c>
      <c r="B224" s="16">
        <v>0.18179999999999999</v>
      </c>
      <c r="C224" s="16">
        <v>0.4</v>
      </c>
      <c r="D224" s="16">
        <v>0.28360000000000002</v>
      </c>
      <c r="E224" s="16">
        <v>4</v>
      </c>
      <c r="F224" s="16">
        <v>50</v>
      </c>
      <c r="G224" s="16">
        <v>54</v>
      </c>
    </row>
    <row r="225" spans="1:7" ht="15" thickBot="1" x14ac:dyDescent="0.35">
      <c r="A225" s="16">
        <v>224</v>
      </c>
      <c r="B225" s="16">
        <v>0.19700000000000001</v>
      </c>
      <c r="C225" s="16">
        <v>0.4</v>
      </c>
      <c r="D225" s="16">
        <v>0.22389999999999999</v>
      </c>
      <c r="E225" s="16">
        <v>0</v>
      </c>
      <c r="F225" s="16">
        <v>47</v>
      </c>
      <c r="G225" s="16">
        <v>47</v>
      </c>
    </row>
    <row r="226" spans="1:7" ht="15" thickBot="1" x14ac:dyDescent="0.35">
      <c r="A226" s="16">
        <v>225</v>
      </c>
      <c r="B226" s="16">
        <v>0.19700000000000001</v>
      </c>
      <c r="C226" s="16">
        <v>0.4</v>
      </c>
      <c r="D226" s="16">
        <v>0.22389999999999999</v>
      </c>
      <c r="E226" s="16">
        <v>2</v>
      </c>
      <c r="F226" s="16">
        <v>43</v>
      </c>
      <c r="G226" s="16">
        <v>45</v>
      </c>
    </row>
    <row r="227" spans="1:7" ht="15" thickBot="1" x14ac:dyDescent="0.35">
      <c r="A227" s="16">
        <v>226</v>
      </c>
      <c r="B227" s="16">
        <v>0.21210000000000001</v>
      </c>
      <c r="C227" s="16">
        <v>0.4</v>
      </c>
      <c r="D227" s="16">
        <v>0.1343</v>
      </c>
      <c r="E227" s="16">
        <v>4</v>
      </c>
      <c r="F227" s="16">
        <v>70</v>
      </c>
      <c r="G227" s="16">
        <v>74</v>
      </c>
    </row>
    <row r="228" spans="1:7" ht="15" thickBot="1" x14ac:dyDescent="0.35">
      <c r="A228" s="16">
        <v>227</v>
      </c>
      <c r="B228" s="16">
        <v>0.2273</v>
      </c>
      <c r="C228" s="16">
        <v>0.4</v>
      </c>
      <c r="D228" s="16">
        <v>0.1045</v>
      </c>
      <c r="E228" s="16">
        <v>4</v>
      </c>
      <c r="F228" s="16">
        <v>174</v>
      </c>
      <c r="G228" s="16">
        <v>178</v>
      </c>
    </row>
    <row r="229" spans="1:7" ht="15" thickBot="1" x14ac:dyDescent="0.35">
      <c r="A229" s="16">
        <v>228</v>
      </c>
      <c r="B229" s="16">
        <v>0.19700000000000001</v>
      </c>
      <c r="C229" s="16">
        <v>0.4</v>
      </c>
      <c r="D229" s="16">
        <v>0.22389999999999999</v>
      </c>
      <c r="E229" s="16">
        <v>1</v>
      </c>
      <c r="F229" s="16">
        <v>154</v>
      </c>
      <c r="G229" s="16">
        <v>155</v>
      </c>
    </row>
    <row r="230" spans="1:7" ht="15" thickBot="1" x14ac:dyDescent="0.35">
      <c r="A230" s="16">
        <v>229</v>
      </c>
      <c r="B230" s="16">
        <v>0.16669999999999999</v>
      </c>
      <c r="C230" s="16">
        <v>0.47</v>
      </c>
      <c r="D230" s="16">
        <v>0.16420000000000001</v>
      </c>
      <c r="E230" s="16">
        <v>3</v>
      </c>
      <c r="F230" s="16">
        <v>92</v>
      </c>
      <c r="G230" s="16">
        <v>95</v>
      </c>
    </row>
    <row r="231" spans="1:7" ht="15" thickBot="1" x14ac:dyDescent="0.35">
      <c r="A231" s="16">
        <v>230</v>
      </c>
      <c r="B231" s="16">
        <v>0.16669999999999999</v>
      </c>
      <c r="C231" s="16">
        <v>0.5</v>
      </c>
      <c r="D231" s="16">
        <v>0.16420000000000001</v>
      </c>
      <c r="E231" s="16">
        <v>1</v>
      </c>
      <c r="F231" s="16">
        <v>73</v>
      </c>
      <c r="G231" s="16">
        <v>74</v>
      </c>
    </row>
    <row r="232" spans="1:7" ht="15" thickBot="1" x14ac:dyDescent="0.35">
      <c r="A232" s="16">
        <v>231</v>
      </c>
      <c r="B232" s="16">
        <v>0.13639999999999999</v>
      </c>
      <c r="C232" s="16">
        <v>0.59</v>
      </c>
      <c r="D232" s="16">
        <v>0.19400000000000001</v>
      </c>
      <c r="E232" s="16">
        <v>1</v>
      </c>
      <c r="F232" s="16">
        <v>37</v>
      </c>
      <c r="G232" s="16">
        <v>38</v>
      </c>
    </row>
    <row r="233" spans="1:7" ht="15" thickBot="1" x14ac:dyDescent="0.35">
      <c r="A233" s="16">
        <v>232</v>
      </c>
      <c r="B233" s="16">
        <v>0.1515</v>
      </c>
      <c r="C233" s="16">
        <v>0.59</v>
      </c>
      <c r="D233" s="16">
        <v>0.16420000000000001</v>
      </c>
      <c r="E233" s="16">
        <v>2</v>
      </c>
      <c r="F233" s="16">
        <v>22</v>
      </c>
      <c r="G233" s="16">
        <v>24</v>
      </c>
    </row>
    <row r="234" spans="1:7" ht="15" thickBot="1" x14ac:dyDescent="0.35">
      <c r="A234" s="16">
        <v>233</v>
      </c>
      <c r="B234" s="16">
        <v>0.1515</v>
      </c>
      <c r="C234" s="16">
        <v>0.59</v>
      </c>
      <c r="D234" s="16">
        <v>0.16420000000000001</v>
      </c>
      <c r="E234" s="16">
        <v>0</v>
      </c>
      <c r="F234" s="16">
        <v>18</v>
      </c>
      <c r="G234" s="16">
        <v>18</v>
      </c>
    </row>
    <row r="235" spans="1:7" ht="15" thickBot="1" x14ac:dyDescent="0.35">
      <c r="A235" s="16">
        <v>234</v>
      </c>
      <c r="B235" s="16">
        <v>0.16669999999999999</v>
      </c>
      <c r="C235" s="16">
        <v>0.59</v>
      </c>
      <c r="D235" s="16">
        <v>0.1045</v>
      </c>
      <c r="E235" s="16">
        <v>2</v>
      </c>
      <c r="F235" s="16">
        <v>10</v>
      </c>
      <c r="G235" s="16">
        <v>12</v>
      </c>
    </row>
    <row r="236" spans="1:7" ht="15" thickBot="1" x14ac:dyDescent="0.35">
      <c r="A236" s="16">
        <v>235</v>
      </c>
      <c r="B236" s="16">
        <v>0.1515</v>
      </c>
      <c r="C236" s="16">
        <v>0.59</v>
      </c>
      <c r="D236" s="16">
        <v>0.16420000000000001</v>
      </c>
      <c r="E236" s="16">
        <v>0</v>
      </c>
      <c r="F236" s="16">
        <v>3</v>
      </c>
      <c r="G236" s="16">
        <v>3</v>
      </c>
    </row>
    <row r="237" spans="1:7" ht="15" thickBot="1" x14ac:dyDescent="0.35">
      <c r="A237" s="16">
        <v>236</v>
      </c>
      <c r="B237" s="16">
        <v>0.1515</v>
      </c>
      <c r="C237" s="16">
        <v>0.55000000000000004</v>
      </c>
      <c r="D237" s="16">
        <v>0.19400000000000001</v>
      </c>
      <c r="E237" s="16">
        <v>0</v>
      </c>
      <c r="F237" s="16">
        <v>3</v>
      </c>
      <c r="G237" s="16">
        <v>3</v>
      </c>
    </row>
    <row r="238" spans="1:7" ht="15" thickBot="1" x14ac:dyDescent="0.35">
      <c r="A238" s="16">
        <v>237</v>
      </c>
      <c r="B238" s="16">
        <v>0.18179999999999999</v>
      </c>
      <c r="C238" s="16">
        <v>0.55000000000000004</v>
      </c>
      <c r="D238" s="16">
        <v>0.1343</v>
      </c>
      <c r="E238" s="16">
        <v>0</v>
      </c>
      <c r="F238" s="16">
        <v>6</v>
      </c>
      <c r="G238" s="16">
        <v>6</v>
      </c>
    </row>
    <row r="239" spans="1:7" ht="15" thickBot="1" x14ac:dyDescent="0.35">
      <c r="A239" s="16">
        <v>238</v>
      </c>
      <c r="B239" s="16">
        <v>0.18179999999999999</v>
      </c>
      <c r="C239" s="16">
        <v>0.55000000000000004</v>
      </c>
      <c r="D239" s="16">
        <v>0.1343</v>
      </c>
      <c r="E239" s="16">
        <v>0</v>
      </c>
      <c r="F239" s="16">
        <v>27</v>
      </c>
      <c r="G239" s="16">
        <v>27</v>
      </c>
    </row>
    <row r="240" spans="1:7" ht="15" thickBot="1" x14ac:dyDescent="0.35">
      <c r="A240" s="16">
        <v>239</v>
      </c>
      <c r="B240" s="16">
        <v>0.2273</v>
      </c>
      <c r="C240" s="16">
        <v>0.55000000000000004</v>
      </c>
      <c r="D240" s="16">
        <v>0</v>
      </c>
      <c r="E240" s="16">
        <v>2</v>
      </c>
      <c r="F240" s="16">
        <v>97</v>
      </c>
      <c r="G240" s="16">
        <v>99</v>
      </c>
    </row>
    <row r="241" spans="1:7" ht="15" thickBot="1" x14ac:dyDescent="0.35">
      <c r="A241" s="16">
        <v>240</v>
      </c>
      <c r="B241" s="16">
        <v>0.21210000000000001</v>
      </c>
      <c r="C241" s="16">
        <v>0.51</v>
      </c>
      <c r="D241" s="16">
        <v>8.9599999999999999E-2</v>
      </c>
      <c r="E241" s="16">
        <v>3</v>
      </c>
      <c r="F241" s="16">
        <v>214</v>
      </c>
      <c r="G241" s="16">
        <v>217</v>
      </c>
    </row>
    <row r="242" spans="1:7" ht="15" thickBot="1" x14ac:dyDescent="0.35">
      <c r="A242" s="16">
        <v>241</v>
      </c>
      <c r="B242" s="16">
        <v>0.19700000000000001</v>
      </c>
      <c r="C242" s="16">
        <v>0.51</v>
      </c>
      <c r="D242" s="16">
        <v>0.16420000000000001</v>
      </c>
      <c r="E242" s="16">
        <v>3</v>
      </c>
      <c r="F242" s="16">
        <v>127</v>
      </c>
      <c r="G242" s="16">
        <v>130</v>
      </c>
    </row>
    <row r="243" spans="1:7" ht="15" thickBot="1" x14ac:dyDescent="0.35">
      <c r="A243" s="16">
        <v>242</v>
      </c>
      <c r="B243" s="16">
        <v>0.21210000000000001</v>
      </c>
      <c r="C243" s="16">
        <v>0.51</v>
      </c>
      <c r="D243" s="16">
        <v>0.16420000000000001</v>
      </c>
      <c r="E243" s="16">
        <v>3</v>
      </c>
      <c r="F243" s="16">
        <v>51</v>
      </c>
      <c r="G243" s="16">
        <v>54</v>
      </c>
    </row>
    <row r="244" spans="1:7" ht="15" thickBot="1" x14ac:dyDescent="0.35">
      <c r="A244" s="16">
        <v>243</v>
      </c>
      <c r="B244" s="16">
        <v>0.21210000000000001</v>
      </c>
      <c r="C244" s="16">
        <v>0.47</v>
      </c>
      <c r="D244" s="16">
        <v>0.1343</v>
      </c>
      <c r="E244" s="16">
        <v>4</v>
      </c>
      <c r="F244" s="16">
        <v>31</v>
      </c>
      <c r="G244" s="16">
        <v>35</v>
      </c>
    </row>
    <row r="245" spans="1:7" ht="15" thickBot="1" x14ac:dyDescent="0.35">
      <c r="A245" s="16">
        <v>244</v>
      </c>
      <c r="B245" s="16">
        <v>0.2273</v>
      </c>
      <c r="C245" s="16">
        <v>0.51</v>
      </c>
      <c r="D245" s="16">
        <v>0.1045</v>
      </c>
      <c r="E245" s="16">
        <v>2</v>
      </c>
      <c r="F245" s="16">
        <v>55</v>
      </c>
      <c r="G245" s="16">
        <v>57</v>
      </c>
    </row>
    <row r="246" spans="1:7" ht="15" thickBot="1" x14ac:dyDescent="0.35">
      <c r="A246" s="16">
        <v>245</v>
      </c>
      <c r="B246" s="16">
        <v>0.2273</v>
      </c>
      <c r="C246" s="16">
        <v>0.59</v>
      </c>
      <c r="D246" s="16">
        <v>8.9599999999999999E-2</v>
      </c>
      <c r="E246" s="16">
        <v>6</v>
      </c>
      <c r="F246" s="16">
        <v>46</v>
      </c>
      <c r="G246" s="16">
        <v>52</v>
      </c>
    </row>
    <row r="247" spans="1:7" ht="15" thickBot="1" x14ac:dyDescent="0.35">
      <c r="A247" s="16">
        <v>246</v>
      </c>
      <c r="B247" s="16">
        <v>0.2273</v>
      </c>
      <c r="C247" s="16">
        <v>0.59</v>
      </c>
      <c r="D247" s="16">
        <v>8.9599999999999999E-2</v>
      </c>
      <c r="E247" s="16">
        <v>3</v>
      </c>
      <c r="F247" s="16">
        <v>60</v>
      </c>
      <c r="G247" s="16">
        <v>63</v>
      </c>
    </row>
    <row r="248" spans="1:7" ht="15" thickBot="1" x14ac:dyDescent="0.35">
      <c r="A248" s="16">
        <v>247</v>
      </c>
      <c r="B248" s="16">
        <v>0.19700000000000001</v>
      </c>
      <c r="C248" s="16">
        <v>0.8</v>
      </c>
      <c r="D248" s="16">
        <v>8.9599999999999999E-2</v>
      </c>
      <c r="E248" s="16">
        <v>2</v>
      </c>
      <c r="F248" s="16">
        <v>45</v>
      </c>
      <c r="G248" s="16">
        <v>47</v>
      </c>
    </row>
    <row r="249" spans="1:7" ht="15" thickBot="1" x14ac:dyDescent="0.35">
      <c r="A249" s="16">
        <v>248</v>
      </c>
      <c r="B249" s="16">
        <v>0.1515</v>
      </c>
      <c r="C249" s="16">
        <v>0.86</v>
      </c>
      <c r="D249" s="16">
        <v>0.22389999999999999</v>
      </c>
      <c r="E249" s="16">
        <v>4</v>
      </c>
      <c r="F249" s="16">
        <v>72</v>
      </c>
      <c r="G249" s="16">
        <v>76</v>
      </c>
    </row>
    <row r="250" spans="1:7" ht="15" thickBot="1" x14ac:dyDescent="0.35">
      <c r="A250" s="16">
        <v>249</v>
      </c>
      <c r="B250" s="16">
        <v>0.1515</v>
      </c>
      <c r="C250" s="16">
        <v>0.86</v>
      </c>
      <c r="D250" s="16">
        <v>0.22389999999999999</v>
      </c>
      <c r="E250" s="16">
        <v>6</v>
      </c>
      <c r="F250" s="16">
        <v>130</v>
      </c>
      <c r="G250" s="16">
        <v>136</v>
      </c>
    </row>
    <row r="251" spans="1:7" ht="15" thickBot="1" x14ac:dyDescent="0.35">
      <c r="A251" s="16">
        <v>250</v>
      </c>
      <c r="B251" s="16">
        <v>0.18179999999999999</v>
      </c>
      <c r="C251" s="16">
        <v>0.93</v>
      </c>
      <c r="D251" s="16">
        <v>0.1045</v>
      </c>
      <c r="E251" s="16">
        <v>1</v>
      </c>
      <c r="F251" s="16">
        <v>94</v>
      </c>
      <c r="G251" s="16">
        <v>95</v>
      </c>
    </row>
    <row r="252" spans="1:7" ht="15" thickBot="1" x14ac:dyDescent="0.35">
      <c r="A252" s="16">
        <v>251</v>
      </c>
      <c r="B252" s="16">
        <v>0.2273</v>
      </c>
      <c r="C252" s="16">
        <v>0.93</v>
      </c>
      <c r="D252" s="16">
        <v>0</v>
      </c>
      <c r="E252" s="16">
        <v>0</v>
      </c>
      <c r="F252" s="16">
        <v>51</v>
      </c>
      <c r="G252" s="16">
        <v>51</v>
      </c>
    </row>
    <row r="253" spans="1:7" ht="15" thickBot="1" x14ac:dyDescent="0.35">
      <c r="A253" s="16">
        <v>252</v>
      </c>
      <c r="B253" s="16">
        <v>0.1515</v>
      </c>
      <c r="C253" s="16">
        <v>0.93</v>
      </c>
      <c r="D253" s="16">
        <v>0.19400000000000001</v>
      </c>
      <c r="E253" s="16">
        <v>0</v>
      </c>
      <c r="F253" s="16">
        <v>32</v>
      </c>
      <c r="G253" s="16">
        <v>32</v>
      </c>
    </row>
    <row r="254" spans="1:7" ht="15" thickBot="1" x14ac:dyDescent="0.35">
      <c r="A254" s="16">
        <v>253</v>
      </c>
      <c r="B254" s="16">
        <v>0.19700000000000001</v>
      </c>
      <c r="C254" s="16">
        <v>0.86</v>
      </c>
      <c r="D254" s="16">
        <v>8.9599999999999999E-2</v>
      </c>
      <c r="E254" s="16">
        <v>0</v>
      </c>
      <c r="F254" s="16">
        <v>20</v>
      </c>
      <c r="G254" s="16">
        <v>20</v>
      </c>
    </row>
    <row r="255" spans="1:7" ht="15" thickBot="1" x14ac:dyDescent="0.35">
      <c r="A255" s="16">
        <v>254</v>
      </c>
      <c r="B255" s="16">
        <v>0.18179999999999999</v>
      </c>
      <c r="C255" s="16">
        <v>0.93</v>
      </c>
      <c r="D255" s="16">
        <v>0.1045</v>
      </c>
      <c r="E255" s="16">
        <v>1</v>
      </c>
      <c r="F255" s="16">
        <v>28</v>
      </c>
      <c r="G255" s="16">
        <v>29</v>
      </c>
    </row>
    <row r="256" spans="1:7" ht="15" thickBot="1" x14ac:dyDescent="0.35">
      <c r="A256" s="16">
        <v>255</v>
      </c>
      <c r="B256" s="16">
        <v>0.19700000000000001</v>
      </c>
      <c r="C256" s="16">
        <v>0.93</v>
      </c>
      <c r="D256" s="16">
        <v>8.9599999999999999E-2</v>
      </c>
      <c r="E256" s="16">
        <v>1</v>
      </c>
      <c r="F256" s="16">
        <v>18</v>
      </c>
      <c r="G256" s="16">
        <v>19</v>
      </c>
    </row>
    <row r="257" spans="1:7" ht="15" thickBot="1" x14ac:dyDescent="0.35">
      <c r="A257" s="16">
        <v>256</v>
      </c>
      <c r="B257" s="16">
        <v>0.19700000000000001</v>
      </c>
      <c r="C257" s="16">
        <v>0.86</v>
      </c>
      <c r="D257" s="16">
        <v>8.9599999999999999E-2</v>
      </c>
      <c r="E257" s="16">
        <v>0</v>
      </c>
      <c r="F257" s="16">
        <v>7</v>
      </c>
      <c r="G257" s="16">
        <v>7</v>
      </c>
    </row>
    <row r="258" spans="1:7" ht="15" thickBot="1" x14ac:dyDescent="0.35">
      <c r="A258" s="16">
        <v>257</v>
      </c>
      <c r="B258" s="16">
        <v>0.18179999999999999</v>
      </c>
      <c r="C258" s="16">
        <v>0.86</v>
      </c>
      <c r="D258" s="16">
        <v>0.1045</v>
      </c>
      <c r="E258" s="16">
        <v>0</v>
      </c>
      <c r="F258" s="16">
        <v>6</v>
      </c>
      <c r="G258" s="16">
        <v>6</v>
      </c>
    </row>
    <row r="259" spans="1:7" ht="15" thickBot="1" x14ac:dyDescent="0.35">
      <c r="A259" s="16">
        <v>258</v>
      </c>
      <c r="B259" s="16">
        <v>0.1515</v>
      </c>
      <c r="C259" s="16">
        <v>0.86</v>
      </c>
      <c r="D259" s="16">
        <v>0.1343</v>
      </c>
      <c r="E259" s="16">
        <v>0</v>
      </c>
      <c r="F259" s="16">
        <v>1</v>
      </c>
      <c r="G259" s="16">
        <v>1</v>
      </c>
    </row>
    <row r="260" spans="1:7" ht="15" thickBot="1" x14ac:dyDescent="0.35">
      <c r="A260" s="16">
        <v>259</v>
      </c>
      <c r="B260" s="16">
        <v>0.1515</v>
      </c>
      <c r="C260" s="16">
        <v>0.86</v>
      </c>
      <c r="D260" s="16">
        <v>0.16420000000000001</v>
      </c>
      <c r="E260" s="16">
        <v>0</v>
      </c>
      <c r="F260" s="16">
        <v>5</v>
      </c>
      <c r="G260" s="16">
        <v>5</v>
      </c>
    </row>
    <row r="261" spans="1:7" ht="15" thickBot="1" x14ac:dyDescent="0.35">
      <c r="A261" s="16">
        <v>260</v>
      </c>
      <c r="B261" s="16">
        <v>0.1515</v>
      </c>
      <c r="C261" s="16">
        <v>0.93</v>
      </c>
      <c r="D261" s="16">
        <v>0.1343</v>
      </c>
      <c r="E261" s="16">
        <v>0</v>
      </c>
      <c r="F261" s="16">
        <v>16</v>
      </c>
      <c r="G261" s="16">
        <v>16</v>
      </c>
    </row>
    <row r="262" spans="1:7" ht="15" thickBot="1" x14ac:dyDescent="0.35">
      <c r="A262" s="16">
        <v>261</v>
      </c>
      <c r="B262" s="16">
        <v>0.1515</v>
      </c>
      <c r="C262" s="16">
        <v>0.69</v>
      </c>
      <c r="D262" s="16">
        <v>0.1343</v>
      </c>
      <c r="E262" s="16">
        <v>0</v>
      </c>
      <c r="F262" s="16">
        <v>54</v>
      </c>
      <c r="G262" s="16">
        <v>54</v>
      </c>
    </row>
    <row r="263" spans="1:7" ht="15" thickBot="1" x14ac:dyDescent="0.35">
      <c r="A263" s="16">
        <v>262</v>
      </c>
      <c r="B263" s="16">
        <v>0.16669999999999999</v>
      </c>
      <c r="C263" s="16">
        <v>0.59</v>
      </c>
      <c r="D263" s="16">
        <v>0.16420000000000001</v>
      </c>
      <c r="E263" s="16">
        <v>3</v>
      </c>
      <c r="F263" s="16">
        <v>125</v>
      </c>
      <c r="G263" s="16">
        <v>128</v>
      </c>
    </row>
    <row r="264" spans="1:7" ht="15" thickBot="1" x14ac:dyDescent="0.35">
      <c r="A264" s="16">
        <v>263</v>
      </c>
      <c r="B264" s="16">
        <v>0.13639999999999999</v>
      </c>
      <c r="C264" s="16">
        <v>0.59</v>
      </c>
      <c r="D264" s="16">
        <v>0.32840000000000003</v>
      </c>
      <c r="E264" s="16">
        <v>3</v>
      </c>
      <c r="F264" s="16">
        <v>78</v>
      </c>
      <c r="G264" s="16">
        <v>81</v>
      </c>
    </row>
    <row r="265" spans="1:7" ht="15" thickBot="1" x14ac:dyDescent="0.35">
      <c r="A265" s="16">
        <v>264</v>
      </c>
      <c r="B265" s="16">
        <v>0.18179999999999999</v>
      </c>
      <c r="C265" s="16">
        <v>0.55000000000000004</v>
      </c>
      <c r="D265" s="16">
        <v>0.22389999999999999</v>
      </c>
      <c r="E265" s="16">
        <v>0</v>
      </c>
      <c r="F265" s="16">
        <v>39</v>
      </c>
      <c r="G265" s="16">
        <v>39</v>
      </c>
    </row>
    <row r="266" spans="1:7" ht="15" thickBot="1" x14ac:dyDescent="0.35">
      <c r="A266" s="16">
        <v>265</v>
      </c>
      <c r="B266" s="16">
        <v>0.18179999999999999</v>
      </c>
      <c r="C266" s="16">
        <v>0.51</v>
      </c>
      <c r="D266" s="16">
        <v>0.3881</v>
      </c>
      <c r="E266" s="16">
        <v>3</v>
      </c>
      <c r="F266" s="16">
        <v>32</v>
      </c>
      <c r="G266" s="16">
        <v>35</v>
      </c>
    </row>
    <row r="267" spans="1:7" ht="15" thickBot="1" x14ac:dyDescent="0.35">
      <c r="A267" s="16">
        <v>266</v>
      </c>
      <c r="B267" s="16">
        <v>0.1515</v>
      </c>
      <c r="C267" s="16">
        <v>0.47</v>
      </c>
      <c r="D267" s="16">
        <v>0.58209999999999995</v>
      </c>
      <c r="E267" s="16">
        <v>3</v>
      </c>
      <c r="F267" s="16">
        <v>52</v>
      </c>
      <c r="G267" s="16">
        <v>55</v>
      </c>
    </row>
    <row r="268" spans="1:7" ht="15" thickBot="1" x14ac:dyDescent="0.35">
      <c r="A268" s="16">
        <v>267</v>
      </c>
      <c r="B268" s="16">
        <v>0.19700000000000001</v>
      </c>
      <c r="C268" s="16">
        <v>0.44</v>
      </c>
      <c r="D268" s="16">
        <v>0.35820000000000002</v>
      </c>
      <c r="E268" s="16">
        <v>0</v>
      </c>
      <c r="F268" s="16">
        <v>49</v>
      </c>
      <c r="G268" s="16">
        <v>49</v>
      </c>
    </row>
    <row r="269" spans="1:7" ht="15" thickBot="1" x14ac:dyDescent="0.35">
      <c r="A269" s="16">
        <v>268</v>
      </c>
      <c r="B269" s="16">
        <v>0.18179999999999999</v>
      </c>
      <c r="C269" s="16">
        <v>0.47</v>
      </c>
      <c r="D269" s="16">
        <v>0.32840000000000003</v>
      </c>
      <c r="E269" s="16">
        <v>0</v>
      </c>
      <c r="F269" s="16">
        <v>44</v>
      </c>
      <c r="G269" s="16">
        <v>44</v>
      </c>
    </row>
    <row r="270" spans="1:7" ht="15" thickBot="1" x14ac:dyDescent="0.35">
      <c r="A270" s="16">
        <v>269</v>
      </c>
      <c r="B270" s="16">
        <v>0.16669999999999999</v>
      </c>
      <c r="C270" s="16">
        <v>0.47</v>
      </c>
      <c r="D270" s="16">
        <v>0.41789999999999999</v>
      </c>
      <c r="E270" s="16">
        <v>1</v>
      </c>
      <c r="F270" s="16">
        <v>48</v>
      </c>
      <c r="G270" s="16">
        <v>49</v>
      </c>
    </row>
    <row r="271" spans="1:7" ht="15" thickBot="1" x14ac:dyDescent="0.35">
      <c r="A271" s="16">
        <v>270</v>
      </c>
      <c r="B271" s="16">
        <v>0.19700000000000001</v>
      </c>
      <c r="C271" s="16">
        <v>0.44</v>
      </c>
      <c r="D271" s="16">
        <v>0.32840000000000003</v>
      </c>
      <c r="E271" s="16">
        <v>5</v>
      </c>
      <c r="F271" s="16">
        <v>63</v>
      </c>
      <c r="G271" s="16">
        <v>68</v>
      </c>
    </row>
    <row r="272" spans="1:7" ht="15" thickBot="1" x14ac:dyDescent="0.35">
      <c r="A272" s="16">
        <v>271</v>
      </c>
      <c r="B272" s="16">
        <v>0.18179999999999999</v>
      </c>
      <c r="C272" s="16">
        <v>0.47</v>
      </c>
      <c r="D272" s="16">
        <v>0.35820000000000002</v>
      </c>
      <c r="E272" s="16">
        <v>0</v>
      </c>
      <c r="F272" s="16">
        <v>139</v>
      </c>
      <c r="G272" s="16">
        <v>139</v>
      </c>
    </row>
    <row r="273" spans="1:7" ht="15" thickBot="1" x14ac:dyDescent="0.35">
      <c r="A273" s="16">
        <v>272</v>
      </c>
      <c r="B273" s="16">
        <v>0.1515</v>
      </c>
      <c r="C273" s="16">
        <v>0.47</v>
      </c>
      <c r="D273" s="16">
        <v>0.52239999999999998</v>
      </c>
      <c r="E273" s="16">
        <v>2</v>
      </c>
      <c r="F273" s="16">
        <v>135</v>
      </c>
      <c r="G273" s="16">
        <v>137</v>
      </c>
    </row>
    <row r="274" spans="1:7" ht="15" thickBot="1" x14ac:dyDescent="0.35">
      <c r="A274" s="16">
        <v>273</v>
      </c>
      <c r="B274" s="16">
        <v>0.1515</v>
      </c>
      <c r="C274" s="16">
        <v>0.47</v>
      </c>
      <c r="D274" s="16">
        <v>0.41789999999999999</v>
      </c>
      <c r="E274" s="16">
        <v>1</v>
      </c>
      <c r="F274" s="16">
        <v>82</v>
      </c>
      <c r="G274" s="16">
        <v>83</v>
      </c>
    </row>
    <row r="275" spans="1:7" ht="15" thickBot="1" x14ac:dyDescent="0.35">
      <c r="A275" s="16">
        <v>274</v>
      </c>
      <c r="B275" s="16">
        <v>0.13639999999999999</v>
      </c>
      <c r="C275" s="16">
        <v>0.5</v>
      </c>
      <c r="D275" s="16">
        <v>0.32840000000000003</v>
      </c>
      <c r="E275" s="16">
        <v>2</v>
      </c>
      <c r="F275" s="16">
        <v>54</v>
      </c>
      <c r="G275" s="16">
        <v>56</v>
      </c>
    </row>
    <row r="276" spans="1:7" ht="15" thickBot="1" x14ac:dyDescent="0.35">
      <c r="A276" s="16">
        <v>275</v>
      </c>
      <c r="B276" s="16">
        <v>0.13639999999999999</v>
      </c>
      <c r="C276" s="16">
        <v>0.55000000000000004</v>
      </c>
      <c r="D276" s="16">
        <v>0.32840000000000003</v>
      </c>
      <c r="E276" s="16">
        <v>0</v>
      </c>
      <c r="F276" s="16">
        <v>57</v>
      </c>
      <c r="G276" s="16">
        <v>57</v>
      </c>
    </row>
    <row r="277" spans="1:7" ht="15" thickBot="1" x14ac:dyDescent="0.35">
      <c r="A277" s="16">
        <v>276</v>
      </c>
      <c r="B277" s="16">
        <v>0.1212</v>
      </c>
      <c r="C277" s="16">
        <v>0.55000000000000004</v>
      </c>
      <c r="D277" s="16">
        <v>0.44779999999999998</v>
      </c>
      <c r="E277" s="16">
        <v>1</v>
      </c>
      <c r="F277" s="16">
        <v>32</v>
      </c>
      <c r="G277" s="16">
        <v>33</v>
      </c>
    </row>
    <row r="278" spans="1:7" ht="15" thickBot="1" x14ac:dyDescent="0.35">
      <c r="A278" s="16">
        <v>277</v>
      </c>
      <c r="B278" s="16">
        <v>0.1061</v>
      </c>
      <c r="C278" s="16">
        <v>0.59</v>
      </c>
      <c r="D278" s="16">
        <v>0.41789999999999999</v>
      </c>
      <c r="E278" s="16">
        <v>1</v>
      </c>
      <c r="F278" s="16">
        <v>19</v>
      </c>
      <c r="G278" s="16">
        <v>20</v>
      </c>
    </row>
    <row r="279" spans="1:7" ht="15" thickBot="1" x14ac:dyDescent="0.35">
      <c r="A279" s="16">
        <v>278</v>
      </c>
      <c r="B279" s="16">
        <v>0.1212</v>
      </c>
      <c r="C279" s="16">
        <v>0.59</v>
      </c>
      <c r="D279" s="16">
        <v>0.28360000000000002</v>
      </c>
      <c r="E279" s="16">
        <v>1</v>
      </c>
      <c r="F279" s="16">
        <v>6</v>
      </c>
      <c r="G279" s="16">
        <v>7</v>
      </c>
    </row>
    <row r="280" spans="1:7" ht="15" thickBot="1" x14ac:dyDescent="0.35">
      <c r="A280" s="16">
        <v>279</v>
      </c>
      <c r="B280" s="16">
        <v>0.1212</v>
      </c>
      <c r="C280" s="16">
        <v>0.5</v>
      </c>
      <c r="D280" s="16">
        <v>0.28360000000000002</v>
      </c>
      <c r="E280" s="16">
        <v>0</v>
      </c>
      <c r="F280" s="16">
        <v>2</v>
      </c>
      <c r="G280" s="16">
        <v>2</v>
      </c>
    </row>
    <row r="281" spans="1:7" ht="15" thickBot="1" x14ac:dyDescent="0.35">
      <c r="A281" s="16">
        <v>280</v>
      </c>
      <c r="B281" s="16">
        <v>0.1212</v>
      </c>
      <c r="C281" s="16">
        <v>0.5</v>
      </c>
      <c r="D281" s="16">
        <v>0.35820000000000002</v>
      </c>
      <c r="E281" s="16">
        <v>0</v>
      </c>
      <c r="F281" s="16">
        <v>2</v>
      </c>
      <c r="G281" s="16">
        <v>2</v>
      </c>
    </row>
    <row r="282" spans="1:7" ht="15" thickBot="1" x14ac:dyDescent="0.35">
      <c r="A282" s="16">
        <v>281</v>
      </c>
      <c r="B282" s="16">
        <v>0.1212</v>
      </c>
      <c r="C282" s="16">
        <v>0.5</v>
      </c>
      <c r="D282" s="16">
        <v>0.32840000000000003</v>
      </c>
      <c r="E282" s="16">
        <v>0</v>
      </c>
      <c r="F282" s="16">
        <v>3</v>
      </c>
      <c r="G282" s="16">
        <v>3</v>
      </c>
    </row>
    <row r="283" spans="1:7" ht="15" thickBot="1" x14ac:dyDescent="0.35">
      <c r="A283" s="16">
        <v>282</v>
      </c>
      <c r="B283" s="16">
        <v>0.1212</v>
      </c>
      <c r="C283" s="16">
        <v>0.5</v>
      </c>
      <c r="D283" s="16">
        <v>0.25369999999999998</v>
      </c>
      <c r="E283" s="16">
        <v>0</v>
      </c>
      <c r="F283" s="16">
        <v>4</v>
      </c>
      <c r="G283" s="16">
        <v>4</v>
      </c>
    </row>
    <row r="284" spans="1:7" ht="15" thickBot="1" x14ac:dyDescent="0.35">
      <c r="A284" s="16">
        <v>283</v>
      </c>
      <c r="B284" s="16">
        <v>0.1212</v>
      </c>
      <c r="C284" s="16">
        <v>0.5</v>
      </c>
      <c r="D284" s="16">
        <v>0.29849999999999999</v>
      </c>
      <c r="E284" s="16">
        <v>0</v>
      </c>
      <c r="F284" s="16">
        <v>3</v>
      </c>
      <c r="G284" s="16">
        <v>3</v>
      </c>
    </row>
    <row r="285" spans="1:7" ht="15" thickBot="1" x14ac:dyDescent="0.35">
      <c r="A285" s="16">
        <v>284</v>
      </c>
      <c r="B285" s="16">
        <v>0.1515</v>
      </c>
      <c r="C285" s="16">
        <v>0.54</v>
      </c>
      <c r="D285" s="16">
        <v>0.1343</v>
      </c>
      <c r="E285" s="16">
        <v>0</v>
      </c>
      <c r="F285" s="16">
        <v>28</v>
      </c>
      <c r="G285" s="16">
        <v>28</v>
      </c>
    </row>
    <row r="286" spans="1:7" ht="15" thickBot="1" x14ac:dyDescent="0.35">
      <c r="A286" s="16">
        <v>285</v>
      </c>
      <c r="B286" s="16">
        <v>0.1515</v>
      </c>
      <c r="C286" s="16">
        <v>0.54</v>
      </c>
      <c r="D286" s="16">
        <v>0.1343</v>
      </c>
      <c r="E286" s="16">
        <v>0</v>
      </c>
      <c r="F286" s="16">
        <v>72</v>
      </c>
      <c r="G286" s="16">
        <v>72</v>
      </c>
    </row>
    <row r="287" spans="1:7" ht="15" thickBot="1" x14ac:dyDescent="0.35">
      <c r="A287" s="16">
        <v>286</v>
      </c>
      <c r="B287" s="16">
        <v>0.13639999999999999</v>
      </c>
      <c r="C287" s="16">
        <v>0.5</v>
      </c>
      <c r="D287" s="16">
        <v>0.19400000000000001</v>
      </c>
      <c r="E287" s="16">
        <v>5</v>
      </c>
      <c r="F287" s="16">
        <v>197</v>
      </c>
      <c r="G287" s="16">
        <v>202</v>
      </c>
    </row>
    <row r="288" spans="1:7" ht="15" thickBot="1" x14ac:dyDescent="0.35">
      <c r="A288" s="16">
        <v>287</v>
      </c>
      <c r="B288" s="16">
        <v>0.1212</v>
      </c>
      <c r="C288" s="16">
        <v>0.5</v>
      </c>
      <c r="D288" s="16">
        <v>0.32840000000000003</v>
      </c>
      <c r="E288" s="16">
        <v>2</v>
      </c>
      <c r="F288" s="16">
        <v>137</v>
      </c>
      <c r="G288" s="16">
        <v>139</v>
      </c>
    </row>
    <row r="289" spans="1:7" ht="15" thickBot="1" x14ac:dyDescent="0.35">
      <c r="A289" s="16">
        <v>288</v>
      </c>
      <c r="B289" s="16">
        <v>0.13639999999999999</v>
      </c>
      <c r="C289" s="16">
        <v>0.5</v>
      </c>
      <c r="D289" s="16">
        <v>0.35820000000000002</v>
      </c>
      <c r="E289" s="16">
        <v>2</v>
      </c>
      <c r="F289" s="16">
        <v>36</v>
      </c>
      <c r="G289" s="16">
        <v>38</v>
      </c>
    </row>
    <row r="290" spans="1:7" ht="15" thickBot="1" x14ac:dyDescent="0.35">
      <c r="A290" s="16">
        <v>289</v>
      </c>
      <c r="B290" s="16">
        <v>0.16669999999999999</v>
      </c>
      <c r="C290" s="16">
        <v>0.44</v>
      </c>
      <c r="D290" s="16">
        <v>0.44779999999999998</v>
      </c>
      <c r="E290" s="16">
        <v>4</v>
      </c>
      <c r="F290" s="16">
        <v>33</v>
      </c>
      <c r="G290" s="16">
        <v>37</v>
      </c>
    </row>
    <row r="291" spans="1:7" ht="15" thickBot="1" x14ac:dyDescent="0.35">
      <c r="A291" s="16">
        <v>290</v>
      </c>
      <c r="B291" s="16">
        <v>0.16669999999999999</v>
      </c>
      <c r="C291" s="16">
        <v>0.44</v>
      </c>
      <c r="D291" s="16">
        <v>0.41789999999999999</v>
      </c>
      <c r="E291" s="16">
        <v>3</v>
      </c>
      <c r="F291" s="16">
        <v>49</v>
      </c>
      <c r="G291" s="16">
        <v>52</v>
      </c>
    </row>
    <row r="292" spans="1:7" ht="15" thickBot="1" x14ac:dyDescent="0.35">
      <c r="A292" s="16">
        <v>291</v>
      </c>
      <c r="B292" s="16">
        <v>0.19700000000000001</v>
      </c>
      <c r="C292" s="16">
        <v>0.41</v>
      </c>
      <c r="D292" s="16">
        <v>0.44779999999999998</v>
      </c>
      <c r="E292" s="16">
        <v>2</v>
      </c>
      <c r="F292" s="16">
        <v>81</v>
      </c>
      <c r="G292" s="16">
        <v>83</v>
      </c>
    </row>
    <row r="293" spans="1:7" ht="15" thickBot="1" x14ac:dyDescent="0.35">
      <c r="A293" s="16">
        <v>292</v>
      </c>
      <c r="B293" s="16">
        <v>0.19700000000000001</v>
      </c>
      <c r="C293" s="16">
        <v>0.41</v>
      </c>
      <c r="D293" s="16">
        <v>0.3881</v>
      </c>
      <c r="E293" s="16">
        <v>3</v>
      </c>
      <c r="F293" s="16">
        <v>39</v>
      </c>
      <c r="G293" s="16">
        <v>42</v>
      </c>
    </row>
    <row r="294" spans="1:7" ht="15" thickBot="1" x14ac:dyDescent="0.35">
      <c r="A294" s="16">
        <v>293</v>
      </c>
      <c r="B294" s="16">
        <v>0.21210000000000001</v>
      </c>
      <c r="C294" s="16">
        <v>0.38</v>
      </c>
      <c r="D294" s="16">
        <v>0.29849999999999999</v>
      </c>
      <c r="E294" s="16">
        <v>5</v>
      </c>
      <c r="F294" s="16">
        <v>55</v>
      </c>
      <c r="G294" s="16">
        <v>60</v>
      </c>
    </row>
    <row r="295" spans="1:7" ht="15" thickBot="1" x14ac:dyDescent="0.35">
      <c r="A295" s="16">
        <v>294</v>
      </c>
      <c r="B295" s="16">
        <v>0.21210000000000001</v>
      </c>
      <c r="C295" s="16">
        <v>0.38</v>
      </c>
      <c r="D295" s="16">
        <v>0.35820000000000002</v>
      </c>
      <c r="E295" s="16">
        <v>2</v>
      </c>
      <c r="F295" s="16">
        <v>76</v>
      </c>
      <c r="G295" s="16">
        <v>78</v>
      </c>
    </row>
    <row r="296" spans="1:7" ht="15" thickBot="1" x14ac:dyDescent="0.35">
      <c r="A296" s="16">
        <v>295</v>
      </c>
      <c r="B296" s="16">
        <v>0.18179999999999999</v>
      </c>
      <c r="C296" s="16">
        <v>0.4</v>
      </c>
      <c r="D296" s="16">
        <v>0.28360000000000002</v>
      </c>
      <c r="E296" s="16">
        <v>4</v>
      </c>
      <c r="F296" s="16">
        <v>158</v>
      </c>
      <c r="G296" s="16">
        <v>162</v>
      </c>
    </row>
    <row r="297" spans="1:7" ht="15" thickBot="1" x14ac:dyDescent="0.35">
      <c r="A297" s="16">
        <v>296</v>
      </c>
      <c r="B297" s="16">
        <v>0.18179999999999999</v>
      </c>
      <c r="C297" s="16">
        <v>0.4</v>
      </c>
      <c r="D297" s="16">
        <v>0.32840000000000003</v>
      </c>
      <c r="E297" s="16">
        <v>3</v>
      </c>
      <c r="F297" s="16">
        <v>141</v>
      </c>
      <c r="G297" s="16">
        <v>144</v>
      </c>
    </row>
    <row r="298" spans="1:7" ht="15" thickBot="1" x14ac:dyDescent="0.35">
      <c r="A298" s="16">
        <v>297</v>
      </c>
      <c r="B298" s="16">
        <v>0.1515</v>
      </c>
      <c r="C298" s="16">
        <v>0.47</v>
      </c>
      <c r="D298" s="16">
        <v>0.25369999999999998</v>
      </c>
      <c r="E298" s="16">
        <v>1</v>
      </c>
      <c r="F298" s="16">
        <v>98</v>
      </c>
      <c r="G298" s="16">
        <v>99</v>
      </c>
    </row>
    <row r="299" spans="1:7" ht="15" thickBot="1" x14ac:dyDescent="0.35">
      <c r="A299" s="16">
        <v>298</v>
      </c>
      <c r="B299" s="16">
        <v>0.1515</v>
      </c>
      <c r="C299" s="16">
        <v>0.47</v>
      </c>
      <c r="D299" s="16">
        <v>0.22389999999999999</v>
      </c>
      <c r="E299" s="16">
        <v>0</v>
      </c>
      <c r="F299" s="16">
        <v>64</v>
      </c>
      <c r="G299" s="16">
        <v>64</v>
      </c>
    </row>
    <row r="300" spans="1:7" ht="15" thickBot="1" x14ac:dyDescent="0.35">
      <c r="A300" s="16">
        <v>299</v>
      </c>
      <c r="B300" s="16">
        <v>0.1212</v>
      </c>
      <c r="C300" s="16">
        <v>0.46</v>
      </c>
      <c r="D300" s="16">
        <v>0.29849999999999999</v>
      </c>
      <c r="E300" s="16">
        <v>0</v>
      </c>
      <c r="F300" s="16">
        <v>40</v>
      </c>
      <c r="G300" s="16">
        <v>40</v>
      </c>
    </row>
    <row r="301" spans="1:7" ht="15" thickBot="1" x14ac:dyDescent="0.35">
      <c r="A301" s="16">
        <v>300</v>
      </c>
      <c r="B301" s="16">
        <v>0.1212</v>
      </c>
      <c r="C301" s="16">
        <v>0.46</v>
      </c>
      <c r="D301" s="16">
        <v>0.32840000000000003</v>
      </c>
      <c r="E301" s="16">
        <v>0</v>
      </c>
      <c r="F301" s="16">
        <v>30</v>
      </c>
      <c r="G301" s="16">
        <v>30</v>
      </c>
    </row>
    <row r="302" spans="1:7" ht="15" thickBot="1" x14ac:dyDescent="0.35">
      <c r="A302" s="16">
        <v>301</v>
      </c>
      <c r="B302" s="16">
        <v>0.13639999999999999</v>
      </c>
      <c r="C302" s="16">
        <v>0.5</v>
      </c>
      <c r="D302" s="16">
        <v>0.19400000000000001</v>
      </c>
      <c r="E302" s="16">
        <v>1</v>
      </c>
      <c r="F302" s="16">
        <v>14</v>
      </c>
      <c r="G302" s="16">
        <v>15</v>
      </c>
    </row>
    <row r="303" spans="1:7" ht="15" thickBot="1" x14ac:dyDescent="0.35">
      <c r="A303" s="16">
        <v>302</v>
      </c>
      <c r="B303" s="16">
        <v>0.13639999999999999</v>
      </c>
      <c r="C303" s="16">
        <v>0.5</v>
      </c>
      <c r="D303" s="16">
        <v>0.19400000000000001</v>
      </c>
      <c r="E303" s="16">
        <v>0</v>
      </c>
      <c r="F303" s="16">
        <v>14</v>
      </c>
      <c r="G303" s="16">
        <v>14</v>
      </c>
    </row>
    <row r="304" spans="1:7" ht="15" thickBot="1" x14ac:dyDescent="0.35">
      <c r="A304" s="16">
        <v>303</v>
      </c>
      <c r="B304" s="16">
        <v>0.1212</v>
      </c>
      <c r="C304" s="16">
        <v>0.54</v>
      </c>
      <c r="D304" s="16">
        <v>0.16420000000000001</v>
      </c>
      <c r="E304" s="16">
        <v>0</v>
      </c>
      <c r="F304" s="16">
        <v>5</v>
      </c>
      <c r="G304" s="16">
        <v>5</v>
      </c>
    </row>
    <row r="305" spans="1:7" ht="15" thickBot="1" x14ac:dyDescent="0.35">
      <c r="A305" s="16">
        <v>304</v>
      </c>
      <c r="B305" s="16">
        <v>0.1212</v>
      </c>
      <c r="C305" s="16">
        <v>0.54</v>
      </c>
      <c r="D305" s="16">
        <v>0.1343</v>
      </c>
      <c r="E305" s="16">
        <v>0</v>
      </c>
      <c r="F305" s="16">
        <v>1</v>
      </c>
      <c r="G305" s="16">
        <v>1</v>
      </c>
    </row>
    <row r="306" spans="1:7" ht="15" thickBot="1" x14ac:dyDescent="0.35">
      <c r="A306" s="16">
        <v>305</v>
      </c>
      <c r="B306" s="16">
        <v>0.13639999999999999</v>
      </c>
      <c r="C306" s="16">
        <v>0.54</v>
      </c>
      <c r="D306" s="16">
        <v>0.1045</v>
      </c>
      <c r="E306" s="16">
        <v>0</v>
      </c>
      <c r="F306" s="16">
        <v>1</v>
      </c>
      <c r="G306" s="16">
        <v>1</v>
      </c>
    </row>
    <row r="307" spans="1:7" ht="15" thickBot="1" x14ac:dyDescent="0.35">
      <c r="A307" s="16">
        <v>306</v>
      </c>
      <c r="B307" s="16">
        <v>0.13639999999999999</v>
      </c>
      <c r="C307" s="16">
        <v>0.54</v>
      </c>
      <c r="D307" s="16">
        <v>8.9599999999999999E-2</v>
      </c>
      <c r="E307" s="16">
        <v>0</v>
      </c>
      <c r="F307" s="16">
        <v>8</v>
      </c>
      <c r="G307" s="16">
        <v>8</v>
      </c>
    </row>
    <row r="308" spans="1:7" ht="15" thickBot="1" x14ac:dyDescent="0.35">
      <c r="A308" s="16">
        <v>307</v>
      </c>
      <c r="B308" s="16">
        <v>0.18179999999999999</v>
      </c>
      <c r="C308" s="16">
        <v>0.54</v>
      </c>
      <c r="D308" s="16">
        <v>0</v>
      </c>
      <c r="E308" s="16">
        <v>0</v>
      </c>
      <c r="F308" s="16">
        <v>17</v>
      </c>
      <c r="G308" s="16">
        <v>17</v>
      </c>
    </row>
    <row r="309" spans="1:7" ht="15" thickBot="1" x14ac:dyDescent="0.35">
      <c r="A309" s="16">
        <v>308</v>
      </c>
      <c r="B309" s="16">
        <v>0.1212</v>
      </c>
      <c r="C309" s="16">
        <v>0.74</v>
      </c>
      <c r="D309" s="16">
        <v>0.16420000000000001</v>
      </c>
      <c r="E309" s="16">
        <v>0</v>
      </c>
      <c r="F309" s="16">
        <v>70</v>
      </c>
      <c r="G309" s="16">
        <v>70</v>
      </c>
    </row>
    <row r="310" spans="1:7" ht="15" thickBot="1" x14ac:dyDescent="0.35">
      <c r="A310" s="16">
        <v>309</v>
      </c>
      <c r="B310" s="16">
        <v>0.16669999999999999</v>
      </c>
      <c r="C310" s="16">
        <v>0.68</v>
      </c>
      <c r="D310" s="16">
        <v>0</v>
      </c>
      <c r="E310" s="16">
        <v>2</v>
      </c>
      <c r="F310" s="16">
        <v>156</v>
      </c>
      <c r="G310" s="16">
        <v>158</v>
      </c>
    </row>
    <row r="311" spans="1:7" ht="15" thickBot="1" x14ac:dyDescent="0.35">
      <c r="A311" s="16">
        <v>310</v>
      </c>
      <c r="B311" s="16">
        <v>0.1515</v>
      </c>
      <c r="C311" s="16">
        <v>0.69</v>
      </c>
      <c r="D311" s="16">
        <v>0.1343</v>
      </c>
      <c r="E311" s="16">
        <v>0</v>
      </c>
      <c r="F311" s="16">
        <v>117</v>
      </c>
      <c r="G311" s="16">
        <v>117</v>
      </c>
    </row>
    <row r="312" spans="1:7" ht="15" thickBot="1" x14ac:dyDescent="0.35">
      <c r="A312" s="16">
        <v>311</v>
      </c>
      <c r="B312" s="16">
        <v>0.18179999999999999</v>
      </c>
      <c r="C312" s="16">
        <v>0.55000000000000004</v>
      </c>
      <c r="D312" s="16">
        <v>0.19400000000000001</v>
      </c>
      <c r="E312" s="16">
        <v>4</v>
      </c>
      <c r="F312" s="16">
        <v>40</v>
      </c>
      <c r="G312" s="16">
        <v>44</v>
      </c>
    </row>
    <row r="313" spans="1:7" ht="15" thickBot="1" x14ac:dyDescent="0.35">
      <c r="A313" s="16">
        <v>312</v>
      </c>
      <c r="B313" s="16">
        <v>0.16669999999999999</v>
      </c>
      <c r="C313" s="16">
        <v>0.51</v>
      </c>
      <c r="D313" s="16">
        <v>0.28360000000000002</v>
      </c>
      <c r="E313" s="16">
        <v>6</v>
      </c>
      <c r="F313" s="16">
        <v>47</v>
      </c>
      <c r="G313" s="16">
        <v>53</v>
      </c>
    </row>
    <row r="314" spans="1:7" ht="15" thickBot="1" x14ac:dyDescent="0.35">
      <c r="A314" s="16">
        <v>313</v>
      </c>
      <c r="B314" s="16">
        <v>0.19700000000000001</v>
      </c>
      <c r="C314" s="16">
        <v>0.44</v>
      </c>
      <c r="D314" s="16">
        <v>0.25369999999999998</v>
      </c>
      <c r="E314" s="16">
        <v>2</v>
      </c>
      <c r="F314" s="16">
        <v>59</v>
      </c>
      <c r="G314" s="16">
        <v>61</v>
      </c>
    </row>
    <row r="315" spans="1:7" ht="15" thickBot="1" x14ac:dyDescent="0.35">
      <c r="A315" s="16">
        <v>314</v>
      </c>
      <c r="B315" s="16">
        <v>0.19700000000000001</v>
      </c>
      <c r="C315" s="16">
        <v>0.37</v>
      </c>
      <c r="D315" s="16">
        <v>0.3881</v>
      </c>
      <c r="E315" s="16">
        <v>4</v>
      </c>
      <c r="F315" s="16">
        <v>73</v>
      </c>
      <c r="G315" s="16">
        <v>77</v>
      </c>
    </row>
    <row r="316" spans="1:7" ht="15" thickBot="1" x14ac:dyDescent="0.35">
      <c r="A316" s="16">
        <v>315</v>
      </c>
      <c r="B316" s="16">
        <v>0.21210000000000001</v>
      </c>
      <c r="C316" s="16">
        <v>0.41</v>
      </c>
      <c r="D316" s="16">
        <v>0.28360000000000002</v>
      </c>
      <c r="E316" s="16">
        <v>5</v>
      </c>
      <c r="F316" s="16">
        <v>59</v>
      </c>
      <c r="G316" s="16">
        <v>64</v>
      </c>
    </row>
    <row r="317" spans="1:7" ht="15" thickBot="1" x14ac:dyDescent="0.35">
      <c r="A317" s="16">
        <v>316</v>
      </c>
      <c r="B317" s="16">
        <v>0.2424</v>
      </c>
      <c r="C317" s="16">
        <v>0.38</v>
      </c>
      <c r="D317" s="16">
        <v>0.16420000000000001</v>
      </c>
      <c r="E317" s="16">
        <v>9</v>
      </c>
      <c r="F317" s="16">
        <v>59</v>
      </c>
      <c r="G317" s="16">
        <v>68</v>
      </c>
    </row>
    <row r="318" spans="1:7" ht="15" thickBot="1" x14ac:dyDescent="0.35">
      <c r="A318" s="16">
        <v>317</v>
      </c>
      <c r="B318" s="16">
        <v>0.2424</v>
      </c>
      <c r="C318" s="16">
        <v>0.41</v>
      </c>
      <c r="D318" s="16">
        <v>0.1045</v>
      </c>
      <c r="E318" s="16">
        <v>3</v>
      </c>
      <c r="F318" s="16">
        <v>87</v>
      </c>
      <c r="G318" s="16">
        <v>90</v>
      </c>
    </row>
    <row r="319" spans="1:7" ht="15" thickBot="1" x14ac:dyDescent="0.35">
      <c r="A319" s="16">
        <v>318</v>
      </c>
      <c r="B319" s="16">
        <v>0.2273</v>
      </c>
      <c r="C319" s="16">
        <v>0.41</v>
      </c>
      <c r="D319" s="16">
        <v>0.16420000000000001</v>
      </c>
      <c r="E319" s="16">
        <v>4</v>
      </c>
      <c r="F319" s="16">
        <v>155</v>
      </c>
      <c r="G319" s="16">
        <v>159</v>
      </c>
    </row>
    <row r="320" spans="1:7" ht="15" thickBot="1" x14ac:dyDescent="0.35">
      <c r="A320" s="16">
        <v>319</v>
      </c>
      <c r="B320" s="16">
        <v>0.2576</v>
      </c>
      <c r="C320" s="16">
        <v>0.47</v>
      </c>
      <c r="D320" s="16">
        <v>0</v>
      </c>
      <c r="E320" s="16">
        <v>5</v>
      </c>
      <c r="F320" s="16">
        <v>134</v>
      </c>
      <c r="G320" s="16">
        <v>139</v>
      </c>
    </row>
    <row r="321" spans="1:7" ht="15" thickBot="1" x14ac:dyDescent="0.35">
      <c r="A321" s="16">
        <v>320</v>
      </c>
      <c r="B321" s="16">
        <v>0.19700000000000001</v>
      </c>
      <c r="C321" s="16">
        <v>0.59</v>
      </c>
      <c r="D321" s="16">
        <v>8.9599999999999999E-2</v>
      </c>
      <c r="E321" s="16">
        <v>3</v>
      </c>
      <c r="F321" s="16">
        <v>89</v>
      </c>
      <c r="G321" s="16">
        <v>92</v>
      </c>
    </row>
    <row r="322" spans="1:7" ht="15" thickBot="1" x14ac:dyDescent="0.35">
      <c r="A322" s="16">
        <v>321</v>
      </c>
      <c r="B322" s="16">
        <v>0.2424</v>
      </c>
      <c r="C322" s="16">
        <v>0.59</v>
      </c>
      <c r="D322" s="16">
        <v>0</v>
      </c>
      <c r="E322" s="16">
        <v>0</v>
      </c>
      <c r="F322" s="16">
        <v>68</v>
      </c>
      <c r="G322" s="16">
        <v>68</v>
      </c>
    </row>
    <row r="323" spans="1:7" ht="15" thickBot="1" x14ac:dyDescent="0.35">
      <c r="A323" s="16">
        <v>322</v>
      </c>
      <c r="B323" s="16">
        <v>0.2273</v>
      </c>
      <c r="C323" s="16">
        <v>0.69</v>
      </c>
      <c r="D323" s="16">
        <v>0</v>
      </c>
      <c r="E323" s="16">
        <v>4</v>
      </c>
      <c r="F323" s="16">
        <v>48</v>
      </c>
      <c r="G323" s="16">
        <v>52</v>
      </c>
    </row>
    <row r="324" spans="1:7" ht="15" thickBot="1" x14ac:dyDescent="0.35">
      <c r="A324" s="16">
        <v>323</v>
      </c>
      <c r="B324" s="16">
        <v>0.2273</v>
      </c>
      <c r="C324" s="16">
        <v>0.69</v>
      </c>
      <c r="D324" s="16">
        <v>0</v>
      </c>
      <c r="E324" s="16">
        <v>2</v>
      </c>
      <c r="F324" s="16">
        <v>34</v>
      </c>
      <c r="G324" s="16">
        <v>36</v>
      </c>
    </row>
    <row r="325" spans="1:7" ht="15" thickBot="1" x14ac:dyDescent="0.35">
      <c r="A325" s="16">
        <v>324</v>
      </c>
      <c r="B325" s="16">
        <v>0.2424</v>
      </c>
      <c r="C325" s="16">
        <v>0.55000000000000004</v>
      </c>
      <c r="D325" s="16">
        <v>0</v>
      </c>
      <c r="E325" s="16">
        <v>1</v>
      </c>
      <c r="F325" s="16">
        <v>26</v>
      </c>
      <c r="G325" s="16">
        <v>27</v>
      </c>
    </row>
    <row r="326" spans="1:7" ht="15" thickBot="1" x14ac:dyDescent="0.35">
      <c r="A326" s="16">
        <v>325</v>
      </c>
      <c r="B326" s="16">
        <v>0.2424</v>
      </c>
      <c r="C326" s="16">
        <v>0.55000000000000004</v>
      </c>
      <c r="D326" s="16">
        <v>0</v>
      </c>
      <c r="E326" s="16">
        <v>3</v>
      </c>
      <c r="F326" s="16">
        <v>25</v>
      </c>
      <c r="G326" s="16">
        <v>28</v>
      </c>
    </row>
    <row r="327" spans="1:7" ht="15" thickBot="1" x14ac:dyDescent="0.35">
      <c r="A327" s="16">
        <v>326</v>
      </c>
      <c r="B327" s="16">
        <v>0.19700000000000001</v>
      </c>
      <c r="C327" s="16">
        <v>0.59</v>
      </c>
      <c r="D327" s="16">
        <v>8.9599999999999999E-2</v>
      </c>
      <c r="E327" s="16">
        <v>2</v>
      </c>
      <c r="F327" s="16">
        <v>18</v>
      </c>
      <c r="G327" s="16">
        <v>20</v>
      </c>
    </row>
    <row r="328" spans="1:7" ht="15" thickBot="1" x14ac:dyDescent="0.35">
      <c r="A328" s="16">
        <v>327</v>
      </c>
      <c r="B328" s="16">
        <v>0.19700000000000001</v>
      </c>
      <c r="C328" s="16">
        <v>0.59</v>
      </c>
      <c r="D328" s="16">
        <v>8.9599999999999999E-2</v>
      </c>
      <c r="E328" s="16">
        <v>0</v>
      </c>
      <c r="F328" s="16">
        <v>12</v>
      </c>
      <c r="G328" s="16">
        <v>12</v>
      </c>
    </row>
    <row r="329" spans="1:7" ht="15" thickBot="1" x14ac:dyDescent="0.35">
      <c r="A329" s="16">
        <v>328</v>
      </c>
      <c r="B329" s="16">
        <v>0.2273</v>
      </c>
      <c r="C329" s="16">
        <v>0.59</v>
      </c>
      <c r="D329" s="16">
        <v>0</v>
      </c>
      <c r="E329" s="16">
        <v>1</v>
      </c>
      <c r="F329" s="16">
        <v>7</v>
      </c>
      <c r="G329" s="16">
        <v>8</v>
      </c>
    </row>
    <row r="330" spans="1:7" ht="15" thickBot="1" x14ac:dyDescent="0.35">
      <c r="A330" s="16">
        <v>329</v>
      </c>
      <c r="B330" s="16">
        <v>0.2273</v>
      </c>
      <c r="C330" s="16">
        <v>0.59</v>
      </c>
      <c r="D330" s="16">
        <v>0</v>
      </c>
      <c r="E330" s="16">
        <v>0</v>
      </c>
      <c r="F330" s="16">
        <v>5</v>
      </c>
      <c r="G330" s="16">
        <v>5</v>
      </c>
    </row>
    <row r="331" spans="1:7" ht="15" thickBot="1" x14ac:dyDescent="0.35">
      <c r="A331" s="16">
        <v>330</v>
      </c>
      <c r="B331" s="16">
        <v>0.2273</v>
      </c>
      <c r="C331" s="16">
        <v>0.59</v>
      </c>
      <c r="D331" s="16">
        <v>0</v>
      </c>
      <c r="E331" s="16">
        <v>0</v>
      </c>
      <c r="F331" s="16">
        <v>1</v>
      </c>
      <c r="G331" s="16">
        <v>1</v>
      </c>
    </row>
    <row r="332" spans="1:7" ht="15" thickBot="1" x14ac:dyDescent="0.35">
      <c r="A332" s="16">
        <v>331</v>
      </c>
      <c r="B332" s="16">
        <v>0.16669999999999999</v>
      </c>
      <c r="C332" s="16">
        <v>0.63</v>
      </c>
      <c r="D332" s="16">
        <v>0.1045</v>
      </c>
      <c r="E332" s="16">
        <v>1</v>
      </c>
      <c r="F332" s="16">
        <v>2</v>
      </c>
      <c r="G332" s="16">
        <v>3</v>
      </c>
    </row>
    <row r="333" spans="1:7" ht="15" thickBot="1" x14ac:dyDescent="0.35">
      <c r="A333" s="16">
        <v>332</v>
      </c>
      <c r="B333" s="16">
        <v>0.21210000000000001</v>
      </c>
      <c r="C333" s="16">
        <v>0.63</v>
      </c>
      <c r="D333" s="16">
        <v>0</v>
      </c>
      <c r="E333" s="16">
        <v>1</v>
      </c>
      <c r="F333" s="16">
        <v>9</v>
      </c>
      <c r="G333" s="16">
        <v>10</v>
      </c>
    </row>
    <row r="334" spans="1:7" ht="15" thickBot="1" x14ac:dyDescent="0.35">
      <c r="A334" s="16">
        <v>333</v>
      </c>
      <c r="B334" s="16">
        <v>0.1515</v>
      </c>
      <c r="C334" s="16">
        <v>0.63</v>
      </c>
      <c r="D334" s="16">
        <v>0.1343</v>
      </c>
      <c r="E334" s="16">
        <v>1</v>
      </c>
      <c r="F334" s="16">
        <v>22</v>
      </c>
      <c r="G334" s="16">
        <v>23</v>
      </c>
    </row>
    <row r="335" spans="1:7" ht="15" thickBot="1" x14ac:dyDescent="0.35">
      <c r="A335" s="16">
        <v>334</v>
      </c>
      <c r="B335" s="16">
        <v>0.18179999999999999</v>
      </c>
      <c r="C335" s="16">
        <v>0.64</v>
      </c>
      <c r="D335" s="16">
        <v>0.1343</v>
      </c>
      <c r="E335" s="16">
        <v>2</v>
      </c>
      <c r="F335" s="16">
        <v>31</v>
      </c>
      <c r="G335" s="16">
        <v>33</v>
      </c>
    </row>
    <row r="336" spans="1:7" ht="15" thickBot="1" x14ac:dyDescent="0.35">
      <c r="A336" s="16">
        <v>335</v>
      </c>
      <c r="B336" s="16">
        <v>0.19700000000000001</v>
      </c>
      <c r="C336" s="16">
        <v>0.59</v>
      </c>
      <c r="D336" s="16">
        <v>0.16420000000000001</v>
      </c>
      <c r="E336" s="16">
        <v>2</v>
      </c>
      <c r="F336" s="16">
        <v>57</v>
      </c>
      <c r="G336" s="16">
        <v>59</v>
      </c>
    </row>
    <row r="337" spans="1:7" ht="15" thickBot="1" x14ac:dyDescent="0.35">
      <c r="A337" s="16">
        <v>336</v>
      </c>
      <c r="B337" s="16">
        <v>0.19700000000000001</v>
      </c>
      <c r="C337" s="16">
        <v>0.55000000000000004</v>
      </c>
      <c r="D337" s="16">
        <v>0.22389999999999999</v>
      </c>
      <c r="E337" s="16">
        <v>18</v>
      </c>
      <c r="F337" s="16">
        <v>54</v>
      </c>
      <c r="G337" s="16">
        <v>72</v>
      </c>
    </row>
    <row r="338" spans="1:7" ht="15" thickBot="1" x14ac:dyDescent="0.35">
      <c r="A338" s="16">
        <v>337</v>
      </c>
      <c r="B338" s="16">
        <v>0.2273</v>
      </c>
      <c r="C338" s="16">
        <v>0.48</v>
      </c>
      <c r="D338" s="16">
        <v>0.22389999999999999</v>
      </c>
      <c r="E338" s="16">
        <v>15</v>
      </c>
      <c r="F338" s="16">
        <v>74</v>
      </c>
      <c r="G338" s="16">
        <v>89</v>
      </c>
    </row>
    <row r="339" spans="1:7" ht="15" thickBot="1" x14ac:dyDescent="0.35">
      <c r="A339" s="16">
        <v>338</v>
      </c>
      <c r="B339" s="16">
        <v>0.2576</v>
      </c>
      <c r="C339" s="16">
        <v>0.38</v>
      </c>
      <c r="D339" s="16">
        <v>0.29849999999999999</v>
      </c>
      <c r="E339" s="16">
        <v>21</v>
      </c>
      <c r="F339" s="16">
        <v>80</v>
      </c>
      <c r="G339" s="16">
        <v>101</v>
      </c>
    </row>
    <row r="340" spans="1:7" ht="15" thickBot="1" x14ac:dyDescent="0.35">
      <c r="A340" s="16">
        <v>339</v>
      </c>
      <c r="B340" s="16">
        <v>0.28789999999999999</v>
      </c>
      <c r="C340" s="16">
        <v>0.39</v>
      </c>
      <c r="D340" s="16">
        <v>0.28360000000000002</v>
      </c>
      <c r="E340" s="16">
        <v>26</v>
      </c>
      <c r="F340" s="16">
        <v>92</v>
      </c>
      <c r="G340" s="16">
        <v>118</v>
      </c>
    </row>
    <row r="341" spans="1:7" ht="15" thickBot="1" x14ac:dyDescent="0.35">
      <c r="A341" s="16">
        <v>340</v>
      </c>
      <c r="B341" s="16">
        <v>0.31819999999999998</v>
      </c>
      <c r="C341" s="16">
        <v>0.36</v>
      </c>
      <c r="D341" s="16">
        <v>0.19400000000000001</v>
      </c>
      <c r="E341" s="16">
        <v>21</v>
      </c>
      <c r="F341" s="16">
        <v>108</v>
      </c>
      <c r="G341" s="16">
        <v>129</v>
      </c>
    </row>
    <row r="342" spans="1:7" ht="15" thickBot="1" x14ac:dyDescent="0.35">
      <c r="A342" s="16">
        <v>341</v>
      </c>
      <c r="B342" s="16">
        <v>0.33329999999999999</v>
      </c>
      <c r="C342" s="16">
        <v>0.34</v>
      </c>
      <c r="D342" s="16">
        <v>0.19400000000000001</v>
      </c>
      <c r="E342" s="16">
        <v>33</v>
      </c>
      <c r="F342" s="16">
        <v>95</v>
      </c>
      <c r="G342" s="16">
        <v>128</v>
      </c>
    </row>
    <row r="343" spans="1:7" ht="15" thickBot="1" x14ac:dyDescent="0.35">
      <c r="A343" s="16">
        <v>342</v>
      </c>
      <c r="B343" s="16">
        <v>0.30299999999999999</v>
      </c>
      <c r="C343" s="16">
        <v>0.36</v>
      </c>
      <c r="D343" s="16">
        <v>0.28360000000000002</v>
      </c>
      <c r="E343" s="16">
        <v>29</v>
      </c>
      <c r="F343" s="16">
        <v>54</v>
      </c>
      <c r="G343" s="16">
        <v>83</v>
      </c>
    </row>
    <row r="344" spans="1:7" ht="15" thickBot="1" x14ac:dyDescent="0.35">
      <c r="A344" s="16">
        <v>343</v>
      </c>
      <c r="B344" s="16">
        <v>0.28789999999999999</v>
      </c>
      <c r="C344" s="16">
        <v>0.45</v>
      </c>
      <c r="D344" s="16">
        <v>0.25369999999999998</v>
      </c>
      <c r="E344" s="16">
        <v>15</v>
      </c>
      <c r="F344" s="16">
        <v>69</v>
      </c>
      <c r="G344" s="16">
        <v>84</v>
      </c>
    </row>
    <row r="345" spans="1:7" ht="15" thickBot="1" x14ac:dyDescent="0.35">
      <c r="A345" s="16">
        <v>344</v>
      </c>
      <c r="B345" s="16">
        <v>0.30299999999999999</v>
      </c>
      <c r="C345" s="16">
        <v>0.39</v>
      </c>
      <c r="D345" s="16">
        <v>0.25369999999999998</v>
      </c>
      <c r="E345" s="16">
        <v>14</v>
      </c>
      <c r="F345" s="16">
        <v>60</v>
      </c>
      <c r="G345" s="16">
        <v>74</v>
      </c>
    </row>
    <row r="346" spans="1:7" ht="15" thickBot="1" x14ac:dyDescent="0.35">
      <c r="A346" s="16">
        <v>345</v>
      </c>
      <c r="B346" s="16">
        <v>0.30299999999999999</v>
      </c>
      <c r="C346" s="16">
        <v>0.39</v>
      </c>
      <c r="D346" s="16">
        <v>0.25369999999999998</v>
      </c>
      <c r="E346" s="16">
        <v>6</v>
      </c>
      <c r="F346" s="16">
        <v>35</v>
      </c>
      <c r="G346" s="16">
        <v>41</v>
      </c>
    </row>
    <row r="347" spans="1:7" ht="15" thickBot="1" x14ac:dyDescent="0.35">
      <c r="A347" s="16">
        <v>346</v>
      </c>
      <c r="B347" s="16">
        <v>0.30299999999999999</v>
      </c>
      <c r="C347" s="16">
        <v>0.39</v>
      </c>
      <c r="D347" s="16">
        <v>0.22389999999999999</v>
      </c>
      <c r="E347" s="16">
        <v>6</v>
      </c>
      <c r="F347" s="16">
        <v>51</v>
      </c>
      <c r="G347" s="16">
        <v>57</v>
      </c>
    </row>
    <row r="348" spans="1:7" ht="15" thickBot="1" x14ac:dyDescent="0.35">
      <c r="A348" s="16">
        <v>347</v>
      </c>
      <c r="B348" s="16">
        <v>0.31819999999999998</v>
      </c>
      <c r="C348" s="16">
        <v>0.42</v>
      </c>
      <c r="D348" s="16">
        <v>0.1045</v>
      </c>
      <c r="E348" s="16">
        <v>0</v>
      </c>
      <c r="F348" s="16">
        <v>26</v>
      </c>
      <c r="G348" s="16">
        <v>26</v>
      </c>
    </row>
    <row r="349" spans="1:7" ht="15" thickBot="1" x14ac:dyDescent="0.35">
      <c r="A349" s="16">
        <v>348</v>
      </c>
      <c r="B349" s="16">
        <v>0.28789999999999999</v>
      </c>
      <c r="C349" s="16">
        <v>0.45</v>
      </c>
      <c r="D349" s="16">
        <v>0.28360000000000002</v>
      </c>
      <c r="E349" s="16">
        <v>5</v>
      </c>
      <c r="F349" s="16">
        <v>39</v>
      </c>
      <c r="G349" s="16">
        <v>44</v>
      </c>
    </row>
    <row r="350" spans="1:7" ht="15" thickBot="1" x14ac:dyDescent="0.35">
      <c r="A350" s="16">
        <v>349</v>
      </c>
      <c r="B350" s="16">
        <v>0.30299999999999999</v>
      </c>
      <c r="C350" s="16">
        <v>0.56000000000000005</v>
      </c>
      <c r="D350" s="16">
        <v>0</v>
      </c>
      <c r="E350" s="16">
        <v>6</v>
      </c>
      <c r="F350" s="16">
        <v>33</v>
      </c>
      <c r="G350" s="16">
        <v>39</v>
      </c>
    </row>
    <row r="351" spans="1:7" ht="15" thickBot="1" x14ac:dyDescent="0.35">
      <c r="A351" s="16">
        <v>350</v>
      </c>
      <c r="B351" s="16">
        <v>0.2727</v>
      </c>
      <c r="C351" s="16">
        <v>0.56000000000000005</v>
      </c>
      <c r="D351" s="16">
        <v>0.1343</v>
      </c>
      <c r="E351" s="16">
        <v>4</v>
      </c>
      <c r="F351" s="16">
        <v>19</v>
      </c>
      <c r="G351" s="16">
        <v>23</v>
      </c>
    </row>
    <row r="352" spans="1:7" ht="15" thickBot="1" x14ac:dyDescent="0.35">
      <c r="A352" s="16">
        <v>351</v>
      </c>
      <c r="B352" s="16">
        <v>0.28789999999999999</v>
      </c>
      <c r="C352" s="16">
        <v>0.56000000000000005</v>
      </c>
      <c r="D352" s="16">
        <v>8.9599999999999999E-2</v>
      </c>
      <c r="E352" s="16">
        <v>3</v>
      </c>
      <c r="F352" s="16">
        <v>13</v>
      </c>
      <c r="G352" s="16">
        <v>16</v>
      </c>
    </row>
    <row r="353" spans="1:7" ht="15" thickBot="1" x14ac:dyDescent="0.35">
      <c r="A353" s="16">
        <v>352</v>
      </c>
      <c r="B353" s="16">
        <v>0.2727</v>
      </c>
      <c r="C353" s="16">
        <v>0.69</v>
      </c>
      <c r="D353" s="16">
        <v>0</v>
      </c>
      <c r="E353" s="16">
        <v>9</v>
      </c>
      <c r="F353" s="16">
        <v>6</v>
      </c>
      <c r="G353" s="16">
        <v>15</v>
      </c>
    </row>
    <row r="354" spans="1:7" ht="15" thickBot="1" x14ac:dyDescent="0.35">
      <c r="A354" s="16">
        <v>353</v>
      </c>
      <c r="B354" s="16">
        <v>0.2576</v>
      </c>
      <c r="C354" s="16">
        <v>0.56000000000000005</v>
      </c>
      <c r="D354" s="16">
        <v>0.16420000000000001</v>
      </c>
      <c r="E354" s="16">
        <v>0</v>
      </c>
      <c r="F354" s="16">
        <v>1</v>
      </c>
      <c r="G354" s="16">
        <v>1</v>
      </c>
    </row>
    <row r="355" spans="1:7" ht="15" thickBot="1" x14ac:dyDescent="0.35">
      <c r="A355" s="16">
        <v>354</v>
      </c>
      <c r="B355" s="16">
        <v>0.2576</v>
      </c>
      <c r="C355" s="16">
        <v>0.56000000000000005</v>
      </c>
      <c r="D355" s="16">
        <v>0.16420000000000001</v>
      </c>
      <c r="E355" s="16">
        <v>1</v>
      </c>
      <c r="F355" s="16">
        <v>1</v>
      </c>
      <c r="G355" s="16">
        <v>2</v>
      </c>
    </row>
    <row r="356" spans="1:7" ht="15" thickBot="1" x14ac:dyDescent="0.35">
      <c r="A356" s="16">
        <v>355</v>
      </c>
      <c r="B356" s="16">
        <v>0.2576</v>
      </c>
      <c r="C356" s="16">
        <v>0.56000000000000005</v>
      </c>
      <c r="D356" s="16">
        <v>0.16420000000000001</v>
      </c>
      <c r="E356" s="16">
        <v>0</v>
      </c>
      <c r="F356" s="16">
        <v>1</v>
      </c>
      <c r="G356" s="16">
        <v>1</v>
      </c>
    </row>
    <row r="357" spans="1:7" ht="15" thickBot="1" x14ac:dyDescent="0.35">
      <c r="A357" s="16">
        <v>356</v>
      </c>
      <c r="B357" s="16">
        <v>0.21210000000000001</v>
      </c>
      <c r="C357" s="16">
        <v>0.56000000000000005</v>
      </c>
      <c r="D357" s="16">
        <v>0.29849999999999999</v>
      </c>
      <c r="E357" s="16">
        <v>0</v>
      </c>
      <c r="F357" s="16">
        <v>3</v>
      </c>
      <c r="G357" s="16">
        <v>3</v>
      </c>
    </row>
    <row r="358" spans="1:7" ht="15" thickBot="1" x14ac:dyDescent="0.35">
      <c r="A358" s="16">
        <v>357</v>
      </c>
      <c r="B358" s="16">
        <v>0.21210000000000001</v>
      </c>
      <c r="C358" s="16">
        <v>0.55000000000000004</v>
      </c>
      <c r="D358" s="16">
        <v>0.28360000000000002</v>
      </c>
      <c r="E358" s="16">
        <v>0</v>
      </c>
      <c r="F358" s="16">
        <v>18</v>
      </c>
      <c r="G358" s="16">
        <v>18</v>
      </c>
    </row>
    <row r="359" spans="1:7" ht="15" thickBot="1" x14ac:dyDescent="0.35">
      <c r="A359" s="16">
        <v>358</v>
      </c>
      <c r="B359" s="16">
        <v>0.21210000000000001</v>
      </c>
      <c r="C359" s="16">
        <v>0.51</v>
      </c>
      <c r="D359" s="16">
        <v>0.25369999999999998</v>
      </c>
      <c r="E359" s="16">
        <v>3</v>
      </c>
      <c r="F359" s="16">
        <v>29</v>
      </c>
      <c r="G359" s="16">
        <v>32</v>
      </c>
    </row>
    <row r="360" spans="1:7" ht="15" thickBot="1" x14ac:dyDescent="0.35">
      <c r="A360" s="16">
        <v>359</v>
      </c>
      <c r="B360" s="16">
        <v>0.21210000000000001</v>
      </c>
      <c r="C360" s="16">
        <v>0.51</v>
      </c>
      <c r="D360" s="16">
        <v>0.28360000000000002</v>
      </c>
      <c r="E360" s="16">
        <v>8</v>
      </c>
      <c r="F360" s="16">
        <v>71</v>
      </c>
      <c r="G360" s="16">
        <v>79</v>
      </c>
    </row>
    <row r="361" spans="1:7" ht="15" thickBot="1" x14ac:dyDescent="0.35">
      <c r="A361" s="16">
        <v>360</v>
      </c>
      <c r="B361" s="16">
        <v>0.2273</v>
      </c>
      <c r="C361" s="16">
        <v>0.44</v>
      </c>
      <c r="D361" s="16">
        <v>0.25369999999999998</v>
      </c>
      <c r="E361" s="16">
        <v>23</v>
      </c>
      <c r="F361" s="16">
        <v>70</v>
      </c>
      <c r="G361" s="16">
        <v>93</v>
      </c>
    </row>
    <row r="362" spans="1:7" ht="15" thickBot="1" x14ac:dyDescent="0.35">
      <c r="A362" s="16">
        <v>361</v>
      </c>
      <c r="B362" s="16">
        <v>0.21210000000000001</v>
      </c>
      <c r="C362" s="16">
        <v>0.41</v>
      </c>
      <c r="D362" s="16">
        <v>0.28360000000000002</v>
      </c>
      <c r="E362" s="16">
        <v>29</v>
      </c>
      <c r="F362" s="16">
        <v>75</v>
      </c>
      <c r="G362" s="16">
        <v>104</v>
      </c>
    </row>
    <row r="363" spans="1:7" ht="15" thickBot="1" x14ac:dyDescent="0.35">
      <c r="A363" s="16">
        <v>362</v>
      </c>
      <c r="B363" s="16">
        <v>0.2273</v>
      </c>
      <c r="C363" s="16">
        <v>0.35</v>
      </c>
      <c r="D363" s="16">
        <v>0.29849999999999999</v>
      </c>
      <c r="E363" s="16">
        <v>23</v>
      </c>
      <c r="F363" s="16">
        <v>95</v>
      </c>
      <c r="G363" s="16">
        <v>118</v>
      </c>
    </row>
    <row r="364" spans="1:7" ht="15" thickBot="1" x14ac:dyDescent="0.35">
      <c r="A364" s="16">
        <v>363</v>
      </c>
      <c r="B364" s="16">
        <v>0.2727</v>
      </c>
      <c r="C364" s="16">
        <v>0.36</v>
      </c>
      <c r="D364" s="16">
        <v>0.25369999999999998</v>
      </c>
      <c r="E364" s="16">
        <v>22</v>
      </c>
      <c r="F364" s="16">
        <v>69</v>
      </c>
      <c r="G364" s="16">
        <v>91</v>
      </c>
    </row>
    <row r="365" spans="1:7" ht="15" thickBot="1" x14ac:dyDescent="0.35">
      <c r="A365" s="16">
        <v>364</v>
      </c>
      <c r="B365" s="16">
        <v>0.2424</v>
      </c>
      <c r="C365" s="16">
        <v>0.38</v>
      </c>
      <c r="D365" s="16">
        <v>0.25369999999999998</v>
      </c>
      <c r="E365" s="16">
        <v>35</v>
      </c>
      <c r="F365" s="16">
        <v>78</v>
      </c>
      <c r="G365" s="16">
        <v>113</v>
      </c>
    </row>
    <row r="366" spans="1:7" ht="15" thickBot="1" x14ac:dyDescent="0.35">
      <c r="A366" s="16">
        <v>365</v>
      </c>
      <c r="B366" s="16">
        <v>0.2273</v>
      </c>
      <c r="C366" s="16">
        <v>0.38</v>
      </c>
      <c r="D366" s="16">
        <v>0.22389999999999999</v>
      </c>
      <c r="E366" s="16">
        <v>22</v>
      </c>
      <c r="F366" s="16">
        <v>77</v>
      </c>
      <c r="G366" s="16">
        <v>99</v>
      </c>
    </row>
    <row r="367" spans="1:7" ht="15" thickBot="1" x14ac:dyDescent="0.35">
      <c r="A367" s="16">
        <v>366</v>
      </c>
      <c r="B367" s="16">
        <v>0.21210000000000001</v>
      </c>
      <c r="C367" s="16">
        <v>0.37</v>
      </c>
      <c r="D367" s="16">
        <v>0.25369999999999998</v>
      </c>
      <c r="E367" s="16">
        <v>23</v>
      </c>
      <c r="F367" s="16">
        <v>82</v>
      </c>
      <c r="G367" s="16">
        <v>105</v>
      </c>
    </row>
    <row r="368" spans="1:7" ht="15" thickBot="1" x14ac:dyDescent="0.35">
      <c r="A368" s="16">
        <v>367</v>
      </c>
      <c r="B368" s="16">
        <v>0.21210000000000001</v>
      </c>
      <c r="C368" s="16">
        <v>0.4</v>
      </c>
      <c r="D368" s="16">
        <v>0.16420000000000001</v>
      </c>
      <c r="E368" s="16">
        <v>11</v>
      </c>
      <c r="F368" s="16">
        <v>56</v>
      </c>
      <c r="G368" s="16">
        <v>67</v>
      </c>
    </row>
    <row r="369" spans="1:7" ht="15" thickBot="1" x14ac:dyDescent="0.35">
      <c r="A369" s="16">
        <v>368</v>
      </c>
      <c r="B369" s="16">
        <v>0.19700000000000001</v>
      </c>
      <c r="C369" s="16">
        <v>0.47</v>
      </c>
      <c r="D369" s="16">
        <v>0.1343</v>
      </c>
      <c r="E369" s="16">
        <v>14</v>
      </c>
      <c r="F369" s="16">
        <v>47</v>
      </c>
      <c r="G369" s="16">
        <v>61</v>
      </c>
    </row>
    <row r="370" spans="1:7" ht="15" thickBot="1" x14ac:dyDescent="0.35">
      <c r="A370" s="16">
        <v>369</v>
      </c>
      <c r="B370" s="16">
        <v>0.19700000000000001</v>
      </c>
      <c r="C370" s="16">
        <v>0.47</v>
      </c>
      <c r="D370" s="16">
        <v>0.16420000000000001</v>
      </c>
      <c r="E370" s="16">
        <v>7</v>
      </c>
      <c r="F370" s="16">
        <v>50</v>
      </c>
      <c r="G370" s="16">
        <v>57</v>
      </c>
    </row>
    <row r="371" spans="1:7" ht="15" thickBot="1" x14ac:dyDescent="0.35">
      <c r="A371" s="16">
        <v>370</v>
      </c>
      <c r="B371" s="16">
        <v>0.19700000000000001</v>
      </c>
      <c r="C371" s="16">
        <v>0.51</v>
      </c>
      <c r="D371" s="16">
        <v>0.16420000000000001</v>
      </c>
      <c r="E371" s="16">
        <v>6</v>
      </c>
      <c r="F371" s="16">
        <v>22</v>
      </c>
      <c r="G371" s="16">
        <v>28</v>
      </c>
    </row>
    <row r="372" spans="1:7" ht="15" thickBot="1" x14ac:dyDescent="0.35">
      <c r="A372" s="16">
        <v>371</v>
      </c>
      <c r="B372" s="16">
        <v>0.21210000000000001</v>
      </c>
      <c r="C372" s="16">
        <v>0.49</v>
      </c>
      <c r="D372" s="16">
        <v>0.1343</v>
      </c>
      <c r="E372" s="16">
        <v>2</v>
      </c>
      <c r="F372" s="16">
        <v>19</v>
      </c>
      <c r="G372" s="16">
        <v>21</v>
      </c>
    </row>
    <row r="373" spans="1:7" ht="15" thickBot="1" x14ac:dyDescent="0.35">
      <c r="A373" s="16">
        <v>372</v>
      </c>
      <c r="B373" s="16">
        <v>0.2273</v>
      </c>
      <c r="C373" s="16">
        <v>0.4</v>
      </c>
      <c r="D373" s="16">
        <v>0.1045</v>
      </c>
      <c r="E373" s="16">
        <v>0</v>
      </c>
      <c r="F373" s="16">
        <v>18</v>
      </c>
      <c r="G373" s="16">
        <v>18</v>
      </c>
    </row>
    <row r="374" spans="1:7" ht="15" thickBot="1" x14ac:dyDescent="0.35">
      <c r="A374" s="16">
        <v>373</v>
      </c>
      <c r="B374" s="16">
        <v>0.19700000000000001</v>
      </c>
      <c r="C374" s="16">
        <v>0.47</v>
      </c>
      <c r="D374" s="16">
        <v>0.22389999999999999</v>
      </c>
      <c r="E374" s="16">
        <v>1</v>
      </c>
      <c r="F374" s="16">
        <v>16</v>
      </c>
      <c r="G374" s="16">
        <v>17</v>
      </c>
    </row>
    <row r="375" spans="1:7" ht="15" thickBot="1" x14ac:dyDescent="0.35">
      <c r="A375" s="16">
        <v>374</v>
      </c>
      <c r="B375" s="16">
        <v>0.19700000000000001</v>
      </c>
      <c r="C375" s="16">
        <v>0.44</v>
      </c>
      <c r="D375" s="16">
        <v>0.19400000000000001</v>
      </c>
      <c r="E375" s="16">
        <v>1</v>
      </c>
      <c r="F375" s="16">
        <v>15</v>
      </c>
      <c r="G375" s="16">
        <v>16</v>
      </c>
    </row>
    <row r="376" spans="1:7" ht="15" thickBot="1" x14ac:dyDescent="0.35">
      <c r="A376" s="16">
        <v>375</v>
      </c>
      <c r="B376" s="16">
        <v>0.16669999999999999</v>
      </c>
      <c r="C376" s="16">
        <v>0.43</v>
      </c>
      <c r="D376" s="16">
        <v>0.25369999999999998</v>
      </c>
      <c r="E376" s="16">
        <v>0</v>
      </c>
      <c r="F376" s="16">
        <v>8</v>
      </c>
      <c r="G376" s="16">
        <v>8</v>
      </c>
    </row>
    <row r="377" spans="1:7" ht="15" thickBot="1" x14ac:dyDescent="0.35">
      <c r="A377" s="16">
        <v>376</v>
      </c>
      <c r="B377" s="16">
        <v>0.18179999999999999</v>
      </c>
      <c r="C377" s="16">
        <v>0.43</v>
      </c>
      <c r="D377" s="16">
        <v>0.19400000000000001</v>
      </c>
      <c r="E377" s="16">
        <v>0</v>
      </c>
      <c r="F377" s="16">
        <v>2</v>
      </c>
      <c r="G377" s="16">
        <v>2</v>
      </c>
    </row>
    <row r="378" spans="1:7" ht="15" thickBot="1" x14ac:dyDescent="0.35">
      <c r="A378" s="16">
        <v>377</v>
      </c>
      <c r="B378" s="16">
        <v>0.19700000000000001</v>
      </c>
      <c r="C378" s="16">
        <v>0.43</v>
      </c>
      <c r="D378" s="16">
        <v>0.1343</v>
      </c>
      <c r="E378" s="16">
        <v>1</v>
      </c>
      <c r="F378" s="16">
        <v>2</v>
      </c>
      <c r="G378" s="16">
        <v>3</v>
      </c>
    </row>
    <row r="379" spans="1:7" ht="15" thickBot="1" x14ac:dyDescent="0.35">
      <c r="A379" s="16">
        <v>378</v>
      </c>
      <c r="B379" s="16">
        <v>0.19700000000000001</v>
      </c>
      <c r="C379" s="16">
        <v>0.43</v>
      </c>
      <c r="D379" s="16">
        <v>0.16420000000000001</v>
      </c>
      <c r="E379" s="16">
        <v>0</v>
      </c>
      <c r="F379" s="16">
        <v>1</v>
      </c>
      <c r="G379" s="16">
        <v>1</v>
      </c>
    </row>
    <row r="380" spans="1:7" ht="15" thickBot="1" x14ac:dyDescent="0.35">
      <c r="A380" s="16">
        <v>379</v>
      </c>
      <c r="B380" s="16">
        <v>0.18179999999999999</v>
      </c>
      <c r="C380" s="16">
        <v>0.43</v>
      </c>
      <c r="D380" s="16">
        <v>0.19400000000000001</v>
      </c>
      <c r="E380" s="16">
        <v>0</v>
      </c>
      <c r="F380" s="16">
        <v>5</v>
      </c>
      <c r="G380" s="16">
        <v>5</v>
      </c>
    </row>
    <row r="381" spans="1:7" ht="15" thickBot="1" x14ac:dyDescent="0.35">
      <c r="A381" s="16">
        <v>380</v>
      </c>
      <c r="B381" s="16">
        <v>0.18179999999999999</v>
      </c>
      <c r="C381" s="16">
        <v>0.5</v>
      </c>
      <c r="D381" s="16">
        <v>0.1343</v>
      </c>
      <c r="E381" s="16">
        <v>4</v>
      </c>
      <c r="F381" s="16">
        <v>9</v>
      </c>
      <c r="G381" s="16">
        <v>13</v>
      </c>
    </row>
    <row r="382" spans="1:7" ht="15" thickBot="1" x14ac:dyDescent="0.35">
      <c r="A382" s="16">
        <v>381</v>
      </c>
      <c r="B382" s="16">
        <v>0.1515</v>
      </c>
      <c r="C382" s="16">
        <v>0.47</v>
      </c>
      <c r="D382" s="16">
        <v>0.22389999999999999</v>
      </c>
      <c r="E382" s="16">
        <v>3</v>
      </c>
      <c r="F382" s="16">
        <v>30</v>
      </c>
      <c r="G382" s="16">
        <v>33</v>
      </c>
    </row>
    <row r="383" spans="1:7" ht="15" thickBot="1" x14ac:dyDescent="0.35">
      <c r="A383" s="16">
        <v>382</v>
      </c>
      <c r="B383" s="16">
        <v>0.1515</v>
      </c>
      <c r="C383" s="16">
        <v>0.47</v>
      </c>
      <c r="D383" s="16">
        <v>0.22389999999999999</v>
      </c>
      <c r="E383" s="16">
        <v>8</v>
      </c>
      <c r="F383" s="16">
        <v>39</v>
      </c>
      <c r="G383" s="16">
        <v>47</v>
      </c>
    </row>
    <row r="384" spans="1:7" ht="15" thickBot="1" x14ac:dyDescent="0.35">
      <c r="A384" s="16">
        <v>383</v>
      </c>
      <c r="B384" s="16">
        <v>0.1515</v>
      </c>
      <c r="C384" s="16">
        <v>0.5</v>
      </c>
      <c r="D384" s="16">
        <v>0.25369999999999998</v>
      </c>
      <c r="E384" s="16">
        <v>7</v>
      </c>
      <c r="F384" s="16">
        <v>50</v>
      </c>
      <c r="G384" s="16">
        <v>57</v>
      </c>
    </row>
    <row r="385" spans="1:7" ht="15" thickBot="1" x14ac:dyDescent="0.35">
      <c r="A385" s="16">
        <v>384</v>
      </c>
      <c r="B385" s="16">
        <v>0.1515</v>
      </c>
      <c r="C385" s="16">
        <v>0.55000000000000004</v>
      </c>
      <c r="D385" s="16">
        <v>0.19400000000000001</v>
      </c>
      <c r="E385" s="16">
        <v>9</v>
      </c>
      <c r="F385" s="16">
        <v>55</v>
      </c>
      <c r="G385" s="16">
        <v>64</v>
      </c>
    </row>
    <row r="386" spans="1:7" ht="15" thickBot="1" x14ac:dyDescent="0.35">
      <c r="A386" s="16">
        <v>385</v>
      </c>
      <c r="B386" s="16">
        <v>0.19700000000000001</v>
      </c>
      <c r="C386" s="16">
        <v>0.47</v>
      </c>
      <c r="D386" s="16">
        <v>0.1343</v>
      </c>
      <c r="E386" s="16">
        <v>10</v>
      </c>
      <c r="F386" s="16">
        <v>70</v>
      </c>
      <c r="G386" s="16">
        <v>80</v>
      </c>
    </row>
    <row r="387" spans="1:7" ht="15" thickBot="1" x14ac:dyDescent="0.35">
      <c r="A387" s="16">
        <v>386</v>
      </c>
      <c r="B387" s="16">
        <v>0.19700000000000001</v>
      </c>
      <c r="C387" s="16">
        <v>0.47</v>
      </c>
      <c r="D387" s="16">
        <v>0.1343</v>
      </c>
      <c r="E387" s="16">
        <v>13</v>
      </c>
      <c r="F387" s="16">
        <v>80</v>
      </c>
      <c r="G387" s="16">
        <v>93</v>
      </c>
    </row>
    <row r="388" spans="1:7" ht="15" thickBot="1" x14ac:dyDescent="0.35">
      <c r="A388" s="16">
        <v>387</v>
      </c>
      <c r="B388" s="16">
        <v>0.21210000000000001</v>
      </c>
      <c r="C388" s="16">
        <v>0.43</v>
      </c>
      <c r="D388" s="16">
        <v>0.1045</v>
      </c>
      <c r="E388" s="16">
        <v>12</v>
      </c>
      <c r="F388" s="16">
        <v>74</v>
      </c>
      <c r="G388" s="16">
        <v>86</v>
      </c>
    </row>
    <row r="389" spans="1:7" ht="15" thickBot="1" x14ac:dyDescent="0.35">
      <c r="A389" s="16">
        <v>388</v>
      </c>
      <c r="B389" s="16">
        <v>0.21210000000000001</v>
      </c>
      <c r="C389" s="16">
        <v>0.47</v>
      </c>
      <c r="D389" s="16">
        <v>0.16420000000000001</v>
      </c>
      <c r="E389" s="16">
        <v>21</v>
      </c>
      <c r="F389" s="16">
        <v>72</v>
      </c>
      <c r="G389" s="16">
        <v>93</v>
      </c>
    </row>
    <row r="390" spans="1:7" ht="15" thickBot="1" x14ac:dyDescent="0.35">
      <c r="A390" s="16">
        <v>389</v>
      </c>
      <c r="B390" s="16">
        <v>0.21210000000000001</v>
      </c>
      <c r="C390" s="16">
        <v>0.47</v>
      </c>
      <c r="D390" s="16">
        <v>0.16420000000000001</v>
      </c>
      <c r="E390" s="16">
        <v>6</v>
      </c>
      <c r="F390" s="16">
        <v>76</v>
      </c>
      <c r="G390" s="16">
        <v>82</v>
      </c>
    </row>
    <row r="391" spans="1:7" ht="15" thickBot="1" x14ac:dyDescent="0.35">
      <c r="A391" s="16">
        <v>390</v>
      </c>
      <c r="B391" s="16">
        <v>0.19700000000000001</v>
      </c>
      <c r="C391" s="16">
        <v>0.51</v>
      </c>
      <c r="D391" s="16">
        <v>0.19400000000000001</v>
      </c>
      <c r="E391" s="16">
        <v>4</v>
      </c>
      <c r="F391" s="16">
        <v>67</v>
      </c>
      <c r="G391" s="16">
        <v>71</v>
      </c>
    </row>
    <row r="392" spans="1:7" ht="15" thickBot="1" x14ac:dyDescent="0.35">
      <c r="A392" s="16">
        <v>391</v>
      </c>
      <c r="B392" s="16">
        <v>0.16669999999999999</v>
      </c>
      <c r="C392" s="16">
        <v>0.55000000000000004</v>
      </c>
      <c r="D392" s="16">
        <v>0.25369999999999998</v>
      </c>
      <c r="E392" s="16">
        <v>7</v>
      </c>
      <c r="F392" s="16">
        <v>85</v>
      </c>
      <c r="G392" s="16">
        <v>92</v>
      </c>
    </row>
    <row r="393" spans="1:7" ht="15" thickBot="1" x14ac:dyDescent="0.35">
      <c r="A393" s="16">
        <v>392</v>
      </c>
      <c r="B393" s="16">
        <v>0.18179999999999999</v>
      </c>
      <c r="C393" s="16">
        <v>0.59</v>
      </c>
      <c r="D393" s="16">
        <v>0.19400000000000001</v>
      </c>
      <c r="E393" s="16">
        <v>2</v>
      </c>
      <c r="F393" s="16">
        <v>58</v>
      </c>
      <c r="G393" s="16">
        <v>60</v>
      </c>
    </row>
    <row r="394" spans="1:7" ht="15" thickBot="1" x14ac:dyDescent="0.35">
      <c r="A394" s="16">
        <v>393</v>
      </c>
      <c r="B394" s="16">
        <v>0.1515</v>
      </c>
      <c r="C394" s="16">
        <v>0.8</v>
      </c>
      <c r="D394" s="16">
        <v>0.19400000000000001</v>
      </c>
      <c r="E394" s="16">
        <v>4</v>
      </c>
      <c r="F394" s="16">
        <v>29</v>
      </c>
      <c r="G394" s="16">
        <v>33</v>
      </c>
    </row>
    <row r="395" spans="1:7" ht="15" thickBot="1" x14ac:dyDescent="0.35">
      <c r="A395" s="16">
        <v>394</v>
      </c>
      <c r="B395" s="16">
        <v>0.1515</v>
      </c>
      <c r="C395" s="16">
        <v>0.8</v>
      </c>
      <c r="D395" s="16">
        <v>0.19400000000000001</v>
      </c>
      <c r="E395" s="16">
        <v>3</v>
      </c>
      <c r="F395" s="16">
        <v>24</v>
      </c>
      <c r="G395" s="16">
        <v>27</v>
      </c>
    </row>
    <row r="396" spans="1:7" ht="15" thickBot="1" x14ac:dyDescent="0.35">
      <c r="A396" s="16">
        <v>395</v>
      </c>
      <c r="B396" s="16">
        <v>0.1212</v>
      </c>
      <c r="C396" s="16">
        <v>0.93</v>
      </c>
      <c r="D396" s="16">
        <v>0.25369999999999998</v>
      </c>
      <c r="E396" s="16">
        <v>0</v>
      </c>
      <c r="F396" s="16">
        <v>13</v>
      </c>
      <c r="G396" s="16">
        <v>13</v>
      </c>
    </row>
    <row r="397" spans="1:7" ht="15" thickBot="1" x14ac:dyDescent="0.35">
      <c r="A397" s="16">
        <v>396</v>
      </c>
      <c r="B397" s="16">
        <v>0.13639999999999999</v>
      </c>
      <c r="C397" s="16">
        <v>0.86</v>
      </c>
      <c r="D397" s="16">
        <v>0.28360000000000002</v>
      </c>
      <c r="E397" s="16">
        <v>1</v>
      </c>
      <c r="F397" s="16">
        <v>3</v>
      </c>
      <c r="G397" s="16">
        <v>4</v>
      </c>
    </row>
    <row r="398" spans="1:7" ht="15" thickBot="1" x14ac:dyDescent="0.35">
      <c r="A398" s="16">
        <v>397</v>
      </c>
      <c r="B398" s="16">
        <v>0.18179999999999999</v>
      </c>
      <c r="C398" s="16">
        <v>0.86</v>
      </c>
      <c r="D398" s="16">
        <v>0.32840000000000003</v>
      </c>
      <c r="E398" s="16">
        <v>0</v>
      </c>
      <c r="F398" s="16">
        <v>3</v>
      </c>
      <c r="G398" s="16">
        <v>3</v>
      </c>
    </row>
    <row r="399" spans="1:7" ht="15" thickBot="1" x14ac:dyDescent="0.35">
      <c r="A399" s="16">
        <v>398</v>
      </c>
      <c r="B399" s="16">
        <v>0.19700000000000001</v>
      </c>
      <c r="C399" s="16">
        <v>0.86</v>
      </c>
      <c r="D399" s="16">
        <v>0.22389999999999999</v>
      </c>
      <c r="E399" s="16">
        <v>0</v>
      </c>
      <c r="F399" s="16">
        <v>22</v>
      </c>
      <c r="G399" s="16">
        <v>22</v>
      </c>
    </row>
    <row r="400" spans="1:7" ht="15" thickBot="1" x14ac:dyDescent="0.35">
      <c r="A400" s="16">
        <v>399</v>
      </c>
      <c r="B400" s="16">
        <v>0.2273</v>
      </c>
      <c r="C400" s="16">
        <v>0.8</v>
      </c>
      <c r="D400" s="16">
        <v>0.16420000000000001</v>
      </c>
      <c r="E400" s="16">
        <v>2</v>
      </c>
      <c r="F400" s="16">
        <v>26</v>
      </c>
      <c r="G400" s="16">
        <v>28</v>
      </c>
    </row>
    <row r="401" spans="1:7" ht="15" thickBot="1" x14ac:dyDescent="0.35">
      <c r="A401" s="16">
        <v>400</v>
      </c>
      <c r="B401" s="16">
        <v>0.2273</v>
      </c>
      <c r="C401" s="16">
        <v>0.87</v>
      </c>
      <c r="D401" s="16">
        <v>0.16420000000000001</v>
      </c>
      <c r="E401" s="16">
        <v>3</v>
      </c>
      <c r="F401" s="16">
        <v>32</v>
      </c>
      <c r="G401" s="16">
        <v>35</v>
      </c>
    </row>
    <row r="402" spans="1:7" ht="15" thickBot="1" x14ac:dyDescent="0.35">
      <c r="A402" s="16">
        <v>401</v>
      </c>
      <c r="B402" s="16">
        <v>0.2273</v>
      </c>
      <c r="C402" s="16">
        <v>0.87</v>
      </c>
      <c r="D402" s="16">
        <v>0.19400000000000001</v>
      </c>
      <c r="E402" s="16">
        <v>0</v>
      </c>
      <c r="F402" s="16">
        <v>61</v>
      </c>
      <c r="G402" s="16">
        <v>61</v>
      </c>
    </row>
    <row r="403" spans="1:7" ht="15" thickBot="1" x14ac:dyDescent="0.35">
      <c r="A403" s="16">
        <v>402</v>
      </c>
      <c r="B403" s="16">
        <v>0.2273</v>
      </c>
      <c r="C403" s="16">
        <v>0.82</v>
      </c>
      <c r="D403" s="16">
        <v>0.19400000000000001</v>
      </c>
      <c r="E403" s="16">
        <v>1</v>
      </c>
      <c r="F403" s="16">
        <v>124</v>
      </c>
      <c r="G403" s="16">
        <v>125</v>
      </c>
    </row>
    <row r="404" spans="1:7" ht="15" thickBot="1" x14ac:dyDescent="0.35">
      <c r="A404" s="16">
        <v>403</v>
      </c>
      <c r="B404" s="16">
        <v>0.2273</v>
      </c>
      <c r="C404" s="16">
        <v>0.8</v>
      </c>
      <c r="D404" s="16">
        <v>0.16420000000000001</v>
      </c>
      <c r="E404" s="16">
        <v>1</v>
      </c>
      <c r="F404" s="16">
        <v>132</v>
      </c>
      <c r="G404" s="16">
        <v>133</v>
      </c>
    </row>
    <row r="405" spans="1:7" ht="15" thickBot="1" x14ac:dyDescent="0.35">
      <c r="A405" s="16">
        <v>404</v>
      </c>
      <c r="B405" s="16">
        <v>0.2273</v>
      </c>
      <c r="C405" s="16">
        <v>0.8</v>
      </c>
      <c r="D405" s="16">
        <v>0.1343</v>
      </c>
      <c r="E405" s="16">
        <v>1</v>
      </c>
      <c r="F405" s="16">
        <v>98</v>
      </c>
      <c r="G405" s="16">
        <v>99</v>
      </c>
    </row>
    <row r="406" spans="1:7" ht="15" thickBot="1" x14ac:dyDescent="0.35">
      <c r="A406" s="16">
        <v>405</v>
      </c>
      <c r="B406" s="16">
        <v>0.2727</v>
      </c>
      <c r="C406" s="16">
        <v>0.87</v>
      </c>
      <c r="D406" s="16">
        <v>0</v>
      </c>
      <c r="E406" s="16">
        <v>0</v>
      </c>
      <c r="F406" s="16">
        <v>83</v>
      </c>
      <c r="G406" s="16">
        <v>83</v>
      </c>
    </row>
    <row r="407" spans="1:7" ht="15" thickBot="1" x14ac:dyDescent="0.35">
      <c r="A407" s="16">
        <v>406</v>
      </c>
      <c r="B407" s="16">
        <v>0.2424</v>
      </c>
      <c r="C407" s="16">
        <v>0.93</v>
      </c>
      <c r="D407" s="16">
        <v>0.1045</v>
      </c>
      <c r="E407" s="16">
        <v>0</v>
      </c>
      <c r="F407" s="16">
        <v>41</v>
      </c>
      <c r="G407" s="16">
        <v>41</v>
      </c>
    </row>
    <row r="408" spans="1:7" ht="15" thickBot="1" x14ac:dyDescent="0.35">
      <c r="A408" s="16">
        <v>407</v>
      </c>
      <c r="B408" s="16">
        <v>0.2576</v>
      </c>
      <c r="C408" s="16">
        <v>0.93</v>
      </c>
      <c r="D408" s="16">
        <v>8.9599999999999999E-2</v>
      </c>
      <c r="E408" s="16">
        <v>0</v>
      </c>
      <c r="F408" s="16">
        <v>33</v>
      </c>
      <c r="G408" s="16">
        <v>33</v>
      </c>
    </row>
    <row r="409" spans="1:7" ht="15" thickBot="1" x14ac:dyDescent="0.35">
      <c r="A409" s="16">
        <v>408</v>
      </c>
      <c r="B409" s="16">
        <v>0.2727</v>
      </c>
      <c r="C409" s="16">
        <v>0.93</v>
      </c>
      <c r="D409" s="16">
        <v>0</v>
      </c>
      <c r="E409" s="16">
        <v>1</v>
      </c>
      <c r="F409" s="16">
        <v>19</v>
      </c>
      <c r="G409" s="16">
        <v>20</v>
      </c>
    </row>
    <row r="410" spans="1:7" ht="15" thickBot="1" x14ac:dyDescent="0.35">
      <c r="A410" s="16">
        <v>409</v>
      </c>
      <c r="B410" s="16">
        <v>0.2727</v>
      </c>
      <c r="C410" s="16">
        <v>0.93</v>
      </c>
      <c r="D410" s="16">
        <v>0</v>
      </c>
      <c r="E410" s="16">
        <v>0</v>
      </c>
      <c r="F410" s="16">
        <v>3</v>
      </c>
      <c r="G410" s="16">
        <v>3</v>
      </c>
    </row>
    <row r="411" spans="1:7" ht="15" thickBot="1" x14ac:dyDescent="0.35">
      <c r="A411" s="16">
        <v>410</v>
      </c>
      <c r="B411" s="16">
        <v>0.2273</v>
      </c>
      <c r="C411" s="16">
        <v>0.93</v>
      </c>
      <c r="D411" s="16">
        <v>0.1343</v>
      </c>
      <c r="E411" s="16">
        <v>1</v>
      </c>
      <c r="F411" s="16">
        <v>6</v>
      </c>
      <c r="G411" s="16">
        <v>7</v>
      </c>
    </row>
    <row r="412" spans="1:7" ht="15" thickBot="1" x14ac:dyDescent="0.35">
      <c r="A412" s="16">
        <v>411</v>
      </c>
      <c r="B412" s="16">
        <v>0.2273</v>
      </c>
      <c r="C412" s="16">
        <v>0.93</v>
      </c>
      <c r="D412" s="16">
        <v>0.1343</v>
      </c>
      <c r="E412" s="16">
        <v>0</v>
      </c>
      <c r="F412" s="16">
        <v>3</v>
      </c>
      <c r="G412" s="16">
        <v>3</v>
      </c>
    </row>
    <row r="413" spans="1:7" ht="15" thickBot="1" x14ac:dyDescent="0.35">
      <c r="A413" s="16">
        <v>412</v>
      </c>
      <c r="B413" s="16">
        <v>0.2273</v>
      </c>
      <c r="C413" s="16">
        <v>0.93</v>
      </c>
      <c r="D413" s="16">
        <v>0.1343</v>
      </c>
      <c r="E413" s="16">
        <v>1</v>
      </c>
      <c r="F413" s="16">
        <v>1</v>
      </c>
      <c r="G413" s="16">
        <v>2</v>
      </c>
    </row>
    <row r="414" spans="1:7" ht="15" thickBot="1" x14ac:dyDescent="0.35">
      <c r="A414" s="16">
        <v>413</v>
      </c>
      <c r="B414" s="16">
        <v>0.2576</v>
      </c>
      <c r="C414" s="16">
        <v>0.93</v>
      </c>
      <c r="D414" s="16">
        <v>8.9599999999999999E-2</v>
      </c>
      <c r="E414" s="16">
        <v>0</v>
      </c>
      <c r="F414" s="16">
        <v>7</v>
      </c>
      <c r="G414" s="16">
        <v>7</v>
      </c>
    </row>
    <row r="415" spans="1:7" ht="15" thickBot="1" x14ac:dyDescent="0.35">
      <c r="A415" s="16">
        <v>414</v>
      </c>
      <c r="B415" s="16">
        <v>0.2576</v>
      </c>
      <c r="C415" s="16">
        <v>0.93</v>
      </c>
      <c r="D415" s="16">
        <v>8.9599999999999999E-2</v>
      </c>
      <c r="E415" s="16">
        <v>0</v>
      </c>
      <c r="F415" s="16">
        <v>32</v>
      </c>
      <c r="G415" s="16">
        <v>32</v>
      </c>
    </row>
    <row r="416" spans="1:7" ht="15" thickBot="1" x14ac:dyDescent="0.35">
      <c r="A416" s="16">
        <v>415</v>
      </c>
      <c r="B416" s="16">
        <v>0.2576</v>
      </c>
      <c r="C416" s="16">
        <v>0.92</v>
      </c>
      <c r="D416" s="16">
        <v>0.1045</v>
      </c>
      <c r="E416" s="16">
        <v>1</v>
      </c>
      <c r="F416" s="16">
        <v>89</v>
      </c>
      <c r="G416" s="16">
        <v>90</v>
      </c>
    </row>
    <row r="417" spans="1:7" ht="15" thickBot="1" x14ac:dyDescent="0.35">
      <c r="A417" s="16">
        <v>416</v>
      </c>
      <c r="B417" s="16">
        <v>0.2576</v>
      </c>
      <c r="C417" s="16">
        <v>0.93</v>
      </c>
      <c r="D417" s="16">
        <v>0.1045</v>
      </c>
      <c r="E417" s="16">
        <v>1</v>
      </c>
      <c r="F417" s="16">
        <v>196</v>
      </c>
      <c r="G417" s="16">
        <v>197</v>
      </c>
    </row>
    <row r="418" spans="1:7" ht="15" thickBot="1" x14ac:dyDescent="0.35">
      <c r="A418" s="16">
        <v>417</v>
      </c>
      <c r="B418" s="16">
        <v>0.2576</v>
      </c>
      <c r="C418" s="16">
        <v>0.93</v>
      </c>
      <c r="D418" s="16">
        <v>0.1045</v>
      </c>
      <c r="E418" s="16">
        <v>2</v>
      </c>
      <c r="F418" s="16">
        <v>107</v>
      </c>
      <c r="G418" s="16">
        <v>109</v>
      </c>
    </row>
    <row r="419" spans="1:7" ht="15" thickBot="1" x14ac:dyDescent="0.35">
      <c r="A419" s="16">
        <v>418</v>
      </c>
      <c r="B419" s="16">
        <v>0.2727</v>
      </c>
      <c r="C419" s="16">
        <v>0.93</v>
      </c>
      <c r="D419" s="16">
        <v>0.1343</v>
      </c>
      <c r="E419" s="16">
        <v>1</v>
      </c>
      <c r="F419" s="16">
        <v>46</v>
      </c>
      <c r="G419" s="16">
        <v>47</v>
      </c>
    </row>
    <row r="420" spans="1:7" ht="15" thickBot="1" x14ac:dyDescent="0.35">
      <c r="A420" s="16">
        <v>419</v>
      </c>
      <c r="B420" s="16">
        <v>0.30299999999999999</v>
      </c>
      <c r="C420" s="16">
        <v>0.87</v>
      </c>
      <c r="D420" s="16">
        <v>8.9599999999999999E-2</v>
      </c>
      <c r="E420" s="16">
        <v>5</v>
      </c>
      <c r="F420" s="16">
        <v>47</v>
      </c>
      <c r="G420" s="16">
        <v>52</v>
      </c>
    </row>
    <row r="421" spans="1:7" ht="15" thickBot="1" x14ac:dyDescent="0.35">
      <c r="A421" s="16">
        <v>420</v>
      </c>
      <c r="B421" s="16">
        <v>0.31819999999999998</v>
      </c>
      <c r="C421" s="16">
        <v>0.81</v>
      </c>
      <c r="D421" s="16">
        <v>8.9599999999999999E-2</v>
      </c>
      <c r="E421" s="16">
        <v>5</v>
      </c>
      <c r="F421" s="16">
        <v>65</v>
      </c>
      <c r="G421" s="16">
        <v>70</v>
      </c>
    </row>
    <row r="422" spans="1:7" ht="15" thickBot="1" x14ac:dyDescent="0.35">
      <c r="A422" s="16">
        <v>421</v>
      </c>
      <c r="B422" s="16">
        <v>0.40910000000000002</v>
      </c>
      <c r="C422" s="16">
        <v>0.62</v>
      </c>
      <c r="D422" s="16">
        <v>0.28360000000000002</v>
      </c>
      <c r="E422" s="16">
        <v>11</v>
      </c>
      <c r="F422" s="16">
        <v>67</v>
      </c>
      <c r="G422" s="16">
        <v>78</v>
      </c>
    </row>
    <row r="423" spans="1:7" ht="15" thickBot="1" x14ac:dyDescent="0.35">
      <c r="A423" s="16">
        <v>422</v>
      </c>
      <c r="B423" s="16">
        <v>0.40910000000000002</v>
      </c>
      <c r="C423" s="16">
        <v>0.57999999999999996</v>
      </c>
      <c r="D423" s="16">
        <v>0.25369999999999998</v>
      </c>
      <c r="E423" s="16">
        <v>7</v>
      </c>
      <c r="F423" s="16">
        <v>68</v>
      </c>
      <c r="G423" s="16">
        <v>75</v>
      </c>
    </row>
    <row r="424" spans="1:7" ht="15" thickBot="1" x14ac:dyDescent="0.35">
      <c r="A424" s="16">
        <v>423</v>
      </c>
      <c r="B424" s="16">
        <v>0.40910000000000002</v>
      </c>
      <c r="C424" s="16">
        <v>0.54</v>
      </c>
      <c r="D424" s="16">
        <v>0.28360000000000002</v>
      </c>
      <c r="E424" s="16">
        <v>4</v>
      </c>
      <c r="F424" s="16">
        <v>78</v>
      </c>
      <c r="G424" s="16">
        <v>82</v>
      </c>
    </row>
    <row r="425" spans="1:7" ht="15" thickBot="1" x14ac:dyDescent="0.35">
      <c r="A425" s="16">
        <v>424</v>
      </c>
      <c r="B425" s="16">
        <v>0.39389999999999997</v>
      </c>
      <c r="C425" s="16">
        <v>0.57999999999999996</v>
      </c>
      <c r="D425" s="16">
        <v>0.3881</v>
      </c>
      <c r="E425" s="16">
        <v>10</v>
      </c>
      <c r="F425" s="16">
        <v>94</v>
      </c>
      <c r="G425" s="16">
        <v>104</v>
      </c>
    </row>
    <row r="426" spans="1:7" ht="15" thickBot="1" x14ac:dyDescent="0.35">
      <c r="A426" s="16">
        <v>425</v>
      </c>
      <c r="B426" s="16">
        <v>0.33329999999999999</v>
      </c>
      <c r="C426" s="16">
        <v>0.56999999999999995</v>
      </c>
      <c r="D426" s="16">
        <v>0.32840000000000003</v>
      </c>
      <c r="E426" s="16">
        <v>7</v>
      </c>
      <c r="F426" s="16">
        <v>190</v>
      </c>
      <c r="G426" s="16">
        <v>197</v>
      </c>
    </row>
    <row r="427" spans="1:7" ht="15" thickBot="1" x14ac:dyDescent="0.35">
      <c r="A427" s="16">
        <v>426</v>
      </c>
      <c r="B427" s="16">
        <v>0.31819999999999998</v>
      </c>
      <c r="C427" s="16">
        <v>0.61</v>
      </c>
      <c r="D427" s="16">
        <v>0.28360000000000002</v>
      </c>
      <c r="E427" s="16">
        <v>5</v>
      </c>
      <c r="F427" s="16">
        <v>156</v>
      </c>
      <c r="G427" s="16">
        <v>161</v>
      </c>
    </row>
    <row r="428" spans="1:7" ht="15" thickBot="1" x14ac:dyDescent="0.35">
      <c r="A428" s="16">
        <v>427</v>
      </c>
      <c r="B428" s="16">
        <v>0.28789999999999999</v>
      </c>
      <c r="C428" s="16">
        <v>0.56999999999999995</v>
      </c>
      <c r="D428" s="16">
        <v>0.41789999999999999</v>
      </c>
      <c r="E428" s="16">
        <v>4</v>
      </c>
      <c r="F428" s="16">
        <v>108</v>
      </c>
      <c r="G428" s="16">
        <v>112</v>
      </c>
    </row>
    <row r="429" spans="1:7" ht="15" thickBot="1" x14ac:dyDescent="0.35">
      <c r="A429" s="16">
        <v>428</v>
      </c>
      <c r="B429" s="16">
        <v>0.30299999999999999</v>
      </c>
      <c r="C429" s="16">
        <v>0.49</v>
      </c>
      <c r="D429" s="16">
        <v>0.29849999999999999</v>
      </c>
      <c r="E429" s="16">
        <v>2</v>
      </c>
      <c r="F429" s="16">
        <v>74</v>
      </c>
      <c r="G429" s="16">
        <v>76</v>
      </c>
    </row>
    <row r="430" spans="1:7" ht="15" thickBot="1" x14ac:dyDescent="0.35">
      <c r="A430" s="16">
        <v>429</v>
      </c>
      <c r="B430" s="16">
        <v>0.28789999999999999</v>
      </c>
      <c r="C430" s="16">
        <v>0.49</v>
      </c>
      <c r="D430" s="16">
        <v>0.41789999999999999</v>
      </c>
      <c r="E430" s="16">
        <v>4</v>
      </c>
      <c r="F430" s="16">
        <v>55</v>
      </c>
      <c r="G430" s="16">
        <v>59</v>
      </c>
    </row>
    <row r="431" spans="1:7" ht="15" thickBot="1" x14ac:dyDescent="0.35">
      <c r="A431" s="16">
        <v>430</v>
      </c>
      <c r="B431" s="16">
        <v>0.30299999999999999</v>
      </c>
      <c r="C431" s="16">
        <v>0.52</v>
      </c>
      <c r="D431" s="16">
        <v>0.16420000000000001</v>
      </c>
      <c r="E431" s="16">
        <v>6</v>
      </c>
      <c r="F431" s="16">
        <v>53</v>
      </c>
      <c r="G431" s="16">
        <v>59</v>
      </c>
    </row>
    <row r="432" spans="1:7" ht="15" thickBot="1" x14ac:dyDescent="0.35">
      <c r="A432" s="16">
        <v>431</v>
      </c>
      <c r="B432" s="16">
        <v>0.2727</v>
      </c>
      <c r="C432" s="16">
        <v>0.52</v>
      </c>
      <c r="D432" s="16">
        <v>0.4627</v>
      </c>
      <c r="E432" s="16">
        <v>1</v>
      </c>
      <c r="F432" s="16">
        <v>27</v>
      </c>
      <c r="G432" s="16">
        <v>28</v>
      </c>
    </row>
    <row r="433" spans="1:7" ht="15" thickBot="1" x14ac:dyDescent="0.35">
      <c r="A433" s="16">
        <v>432</v>
      </c>
      <c r="B433" s="16">
        <v>0.2273</v>
      </c>
      <c r="C433" s="16">
        <v>0.56000000000000005</v>
      </c>
      <c r="D433" s="16">
        <v>0.3881</v>
      </c>
      <c r="E433" s="16">
        <v>5</v>
      </c>
      <c r="F433" s="16">
        <v>8</v>
      </c>
      <c r="G433" s="16">
        <v>13</v>
      </c>
    </row>
    <row r="434" spans="1:7" ht="15" thickBot="1" x14ac:dyDescent="0.35">
      <c r="A434" s="16">
        <v>433</v>
      </c>
      <c r="B434" s="16">
        <v>0.2727</v>
      </c>
      <c r="C434" s="16">
        <v>0.56000000000000005</v>
      </c>
      <c r="D434" s="16">
        <v>0</v>
      </c>
      <c r="E434" s="16">
        <v>2</v>
      </c>
      <c r="F434" s="16">
        <v>3</v>
      </c>
      <c r="G434" s="16">
        <v>5</v>
      </c>
    </row>
    <row r="435" spans="1:7" ht="15" thickBot="1" x14ac:dyDescent="0.35">
      <c r="A435" s="16">
        <v>434</v>
      </c>
      <c r="B435" s="16">
        <v>0.2727</v>
      </c>
      <c r="C435" s="16">
        <v>0.56000000000000005</v>
      </c>
      <c r="D435" s="16">
        <v>0</v>
      </c>
      <c r="E435" s="16">
        <v>0</v>
      </c>
      <c r="F435" s="16">
        <v>2</v>
      </c>
      <c r="G435" s="16">
        <v>2</v>
      </c>
    </row>
    <row r="436" spans="1:7" ht="15" thickBot="1" x14ac:dyDescent="0.35">
      <c r="A436" s="16">
        <v>435</v>
      </c>
      <c r="B436" s="16">
        <v>0.2576</v>
      </c>
      <c r="C436" s="16">
        <v>0.56000000000000005</v>
      </c>
      <c r="D436" s="16">
        <v>0.16420000000000001</v>
      </c>
      <c r="E436" s="16">
        <v>0</v>
      </c>
      <c r="F436" s="16">
        <v>1</v>
      </c>
      <c r="G436" s="16">
        <v>1</v>
      </c>
    </row>
    <row r="437" spans="1:7" ht="15" thickBot="1" x14ac:dyDescent="0.35">
      <c r="A437" s="16">
        <v>436</v>
      </c>
      <c r="B437" s="16">
        <v>0.2576</v>
      </c>
      <c r="C437" s="16">
        <v>0.56000000000000005</v>
      </c>
      <c r="D437" s="16">
        <v>0.16420000000000001</v>
      </c>
      <c r="E437" s="16">
        <v>0</v>
      </c>
      <c r="F437" s="16">
        <v>1</v>
      </c>
      <c r="G437" s="16">
        <v>1</v>
      </c>
    </row>
    <row r="438" spans="1:7" ht="15" thickBot="1" x14ac:dyDescent="0.35">
      <c r="A438" s="16">
        <v>437</v>
      </c>
      <c r="B438" s="16">
        <v>0.2273</v>
      </c>
      <c r="C438" s="16">
        <v>0.6</v>
      </c>
      <c r="D438" s="16">
        <v>0.22389999999999999</v>
      </c>
      <c r="E438" s="16">
        <v>0</v>
      </c>
      <c r="F438" s="16">
        <v>6</v>
      </c>
      <c r="G438" s="16">
        <v>6</v>
      </c>
    </row>
    <row r="439" spans="1:7" ht="15" thickBot="1" x14ac:dyDescent="0.35">
      <c r="A439" s="16">
        <v>438</v>
      </c>
      <c r="B439" s="16">
        <v>0.21210000000000001</v>
      </c>
      <c r="C439" s="16">
        <v>0.6</v>
      </c>
      <c r="D439" s="16">
        <v>0.22389999999999999</v>
      </c>
      <c r="E439" s="16">
        <v>0</v>
      </c>
      <c r="F439" s="16">
        <v>35</v>
      </c>
      <c r="G439" s="16">
        <v>35</v>
      </c>
    </row>
    <row r="440" spans="1:7" ht="15" thickBot="1" x14ac:dyDescent="0.35">
      <c r="A440" s="16">
        <v>439</v>
      </c>
      <c r="B440" s="16">
        <v>0.21210000000000001</v>
      </c>
      <c r="C440" s="16">
        <v>0.55000000000000004</v>
      </c>
      <c r="D440" s="16">
        <v>0.22389999999999999</v>
      </c>
      <c r="E440" s="16">
        <v>1</v>
      </c>
      <c r="F440" s="16">
        <v>100</v>
      </c>
      <c r="G440" s="16">
        <v>101</v>
      </c>
    </row>
    <row r="441" spans="1:7" ht="15" thickBot="1" x14ac:dyDescent="0.35">
      <c r="A441" s="16">
        <v>440</v>
      </c>
      <c r="B441" s="16">
        <v>0.21210000000000001</v>
      </c>
      <c r="C441" s="16">
        <v>0.55000000000000004</v>
      </c>
      <c r="D441" s="16">
        <v>0.28360000000000002</v>
      </c>
      <c r="E441" s="16">
        <v>2</v>
      </c>
      <c r="F441" s="16">
        <v>247</v>
      </c>
      <c r="G441" s="16">
        <v>249</v>
      </c>
    </row>
    <row r="442" spans="1:7" ht="15" thickBot="1" x14ac:dyDescent="0.35">
      <c r="A442" s="16">
        <v>441</v>
      </c>
      <c r="B442" s="16">
        <v>0.2273</v>
      </c>
      <c r="C442" s="16">
        <v>0.52</v>
      </c>
      <c r="D442" s="16">
        <v>0.22389999999999999</v>
      </c>
      <c r="E442" s="16">
        <v>3</v>
      </c>
      <c r="F442" s="16">
        <v>140</v>
      </c>
      <c r="G442" s="16">
        <v>143</v>
      </c>
    </row>
    <row r="443" spans="1:7" ht="15" thickBot="1" x14ac:dyDescent="0.35">
      <c r="A443" s="16">
        <v>442</v>
      </c>
      <c r="B443" s="16">
        <v>0.2273</v>
      </c>
      <c r="C443" s="16">
        <v>0.48</v>
      </c>
      <c r="D443" s="16">
        <v>0.29849999999999999</v>
      </c>
      <c r="E443" s="16">
        <v>1</v>
      </c>
      <c r="F443" s="16">
        <v>56</v>
      </c>
      <c r="G443" s="16">
        <v>57</v>
      </c>
    </row>
    <row r="444" spans="1:7" ht="15" thickBot="1" x14ac:dyDescent="0.35">
      <c r="A444" s="16">
        <v>443</v>
      </c>
      <c r="B444" s="16">
        <v>0.2727</v>
      </c>
      <c r="C444" s="16">
        <v>0.45</v>
      </c>
      <c r="D444" s="16">
        <v>0.16420000000000001</v>
      </c>
      <c r="E444" s="16">
        <v>5</v>
      </c>
      <c r="F444" s="16">
        <v>63</v>
      </c>
      <c r="G444" s="16">
        <v>68</v>
      </c>
    </row>
    <row r="445" spans="1:7" ht="15" thickBot="1" x14ac:dyDescent="0.35">
      <c r="A445" s="16">
        <v>444</v>
      </c>
      <c r="B445" s="16">
        <v>0.33329999999999999</v>
      </c>
      <c r="C445" s="16">
        <v>0.42</v>
      </c>
      <c r="D445" s="16">
        <v>0</v>
      </c>
      <c r="E445" s="16">
        <v>7</v>
      </c>
      <c r="F445" s="16">
        <v>77</v>
      </c>
      <c r="G445" s="16">
        <v>84</v>
      </c>
    </row>
    <row r="446" spans="1:7" ht="15" thickBot="1" x14ac:dyDescent="0.35">
      <c r="A446" s="16">
        <v>445</v>
      </c>
      <c r="B446" s="16">
        <v>0.28789999999999999</v>
      </c>
      <c r="C446" s="16">
        <v>0.45</v>
      </c>
      <c r="D446" s="16">
        <v>0.1045</v>
      </c>
      <c r="E446" s="16">
        <v>12</v>
      </c>
      <c r="F446" s="16">
        <v>86</v>
      </c>
      <c r="G446" s="16">
        <v>98</v>
      </c>
    </row>
    <row r="447" spans="1:7" ht="15" thickBot="1" x14ac:dyDescent="0.35">
      <c r="A447" s="16">
        <v>446</v>
      </c>
      <c r="B447" s="16">
        <v>0.30299999999999999</v>
      </c>
      <c r="C447" s="16">
        <v>0.45</v>
      </c>
      <c r="D447" s="16">
        <v>0.1343</v>
      </c>
      <c r="E447" s="16">
        <v>6</v>
      </c>
      <c r="F447" s="16">
        <v>75</v>
      </c>
      <c r="G447" s="16">
        <v>81</v>
      </c>
    </row>
    <row r="448" spans="1:7" ht="15" thickBot="1" x14ac:dyDescent="0.35">
      <c r="A448" s="16">
        <v>447</v>
      </c>
      <c r="B448" s="16">
        <v>0.31819999999999998</v>
      </c>
      <c r="C448" s="16">
        <v>0.45</v>
      </c>
      <c r="D448" s="16">
        <v>0.19400000000000001</v>
      </c>
      <c r="E448" s="16">
        <v>8</v>
      </c>
      <c r="F448" s="16">
        <v>62</v>
      </c>
      <c r="G448" s="16">
        <v>70</v>
      </c>
    </row>
    <row r="449" spans="1:7" ht="15" thickBot="1" x14ac:dyDescent="0.35">
      <c r="A449" s="16">
        <v>448</v>
      </c>
      <c r="B449" s="16">
        <v>0.30299999999999999</v>
      </c>
      <c r="C449" s="16">
        <v>0.49</v>
      </c>
      <c r="D449" s="16">
        <v>0.1343</v>
      </c>
      <c r="E449" s="16">
        <v>8</v>
      </c>
      <c r="F449" s="16">
        <v>83</v>
      </c>
      <c r="G449" s="16">
        <v>91</v>
      </c>
    </row>
    <row r="450" spans="1:7" ht="15" thickBot="1" x14ac:dyDescent="0.35">
      <c r="A450" s="16">
        <v>449</v>
      </c>
      <c r="B450" s="16">
        <v>0.31819999999999998</v>
      </c>
      <c r="C450" s="16">
        <v>0.49</v>
      </c>
      <c r="D450" s="16">
        <v>0.1045</v>
      </c>
      <c r="E450" s="16">
        <v>8</v>
      </c>
      <c r="F450" s="16">
        <v>207</v>
      </c>
      <c r="G450" s="16">
        <v>215</v>
      </c>
    </row>
    <row r="451" spans="1:7" ht="15" thickBot="1" x14ac:dyDescent="0.35">
      <c r="A451" s="16">
        <v>450</v>
      </c>
      <c r="B451" s="16">
        <v>0.2576</v>
      </c>
      <c r="C451" s="16">
        <v>0.56000000000000005</v>
      </c>
      <c r="D451" s="16">
        <v>0.19400000000000001</v>
      </c>
      <c r="E451" s="16">
        <v>1</v>
      </c>
      <c r="F451" s="16">
        <v>184</v>
      </c>
      <c r="G451" s="16">
        <v>185</v>
      </c>
    </row>
    <row r="452" spans="1:7" ht="15" thickBot="1" x14ac:dyDescent="0.35">
      <c r="A452" s="16">
        <v>451</v>
      </c>
      <c r="B452" s="16">
        <v>0.2273</v>
      </c>
      <c r="C452" s="16">
        <v>0.56000000000000005</v>
      </c>
      <c r="D452" s="16">
        <v>0.32840000000000003</v>
      </c>
      <c r="E452" s="16">
        <v>6</v>
      </c>
      <c r="F452" s="16">
        <v>146</v>
      </c>
      <c r="G452" s="16">
        <v>152</v>
      </c>
    </row>
    <row r="453" spans="1:7" ht="15" thickBot="1" x14ac:dyDescent="0.35">
      <c r="A453" s="16">
        <v>452</v>
      </c>
      <c r="B453" s="16">
        <v>0.2424</v>
      </c>
      <c r="C453" s="16">
        <v>0.6</v>
      </c>
      <c r="D453" s="16">
        <v>0.28360000000000002</v>
      </c>
      <c r="E453" s="16">
        <v>2</v>
      </c>
      <c r="F453" s="16">
        <v>124</v>
      </c>
      <c r="G453" s="16">
        <v>126</v>
      </c>
    </row>
    <row r="454" spans="1:7" ht="15" thickBot="1" x14ac:dyDescent="0.35">
      <c r="A454" s="16">
        <v>453</v>
      </c>
      <c r="B454" s="16">
        <v>0.2273</v>
      </c>
      <c r="C454" s="16">
        <v>0.6</v>
      </c>
      <c r="D454" s="16">
        <v>0.25369999999999998</v>
      </c>
      <c r="E454" s="16">
        <v>3</v>
      </c>
      <c r="F454" s="16">
        <v>54</v>
      </c>
      <c r="G454" s="16">
        <v>57</v>
      </c>
    </row>
    <row r="455" spans="1:7" ht="15" thickBot="1" x14ac:dyDescent="0.35">
      <c r="A455" s="16">
        <v>454</v>
      </c>
      <c r="B455" s="16">
        <v>0.21210000000000001</v>
      </c>
      <c r="C455" s="16">
        <v>0.65</v>
      </c>
      <c r="D455" s="16">
        <v>0.28360000000000002</v>
      </c>
      <c r="E455" s="16">
        <v>0</v>
      </c>
      <c r="F455" s="16">
        <v>56</v>
      </c>
      <c r="G455" s="16">
        <v>56</v>
      </c>
    </row>
    <row r="456" spans="1:7" ht="15" thickBot="1" x14ac:dyDescent="0.35">
      <c r="A456" s="16">
        <v>455</v>
      </c>
      <c r="B456" s="16">
        <v>0.21210000000000001</v>
      </c>
      <c r="C456" s="16">
        <v>0.65</v>
      </c>
      <c r="D456" s="16">
        <v>0.32840000000000003</v>
      </c>
      <c r="E456" s="16">
        <v>3</v>
      </c>
      <c r="F456" s="16">
        <v>28</v>
      </c>
      <c r="G456" s="16">
        <v>31</v>
      </c>
    </row>
    <row r="457" spans="1:7" ht="15" thickBot="1" x14ac:dyDescent="0.35">
      <c r="A457" s="16">
        <v>456</v>
      </c>
      <c r="B457" s="16">
        <v>0.2273</v>
      </c>
      <c r="C457" s="16">
        <v>0.7</v>
      </c>
      <c r="D457" s="16">
        <v>0.25369999999999998</v>
      </c>
      <c r="E457" s="16">
        <v>1</v>
      </c>
      <c r="F457" s="16">
        <v>20</v>
      </c>
      <c r="G457" s="16">
        <v>21</v>
      </c>
    </row>
    <row r="458" spans="1:7" ht="15" thickBot="1" x14ac:dyDescent="0.35">
      <c r="A458" s="16">
        <v>457</v>
      </c>
      <c r="B458" s="16">
        <v>0.2273</v>
      </c>
      <c r="C458" s="16">
        <v>0.7</v>
      </c>
      <c r="D458" s="16">
        <v>0.25369999999999998</v>
      </c>
      <c r="E458" s="16">
        <v>0</v>
      </c>
      <c r="F458" s="16">
        <v>6</v>
      </c>
      <c r="G458" s="16">
        <v>6</v>
      </c>
    </row>
    <row r="459" spans="1:7" ht="15" thickBot="1" x14ac:dyDescent="0.35">
      <c r="A459" s="16">
        <v>458</v>
      </c>
      <c r="B459" s="16">
        <v>0.2424</v>
      </c>
      <c r="C459" s="16">
        <v>0.75</v>
      </c>
      <c r="D459" s="16">
        <v>0.16420000000000001</v>
      </c>
      <c r="E459" s="16">
        <v>0</v>
      </c>
      <c r="F459" s="16">
        <v>2</v>
      </c>
      <c r="G459" s="16">
        <v>2</v>
      </c>
    </row>
    <row r="460" spans="1:7" ht="15" thickBot="1" x14ac:dyDescent="0.35">
      <c r="A460" s="16">
        <v>459</v>
      </c>
      <c r="B460" s="16">
        <v>0.21210000000000001</v>
      </c>
      <c r="C460" s="16">
        <v>0.8</v>
      </c>
      <c r="D460" s="16">
        <v>0.29849999999999999</v>
      </c>
      <c r="E460" s="16">
        <v>0</v>
      </c>
      <c r="F460" s="16">
        <v>1</v>
      </c>
      <c r="G460" s="16">
        <v>1</v>
      </c>
    </row>
    <row r="461" spans="1:7" ht="15" thickBot="1" x14ac:dyDescent="0.35">
      <c r="A461" s="16">
        <v>460</v>
      </c>
      <c r="B461" s="16">
        <v>0.2576</v>
      </c>
      <c r="C461" s="16">
        <v>0.87</v>
      </c>
      <c r="D461" s="16">
        <v>8.9599999999999999E-2</v>
      </c>
      <c r="E461" s="16">
        <v>0</v>
      </c>
      <c r="F461" s="16">
        <v>1</v>
      </c>
      <c r="G461" s="16">
        <v>1</v>
      </c>
    </row>
    <row r="462" spans="1:7" ht="15" thickBot="1" x14ac:dyDescent="0.35">
      <c r="A462" s="16">
        <v>461</v>
      </c>
      <c r="B462" s="16">
        <v>0.19700000000000001</v>
      </c>
      <c r="C462" s="16">
        <v>0.6</v>
      </c>
      <c r="D462" s="16">
        <v>0.41789999999999999</v>
      </c>
      <c r="E462" s="16">
        <v>1</v>
      </c>
      <c r="F462" s="16">
        <v>4</v>
      </c>
      <c r="G462" s="16">
        <v>5</v>
      </c>
    </row>
    <row r="463" spans="1:7" ht="15" thickBot="1" x14ac:dyDescent="0.35">
      <c r="A463" s="16">
        <v>462</v>
      </c>
      <c r="B463" s="16">
        <v>0.21210000000000001</v>
      </c>
      <c r="C463" s="16">
        <v>0.55000000000000004</v>
      </c>
      <c r="D463" s="16">
        <v>0.25369999999999998</v>
      </c>
      <c r="E463" s="16">
        <v>0</v>
      </c>
      <c r="F463" s="16">
        <v>27</v>
      </c>
      <c r="G463" s="16">
        <v>27</v>
      </c>
    </row>
    <row r="464" spans="1:7" ht="15" thickBot="1" x14ac:dyDescent="0.35">
      <c r="A464" s="16">
        <v>463</v>
      </c>
      <c r="B464" s="16">
        <v>0.18179999999999999</v>
      </c>
      <c r="C464" s="16">
        <v>0.51</v>
      </c>
      <c r="D464" s="16">
        <v>0.28360000000000002</v>
      </c>
      <c r="E464" s="16">
        <v>2</v>
      </c>
      <c r="F464" s="16">
        <v>66</v>
      </c>
      <c r="G464" s="16">
        <v>68</v>
      </c>
    </row>
    <row r="465" spans="1:7" ht="15" thickBot="1" x14ac:dyDescent="0.35">
      <c r="A465" s="16">
        <v>464</v>
      </c>
      <c r="B465" s="16">
        <v>0.18179999999999999</v>
      </c>
      <c r="C465" s="16">
        <v>0.47</v>
      </c>
      <c r="D465" s="16">
        <v>0.32840000000000003</v>
      </c>
      <c r="E465" s="16">
        <v>7</v>
      </c>
      <c r="F465" s="16">
        <v>210</v>
      </c>
      <c r="G465" s="16">
        <v>217</v>
      </c>
    </row>
    <row r="466" spans="1:7" ht="15" thickBot="1" x14ac:dyDescent="0.35">
      <c r="A466" s="16">
        <v>465</v>
      </c>
      <c r="B466" s="16">
        <v>0.18179999999999999</v>
      </c>
      <c r="C466" s="16">
        <v>0.51</v>
      </c>
      <c r="D466" s="16">
        <v>0.35820000000000002</v>
      </c>
      <c r="E466" s="16">
        <v>7</v>
      </c>
      <c r="F466" s="16">
        <v>159</v>
      </c>
      <c r="G466" s="16">
        <v>166</v>
      </c>
    </row>
    <row r="467" spans="1:7" ht="15" thickBot="1" x14ac:dyDescent="0.35">
      <c r="A467" s="16">
        <v>466</v>
      </c>
      <c r="B467" s="16">
        <v>0.16669999999999999</v>
      </c>
      <c r="C467" s="16">
        <v>0.47</v>
      </c>
      <c r="D467" s="16">
        <v>0.4627</v>
      </c>
      <c r="E467" s="16">
        <v>6</v>
      </c>
      <c r="F467" s="16">
        <v>57</v>
      </c>
      <c r="G467" s="16">
        <v>63</v>
      </c>
    </row>
    <row r="468" spans="1:7" ht="15" thickBot="1" x14ac:dyDescent="0.35">
      <c r="A468" s="16">
        <v>467</v>
      </c>
      <c r="B468" s="16">
        <v>0.18179999999999999</v>
      </c>
      <c r="C468" s="16">
        <v>0.41</v>
      </c>
      <c r="D468" s="16">
        <v>0.4627</v>
      </c>
      <c r="E468" s="16">
        <v>6</v>
      </c>
      <c r="F468" s="16">
        <v>53</v>
      </c>
      <c r="G468" s="16">
        <v>59</v>
      </c>
    </row>
    <row r="469" spans="1:7" ht="15" thickBot="1" x14ac:dyDescent="0.35">
      <c r="A469" s="16">
        <v>468</v>
      </c>
      <c r="B469" s="16">
        <v>0.18179999999999999</v>
      </c>
      <c r="C469" s="16">
        <v>0.27</v>
      </c>
      <c r="D469" s="16">
        <v>0.58209999999999995</v>
      </c>
      <c r="E469" s="16">
        <v>11</v>
      </c>
      <c r="F469" s="16">
        <v>67</v>
      </c>
      <c r="G469" s="16">
        <v>78</v>
      </c>
    </row>
    <row r="470" spans="1:7" ht="15" thickBot="1" x14ac:dyDescent="0.35">
      <c r="A470" s="16">
        <v>469</v>
      </c>
      <c r="B470" s="16">
        <v>0.1515</v>
      </c>
      <c r="C470" s="16">
        <v>0.21</v>
      </c>
      <c r="D470" s="16">
        <v>0.58209999999999995</v>
      </c>
      <c r="E470" s="16">
        <v>8</v>
      </c>
      <c r="F470" s="16">
        <v>65</v>
      </c>
      <c r="G470" s="16">
        <v>73</v>
      </c>
    </row>
    <row r="471" spans="1:7" ht="15" thickBot="1" x14ac:dyDescent="0.35">
      <c r="A471" s="16">
        <v>470</v>
      </c>
      <c r="B471" s="16">
        <v>0.1515</v>
      </c>
      <c r="C471" s="16">
        <v>0.25</v>
      </c>
      <c r="D471" s="16">
        <v>0.52239999999999998</v>
      </c>
      <c r="E471" s="16">
        <v>6</v>
      </c>
      <c r="F471" s="16">
        <v>56</v>
      </c>
      <c r="G471" s="16">
        <v>62</v>
      </c>
    </row>
    <row r="472" spans="1:7" ht="15" thickBot="1" x14ac:dyDescent="0.35">
      <c r="A472" s="16">
        <v>471</v>
      </c>
      <c r="B472" s="16">
        <v>0.1212</v>
      </c>
      <c r="C472" s="16">
        <v>0.26</v>
      </c>
      <c r="D472" s="16">
        <v>0.44779999999999998</v>
      </c>
      <c r="E472" s="16">
        <v>4</v>
      </c>
      <c r="F472" s="16">
        <v>61</v>
      </c>
      <c r="G472" s="16">
        <v>65</v>
      </c>
    </row>
    <row r="473" spans="1:7" ht="15" thickBot="1" x14ac:dyDescent="0.35">
      <c r="A473" s="16">
        <v>472</v>
      </c>
      <c r="B473" s="16">
        <v>0.13639999999999999</v>
      </c>
      <c r="C473" s="16">
        <v>0.26</v>
      </c>
      <c r="D473" s="16">
        <v>0.35820000000000002</v>
      </c>
      <c r="E473" s="16">
        <v>0</v>
      </c>
      <c r="F473" s="16">
        <v>97</v>
      </c>
      <c r="G473" s="16">
        <v>97</v>
      </c>
    </row>
    <row r="474" spans="1:7" ht="15" thickBot="1" x14ac:dyDescent="0.35">
      <c r="A474" s="16">
        <v>473</v>
      </c>
      <c r="B474" s="16">
        <v>0.1212</v>
      </c>
      <c r="C474" s="16">
        <v>0.28000000000000003</v>
      </c>
      <c r="D474" s="16">
        <v>0.35820000000000002</v>
      </c>
      <c r="E474" s="16">
        <v>10</v>
      </c>
      <c r="F474" s="16">
        <v>151</v>
      </c>
      <c r="G474" s="16">
        <v>161</v>
      </c>
    </row>
    <row r="475" spans="1:7" ht="15" thickBot="1" x14ac:dyDescent="0.35">
      <c r="A475" s="16">
        <v>474</v>
      </c>
      <c r="B475" s="16">
        <v>0.1212</v>
      </c>
      <c r="C475" s="16">
        <v>0.3</v>
      </c>
      <c r="D475" s="16">
        <v>0.25369999999999998</v>
      </c>
      <c r="E475" s="16">
        <v>1</v>
      </c>
      <c r="F475" s="16">
        <v>119</v>
      </c>
      <c r="G475" s="16">
        <v>120</v>
      </c>
    </row>
    <row r="476" spans="1:7" ht="15" thickBot="1" x14ac:dyDescent="0.35">
      <c r="A476" s="16">
        <v>475</v>
      </c>
      <c r="B476" s="16">
        <v>0.1061</v>
      </c>
      <c r="C476" s="16">
        <v>0.3</v>
      </c>
      <c r="D476" s="16">
        <v>0.32840000000000003</v>
      </c>
      <c r="E476" s="16">
        <v>3</v>
      </c>
      <c r="F476" s="16">
        <v>93</v>
      </c>
      <c r="G476" s="16">
        <v>96</v>
      </c>
    </row>
    <row r="477" spans="1:7" ht="15" thickBot="1" x14ac:dyDescent="0.35">
      <c r="A477" s="16">
        <v>476</v>
      </c>
      <c r="B477" s="16">
        <v>7.5800000000000006E-2</v>
      </c>
      <c r="C477" s="16">
        <v>0.33</v>
      </c>
      <c r="D477" s="16">
        <v>0.41789999999999999</v>
      </c>
      <c r="E477" s="16">
        <v>1</v>
      </c>
      <c r="F477" s="16">
        <v>52</v>
      </c>
      <c r="G477" s="16">
        <v>53</v>
      </c>
    </row>
    <row r="478" spans="1:7" ht="15" thickBot="1" x14ac:dyDescent="0.35">
      <c r="A478" s="16">
        <v>477</v>
      </c>
      <c r="B478" s="16">
        <v>7.5800000000000006E-2</v>
      </c>
      <c r="C478" s="16">
        <v>0.38</v>
      </c>
      <c r="D478" s="16">
        <v>0.28360000000000002</v>
      </c>
      <c r="E478" s="16">
        <v>0</v>
      </c>
      <c r="F478" s="16">
        <v>41</v>
      </c>
      <c r="G478" s="16">
        <v>41</v>
      </c>
    </row>
    <row r="479" spans="1:7" ht="15" thickBot="1" x14ac:dyDescent="0.35">
      <c r="A479" s="16">
        <v>478</v>
      </c>
      <c r="B479" s="16">
        <v>3.0300000000000001E-2</v>
      </c>
      <c r="C479" s="16">
        <v>0.41</v>
      </c>
      <c r="D479" s="16">
        <v>0.3881</v>
      </c>
      <c r="E479" s="16">
        <v>1</v>
      </c>
      <c r="F479" s="16">
        <v>33</v>
      </c>
      <c r="G479" s="16">
        <v>34</v>
      </c>
    </row>
    <row r="480" spans="1:7" ht="15" thickBot="1" x14ac:dyDescent="0.35">
      <c r="A480" s="16">
        <v>479</v>
      </c>
      <c r="B480" s="16">
        <v>4.5499999999999999E-2</v>
      </c>
      <c r="C480" s="16">
        <v>0.38</v>
      </c>
      <c r="D480" s="16">
        <v>0.32840000000000003</v>
      </c>
      <c r="E480" s="16">
        <v>0</v>
      </c>
      <c r="F480" s="16">
        <v>27</v>
      </c>
      <c r="G480" s="16">
        <v>27</v>
      </c>
    </row>
    <row r="481" spans="1:7" ht="15" thickBot="1" x14ac:dyDescent="0.35">
      <c r="A481" s="16">
        <v>480</v>
      </c>
      <c r="B481" s="16">
        <v>3.0300000000000001E-2</v>
      </c>
      <c r="C481" s="16">
        <v>0.45</v>
      </c>
      <c r="D481" s="16">
        <v>0.25369999999999998</v>
      </c>
      <c r="E481" s="16">
        <v>0</v>
      </c>
      <c r="F481" s="16">
        <v>13</v>
      </c>
      <c r="G481" s="16">
        <v>13</v>
      </c>
    </row>
    <row r="482" spans="1:7" ht="15" thickBot="1" x14ac:dyDescent="0.35">
      <c r="A482" s="16">
        <v>481</v>
      </c>
      <c r="B482" s="16">
        <v>0</v>
      </c>
      <c r="C482" s="16">
        <v>0.41</v>
      </c>
      <c r="D482" s="16">
        <v>0.3881</v>
      </c>
      <c r="E482" s="16">
        <v>3</v>
      </c>
      <c r="F482" s="16">
        <v>9</v>
      </c>
      <c r="G482" s="16">
        <v>12</v>
      </c>
    </row>
    <row r="483" spans="1:7" ht="15" thickBot="1" x14ac:dyDescent="0.35">
      <c r="A483" s="16">
        <v>482</v>
      </c>
      <c r="B483" s="16">
        <v>3.0300000000000001E-2</v>
      </c>
      <c r="C483" s="16">
        <v>0.41</v>
      </c>
      <c r="D483" s="16">
        <v>0.25369999999999998</v>
      </c>
      <c r="E483" s="16">
        <v>0</v>
      </c>
      <c r="F483" s="16">
        <v>11</v>
      </c>
      <c r="G483" s="16">
        <v>11</v>
      </c>
    </row>
    <row r="484" spans="1:7" ht="15" thickBot="1" x14ac:dyDescent="0.35">
      <c r="A484" s="16">
        <v>483</v>
      </c>
      <c r="B484" s="16">
        <v>3.0300000000000001E-2</v>
      </c>
      <c r="C484" s="16">
        <v>0.41</v>
      </c>
      <c r="D484" s="16">
        <v>0.28360000000000002</v>
      </c>
      <c r="E484" s="16">
        <v>1</v>
      </c>
      <c r="F484" s="16">
        <v>6</v>
      </c>
      <c r="G484" s="16">
        <v>7</v>
      </c>
    </row>
    <row r="485" spans="1:7" ht="15" thickBot="1" x14ac:dyDescent="0.35">
      <c r="A485" s="16">
        <v>484</v>
      </c>
      <c r="B485" s="16">
        <v>1.52E-2</v>
      </c>
      <c r="C485" s="16">
        <v>0.48</v>
      </c>
      <c r="D485" s="16">
        <v>0.29849999999999999</v>
      </c>
      <c r="E485" s="16">
        <v>0</v>
      </c>
      <c r="F485" s="16">
        <v>3</v>
      </c>
      <c r="G485" s="16">
        <v>3</v>
      </c>
    </row>
    <row r="486" spans="1:7" ht="15" thickBot="1" x14ac:dyDescent="0.35">
      <c r="A486" s="16">
        <v>485</v>
      </c>
      <c r="B486" s="16">
        <v>3.0300000000000001E-2</v>
      </c>
      <c r="C486" s="16">
        <v>0.44</v>
      </c>
      <c r="D486" s="16">
        <v>0.22389999999999999</v>
      </c>
      <c r="E486" s="16">
        <v>0</v>
      </c>
      <c r="F486" s="16">
        <v>2</v>
      </c>
      <c r="G486" s="16">
        <v>2</v>
      </c>
    </row>
    <row r="487" spans="1:7" ht="15" thickBot="1" x14ac:dyDescent="0.35">
      <c r="A487" s="16">
        <v>486</v>
      </c>
      <c r="B487" s="16">
        <v>1.52E-2</v>
      </c>
      <c r="C487" s="16">
        <v>0.44</v>
      </c>
      <c r="D487" s="16">
        <v>0.28360000000000002</v>
      </c>
      <c r="E487" s="16">
        <v>0</v>
      </c>
      <c r="F487" s="16">
        <v>8</v>
      </c>
      <c r="G487" s="16">
        <v>8</v>
      </c>
    </row>
    <row r="488" spans="1:7" ht="15" thickBot="1" x14ac:dyDescent="0.35">
      <c r="A488" s="16">
        <v>487</v>
      </c>
      <c r="B488" s="16">
        <v>0</v>
      </c>
      <c r="C488" s="16">
        <v>0.44</v>
      </c>
      <c r="D488" s="16">
        <v>0.32840000000000003</v>
      </c>
      <c r="E488" s="16">
        <v>1</v>
      </c>
      <c r="F488" s="16">
        <v>26</v>
      </c>
      <c r="G488" s="16">
        <v>27</v>
      </c>
    </row>
    <row r="489" spans="1:7" ht="15" thickBot="1" x14ac:dyDescent="0.35">
      <c r="A489" s="16">
        <v>488</v>
      </c>
      <c r="B489" s="16">
        <v>3.0300000000000001E-2</v>
      </c>
      <c r="C489" s="16">
        <v>0.41</v>
      </c>
      <c r="D489" s="16">
        <v>0.25369999999999998</v>
      </c>
      <c r="E489" s="16">
        <v>3</v>
      </c>
      <c r="F489" s="16">
        <v>37</v>
      </c>
      <c r="G489" s="16">
        <v>40</v>
      </c>
    </row>
    <row r="490" spans="1:7" ht="15" thickBot="1" x14ac:dyDescent="0.35">
      <c r="A490" s="16">
        <v>489</v>
      </c>
      <c r="B490" s="16">
        <v>6.0600000000000001E-2</v>
      </c>
      <c r="C490" s="16">
        <v>0.41</v>
      </c>
      <c r="D490" s="16">
        <v>0.16420000000000001</v>
      </c>
      <c r="E490" s="16">
        <v>3</v>
      </c>
      <c r="F490" s="16">
        <v>50</v>
      </c>
      <c r="G490" s="16">
        <v>53</v>
      </c>
    </row>
    <row r="491" spans="1:7" ht="15" thickBot="1" x14ac:dyDescent="0.35">
      <c r="A491" s="16">
        <v>490</v>
      </c>
      <c r="B491" s="16">
        <v>7.5800000000000006E-2</v>
      </c>
      <c r="C491" s="16">
        <v>0.38</v>
      </c>
      <c r="D491" s="16">
        <v>0.1343</v>
      </c>
      <c r="E491" s="16">
        <v>4</v>
      </c>
      <c r="F491" s="16">
        <v>59</v>
      </c>
      <c r="G491" s="16">
        <v>63</v>
      </c>
    </row>
    <row r="492" spans="1:7" ht="15" thickBot="1" x14ac:dyDescent="0.35">
      <c r="A492" s="16">
        <v>491</v>
      </c>
      <c r="B492" s="16">
        <v>0.1061</v>
      </c>
      <c r="C492" s="16">
        <v>0.38</v>
      </c>
      <c r="D492" s="16">
        <v>0.1045</v>
      </c>
      <c r="E492" s="16">
        <v>10</v>
      </c>
      <c r="F492" s="16">
        <v>60</v>
      </c>
      <c r="G492" s="16">
        <v>70</v>
      </c>
    </row>
    <row r="493" spans="1:7" ht="15" thickBot="1" x14ac:dyDescent="0.35">
      <c r="A493" s="16">
        <v>492</v>
      </c>
      <c r="B493" s="16">
        <v>0.16669999999999999</v>
      </c>
      <c r="C493" s="16">
        <v>0.35</v>
      </c>
      <c r="D493" s="16">
        <v>0</v>
      </c>
      <c r="E493" s="16">
        <v>12</v>
      </c>
      <c r="F493" s="16">
        <v>72</v>
      </c>
      <c r="G493" s="16">
        <v>84</v>
      </c>
    </row>
    <row r="494" spans="1:7" ht="15" thickBot="1" x14ac:dyDescent="0.35">
      <c r="A494" s="16">
        <v>493</v>
      </c>
      <c r="B494" s="16">
        <v>0.13639999999999999</v>
      </c>
      <c r="C494" s="16">
        <v>0.33</v>
      </c>
      <c r="D494" s="16">
        <v>0.1045</v>
      </c>
      <c r="E494" s="16">
        <v>11</v>
      </c>
      <c r="F494" s="16">
        <v>64</v>
      </c>
      <c r="G494" s="16">
        <v>75</v>
      </c>
    </row>
    <row r="495" spans="1:7" ht="15" thickBot="1" x14ac:dyDescent="0.35">
      <c r="A495" s="16">
        <v>494</v>
      </c>
      <c r="B495" s="16">
        <v>0.1515</v>
      </c>
      <c r="C495" s="16">
        <v>0.28000000000000003</v>
      </c>
      <c r="D495" s="16">
        <v>0</v>
      </c>
      <c r="E495" s="16">
        <v>10</v>
      </c>
      <c r="F495" s="16">
        <v>93</v>
      </c>
      <c r="G495" s="16">
        <v>103</v>
      </c>
    </row>
    <row r="496" spans="1:7" ht="15" thickBot="1" x14ac:dyDescent="0.35">
      <c r="A496" s="16">
        <v>495</v>
      </c>
      <c r="B496" s="16">
        <v>0.13639999999999999</v>
      </c>
      <c r="C496" s="16">
        <v>0.28000000000000003</v>
      </c>
      <c r="D496" s="16">
        <v>0.19400000000000001</v>
      </c>
      <c r="E496" s="16">
        <v>11</v>
      </c>
      <c r="F496" s="16">
        <v>72</v>
      </c>
      <c r="G496" s="16">
        <v>83</v>
      </c>
    </row>
    <row r="497" spans="1:7" ht="15" thickBot="1" x14ac:dyDescent="0.35">
      <c r="A497" s="16">
        <v>496</v>
      </c>
      <c r="B497" s="16">
        <v>0.19700000000000001</v>
      </c>
      <c r="C497" s="16">
        <v>0.28000000000000003</v>
      </c>
      <c r="D497" s="16">
        <v>0</v>
      </c>
      <c r="E497" s="16">
        <v>8</v>
      </c>
      <c r="F497" s="16">
        <v>59</v>
      </c>
      <c r="G497" s="16">
        <v>67</v>
      </c>
    </row>
    <row r="498" spans="1:7" ht="15" thickBot="1" x14ac:dyDescent="0.35">
      <c r="A498" s="16">
        <v>497</v>
      </c>
      <c r="B498" s="16">
        <v>9.0899999999999995E-2</v>
      </c>
      <c r="C498" s="16">
        <v>0.35</v>
      </c>
      <c r="D498" s="16">
        <v>0.19400000000000001</v>
      </c>
      <c r="E498" s="16">
        <v>0</v>
      </c>
      <c r="F498" s="16">
        <v>54</v>
      </c>
      <c r="G498" s="16">
        <v>54</v>
      </c>
    </row>
    <row r="499" spans="1:7" ht="15" thickBot="1" x14ac:dyDescent="0.35">
      <c r="A499" s="16">
        <v>498</v>
      </c>
      <c r="B499" s="16">
        <v>0.1061</v>
      </c>
      <c r="C499" s="16">
        <v>0.35</v>
      </c>
      <c r="D499" s="16">
        <v>0.1343</v>
      </c>
      <c r="E499" s="16">
        <v>6</v>
      </c>
      <c r="F499" s="16">
        <v>53</v>
      </c>
      <c r="G499" s="16">
        <v>59</v>
      </c>
    </row>
    <row r="500" spans="1:7" ht="15" thickBot="1" x14ac:dyDescent="0.35">
      <c r="A500" s="16">
        <v>499</v>
      </c>
      <c r="B500" s="16">
        <v>7.5800000000000006E-2</v>
      </c>
      <c r="C500" s="16">
        <v>0.45</v>
      </c>
      <c r="D500" s="16">
        <v>0.16420000000000001</v>
      </c>
      <c r="E500" s="16">
        <v>1</v>
      </c>
      <c r="F500" s="16">
        <v>44</v>
      </c>
      <c r="G500" s="16">
        <v>45</v>
      </c>
    </row>
    <row r="501" spans="1:7" ht="15" thickBot="1" x14ac:dyDescent="0.35">
      <c r="A501" s="16">
        <v>500</v>
      </c>
      <c r="B501" s="16">
        <v>0.1061</v>
      </c>
      <c r="C501" s="16">
        <v>0.41</v>
      </c>
      <c r="D501" s="16">
        <v>8.9599999999999999E-2</v>
      </c>
      <c r="E501" s="16">
        <v>0</v>
      </c>
      <c r="F501" s="16">
        <v>39</v>
      </c>
      <c r="G501" s="16">
        <v>39</v>
      </c>
    </row>
    <row r="502" spans="1:7" ht="15" thickBot="1" x14ac:dyDescent="0.35">
      <c r="A502" s="16">
        <v>501</v>
      </c>
      <c r="B502" s="16">
        <v>0.1515</v>
      </c>
      <c r="C502" s="16">
        <v>0.49</v>
      </c>
      <c r="D502" s="16">
        <v>0</v>
      </c>
      <c r="E502" s="16">
        <v>7</v>
      </c>
      <c r="F502" s="16">
        <v>23</v>
      </c>
      <c r="G502" s="16">
        <v>30</v>
      </c>
    </row>
    <row r="503" spans="1:7" ht="15" thickBot="1" x14ac:dyDescent="0.35">
      <c r="A503" s="16">
        <v>502</v>
      </c>
      <c r="B503" s="16">
        <v>7.5800000000000006E-2</v>
      </c>
      <c r="C503" s="16">
        <v>0.56999999999999995</v>
      </c>
      <c r="D503" s="16">
        <v>0.1045</v>
      </c>
      <c r="E503" s="16">
        <v>2</v>
      </c>
      <c r="F503" s="16">
        <v>31</v>
      </c>
      <c r="G503" s="16">
        <v>33</v>
      </c>
    </row>
    <row r="504" spans="1:7" ht="15" thickBot="1" x14ac:dyDescent="0.35">
      <c r="A504" s="16">
        <v>503</v>
      </c>
      <c r="B504" s="16">
        <v>7.5800000000000006E-2</v>
      </c>
      <c r="C504" s="16">
        <v>0.56999999999999995</v>
      </c>
      <c r="D504" s="16">
        <v>0.1045</v>
      </c>
      <c r="E504" s="16">
        <v>2</v>
      </c>
      <c r="F504" s="16">
        <v>20</v>
      </c>
      <c r="G504" s="16">
        <v>22</v>
      </c>
    </row>
    <row r="505" spans="1:7" ht="15" thickBot="1" x14ac:dyDescent="0.35">
      <c r="A505" s="16">
        <v>504</v>
      </c>
      <c r="B505" s="16">
        <v>7.5800000000000006E-2</v>
      </c>
      <c r="C505" s="16">
        <v>0.56999999999999995</v>
      </c>
      <c r="D505" s="16">
        <v>0.1045</v>
      </c>
      <c r="E505" s="16">
        <v>1</v>
      </c>
      <c r="F505" s="16">
        <v>12</v>
      </c>
      <c r="G505" s="16">
        <v>13</v>
      </c>
    </row>
    <row r="506" spans="1:7" ht="15" thickBot="1" x14ac:dyDescent="0.35">
      <c r="A506" s="16">
        <v>505</v>
      </c>
      <c r="B506" s="16">
        <v>6.0600000000000001E-2</v>
      </c>
      <c r="C506" s="16">
        <v>0.62</v>
      </c>
      <c r="D506" s="16">
        <v>0.1343</v>
      </c>
      <c r="E506" s="16">
        <v>3</v>
      </c>
      <c r="F506" s="16">
        <v>15</v>
      </c>
      <c r="G506" s="16">
        <v>18</v>
      </c>
    </row>
    <row r="507" spans="1:7" ht="15" thickBot="1" x14ac:dyDescent="0.35">
      <c r="A507" s="16">
        <v>506</v>
      </c>
      <c r="B507" s="16">
        <v>6.0600000000000001E-2</v>
      </c>
      <c r="C507" s="16">
        <v>0.62</v>
      </c>
      <c r="D507" s="16">
        <v>0.1343</v>
      </c>
      <c r="E507" s="16">
        <v>1</v>
      </c>
      <c r="F507" s="16">
        <v>4</v>
      </c>
      <c r="G507" s="16">
        <v>5</v>
      </c>
    </row>
    <row r="508" spans="1:7" ht="15" thickBot="1" x14ac:dyDescent="0.35">
      <c r="A508" s="16">
        <v>507</v>
      </c>
      <c r="B508" s="16">
        <v>7.5800000000000006E-2</v>
      </c>
      <c r="C508" s="16">
        <v>0.56999999999999995</v>
      </c>
      <c r="D508" s="16">
        <v>0.1045</v>
      </c>
      <c r="E508" s="16">
        <v>0</v>
      </c>
      <c r="F508" s="16">
        <v>3</v>
      </c>
      <c r="G508" s="16">
        <v>3</v>
      </c>
    </row>
    <row r="509" spans="1:7" ht="15" thickBot="1" x14ac:dyDescent="0.35">
      <c r="A509" s="16">
        <v>508</v>
      </c>
      <c r="B509" s="16">
        <v>7.5800000000000006E-2</v>
      </c>
      <c r="C509" s="16">
        <v>0.56999999999999995</v>
      </c>
      <c r="D509" s="16">
        <v>0.1045</v>
      </c>
      <c r="E509" s="16">
        <v>0</v>
      </c>
      <c r="F509" s="16">
        <v>1</v>
      </c>
      <c r="G509" s="16">
        <v>1</v>
      </c>
    </row>
    <row r="510" spans="1:7" ht="15" thickBot="1" x14ac:dyDescent="0.35">
      <c r="A510" s="16">
        <v>509</v>
      </c>
      <c r="B510" s="16">
        <v>0.1061</v>
      </c>
      <c r="C510" s="16">
        <v>0.57999999999999996</v>
      </c>
      <c r="D510" s="16">
        <v>0.16420000000000001</v>
      </c>
      <c r="E510" s="16">
        <v>1</v>
      </c>
      <c r="F510" s="16">
        <v>1</v>
      </c>
      <c r="G510" s="16">
        <v>2</v>
      </c>
    </row>
    <row r="511" spans="1:7" ht="15" thickBot="1" x14ac:dyDescent="0.35">
      <c r="A511" s="16">
        <v>510</v>
      </c>
      <c r="B511" s="16">
        <v>7.5800000000000006E-2</v>
      </c>
      <c r="C511" s="16">
        <v>0.62</v>
      </c>
      <c r="D511" s="16">
        <v>0.16420000000000001</v>
      </c>
      <c r="E511" s="16">
        <v>2</v>
      </c>
      <c r="F511" s="16">
        <v>17</v>
      </c>
      <c r="G511" s="16">
        <v>19</v>
      </c>
    </row>
    <row r="512" spans="1:7" ht="15" thickBot="1" x14ac:dyDescent="0.35">
      <c r="A512" s="16">
        <v>511</v>
      </c>
      <c r="B512" s="16">
        <v>7.5800000000000006E-2</v>
      </c>
      <c r="C512" s="16">
        <v>0.54</v>
      </c>
      <c r="D512" s="16">
        <v>0.35820000000000002</v>
      </c>
      <c r="E512" s="16">
        <v>3</v>
      </c>
      <c r="F512" s="16">
        <v>25</v>
      </c>
      <c r="G512" s="16">
        <v>28</v>
      </c>
    </row>
    <row r="513" spans="1:7" ht="15" thickBot="1" x14ac:dyDescent="0.35">
      <c r="A513" s="16">
        <v>512</v>
      </c>
      <c r="B513" s="16">
        <v>0.1061</v>
      </c>
      <c r="C513" s="16">
        <v>0.46</v>
      </c>
      <c r="D513" s="16">
        <v>0.3881</v>
      </c>
      <c r="E513" s="16">
        <v>7</v>
      </c>
      <c r="F513" s="16">
        <v>51</v>
      </c>
      <c r="G513" s="16">
        <v>58</v>
      </c>
    </row>
    <row r="514" spans="1:7" ht="15" thickBot="1" x14ac:dyDescent="0.35">
      <c r="A514" s="16">
        <v>513</v>
      </c>
      <c r="B514" s="16">
        <v>0.13639999999999999</v>
      </c>
      <c r="C514" s="16">
        <v>0.43</v>
      </c>
      <c r="D514" s="16">
        <v>0.22389999999999999</v>
      </c>
      <c r="E514" s="16">
        <v>22</v>
      </c>
      <c r="F514" s="16">
        <v>77</v>
      </c>
      <c r="G514" s="16">
        <v>99</v>
      </c>
    </row>
    <row r="515" spans="1:7" ht="15" thickBot="1" x14ac:dyDescent="0.35">
      <c r="A515" s="16">
        <v>514</v>
      </c>
      <c r="B515" s="16">
        <v>0.1212</v>
      </c>
      <c r="C515" s="16">
        <v>0.37</v>
      </c>
      <c r="D515" s="16">
        <v>0.4627</v>
      </c>
      <c r="E515" s="16">
        <v>24</v>
      </c>
      <c r="F515" s="16">
        <v>92</v>
      </c>
      <c r="G515" s="16">
        <v>116</v>
      </c>
    </row>
    <row r="516" spans="1:7" ht="15" thickBot="1" x14ac:dyDescent="0.35">
      <c r="A516" s="16">
        <v>515</v>
      </c>
      <c r="B516" s="16">
        <v>0.1061</v>
      </c>
      <c r="C516" s="16">
        <v>0.33</v>
      </c>
      <c r="D516" s="16">
        <v>0.3881</v>
      </c>
      <c r="E516" s="16">
        <v>12</v>
      </c>
      <c r="F516" s="16">
        <v>75</v>
      </c>
      <c r="G516" s="16">
        <v>87</v>
      </c>
    </row>
    <row r="517" spans="1:7" ht="15" thickBot="1" x14ac:dyDescent="0.35">
      <c r="A517" s="16">
        <v>516</v>
      </c>
      <c r="B517" s="16">
        <v>0.13639999999999999</v>
      </c>
      <c r="C517" s="16">
        <v>0.28000000000000003</v>
      </c>
      <c r="D517" s="16">
        <v>0.35820000000000002</v>
      </c>
      <c r="E517" s="16">
        <v>17</v>
      </c>
      <c r="F517" s="16">
        <v>93</v>
      </c>
      <c r="G517" s="16">
        <v>110</v>
      </c>
    </row>
    <row r="518" spans="1:7" ht="15" thickBot="1" x14ac:dyDescent="0.35">
      <c r="A518" s="16">
        <v>517</v>
      </c>
      <c r="B518" s="16">
        <v>0.13639999999999999</v>
      </c>
      <c r="C518" s="16">
        <v>0.28000000000000003</v>
      </c>
      <c r="D518" s="16">
        <v>0.35820000000000002</v>
      </c>
      <c r="E518" s="16">
        <v>13</v>
      </c>
      <c r="F518" s="16">
        <v>64</v>
      </c>
      <c r="G518" s="16">
        <v>77</v>
      </c>
    </row>
    <row r="519" spans="1:7" ht="15" thickBot="1" x14ac:dyDescent="0.35">
      <c r="A519" s="16">
        <v>518</v>
      </c>
      <c r="B519" s="16">
        <v>0.13639999999999999</v>
      </c>
      <c r="C519" s="16">
        <v>0.26</v>
      </c>
      <c r="D519" s="16">
        <v>0.32840000000000003</v>
      </c>
      <c r="E519" s="16">
        <v>9</v>
      </c>
      <c r="F519" s="16">
        <v>56</v>
      </c>
      <c r="G519" s="16">
        <v>65</v>
      </c>
    </row>
    <row r="520" spans="1:7" ht="15" thickBot="1" x14ac:dyDescent="0.35">
      <c r="A520" s="16">
        <v>519</v>
      </c>
      <c r="B520" s="16">
        <v>0.1061</v>
      </c>
      <c r="C520" s="16">
        <v>0.26</v>
      </c>
      <c r="D520" s="16">
        <v>0.3881</v>
      </c>
      <c r="E520" s="16">
        <v>5</v>
      </c>
      <c r="F520" s="16">
        <v>50</v>
      </c>
      <c r="G520" s="16">
        <v>55</v>
      </c>
    </row>
    <row r="521" spans="1:7" ht="15" thickBot="1" x14ac:dyDescent="0.35">
      <c r="A521" s="16">
        <v>520</v>
      </c>
      <c r="B521" s="16">
        <v>0.1212</v>
      </c>
      <c r="C521" s="16">
        <v>0.3</v>
      </c>
      <c r="D521" s="16">
        <v>0.25369999999999998</v>
      </c>
      <c r="E521" s="16">
        <v>5</v>
      </c>
      <c r="F521" s="16">
        <v>44</v>
      </c>
      <c r="G521" s="16">
        <v>49</v>
      </c>
    </row>
    <row r="522" spans="1:7" ht="15" thickBot="1" x14ac:dyDescent="0.35">
      <c r="A522" s="16">
        <v>521</v>
      </c>
      <c r="B522" s="16">
        <v>0.1212</v>
      </c>
      <c r="C522" s="16">
        <v>0.3</v>
      </c>
      <c r="D522" s="16">
        <v>0.28360000000000002</v>
      </c>
      <c r="E522" s="16">
        <v>5</v>
      </c>
      <c r="F522" s="16">
        <v>45</v>
      </c>
      <c r="G522" s="16">
        <v>50</v>
      </c>
    </row>
    <row r="523" spans="1:7" ht="15" thickBot="1" x14ac:dyDescent="0.35">
      <c r="A523" s="16">
        <v>522</v>
      </c>
      <c r="B523" s="16">
        <v>0.1061</v>
      </c>
      <c r="C523" s="16">
        <v>0.36</v>
      </c>
      <c r="D523" s="16">
        <v>0.25369999999999998</v>
      </c>
      <c r="E523" s="16">
        <v>4</v>
      </c>
      <c r="F523" s="16">
        <v>31</v>
      </c>
      <c r="G523" s="16">
        <v>35</v>
      </c>
    </row>
    <row r="524" spans="1:7" ht="15" thickBot="1" x14ac:dyDescent="0.35">
      <c r="A524" s="16">
        <v>523</v>
      </c>
      <c r="B524" s="16">
        <v>0.1061</v>
      </c>
      <c r="C524" s="16">
        <v>0.36</v>
      </c>
      <c r="D524" s="16">
        <v>0.19400000000000001</v>
      </c>
      <c r="E524" s="16">
        <v>5</v>
      </c>
      <c r="F524" s="16">
        <v>20</v>
      </c>
      <c r="G524" s="16">
        <v>25</v>
      </c>
    </row>
    <row r="525" spans="1:7" ht="15" thickBot="1" x14ac:dyDescent="0.35">
      <c r="A525" s="16">
        <v>524</v>
      </c>
      <c r="B525" s="16">
        <v>9.0899999999999995E-2</v>
      </c>
      <c r="C525" s="16">
        <v>0.38</v>
      </c>
      <c r="D525" s="16">
        <v>0.19400000000000001</v>
      </c>
      <c r="E525" s="16">
        <v>5</v>
      </c>
      <c r="F525" s="16">
        <v>23</v>
      </c>
      <c r="G525" s="16">
        <v>28</v>
      </c>
    </row>
    <row r="526" spans="1:7" ht="15" thickBot="1" x14ac:dyDescent="0.35">
      <c r="A526" s="16">
        <v>525</v>
      </c>
      <c r="B526" s="16">
        <v>6.0600000000000001E-2</v>
      </c>
      <c r="C526" s="16">
        <v>0.41</v>
      </c>
      <c r="D526" s="16">
        <v>0.22389999999999999</v>
      </c>
      <c r="E526" s="16">
        <v>4</v>
      </c>
      <c r="F526" s="16">
        <v>17</v>
      </c>
      <c r="G526" s="16">
        <v>21</v>
      </c>
    </row>
    <row r="527" spans="1:7" ht="15" thickBot="1" x14ac:dyDescent="0.35">
      <c r="A527" s="16">
        <v>526</v>
      </c>
      <c r="B527" s="16">
        <v>6.0600000000000001E-2</v>
      </c>
      <c r="C527" s="16">
        <v>0.41</v>
      </c>
      <c r="D527" s="16">
        <v>0.19400000000000001</v>
      </c>
      <c r="E527" s="16">
        <v>0</v>
      </c>
      <c r="F527" s="16">
        <v>7</v>
      </c>
      <c r="G527" s="16">
        <v>7</v>
      </c>
    </row>
    <row r="528" spans="1:7" ht="15" thickBot="1" x14ac:dyDescent="0.35">
      <c r="A528" s="16">
        <v>527</v>
      </c>
      <c r="B528" s="16">
        <v>4.5499999999999999E-2</v>
      </c>
      <c r="C528" s="16">
        <v>0.45</v>
      </c>
      <c r="D528" s="16">
        <v>0.19400000000000001</v>
      </c>
      <c r="E528" s="16">
        <v>0</v>
      </c>
      <c r="F528" s="16">
        <v>1</v>
      </c>
      <c r="G528" s="16">
        <v>1</v>
      </c>
    </row>
    <row r="529" spans="1:7" ht="15" thickBot="1" x14ac:dyDescent="0.35">
      <c r="A529" s="16">
        <v>528</v>
      </c>
      <c r="B529" s="16">
        <v>3.0300000000000001E-2</v>
      </c>
      <c r="C529" s="16">
        <v>0.45</v>
      </c>
      <c r="D529" s="16">
        <v>0.25369999999999998</v>
      </c>
      <c r="E529" s="16">
        <v>0</v>
      </c>
      <c r="F529" s="16">
        <v>1</v>
      </c>
      <c r="G529" s="16">
        <v>1</v>
      </c>
    </row>
    <row r="530" spans="1:7" ht="15" thickBot="1" x14ac:dyDescent="0.35">
      <c r="A530" s="16">
        <v>529</v>
      </c>
      <c r="B530" s="16">
        <v>6.0600000000000001E-2</v>
      </c>
      <c r="C530" s="16">
        <v>0.48</v>
      </c>
      <c r="D530" s="16">
        <v>0.1343</v>
      </c>
      <c r="E530" s="16">
        <v>0</v>
      </c>
      <c r="F530" s="16">
        <v>1</v>
      </c>
      <c r="G530" s="16">
        <v>1</v>
      </c>
    </row>
    <row r="531" spans="1:7" ht="15" thickBot="1" x14ac:dyDescent="0.35">
      <c r="A531" s="16">
        <v>530</v>
      </c>
      <c r="B531" s="16">
        <v>6.0600000000000001E-2</v>
      </c>
      <c r="C531" s="16">
        <v>0.48</v>
      </c>
      <c r="D531" s="16">
        <v>0.1343</v>
      </c>
      <c r="E531" s="16">
        <v>0</v>
      </c>
      <c r="F531" s="16">
        <v>5</v>
      </c>
      <c r="G531" s="16">
        <v>5</v>
      </c>
    </row>
    <row r="532" spans="1:7" ht="15" thickBot="1" x14ac:dyDescent="0.35">
      <c r="A532" s="16">
        <v>531</v>
      </c>
      <c r="B532" s="16">
        <v>7.5800000000000006E-2</v>
      </c>
      <c r="C532" s="16">
        <v>0.48</v>
      </c>
      <c r="D532" s="16">
        <v>8.9599999999999999E-2</v>
      </c>
      <c r="E532" s="16">
        <v>0</v>
      </c>
      <c r="F532" s="16">
        <v>15</v>
      </c>
      <c r="G532" s="16">
        <v>15</v>
      </c>
    </row>
    <row r="533" spans="1:7" ht="15" thickBot="1" x14ac:dyDescent="0.35">
      <c r="A533" s="16">
        <v>532</v>
      </c>
      <c r="B533" s="16">
        <v>0.1212</v>
      </c>
      <c r="C533" s="16">
        <v>0.48</v>
      </c>
      <c r="D533" s="16">
        <v>0</v>
      </c>
      <c r="E533" s="16">
        <v>5</v>
      </c>
      <c r="F533" s="16">
        <v>79</v>
      </c>
      <c r="G533" s="16">
        <v>84</v>
      </c>
    </row>
    <row r="534" spans="1:7" ht="15" thickBot="1" x14ac:dyDescent="0.35">
      <c r="A534" s="16">
        <v>533</v>
      </c>
      <c r="B534" s="16">
        <v>0.13639999999999999</v>
      </c>
      <c r="C534" s="16">
        <v>0.49</v>
      </c>
      <c r="D534" s="16">
        <v>0</v>
      </c>
      <c r="E534" s="16">
        <v>6</v>
      </c>
      <c r="F534" s="16">
        <v>171</v>
      </c>
      <c r="G534" s="16">
        <v>177</v>
      </c>
    </row>
    <row r="535" spans="1:7" ht="15" thickBot="1" x14ac:dyDescent="0.35">
      <c r="A535" s="16">
        <v>534</v>
      </c>
      <c r="B535" s="16">
        <v>0.1515</v>
      </c>
      <c r="C535" s="16">
        <v>0.41</v>
      </c>
      <c r="D535" s="16">
        <v>0</v>
      </c>
      <c r="E535" s="16">
        <v>4</v>
      </c>
      <c r="F535" s="16">
        <v>98</v>
      </c>
      <c r="G535" s="16">
        <v>102</v>
      </c>
    </row>
    <row r="536" spans="1:7" ht="15" thickBot="1" x14ac:dyDescent="0.35">
      <c r="A536" s="16">
        <v>535</v>
      </c>
      <c r="B536" s="16">
        <v>0.13639999999999999</v>
      </c>
      <c r="C536" s="16">
        <v>0.42</v>
      </c>
      <c r="D536" s="16">
        <v>0</v>
      </c>
      <c r="E536" s="16">
        <v>6</v>
      </c>
      <c r="F536" s="16">
        <v>34</v>
      </c>
      <c r="G536" s="16">
        <v>40</v>
      </c>
    </row>
    <row r="537" spans="1:7" ht="15" thickBot="1" x14ac:dyDescent="0.35">
      <c r="A537" s="16">
        <v>536</v>
      </c>
      <c r="B537" s="16">
        <v>0.1212</v>
      </c>
      <c r="C537" s="16">
        <v>0.46</v>
      </c>
      <c r="D537" s="16">
        <v>0.1343</v>
      </c>
      <c r="E537" s="16">
        <v>3</v>
      </c>
      <c r="F537" s="16">
        <v>43</v>
      </c>
      <c r="G537" s="16">
        <v>46</v>
      </c>
    </row>
    <row r="538" spans="1:7" ht="15" thickBot="1" x14ac:dyDescent="0.35">
      <c r="A538" s="16">
        <v>537</v>
      </c>
      <c r="B538" s="16">
        <v>0.13639999999999999</v>
      </c>
      <c r="C538" s="16">
        <v>0.42</v>
      </c>
      <c r="D538" s="16">
        <v>0.19400000000000001</v>
      </c>
      <c r="E538" s="16">
        <v>11</v>
      </c>
      <c r="F538" s="16">
        <v>52</v>
      </c>
      <c r="G538" s="16">
        <v>63</v>
      </c>
    </row>
    <row r="539" spans="1:7" ht="15" thickBot="1" x14ac:dyDescent="0.35">
      <c r="A539" s="16">
        <v>538</v>
      </c>
      <c r="B539" s="16">
        <v>0.13639999999999999</v>
      </c>
      <c r="C539" s="16">
        <v>0.43</v>
      </c>
      <c r="D539" s="16">
        <v>0.22389999999999999</v>
      </c>
      <c r="E539" s="16">
        <v>6</v>
      </c>
      <c r="F539" s="16">
        <v>54</v>
      </c>
      <c r="G539" s="16">
        <v>60</v>
      </c>
    </row>
    <row r="540" spans="1:7" ht="15" thickBot="1" x14ac:dyDescent="0.35">
      <c r="A540" s="16">
        <v>539</v>
      </c>
      <c r="B540" s="16">
        <v>0.13639999999999999</v>
      </c>
      <c r="C540" s="16">
        <v>0.46</v>
      </c>
      <c r="D540" s="16">
        <v>0.22389999999999999</v>
      </c>
      <c r="E540" s="16">
        <v>2</v>
      </c>
      <c r="F540" s="16">
        <v>43</v>
      </c>
      <c r="G540" s="16">
        <v>45</v>
      </c>
    </row>
    <row r="541" spans="1:7" ht="15" thickBot="1" x14ac:dyDescent="0.35">
      <c r="A541" s="16">
        <v>540</v>
      </c>
      <c r="B541" s="16">
        <v>0.16669999999999999</v>
      </c>
      <c r="C541" s="16">
        <v>0.4</v>
      </c>
      <c r="D541" s="16">
        <v>0.16420000000000001</v>
      </c>
      <c r="E541" s="16">
        <v>7</v>
      </c>
      <c r="F541" s="16">
        <v>50</v>
      </c>
      <c r="G541" s="16">
        <v>57</v>
      </c>
    </row>
    <row r="542" spans="1:7" ht="15" thickBot="1" x14ac:dyDescent="0.35">
      <c r="A542" s="16">
        <v>541</v>
      </c>
      <c r="B542" s="16">
        <v>0.1515</v>
      </c>
      <c r="C542" s="16">
        <v>0.47</v>
      </c>
      <c r="D542" s="16">
        <v>0.25369999999999998</v>
      </c>
      <c r="E542" s="16">
        <v>4</v>
      </c>
      <c r="F542" s="16">
        <v>66</v>
      </c>
      <c r="G542" s="16">
        <v>70</v>
      </c>
    </row>
    <row r="543" spans="1:7" ht="15" thickBot="1" x14ac:dyDescent="0.35">
      <c r="A543" s="16">
        <v>542</v>
      </c>
      <c r="B543" s="16">
        <v>0.1212</v>
      </c>
      <c r="C543" s="16">
        <v>0.5</v>
      </c>
      <c r="D543" s="16">
        <v>0.25369999999999998</v>
      </c>
      <c r="E543" s="16">
        <v>6</v>
      </c>
      <c r="F543" s="16">
        <v>178</v>
      </c>
      <c r="G543" s="16">
        <v>184</v>
      </c>
    </row>
    <row r="544" spans="1:7" ht="15" thickBot="1" x14ac:dyDescent="0.35">
      <c r="A544" s="16">
        <v>543</v>
      </c>
      <c r="B544" s="16">
        <v>0.13639999999999999</v>
      </c>
      <c r="C544" s="16">
        <v>0.59</v>
      </c>
      <c r="D544" s="16">
        <v>0.19400000000000001</v>
      </c>
      <c r="E544" s="16">
        <v>8</v>
      </c>
      <c r="F544" s="16">
        <v>145</v>
      </c>
      <c r="G544" s="16">
        <v>153</v>
      </c>
    </row>
    <row r="545" spans="1:7" ht="15" thickBot="1" x14ac:dyDescent="0.35">
      <c r="A545" s="16">
        <v>544</v>
      </c>
      <c r="B545" s="16">
        <v>0.1515</v>
      </c>
      <c r="C545" s="16">
        <v>0.54</v>
      </c>
      <c r="D545" s="16">
        <v>0.16420000000000001</v>
      </c>
      <c r="E545" s="16">
        <v>5</v>
      </c>
      <c r="F545" s="16">
        <v>101</v>
      </c>
      <c r="G545" s="16">
        <v>106</v>
      </c>
    </row>
    <row r="546" spans="1:7" ht="15" thickBot="1" x14ac:dyDescent="0.35">
      <c r="A546" s="16">
        <v>545</v>
      </c>
      <c r="B546" s="16">
        <v>0.13639999999999999</v>
      </c>
      <c r="C546" s="16">
        <v>0.59</v>
      </c>
      <c r="D546" s="16">
        <v>0.19400000000000001</v>
      </c>
      <c r="E546" s="16">
        <v>1</v>
      </c>
      <c r="F546" s="16">
        <v>80</v>
      </c>
      <c r="G546" s="16">
        <v>81</v>
      </c>
    </row>
    <row r="547" spans="1:7" ht="15" thickBot="1" x14ac:dyDescent="0.35">
      <c r="A547" s="16">
        <v>546</v>
      </c>
      <c r="B547" s="16">
        <v>0.1515</v>
      </c>
      <c r="C547" s="16">
        <v>0.63</v>
      </c>
      <c r="D547" s="16">
        <v>0.16420000000000001</v>
      </c>
      <c r="E547" s="16">
        <v>6</v>
      </c>
      <c r="F547" s="16">
        <v>53</v>
      </c>
      <c r="G547" s="16">
        <v>59</v>
      </c>
    </row>
    <row r="548" spans="1:7" ht="15" thickBot="1" x14ac:dyDescent="0.35">
      <c r="A548" s="16">
        <v>547</v>
      </c>
      <c r="B548" s="16">
        <v>0.13639999999999999</v>
      </c>
      <c r="C548" s="16">
        <v>0.63</v>
      </c>
      <c r="D548" s="16">
        <v>0.22389999999999999</v>
      </c>
      <c r="E548" s="16">
        <v>3</v>
      </c>
      <c r="F548" s="16">
        <v>32</v>
      </c>
      <c r="G548" s="16">
        <v>35</v>
      </c>
    </row>
    <row r="549" spans="1:7" ht="15" thickBot="1" x14ac:dyDescent="0.35">
      <c r="A549" s="16">
        <v>548</v>
      </c>
      <c r="B549" s="16">
        <v>0.1515</v>
      </c>
      <c r="C549" s="16">
        <v>0.64</v>
      </c>
      <c r="D549" s="16">
        <v>0.25369999999999998</v>
      </c>
      <c r="E549" s="16">
        <v>3</v>
      </c>
      <c r="F549" s="16">
        <v>21</v>
      </c>
      <c r="G549" s="16">
        <v>24</v>
      </c>
    </row>
    <row r="550" spans="1:7" ht="15" thickBot="1" x14ac:dyDescent="0.35">
      <c r="A550" s="16">
        <v>549</v>
      </c>
      <c r="B550" s="16">
        <v>0.13639999999999999</v>
      </c>
      <c r="C550" s="16">
        <v>0.69</v>
      </c>
      <c r="D550" s="16">
        <v>0.28360000000000002</v>
      </c>
      <c r="E550" s="16">
        <v>3</v>
      </c>
      <c r="F550" s="16">
        <v>6</v>
      </c>
      <c r="G550" s="16">
        <v>9</v>
      </c>
    </row>
    <row r="551" spans="1:7" ht="15" thickBot="1" x14ac:dyDescent="0.35">
      <c r="A551" s="16">
        <v>550</v>
      </c>
      <c r="B551" s="16">
        <v>0.16669999999999999</v>
      </c>
      <c r="C551" s="16">
        <v>0.69</v>
      </c>
      <c r="D551" s="16">
        <v>0.16420000000000001</v>
      </c>
      <c r="E551" s="16">
        <v>0</v>
      </c>
      <c r="F551" s="16">
        <v>5</v>
      </c>
      <c r="G551" s="16">
        <v>5</v>
      </c>
    </row>
    <row r="552" spans="1:7" ht="15" thickBot="1" x14ac:dyDescent="0.35">
      <c r="A552" s="16">
        <v>551</v>
      </c>
      <c r="B552" s="16">
        <v>0.1515</v>
      </c>
      <c r="C552" s="16">
        <v>0.69</v>
      </c>
      <c r="D552" s="16">
        <v>0.22389999999999999</v>
      </c>
      <c r="E552" s="16">
        <v>0</v>
      </c>
      <c r="F552" s="16">
        <v>2</v>
      </c>
      <c r="G552" s="16">
        <v>2</v>
      </c>
    </row>
    <row r="553" spans="1:7" ht="15" thickBot="1" x14ac:dyDescent="0.35">
      <c r="A553" s="16">
        <v>552</v>
      </c>
      <c r="B553" s="16">
        <v>0.16669999999999999</v>
      </c>
      <c r="C553" s="16">
        <v>0.74</v>
      </c>
      <c r="D553" s="16">
        <v>0.1045</v>
      </c>
      <c r="E553" s="16">
        <v>0</v>
      </c>
      <c r="F553" s="16">
        <v>1</v>
      </c>
      <c r="G553" s="16">
        <v>1</v>
      </c>
    </row>
    <row r="554" spans="1:7" ht="15" thickBot="1" x14ac:dyDescent="0.35">
      <c r="A554" s="16">
        <v>553</v>
      </c>
      <c r="B554" s="16">
        <v>0.13639999999999999</v>
      </c>
      <c r="C554" s="16">
        <v>0.74</v>
      </c>
      <c r="D554" s="16">
        <v>0.22389999999999999</v>
      </c>
      <c r="E554" s="16">
        <v>0</v>
      </c>
      <c r="F554" s="16">
        <v>9</v>
      </c>
      <c r="G554" s="16">
        <v>9</v>
      </c>
    </row>
    <row r="555" spans="1:7" ht="15" thickBot="1" x14ac:dyDescent="0.35">
      <c r="A555" s="16">
        <v>554</v>
      </c>
      <c r="B555" s="16">
        <v>0.18179999999999999</v>
      </c>
      <c r="C555" s="16">
        <v>0.74</v>
      </c>
      <c r="D555" s="16">
        <v>0.1045</v>
      </c>
      <c r="E555" s="16">
        <v>1</v>
      </c>
      <c r="F555" s="16">
        <v>35</v>
      </c>
      <c r="G555" s="16">
        <v>36</v>
      </c>
    </row>
    <row r="556" spans="1:7" ht="15" thickBot="1" x14ac:dyDescent="0.35">
      <c r="A556" s="16">
        <v>555</v>
      </c>
      <c r="B556" s="16">
        <v>0.1515</v>
      </c>
      <c r="C556" s="16">
        <v>0.74</v>
      </c>
      <c r="D556" s="16">
        <v>0.22389999999999999</v>
      </c>
      <c r="E556" s="16">
        <v>5</v>
      </c>
      <c r="F556" s="16">
        <v>103</v>
      </c>
      <c r="G556" s="16">
        <v>108</v>
      </c>
    </row>
    <row r="557" spans="1:7" ht="15" thickBot="1" x14ac:dyDescent="0.35">
      <c r="A557" s="16">
        <v>556</v>
      </c>
      <c r="B557" s="16">
        <v>0.18179999999999999</v>
      </c>
      <c r="C557" s="16">
        <v>0.74</v>
      </c>
      <c r="D557" s="16">
        <v>0.1343</v>
      </c>
      <c r="E557" s="16">
        <v>5</v>
      </c>
      <c r="F557" s="16">
        <v>233</v>
      </c>
      <c r="G557" s="16">
        <v>238</v>
      </c>
    </row>
    <row r="558" spans="1:7" ht="15" thickBot="1" x14ac:dyDescent="0.35">
      <c r="A558" s="16">
        <v>557</v>
      </c>
      <c r="B558" s="16">
        <v>0.2273</v>
      </c>
      <c r="C558" s="16">
        <v>0.64</v>
      </c>
      <c r="D558" s="16">
        <v>8.9599999999999999E-2</v>
      </c>
      <c r="E558" s="16">
        <v>10</v>
      </c>
      <c r="F558" s="16">
        <v>134</v>
      </c>
      <c r="G558" s="16">
        <v>144</v>
      </c>
    </row>
    <row r="559" spans="1:7" ht="15" thickBot="1" x14ac:dyDescent="0.35">
      <c r="A559" s="16">
        <v>558</v>
      </c>
      <c r="B559" s="16">
        <v>0.2424</v>
      </c>
      <c r="C559" s="16">
        <v>0.6</v>
      </c>
      <c r="D559" s="16">
        <v>0.1045</v>
      </c>
      <c r="E559" s="16">
        <v>6</v>
      </c>
      <c r="F559" s="16">
        <v>49</v>
      </c>
      <c r="G559" s="16">
        <v>55</v>
      </c>
    </row>
    <row r="560" spans="1:7" ht="15" thickBot="1" x14ac:dyDescent="0.35">
      <c r="A560" s="16">
        <v>559</v>
      </c>
      <c r="B560" s="16">
        <v>0.2424</v>
      </c>
      <c r="C560" s="16">
        <v>0.6</v>
      </c>
      <c r="D560" s="16">
        <v>0.1343</v>
      </c>
      <c r="E560" s="16">
        <v>6</v>
      </c>
      <c r="F560" s="16">
        <v>55</v>
      </c>
      <c r="G560" s="16">
        <v>61</v>
      </c>
    </row>
    <row r="561" spans="1:7" ht="15" thickBot="1" x14ac:dyDescent="0.35">
      <c r="A561" s="16">
        <v>560</v>
      </c>
      <c r="B561" s="16">
        <v>0.28789999999999999</v>
      </c>
      <c r="C561" s="16">
        <v>0.56000000000000005</v>
      </c>
      <c r="D561" s="16">
        <v>8.9599999999999999E-2</v>
      </c>
      <c r="E561" s="16">
        <v>21</v>
      </c>
      <c r="F561" s="16">
        <v>85</v>
      </c>
      <c r="G561" s="16">
        <v>106</v>
      </c>
    </row>
    <row r="562" spans="1:7" ht="15" thickBot="1" x14ac:dyDescent="0.35">
      <c r="A562" s="16">
        <v>561</v>
      </c>
      <c r="B562" s="16">
        <v>0.2727</v>
      </c>
      <c r="C562" s="16">
        <v>0.56000000000000005</v>
      </c>
      <c r="D562" s="16">
        <v>0.1343</v>
      </c>
      <c r="E562" s="16">
        <v>21</v>
      </c>
      <c r="F562" s="16">
        <v>72</v>
      </c>
      <c r="G562" s="16">
        <v>93</v>
      </c>
    </row>
    <row r="563" spans="1:7" ht="15" thickBot="1" x14ac:dyDescent="0.35">
      <c r="A563" s="16">
        <v>562</v>
      </c>
      <c r="B563" s="16">
        <v>0.33329999999999999</v>
      </c>
      <c r="C563" s="16">
        <v>0.45</v>
      </c>
      <c r="D563" s="16">
        <v>0</v>
      </c>
      <c r="E563" s="16">
        <v>11</v>
      </c>
      <c r="F563" s="16">
        <v>57</v>
      </c>
      <c r="G563" s="16">
        <v>68</v>
      </c>
    </row>
    <row r="564" spans="1:7" ht="15" thickBot="1" x14ac:dyDescent="0.35">
      <c r="A564" s="16">
        <v>563</v>
      </c>
      <c r="B564" s="16">
        <v>0.34849999999999998</v>
      </c>
      <c r="C564" s="16">
        <v>0.42</v>
      </c>
      <c r="D564" s="16">
        <v>0</v>
      </c>
      <c r="E564" s="16">
        <v>21</v>
      </c>
      <c r="F564" s="16">
        <v>63</v>
      </c>
      <c r="G564" s="16">
        <v>84</v>
      </c>
    </row>
    <row r="565" spans="1:7" ht="15" thickBot="1" x14ac:dyDescent="0.35">
      <c r="A565" s="16">
        <v>564</v>
      </c>
      <c r="B565" s="16">
        <v>0.34849999999999998</v>
      </c>
      <c r="C565" s="16">
        <v>0.42</v>
      </c>
      <c r="D565" s="16">
        <v>0</v>
      </c>
      <c r="E565" s="16">
        <v>14</v>
      </c>
      <c r="F565" s="16">
        <v>102</v>
      </c>
      <c r="G565" s="16">
        <v>116</v>
      </c>
    </row>
    <row r="566" spans="1:7" ht="15" thickBot="1" x14ac:dyDescent="0.35">
      <c r="A566" s="16">
        <v>565</v>
      </c>
      <c r="B566" s="16">
        <v>0.33329999999999999</v>
      </c>
      <c r="C566" s="16">
        <v>0.45</v>
      </c>
      <c r="D566" s="16">
        <v>0</v>
      </c>
      <c r="E566" s="16">
        <v>14</v>
      </c>
      <c r="F566" s="16">
        <v>208</v>
      </c>
      <c r="G566" s="16">
        <v>222</v>
      </c>
    </row>
    <row r="567" spans="1:7" ht="15" thickBot="1" x14ac:dyDescent="0.35">
      <c r="A567" s="16">
        <v>566</v>
      </c>
      <c r="B567" s="16">
        <v>0.31819999999999998</v>
      </c>
      <c r="C567" s="16">
        <v>0.49</v>
      </c>
      <c r="D567" s="16">
        <v>8.9599999999999999E-2</v>
      </c>
      <c r="E567" s="16">
        <v>7</v>
      </c>
      <c r="F567" s="16">
        <v>218</v>
      </c>
      <c r="G567" s="16">
        <v>225</v>
      </c>
    </row>
    <row r="568" spans="1:7" ht="15" thickBot="1" x14ac:dyDescent="0.35">
      <c r="A568" s="16">
        <v>567</v>
      </c>
      <c r="B568" s="16">
        <v>0.2576</v>
      </c>
      <c r="C568" s="16">
        <v>0.65</v>
      </c>
      <c r="D568" s="16">
        <v>0.16420000000000001</v>
      </c>
      <c r="E568" s="16">
        <v>13</v>
      </c>
      <c r="F568" s="16">
        <v>133</v>
      </c>
      <c r="G568" s="16">
        <v>146</v>
      </c>
    </row>
    <row r="569" spans="1:7" ht="15" thickBot="1" x14ac:dyDescent="0.35">
      <c r="A569" s="16">
        <v>568</v>
      </c>
      <c r="B569" s="16">
        <v>0.2273</v>
      </c>
      <c r="C569" s="16">
        <v>0.65</v>
      </c>
      <c r="D569" s="16">
        <v>0.19400000000000001</v>
      </c>
      <c r="E569" s="16">
        <v>16</v>
      </c>
      <c r="F569" s="16">
        <v>103</v>
      </c>
      <c r="G569" s="16">
        <v>119</v>
      </c>
    </row>
    <row r="570" spans="1:7" ht="15" thickBot="1" x14ac:dyDescent="0.35">
      <c r="A570" s="16">
        <v>569</v>
      </c>
      <c r="B570" s="16">
        <v>0.2273</v>
      </c>
      <c r="C570" s="16">
        <v>0.65</v>
      </c>
      <c r="D570" s="16">
        <v>0.19400000000000001</v>
      </c>
      <c r="E570" s="16">
        <v>5</v>
      </c>
      <c r="F570" s="16">
        <v>40</v>
      </c>
      <c r="G570" s="16">
        <v>45</v>
      </c>
    </row>
    <row r="571" spans="1:7" ht="15" thickBot="1" x14ac:dyDescent="0.35">
      <c r="A571" s="16">
        <v>570</v>
      </c>
      <c r="B571" s="16">
        <v>0.2273</v>
      </c>
      <c r="C571" s="16">
        <v>0.64</v>
      </c>
      <c r="D571" s="16">
        <v>0.16420000000000001</v>
      </c>
      <c r="E571" s="16">
        <v>4</v>
      </c>
      <c r="F571" s="16">
        <v>49</v>
      </c>
      <c r="G571" s="16">
        <v>53</v>
      </c>
    </row>
    <row r="572" spans="1:7" ht="15" thickBot="1" x14ac:dyDescent="0.35">
      <c r="A572" s="16">
        <v>571</v>
      </c>
      <c r="B572" s="16">
        <v>0.2273</v>
      </c>
      <c r="C572" s="16">
        <v>0.64</v>
      </c>
      <c r="D572" s="16">
        <v>0.16420000000000001</v>
      </c>
      <c r="E572" s="16">
        <v>3</v>
      </c>
      <c r="F572" s="16">
        <v>37</v>
      </c>
      <c r="G572" s="16">
        <v>40</v>
      </c>
    </row>
    <row r="573" spans="1:7" ht="15" thickBot="1" x14ac:dyDescent="0.35">
      <c r="A573" s="16">
        <v>572</v>
      </c>
      <c r="B573" s="16">
        <v>0.2273</v>
      </c>
      <c r="C573" s="16">
        <v>0.69</v>
      </c>
      <c r="D573" s="16">
        <v>0.1343</v>
      </c>
      <c r="E573" s="16">
        <v>3</v>
      </c>
      <c r="F573" s="16">
        <v>14</v>
      </c>
      <c r="G573" s="16">
        <v>17</v>
      </c>
    </row>
    <row r="574" spans="1:7" ht="15" thickBot="1" x14ac:dyDescent="0.35">
      <c r="A574" s="16">
        <v>573</v>
      </c>
      <c r="B574" s="16">
        <v>0.2424</v>
      </c>
      <c r="C574" s="16">
        <v>0.65</v>
      </c>
      <c r="D574" s="16">
        <v>0.1343</v>
      </c>
      <c r="E574" s="16">
        <v>0</v>
      </c>
      <c r="F574" s="16">
        <v>5</v>
      </c>
      <c r="G574" s="16">
        <v>5</v>
      </c>
    </row>
    <row r="575" spans="1:7" ht="15" thickBot="1" x14ac:dyDescent="0.35">
      <c r="A575" s="16">
        <v>574</v>
      </c>
      <c r="B575" s="16">
        <v>0.2273</v>
      </c>
      <c r="C575" s="16">
        <v>0.69</v>
      </c>
      <c r="D575" s="16">
        <v>0.19400000000000001</v>
      </c>
      <c r="E575" s="16">
        <v>3</v>
      </c>
      <c r="F575" s="16">
        <v>7</v>
      </c>
      <c r="G575" s="16">
        <v>10</v>
      </c>
    </row>
    <row r="576" spans="1:7" ht="15" thickBot="1" x14ac:dyDescent="0.35">
      <c r="A576" s="16">
        <v>575</v>
      </c>
      <c r="B576" s="16">
        <v>0.18179999999999999</v>
      </c>
      <c r="C576" s="16">
        <v>0.86</v>
      </c>
      <c r="D576" s="16">
        <v>0.28360000000000002</v>
      </c>
      <c r="E576" s="16">
        <v>0</v>
      </c>
      <c r="F576" s="16">
        <v>1</v>
      </c>
      <c r="G576" s="16">
        <v>1</v>
      </c>
    </row>
    <row r="577" spans="1:7" ht="15" thickBot="1" x14ac:dyDescent="0.35">
      <c r="A577" s="16">
        <v>576</v>
      </c>
      <c r="B577" s="16">
        <v>0.18179999999999999</v>
      </c>
      <c r="C577" s="16">
        <v>0.86</v>
      </c>
      <c r="D577" s="16">
        <v>0.28360000000000002</v>
      </c>
      <c r="E577" s="16">
        <v>0</v>
      </c>
      <c r="F577" s="16">
        <v>8</v>
      </c>
      <c r="G577" s="16">
        <v>8</v>
      </c>
    </row>
    <row r="578" spans="1:7" ht="15" thickBot="1" x14ac:dyDescent="0.35">
      <c r="A578" s="16">
        <v>577</v>
      </c>
      <c r="B578" s="16">
        <v>0.21210000000000001</v>
      </c>
      <c r="C578" s="16">
        <v>0.87</v>
      </c>
      <c r="D578" s="16">
        <v>0.29849999999999999</v>
      </c>
      <c r="E578" s="16">
        <v>1</v>
      </c>
      <c r="F578" s="16">
        <v>29</v>
      </c>
      <c r="G578" s="16">
        <v>30</v>
      </c>
    </row>
    <row r="579" spans="1:7" ht="15" thickBot="1" x14ac:dyDescent="0.35">
      <c r="A579" s="16">
        <v>578</v>
      </c>
      <c r="B579" s="16">
        <v>0.21210000000000001</v>
      </c>
      <c r="C579" s="16">
        <v>0.87</v>
      </c>
      <c r="D579" s="16">
        <v>0.29849999999999999</v>
      </c>
      <c r="E579" s="16">
        <v>3</v>
      </c>
      <c r="F579" s="16">
        <v>69</v>
      </c>
      <c r="G579" s="16">
        <v>72</v>
      </c>
    </row>
    <row r="580" spans="1:7" ht="15" thickBot="1" x14ac:dyDescent="0.35">
      <c r="A580" s="16">
        <v>579</v>
      </c>
      <c r="B580" s="16">
        <v>0.21210000000000001</v>
      </c>
      <c r="C580" s="16">
        <v>0.87</v>
      </c>
      <c r="D580" s="16">
        <v>0.29849999999999999</v>
      </c>
      <c r="E580" s="16">
        <v>3</v>
      </c>
      <c r="F580" s="16">
        <v>55</v>
      </c>
      <c r="G580" s="16">
        <v>58</v>
      </c>
    </row>
    <row r="581" spans="1:7" ht="15" thickBot="1" x14ac:dyDescent="0.35">
      <c r="A581" s="16">
        <v>580</v>
      </c>
      <c r="B581" s="16">
        <v>0.21210000000000001</v>
      </c>
      <c r="C581" s="16">
        <v>0.93</v>
      </c>
      <c r="D581" s="16">
        <v>0.28360000000000002</v>
      </c>
      <c r="E581" s="16">
        <v>2</v>
      </c>
      <c r="F581" s="16">
        <v>26</v>
      </c>
      <c r="G581" s="16">
        <v>28</v>
      </c>
    </row>
    <row r="582" spans="1:7" ht="15" thickBot="1" x14ac:dyDescent="0.35">
      <c r="A582" s="16">
        <v>581</v>
      </c>
      <c r="B582" s="16">
        <v>0.19700000000000001</v>
      </c>
      <c r="C582" s="16">
        <v>0.93</v>
      </c>
      <c r="D582" s="16">
        <v>0.32840000000000003</v>
      </c>
      <c r="E582" s="16">
        <v>6</v>
      </c>
      <c r="F582" s="16">
        <v>35</v>
      </c>
      <c r="G582" s="16">
        <v>41</v>
      </c>
    </row>
    <row r="583" spans="1:7" ht="15" thickBot="1" x14ac:dyDescent="0.35">
      <c r="A583" s="16">
        <v>582</v>
      </c>
      <c r="B583" s="16">
        <v>0.19700000000000001</v>
      </c>
      <c r="C583" s="16">
        <v>0.93</v>
      </c>
      <c r="D583" s="16">
        <v>0.32840000000000003</v>
      </c>
      <c r="E583" s="16">
        <v>7</v>
      </c>
      <c r="F583" s="16">
        <v>41</v>
      </c>
      <c r="G583" s="16">
        <v>48</v>
      </c>
    </row>
    <row r="584" spans="1:7" ht="15" thickBot="1" x14ac:dyDescent="0.35">
      <c r="A584" s="16">
        <v>583</v>
      </c>
      <c r="B584" s="16">
        <v>0.19700000000000001</v>
      </c>
      <c r="C584" s="16">
        <v>0.93</v>
      </c>
      <c r="D584" s="16">
        <v>0.32840000000000003</v>
      </c>
      <c r="E584" s="16">
        <v>4</v>
      </c>
      <c r="F584" s="16">
        <v>43</v>
      </c>
      <c r="G584" s="16">
        <v>47</v>
      </c>
    </row>
    <row r="585" spans="1:7" ht="15" thickBot="1" x14ac:dyDescent="0.35">
      <c r="A585" s="16">
        <v>584</v>
      </c>
      <c r="B585" s="16">
        <v>0.19700000000000001</v>
      </c>
      <c r="C585" s="16">
        <v>0.93</v>
      </c>
      <c r="D585" s="16">
        <v>0.35820000000000002</v>
      </c>
      <c r="E585" s="16">
        <v>0</v>
      </c>
      <c r="F585" s="16">
        <v>36</v>
      </c>
      <c r="G585" s="16">
        <v>36</v>
      </c>
    </row>
    <row r="586" spans="1:7" ht="15" thickBot="1" x14ac:dyDescent="0.35">
      <c r="A586" s="16">
        <v>585</v>
      </c>
      <c r="B586" s="16">
        <v>0.18179999999999999</v>
      </c>
      <c r="C586" s="16">
        <v>0.93</v>
      </c>
      <c r="D586" s="16">
        <v>0.4627</v>
      </c>
      <c r="E586" s="16">
        <v>1</v>
      </c>
      <c r="F586" s="16">
        <v>42</v>
      </c>
      <c r="G586" s="16">
        <v>43</v>
      </c>
    </row>
    <row r="587" spans="1:7" ht="15" thickBot="1" x14ac:dyDescent="0.35">
      <c r="A587" s="16">
        <v>586</v>
      </c>
      <c r="B587" s="16">
        <v>0.19700000000000001</v>
      </c>
      <c r="C587" s="16">
        <v>0.93</v>
      </c>
      <c r="D587" s="16">
        <v>0.32840000000000003</v>
      </c>
      <c r="E587" s="16">
        <v>1</v>
      </c>
      <c r="F587" s="16">
        <v>35</v>
      </c>
      <c r="G587" s="16">
        <v>36</v>
      </c>
    </row>
    <row r="588" spans="1:7" ht="15" thickBot="1" x14ac:dyDescent="0.35">
      <c r="A588" s="16">
        <v>587</v>
      </c>
      <c r="B588" s="16">
        <v>0.18179999999999999</v>
      </c>
      <c r="C588" s="16">
        <v>0.93</v>
      </c>
      <c r="D588" s="16">
        <v>0.35820000000000002</v>
      </c>
      <c r="E588" s="16">
        <v>0</v>
      </c>
      <c r="F588" s="16">
        <v>26</v>
      </c>
      <c r="G588" s="16">
        <v>26</v>
      </c>
    </row>
    <row r="589" spans="1:7" ht="15" thickBot="1" x14ac:dyDescent="0.35">
      <c r="A589" s="16">
        <v>588</v>
      </c>
      <c r="B589" s="16">
        <v>0.2273</v>
      </c>
      <c r="C589" s="16">
        <v>0.55000000000000004</v>
      </c>
      <c r="D589" s="16">
        <v>0.19400000000000001</v>
      </c>
      <c r="E589" s="16">
        <v>1</v>
      </c>
      <c r="F589" s="16">
        <v>23</v>
      </c>
      <c r="G589" s="16">
        <v>24</v>
      </c>
    </row>
    <row r="590" spans="1:7" ht="15" thickBot="1" x14ac:dyDescent="0.35">
      <c r="A590" s="16">
        <v>589</v>
      </c>
      <c r="B590" s="16">
        <v>0.2424</v>
      </c>
      <c r="C590" s="16">
        <v>0.55000000000000004</v>
      </c>
      <c r="D590" s="16">
        <v>0.1045</v>
      </c>
      <c r="E590" s="16">
        <v>2</v>
      </c>
      <c r="F590" s="16">
        <v>82</v>
      </c>
      <c r="G590" s="16">
        <v>84</v>
      </c>
    </row>
    <row r="591" spans="1:7" ht="15" thickBot="1" x14ac:dyDescent="0.35">
      <c r="A591" s="16">
        <v>590</v>
      </c>
      <c r="B591" s="16">
        <v>0.2273</v>
      </c>
      <c r="C591" s="16">
        <v>0.69</v>
      </c>
      <c r="D591" s="16">
        <v>8.9599999999999999E-2</v>
      </c>
      <c r="E591" s="16">
        <v>3</v>
      </c>
      <c r="F591" s="16">
        <v>101</v>
      </c>
      <c r="G591" s="16">
        <v>104</v>
      </c>
    </row>
    <row r="592" spans="1:7" ht="15" thickBot="1" x14ac:dyDescent="0.35">
      <c r="A592" s="16">
        <v>591</v>
      </c>
      <c r="B592" s="16">
        <v>0.2273</v>
      </c>
      <c r="C592" s="16">
        <v>0.69</v>
      </c>
      <c r="D592" s="16">
        <v>8.9599999999999999E-2</v>
      </c>
      <c r="E592" s="16">
        <v>3</v>
      </c>
      <c r="F592" s="16">
        <v>76</v>
      </c>
      <c r="G592" s="16">
        <v>79</v>
      </c>
    </row>
    <row r="593" spans="1:7" ht="15" thickBot="1" x14ac:dyDescent="0.35">
      <c r="A593" s="16">
        <v>592</v>
      </c>
      <c r="B593" s="16">
        <v>0.21210000000000001</v>
      </c>
      <c r="C593" s="16">
        <v>0.74</v>
      </c>
      <c r="D593" s="16">
        <v>8.9599999999999999E-2</v>
      </c>
      <c r="E593" s="16">
        <v>4</v>
      </c>
      <c r="F593" s="16">
        <v>55</v>
      </c>
      <c r="G593" s="16">
        <v>59</v>
      </c>
    </row>
    <row r="594" spans="1:7" ht="15" thickBot="1" x14ac:dyDescent="0.35">
      <c r="A594" s="16">
        <v>593</v>
      </c>
      <c r="B594" s="16">
        <v>0.21210000000000001</v>
      </c>
      <c r="C594" s="16">
        <v>0.74</v>
      </c>
      <c r="D594" s="16">
        <v>8.9599999999999999E-2</v>
      </c>
      <c r="E594" s="16">
        <v>2</v>
      </c>
      <c r="F594" s="16">
        <v>36</v>
      </c>
      <c r="G594" s="16">
        <v>38</v>
      </c>
    </row>
    <row r="595" spans="1:7" ht="15" thickBot="1" x14ac:dyDescent="0.35">
      <c r="A595" s="16">
        <v>594</v>
      </c>
      <c r="B595" s="16">
        <v>0.21210000000000001</v>
      </c>
      <c r="C595" s="16">
        <v>0.74</v>
      </c>
      <c r="D595" s="16">
        <v>8.9599999999999999E-2</v>
      </c>
      <c r="E595" s="16">
        <v>0</v>
      </c>
      <c r="F595" s="16">
        <v>27</v>
      </c>
      <c r="G595" s="16">
        <v>27</v>
      </c>
    </row>
    <row r="596" spans="1:7" ht="15" thickBot="1" x14ac:dyDescent="0.35">
      <c r="A596" s="16">
        <v>595</v>
      </c>
      <c r="B596" s="16">
        <v>0.19700000000000001</v>
      </c>
      <c r="C596" s="16">
        <v>0.8</v>
      </c>
      <c r="D596" s="16">
        <v>0.16420000000000001</v>
      </c>
      <c r="E596" s="16">
        <v>0</v>
      </c>
      <c r="F596" s="16">
        <v>16</v>
      </c>
      <c r="G596" s="16">
        <v>16</v>
      </c>
    </row>
    <row r="597" spans="1:7" ht="15" thickBot="1" x14ac:dyDescent="0.35">
      <c r="A597" s="16">
        <v>596</v>
      </c>
      <c r="B597" s="16">
        <v>0.21210000000000001</v>
      </c>
      <c r="C597" s="16">
        <v>0.75</v>
      </c>
      <c r="D597" s="16">
        <v>0.1343</v>
      </c>
      <c r="E597" s="16">
        <v>0</v>
      </c>
      <c r="F597" s="16">
        <v>9</v>
      </c>
      <c r="G597" s="16">
        <v>9</v>
      </c>
    </row>
    <row r="598" spans="1:7" ht="15" thickBot="1" x14ac:dyDescent="0.35">
      <c r="A598" s="16">
        <v>597</v>
      </c>
      <c r="B598" s="16">
        <v>0.21210000000000001</v>
      </c>
      <c r="C598" s="16">
        <v>0.75</v>
      </c>
      <c r="D598" s="16">
        <v>0.1343</v>
      </c>
      <c r="E598" s="16">
        <v>1</v>
      </c>
      <c r="F598" s="16">
        <v>2</v>
      </c>
      <c r="G598" s="16">
        <v>3</v>
      </c>
    </row>
    <row r="599" spans="1:7" ht="15" thickBot="1" x14ac:dyDescent="0.35">
      <c r="A599" s="16">
        <v>598</v>
      </c>
      <c r="B599" s="16">
        <v>0.21210000000000001</v>
      </c>
      <c r="C599" s="16">
        <v>0.75</v>
      </c>
      <c r="D599" s="16">
        <v>0.16420000000000001</v>
      </c>
      <c r="E599" s="16">
        <v>0</v>
      </c>
      <c r="F599" s="16">
        <v>2</v>
      </c>
      <c r="G599" s="16">
        <v>2</v>
      </c>
    </row>
    <row r="600" spans="1:7" ht="15" thickBot="1" x14ac:dyDescent="0.35">
      <c r="A600" s="16">
        <v>599</v>
      </c>
      <c r="B600" s="16">
        <v>0.2273</v>
      </c>
      <c r="C600" s="16">
        <v>0.75</v>
      </c>
      <c r="D600" s="16">
        <v>0.1045</v>
      </c>
      <c r="E600" s="16">
        <v>1</v>
      </c>
      <c r="F600" s="16">
        <v>0</v>
      </c>
      <c r="G600" s="16">
        <v>1</v>
      </c>
    </row>
    <row r="601" spans="1:7" ht="15" thickBot="1" x14ac:dyDescent="0.35">
      <c r="A601" s="16">
        <v>600</v>
      </c>
      <c r="B601" s="16">
        <v>0.21210000000000001</v>
      </c>
      <c r="C601" s="16">
        <v>0.8</v>
      </c>
      <c r="D601" s="16">
        <v>0.1045</v>
      </c>
      <c r="E601" s="16">
        <v>0</v>
      </c>
      <c r="F601" s="16">
        <v>4</v>
      </c>
      <c r="G601" s="16">
        <v>4</v>
      </c>
    </row>
    <row r="602" spans="1:7" ht="15" thickBot="1" x14ac:dyDescent="0.35">
      <c r="A602" s="16">
        <v>601</v>
      </c>
      <c r="B602" s="16">
        <v>0.19700000000000001</v>
      </c>
      <c r="C602" s="16">
        <v>0.8</v>
      </c>
      <c r="D602" s="16">
        <v>0.1343</v>
      </c>
      <c r="E602" s="16">
        <v>0</v>
      </c>
      <c r="F602" s="16">
        <v>16</v>
      </c>
      <c r="G602" s="16">
        <v>16</v>
      </c>
    </row>
    <row r="603" spans="1:7" ht="15" thickBot="1" x14ac:dyDescent="0.35">
      <c r="A603" s="16">
        <v>602</v>
      </c>
      <c r="B603" s="16">
        <v>0.19700000000000001</v>
      </c>
      <c r="C603" s="16">
        <v>0.86</v>
      </c>
      <c r="D603" s="16">
        <v>8.9599999999999999E-2</v>
      </c>
      <c r="E603" s="16">
        <v>2</v>
      </c>
      <c r="F603" s="16">
        <v>58</v>
      </c>
      <c r="G603" s="16">
        <v>60</v>
      </c>
    </row>
    <row r="604" spans="1:7" ht="15" thickBot="1" x14ac:dyDescent="0.35">
      <c r="A604" s="16">
        <v>603</v>
      </c>
      <c r="B604" s="16">
        <v>0.19700000000000001</v>
      </c>
      <c r="C604" s="16">
        <v>0.86</v>
      </c>
      <c r="D604" s="16">
        <v>8.9599999999999999E-2</v>
      </c>
      <c r="E604" s="16">
        <v>2</v>
      </c>
      <c r="F604" s="16">
        <v>155</v>
      </c>
      <c r="G604" s="16">
        <v>157</v>
      </c>
    </row>
    <row r="605" spans="1:7" ht="15" thickBot="1" x14ac:dyDescent="0.35">
      <c r="A605" s="16">
        <v>604</v>
      </c>
      <c r="B605" s="16">
        <v>0.21210000000000001</v>
      </c>
      <c r="C605" s="16">
        <v>0.86</v>
      </c>
      <c r="D605" s="16">
        <v>8.9599999999999999E-2</v>
      </c>
      <c r="E605" s="16">
        <v>6</v>
      </c>
      <c r="F605" s="16">
        <v>95</v>
      </c>
      <c r="G605" s="16">
        <v>101</v>
      </c>
    </row>
    <row r="606" spans="1:7" ht="15" thickBot="1" x14ac:dyDescent="0.35">
      <c r="A606" s="16">
        <v>605</v>
      </c>
      <c r="B606" s="16">
        <v>0.21210000000000001</v>
      </c>
      <c r="C606" s="16">
        <v>0.86</v>
      </c>
      <c r="D606" s="16">
        <v>0.1045</v>
      </c>
      <c r="E606" s="16">
        <v>0</v>
      </c>
      <c r="F606" s="16">
        <v>49</v>
      </c>
      <c r="G606" s="16">
        <v>49</v>
      </c>
    </row>
    <row r="607" spans="1:7" ht="15" thickBot="1" x14ac:dyDescent="0.35">
      <c r="A607" s="16">
        <v>606</v>
      </c>
      <c r="B607" s="16">
        <v>0.21210000000000001</v>
      </c>
      <c r="C607" s="16">
        <v>0.93</v>
      </c>
      <c r="D607" s="16">
        <v>0.1045</v>
      </c>
      <c r="E607" s="16">
        <v>0</v>
      </c>
      <c r="F607" s="16">
        <v>30</v>
      </c>
      <c r="G607" s="16">
        <v>30</v>
      </c>
    </row>
    <row r="608" spans="1:7" ht="15" thickBot="1" x14ac:dyDescent="0.35">
      <c r="A608" s="16">
        <v>607</v>
      </c>
      <c r="B608" s="16">
        <v>0.21210000000000001</v>
      </c>
      <c r="C608" s="16">
        <v>0.93</v>
      </c>
      <c r="D608" s="16">
        <v>0.1045</v>
      </c>
      <c r="E608" s="16">
        <v>1</v>
      </c>
      <c r="F608" s="16">
        <v>28</v>
      </c>
      <c r="G608" s="16">
        <v>29</v>
      </c>
    </row>
    <row r="609" spans="1:7" ht="15" thickBot="1" x14ac:dyDescent="0.35">
      <c r="A609" s="16">
        <v>608</v>
      </c>
      <c r="B609" s="16">
        <v>0.21210000000000001</v>
      </c>
      <c r="C609" s="16">
        <v>0.93</v>
      </c>
      <c r="D609" s="16">
        <v>0.1045</v>
      </c>
      <c r="E609" s="16">
        <v>0</v>
      </c>
      <c r="F609" s="16">
        <v>31</v>
      </c>
      <c r="G609" s="16">
        <v>31</v>
      </c>
    </row>
    <row r="610" spans="1:7" ht="15" thickBot="1" x14ac:dyDescent="0.35">
      <c r="A610" s="16">
        <v>609</v>
      </c>
      <c r="B610" s="16">
        <v>0.2727</v>
      </c>
      <c r="C610" s="16">
        <v>0.8</v>
      </c>
      <c r="D610" s="16">
        <v>0</v>
      </c>
      <c r="E610" s="16">
        <v>2</v>
      </c>
      <c r="F610" s="16">
        <v>36</v>
      </c>
      <c r="G610" s="16">
        <v>38</v>
      </c>
    </row>
    <row r="611" spans="1:7" ht="15" thickBot="1" x14ac:dyDescent="0.35">
      <c r="A611" s="16">
        <v>610</v>
      </c>
      <c r="B611" s="16">
        <v>0.2576</v>
      </c>
      <c r="C611" s="16">
        <v>0.86</v>
      </c>
      <c r="D611" s="16">
        <v>0</v>
      </c>
      <c r="E611" s="16">
        <v>1</v>
      </c>
      <c r="F611" s="16">
        <v>40</v>
      </c>
      <c r="G611" s="16">
        <v>41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3469D-D57E-47AB-BAA5-6FE2B2851475}">
  <sheetPr>
    <tabColor theme="0"/>
  </sheetPr>
  <dimension ref="A1:M391"/>
  <sheetViews>
    <sheetView workbookViewId="0">
      <selection activeCell="O2" sqref="O2"/>
    </sheetView>
  </sheetViews>
  <sheetFormatPr defaultRowHeight="14.4" x14ac:dyDescent="0.3"/>
  <cols>
    <col min="2" max="2" width="11.109375" customWidth="1"/>
    <col min="4" max="4" width="9.109375" customWidth="1"/>
    <col min="5" max="5" width="10.44140625" customWidth="1"/>
    <col min="6" max="6" width="12" customWidth="1"/>
    <col min="10" max="10" width="12.21875" customWidth="1"/>
    <col min="12" max="12" width="11.77734375" customWidth="1"/>
  </cols>
  <sheetData>
    <row r="1" spans="1:13" ht="15" thickBot="1" x14ac:dyDescent="0.35">
      <c r="A1" s="7" t="s">
        <v>12</v>
      </c>
      <c r="B1" s="8" t="s">
        <v>11</v>
      </c>
      <c r="C1" s="8" t="s">
        <v>10</v>
      </c>
      <c r="D1" s="8" t="s">
        <v>9</v>
      </c>
      <c r="E1" s="8" t="s">
        <v>8</v>
      </c>
      <c r="F1" s="8" t="s">
        <v>7</v>
      </c>
      <c r="G1" s="8" t="s">
        <v>6</v>
      </c>
      <c r="H1" s="8" t="s">
        <v>5</v>
      </c>
      <c r="I1" s="8" t="s">
        <v>4</v>
      </c>
      <c r="J1" s="8" t="s">
        <v>3</v>
      </c>
      <c r="K1" s="8" t="s">
        <v>2</v>
      </c>
      <c r="L1" s="8" t="s">
        <v>1</v>
      </c>
      <c r="M1" s="9" t="s">
        <v>0</v>
      </c>
    </row>
    <row r="2" spans="1:13" ht="15" thickBot="1" x14ac:dyDescent="0.35">
      <c r="A2" s="5">
        <v>620</v>
      </c>
      <c r="B2" s="3">
        <v>40572</v>
      </c>
      <c r="C2" s="1">
        <v>1</v>
      </c>
      <c r="D2" s="2" t="b">
        <v>0</v>
      </c>
      <c r="E2" s="1">
        <v>6</v>
      </c>
      <c r="F2" s="1">
        <v>1</v>
      </c>
      <c r="G2" s="1">
        <v>0.22</v>
      </c>
      <c r="H2" s="1">
        <v>0.2273</v>
      </c>
      <c r="I2" s="1">
        <v>0.64</v>
      </c>
      <c r="J2" s="1">
        <v>0.19400000000000001</v>
      </c>
      <c r="K2" s="1">
        <v>0</v>
      </c>
      <c r="L2" s="1">
        <v>20</v>
      </c>
      <c r="M2" s="6">
        <v>20</v>
      </c>
    </row>
    <row r="3" spans="1:13" ht="15" thickBot="1" x14ac:dyDescent="0.35">
      <c r="A3" s="5">
        <v>621</v>
      </c>
      <c r="B3" s="3">
        <v>40572</v>
      </c>
      <c r="C3" s="1">
        <v>2</v>
      </c>
      <c r="D3" s="2" t="b">
        <v>0</v>
      </c>
      <c r="E3" s="1">
        <v>6</v>
      </c>
      <c r="F3" s="1">
        <v>1</v>
      </c>
      <c r="G3" s="1">
        <v>0.22</v>
      </c>
      <c r="H3" s="1">
        <v>0.2273</v>
      </c>
      <c r="I3" s="1">
        <v>0.64</v>
      </c>
      <c r="J3" s="1">
        <v>0.16420000000000001</v>
      </c>
      <c r="K3" s="1">
        <v>0</v>
      </c>
      <c r="L3" s="1">
        <v>15</v>
      </c>
      <c r="M3" s="6">
        <v>15</v>
      </c>
    </row>
    <row r="4" spans="1:13" ht="15" thickBot="1" x14ac:dyDescent="0.35">
      <c r="A4" s="5">
        <v>622</v>
      </c>
      <c r="B4" s="3">
        <v>40572</v>
      </c>
      <c r="C4" s="1">
        <v>3</v>
      </c>
      <c r="D4" s="2" t="b">
        <v>0</v>
      </c>
      <c r="E4" s="1">
        <v>6</v>
      </c>
      <c r="F4" s="1">
        <v>1</v>
      </c>
      <c r="G4" s="1">
        <v>0.2</v>
      </c>
      <c r="H4" s="1">
        <v>0.21210000000000001</v>
      </c>
      <c r="I4" s="1">
        <v>0.64</v>
      </c>
      <c r="J4" s="1">
        <v>0.1343</v>
      </c>
      <c r="K4" s="1">
        <v>3</v>
      </c>
      <c r="L4" s="1">
        <v>5</v>
      </c>
      <c r="M4" s="6">
        <v>8</v>
      </c>
    </row>
    <row r="5" spans="1:13" ht="15" thickBot="1" x14ac:dyDescent="0.35">
      <c r="A5" s="5">
        <v>623</v>
      </c>
      <c r="B5" s="3">
        <v>40572</v>
      </c>
      <c r="C5" s="1">
        <v>4</v>
      </c>
      <c r="D5" s="2" t="b">
        <v>0</v>
      </c>
      <c r="E5" s="1">
        <v>6</v>
      </c>
      <c r="F5" s="1">
        <v>1</v>
      </c>
      <c r="G5" s="1">
        <v>0.16</v>
      </c>
      <c r="H5" s="1">
        <v>0.18179999999999999</v>
      </c>
      <c r="I5" s="1">
        <v>0.69</v>
      </c>
      <c r="J5" s="1">
        <v>0.1045</v>
      </c>
      <c r="K5" s="1">
        <v>1</v>
      </c>
      <c r="L5" s="1">
        <v>2</v>
      </c>
      <c r="M5" s="6">
        <v>3</v>
      </c>
    </row>
    <row r="6" spans="1:13" ht="15" thickBot="1" x14ac:dyDescent="0.35">
      <c r="A6" s="5">
        <v>624</v>
      </c>
      <c r="B6" s="3">
        <v>40572</v>
      </c>
      <c r="C6" s="1">
        <v>6</v>
      </c>
      <c r="D6" s="2" t="b">
        <v>0</v>
      </c>
      <c r="E6" s="1">
        <v>6</v>
      </c>
      <c r="F6" s="1">
        <v>1</v>
      </c>
      <c r="G6" s="1">
        <v>0.16</v>
      </c>
      <c r="H6" s="1">
        <v>0.18179999999999999</v>
      </c>
      <c r="I6" s="1">
        <v>0.64</v>
      </c>
      <c r="J6" s="1">
        <v>0.1343</v>
      </c>
      <c r="K6" s="1">
        <v>0</v>
      </c>
      <c r="L6" s="1">
        <v>2</v>
      </c>
      <c r="M6" s="6">
        <v>2</v>
      </c>
    </row>
    <row r="7" spans="1:13" ht="15" thickBot="1" x14ac:dyDescent="0.35">
      <c r="A7" s="5">
        <v>625</v>
      </c>
      <c r="B7" s="3">
        <v>40572</v>
      </c>
      <c r="C7" s="1">
        <v>7</v>
      </c>
      <c r="D7" s="2" t="b">
        <v>0</v>
      </c>
      <c r="E7" s="1">
        <v>6</v>
      </c>
      <c r="F7" s="1">
        <v>1</v>
      </c>
      <c r="G7" s="1">
        <v>0.16</v>
      </c>
      <c r="H7" s="1">
        <v>0.18179999999999999</v>
      </c>
      <c r="I7" s="1">
        <v>0.59</v>
      </c>
      <c r="J7" s="1">
        <v>0.1045</v>
      </c>
      <c r="K7" s="1">
        <v>1</v>
      </c>
      <c r="L7" s="1">
        <v>4</v>
      </c>
      <c r="M7" s="6">
        <v>5</v>
      </c>
    </row>
    <row r="8" spans="1:13" ht="15" thickBot="1" x14ac:dyDescent="0.35">
      <c r="A8" s="5">
        <v>626</v>
      </c>
      <c r="B8" s="3">
        <v>40572</v>
      </c>
      <c r="C8" s="1">
        <v>8</v>
      </c>
      <c r="D8" s="2" t="b">
        <v>0</v>
      </c>
      <c r="E8" s="1">
        <v>6</v>
      </c>
      <c r="F8" s="1">
        <v>1</v>
      </c>
      <c r="G8" s="1">
        <v>0.18</v>
      </c>
      <c r="H8" s="1">
        <v>0.19700000000000001</v>
      </c>
      <c r="I8" s="1">
        <v>0.55000000000000004</v>
      </c>
      <c r="J8" s="1">
        <v>0.16420000000000001</v>
      </c>
      <c r="K8" s="1">
        <v>3</v>
      </c>
      <c r="L8" s="1">
        <v>31</v>
      </c>
      <c r="M8" s="6">
        <v>34</v>
      </c>
    </row>
    <row r="9" spans="1:13" ht="15" thickBot="1" x14ac:dyDescent="0.35">
      <c r="A9" s="5">
        <v>627</v>
      </c>
      <c r="B9" s="3">
        <v>40572</v>
      </c>
      <c r="C9" s="1">
        <v>9</v>
      </c>
      <c r="D9" s="2" t="b">
        <v>0</v>
      </c>
      <c r="E9" s="1">
        <v>6</v>
      </c>
      <c r="F9" s="1">
        <v>1</v>
      </c>
      <c r="G9" s="1">
        <v>0.18</v>
      </c>
      <c r="H9" s="1">
        <v>0.21210000000000001</v>
      </c>
      <c r="I9" s="1">
        <v>0.59</v>
      </c>
      <c r="J9" s="1">
        <v>8.9599999999999999E-2</v>
      </c>
      <c r="K9" s="1">
        <v>0</v>
      </c>
      <c r="L9" s="1">
        <v>34</v>
      </c>
      <c r="M9" s="6">
        <v>34</v>
      </c>
    </row>
    <row r="10" spans="1:13" ht="15" thickBot="1" x14ac:dyDescent="0.35">
      <c r="A10" s="5">
        <v>628</v>
      </c>
      <c r="B10" s="3">
        <v>40572</v>
      </c>
      <c r="C10" s="1">
        <v>10</v>
      </c>
      <c r="D10" s="2" t="b">
        <v>0</v>
      </c>
      <c r="E10" s="1">
        <v>6</v>
      </c>
      <c r="F10" s="1">
        <v>2</v>
      </c>
      <c r="G10" s="1">
        <v>0.18</v>
      </c>
      <c r="H10" s="1">
        <v>0.21210000000000001</v>
      </c>
      <c r="I10" s="1">
        <v>0.64</v>
      </c>
      <c r="J10" s="1">
        <v>0.1045</v>
      </c>
      <c r="K10" s="1">
        <v>4</v>
      </c>
      <c r="L10" s="1">
        <v>51</v>
      </c>
      <c r="M10" s="6">
        <v>55</v>
      </c>
    </row>
    <row r="11" spans="1:13" ht="15" thickBot="1" x14ac:dyDescent="0.35">
      <c r="A11" s="5">
        <v>629</v>
      </c>
      <c r="B11" s="3">
        <v>40572</v>
      </c>
      <c r="C11" s="1">
        <v>11</v>
      </c>
      <c r="D11" s="2" t="b">
        <v>0</v>
      </c>
      <c r="E11" s="1">
        <v>6</v>
      </c>
      <c r="F11" s="1">
        <v>2</v>
      </c>
      <c r="G11" s="1">
        <v>0.18</v>
      </c>
      <c r="H11" s="1">
        <v>0.19700000000000001</v>
      </c>
      <c r="I11" s="1">
        <v>0.64</v>
      </c>
      <c r="J11" s="1">
        <v>0.1343</v>
      </c>
      <c r="K11" s="1">
        <v>4</v>
      </c>
      <c r="L11" s="1">
        <v>60</v>
      </c>
      <c r="M11" s="6">
        <v>64</v>
      </c>
    </row>
    <row r="12" spans="1:13" ht="15" thickBot="1" x14ac:dyDescent="0.35">
      <c r="A12" s="5">
        <v>630</v>
      </c>
      <c r="B12" s="3">
        <v>40572</v>
      </c>
      <c r="C12" s="1">
        <v>12</v>
      </c>
      <c r="D12" s="2" t="b">
        <v>0</v>
      </c>
      <c r="E12" s="1">
        <v>6</v>
      </c>
      <c r="F12" s="1">
        <v>2</v>
      </c>
      <c r="G12" s="1">
        <v>0.2</v>
      </c>
      <c r="H12" s="1">
        <v>0.19700000000000001</v>
      </c>
      <c r="I12" s="1">
        <v>0.59</v>
      </c>
      <c r="J12" s="1">
        <v>0.19400000000000001</v>
      </c>
      <c r="K12" s="1">
        <v>12</v>
      </c>
      <c r="L12" s="1">
        <v>66</v>
      </c>
      <c r="M12" s="6">
        <v>78</v>
      </c>
    </row>
    <row r="13" spans="1:13" ht="15" thickBot="1" x14ac:dyDescent="0.35">
      <c r="A13" s="5">
        <v>631</v>
      </c>
      <c r="B13" s="3">
        <v>40572</v>
      </c>
      <c r="C13" s="1">
        <v>13</v>
      </c>
      <c r="D13" s="2" t="b">
        <v>0</v>
      </c>
      <c r="E13" s="1">
        <v>6</v>
      </c>
      <c r="F13" s="1">
        <v>2</v>
      </c>
      <c r="G13" s="1">
        <v>0.22</v>
      </c>
      <c r="H13" s="1">
        <v>0.2273</v>
      </c>
      <c r="I13" s="1">
        <v>0.55000000000000004</v>
      </c>
      <c r="J13" s="1">
        <v>0.16420000000000001</v>
      </c>
      <c r="K13" s="1">
        <v>9</v>
      </c>
      <c r="L13" s="1">
        <v>56</v>
      </c>
      <c r="M13" s="6">
        <v>65</v>
      </c>
    </row>
    <row r="14" spans="1:13" ht="15" thickBot="1" x14ac:dyDescent="0.35">
      <c r="A14" s="5">
        <v>632</v>
      </c>
      <c r="B14" s="3">
        <v>40572</v>
      </c>
      <c r="C14" s="1">
        <v>14</v>
      </c>
      <c r="D14" s="2" t="b">
        <v>0</v>
      </c>
      <c r="E14" s="1">
        <v>6</v>
      </c>
      <c r="F14" s="1">
        <v>2</v>
      </c>
      <c r="G14" s="1">
        <v>0.22</v>
      </c>
      <c r="H14" s="1">
        <v>0.2273</v>
      </c>
      <c r="I14" s="1">
        <v>0.6</v>
      </c>
      <c r="J14" s="1">
        <v>0.1343</v>
      </c>
      <c r="K14" s="1">
        <v>10</v>
      </c>
      <c r="L14" s="1">
        <v>89</v>
      </c>
      <c r="M14" s="6">
        <v>99</v>
      </c>
    </row>
    <row r="15" spans="1:13" ht="15" thickBot="1" x14ac:dyDescent="0.35">
      <c r="A15" s="5">
        <v>633</v>
      </c>
      <c r="B15" s="3">
        <v>40572</v>
      </c>
      <c r="C15" s="1">
        <v>15</v>
      </c>
      <c r="D15" s="2" t="b">
        <v>0</v>
      </c>
      <c r="E15" s="1">
        <v>6</v>
      </c>
      <c r="F15" s="1">
        <v>1</v>
      </c>
      <c r="G15" s="1">
        <v>0.22</v>
      </c>
      <c r="H15" s="1">
        <v>0.21210000000000001</v>
      </c>
      <c r="I15" s="1">
        <v>0.69</v>
      </c>
      <c r="J15" s="1">
        <v>0.25369999999999998</v>
      </c>
      <c r="K15" s="1">
        <v>22</v>
      </c>
      <c r="L15" s="1">
        <v>98</v>
      </c>
      <c r="M15" s="6">
        <v>120</v>
      </c>
    </row>
    <row r="16" spans="1:13" ht="15" thickBot="1" x14ac:dyDescent="0.35">
      <c r="A16" s="5">
        <v>634</v>
      </c>
      <c r="B16" s="3">
        <v>40572</v>
      </c>
      <c r="C16" s="1">
        <v>16</v>
      </c>
      <c r="D16" s="2" t="b">
        <v>0</v>
      </c>
      <c r="E16" s="1">
        <v>6</v>
      </c>
      <c r="F16" s="1">
        <v>1</v>
      </c>
      <c r="G16" s="1">
        <v>0.24</v>
      </c>
      <c r="H16" s="1">
        <v>0.2424</v>
      </c>
      <c r="I16" s="1">
        <v>0.6</v>
      </c>
      <c r="J16" s="1">
        <v>0.16420000000000001</v>
      </c>
      <c r="K16" s="1">
        <v>19</v>
      </c>
      <c r="L16" s="1">
        <v>88</v>
      </c>
      <c r="M16" s="6">
        <v>107</v>
      </c>
    </row>
    <row r="17" spans="1:13" ht="15" thickBot="1" x14ac:dyDescent="0.35">
      <c r="A17" s="5">
        <v>635</v>
      </c>
      <c r="B17" s="3">
        <v>40572</v>
      </c>
      <c r="C17" s="1">
        <v>17</v>
      </c>
      <c r="D17" s="2" t="b">
        <v>0</v>
      </c>
      <c r="E17" s="1">
        <v>6</v>
      </c>
      <c r="F17" s="1">
        <v>1</v>
      </c>
      <c r="G17" s="1">
        <v>0.24</v>
      </c>
      <c r="H17" s="1">
        <v>0.28789999999999999</v>
      </c>
      <c r="I17" s="1">
        <v>0.6</v>
      </c>
      <c r="J17" s="1">
        <v>0</v>
      </c>
      <c r="K17" s="1">
        <v>9</v>
      </c>
      <c r="L17" s="1">
        <v>82</v>
      </c>
      <c r="M17" s="6">
        <v>91</v>
      </c>
    </row>
    <row r="18" spans="1:13" ht="15" thickBot="1" x14ac:dyDescent="0.35">
      <c r="A18" s="5">
        <v>636</v>
      </c>
      <c r="B18" s="3">
        <v>40572</v>
      </c>
      <c r="C18" s="1">
        <v>18</v>
      </c>
      <c r="D18" s="2" t="b">
        <v>0</v>
      </c>
      <c r="E18" s="1">
        <v>6</v>
      </c>
      <c r="F18" s="1">
        <v>1</v>
      </c>
      <c r="G18" s="1">
        <v>0.22</v>
      </c>
      <c r="H18" s="1">
        <v>0.2273</v>
      </c>
      <c r="I18" s="1">
        <v>0.69</v>
      </c>
      <c r="J18" s="1">
        <v>0.1343</v>
      </c>
      <c r="K18" s="1">
        <v>9</v>
      </c>
      <c r="L18" s="1">
        <v>59</v>
      </c>
      <c r="M18" s="6">
        <v>68</v>
      </c>
    </row>
    <row r="19" spans="1:13" ht="15" thickBot="1" x14ac:dyDescent="0.35">
      <c r="A19" s="5">
        <v>637</v>
      </c>
      <c r="B19" s="3">
        <v>40572</v>
      </c>
      <c r="C19" s="1">
        <v>19</v>
      </c>
      <c r="D19" s="2" t="b">
        <v>0</v>
      </c>
      <c r="E19" s="1">
        <v>6</v>
      </c>
      <c r="F19" s="1">
        <v>2</v>
      </c>
      <c r="G19" s="1">
        <v>0.22</v>
      </c>
      <c r="H19" s="1">
        <v>0.21210000000000001</v>
      </c>
      <c r="I19" s="1">
        <v>0.69</v>
      </c>
      <c r="J19" s="1">
        <v>0.25369999999999998</v>
      </c>
      <c r="K19" s="1">
        <v>6</v>
      </c>
      <c r="L19" s="1">
        <v>52</v>
      </c>
      <c r="M19" s="6">
        <v>58</v>
      </c>
    </row>
    <row r="20" spans="1:13" ht="15" thickBot="1" x14ac:dyDescent="0.35">
      <c r="A20" s="5">
        <v>638</v>
      </c>
      <c r="B20" s="3">
        <v>40572</v>
      </c>
      <c r="C20" s="1">
        <v>20</v>
      </c>
      <c r="D20" s="2" t="b">
        <v>0</v>
      </c>
      <c r="E20" s="1">
        <v>6</v>
      </c>
      <c r="F20" s="1">
        <v>1</v>
      </c>
      <c r="G20" s="1">
        <v>0.18</v>
      </c>
      <c r="H20" s="1">
        <v>0.21210000000000001</v>
      </c>
      <c r="I20" s="1">
        <v>0.74</v>
      </c>
      <c r="J20" s="1">
        <v>8.9599999999999999E-2</v>
      </c>
      <c r="K20" s="1">
        <v>1</v>
      </c>
      <c r="L20" s="1">
        <v>42</v>
      </c>
      <c r="M20" s="6">
        <v>43</v>
      </c>
    </row>
    <row r="21" spans="1:13" ht="15" thickBot="1" x14ac:dyDescent="0.35">
      <c r="A21" s="5">
        <v>639</v>
      </c>
      <c r="B21" s="3">
        <v>40572</v>
      </c>
      <c r="C21" s="1">
        <v>21</v>
      </c>
      <c r="D21" s="2" t="b">
        <v>0</v>
      </c>
      <c r="E21" s="1">
        <v>6</v>
      </c>
      <c r="F21" s="1">
        <v>1</v>
      </c>
      <c r="G21" s="1">
        <v>0.18</v>
      </c>
      <c r="H21" s="1">
        <v>0.21210000000000001</v>
      </c>
      <c r="I21" s="1">
        <v>0.74</v>
      </c>
      <c r="J21" s="1">
        <v>8.9599999999999999E-2</v>
      </c>
      <c r="K21" s="1">
        <v>1</v>
      </c>
      <c r="L21" s="1">
        <v>35</v>
      </c>
      <c r="M21" s="6">
        <v>36</v>
      </c>
    </row>
    <row r="22" spans="1:13" ht="15" thickBot="1" x14ac:dyDescent="0.35">
      <c r="A22" s="5">
        <v>640</v>
      </c>
      <c r="B22" s="3">
        <v>40572</v>
      </c>
      <c r="C22" s="1">
        <v>22</v>
      </c>
      <c r="D22" s="2" t="b">
        <v>0</v>
      </c>
      <c r="E22" s="1">
        <v>6</v>
      </c>
      <c r="F22" s="1">
        <v>1</v>
      </c>
      <c r="G22" s="1">
        <v>0.16</v>
      </c>
      <c r="H22" s="1">
        <v>0.19700000000000001</v>
      </c>
      <c r="I22" s="1">
        <v>0.8</v>
      </c>
      <c r="J22" s="1">
        <v>8.9599999999999999E-2</v>
      </c>
      <c r="K22" s="1">
        <v>4</v>
      </c>
      <c r="L22" s="1">
        <v>28</v>
      </c>
      <c r="M22" s="6">
        <v>32</v>
      </c>
    </row>
    <row r="23" spans="1:13" ht="15" thickBot="1" x14ac:dyDescent="0.35">
      <c r="A23" s="5">
        <v>641</v>
      </c>
      <c r="B23" s="3">
        <v>40572</v>
      </c>
      <c r="C23" s="1">
        <v>23</v>
      </c>
      <c r="D23" s="2" t="b">
        <v>0</v>
      </c>
      <c r="E23" s="1">
        <v>6</v>
      </c>
      <c r="F23" s="1">
        <v>1</v>
      </c>
      <c r="G23" s="1">
        <v>0.16</v>
      </c>
      <c r="H23" s="1">
        <v>0.19700000000000001</v>
      </c>
      <c r="I23" s="1">
        <v>0.8</v>
      </c>
      <c r="J23" s="1">
        <v>8.9599999999999999E-2</v>
      </c>
      <c r="K23" s="1">
        <v>3</v>
      </c>
      <c r="L23" s="1">
        <v>30</v>
      </c>
      <c r="M23" s="6">
        <v>33</v>
      </c>
    </row>
    <row r="24" spans="1:13" ht="15" thickBot="1" x14ac:dyDescent="0.35">
      <c r="A24" s="5">
        <v>642</v>
      </c>
      <c r="B24" s="3">
        <v>40573</v>
      </c>
      <c r="C24" s="1">
        <v>0</v>
      </c>
      <c r="D24" s="2" t="b">
        <v>0</v>
      </c>
      <c r="E24" s="1">
        <v>0</v>
      </c>
      <c r="F24" s="1">
        <v>1</v>
      </c>
      <c r="G24" s="1">
        <v>0.16</v>
      </c>
      <c r="H24" s="1">
        <v>0.18179999999999999</v>
      </c>
      <c r="I24" s="1">
        <v>0.8</v>
      </c>
      <c r="J24" s="1">
        <v>0.1045</v>
      </c>
      <c r="K24" s="1">
        <v>0</v>
      </c>
      <c r="L24" s="1">
        <v>33</v>
      </c>
      <c r="M24" s="6">
        <v>33</v>
      </c>
    </row>
    <row r="25" spans="1:13" ht="15" thickBot="1" x14ac:dyDescent="0.35">
      <c r="A25" s="5">
        <v>643</v>
      </c>
      <c r="B25" s="3">
        <v>40573</v>
      </c>
      <c r="C25" s="1">
        <v>1</v>
      </c>
      <c r="D25" s="2" t="b">
        <v>0</v>
      </c>
      <c r="E25" s="1">
        <v>0</v>
      </c>
      <c r="F25" s="1">
        <v>1</v>
      </c>
      <c r="G25" s="1">
        <v>0.14000000000000001</v>
      </c>
      <c r="H25" s="1">
        <v>0.21210000000000001</v>
      </c>
      <c r="I25" s="1">
        <v>0.8</v>
      </c>
      <c r="J25" s="1">
        <v>0</v>
      </c>
      <c r="K25" s="1">
        <v>7</v>
      </c>
      <c r="L25" s="1">
        <v>22</v>
      </c>
      <c r="M25" s="6">
        <v>29</v>
      </c>
    </row>
    <row r="26" spans="1:13" ht="15" thickBot="1" x14ac:dyDescent="0.35">
      <c r="A26" s="5">
        <v>644</v>
      </c>
      <c r="B26" s="3">
        <v>40573</v>
      </c>
      <c r="C26" s="1">
        <v>2</v>
      </c>
      <c r="D26" s="2" t="b">
        <v>0</v>
      </c>
      <c r="E26" s="1">
        <v>0</v>
      </c>
      <c r="F26" s="1">
        <v>1</v>
      </c>
      <c r="G26" s="1">
        <v>0.16</v>
      </c>
      <c r="H26" s="1">
        <v>0.2273</v>
      </c>
      <c r="I26" s="1">
        <v>0.8</v>
      </c>
      <c r="J26" s="1">
        <v>0</v>
      </c>
      <c r="K26" s="1">
        <v>1</v>
      </c>
      <c r="L26" s="1">
        <v>10</v>
      </c>
      <c r="M26" s="6">
        <v>11</v>
      </c>
    </row>
    <row r="27" spans="1:13" ht="15" thickBot="1" x14ac:dyDescent="0.35">
      <c r="A27" s="5">
        <v>645</v>
      </c>
      <c r="B27" s="3">
        <v>40573</v>
      </c>
      <c r="C27" s="1">
        <v>3</v>
      </c>
      <c r="D27" s="2" t="b">
        <v>0</v>
      </c>
      <c r="E27" s="1">
        <v>0</v>
      </c>
      <c r="F27" s="1">
        <v>1</v>
      </c>
      <c r="G27" s="1">
        <v>0.14000000000000001</v>
      </c>
      <c r="H27" s="1">
        <v>0.21210000000000001</v>
      </c>
      <c r="I27" s="1">
        <v>0.93</v>
      </c>
      <c r="J27" s="1">
        <v>0</v>
      </c>
      <c r="K27" s="1">
        <v>1</v>
      </c>
      <c r="L27" s="1">
        <v>7</v>
      </c>
      <c r="M27" s="6">
        <v>8</v>
      </c>
    </row>
    <row r="28" spans="1:13" ht="15" thickBot="1" x14ac:dyDescent="0.35">
      <c r="A28" s="5">
        <v>646</v>
      </c>
      <c r="B28" s="3">
        <v>40573</v>
      </c>
      <c r="C28" s="1">
        <v>4</v>
      </c>
      <c r="D28" s="2" t="b">
        <v>0</v>
      </c>
      <c r="E28" s="1">
        <v>0</v>
      </c>
      <c r="F28" s="1">
        <v>1</v>
      </c>
      <c r="G28" s="1">
        <v>0.14000000000000001</v>
      </c>
      <c r="H28" s="1">
        <v>0.21210000000000001</v>
      </c>
      <c r="I28" s="1">
        <v>0.93</v>
      </c>
      <c r="J28" s="1">
        <v>0</v>
      </c>
      <c r="K28" s="1">
        <v>0</v>
      </c>
      <c r="L28" s="1">
        <v>1</v>
      </c>
      <c r="M28" s="6">
        <v>1</v>
      </c>
    </row>
    <row r="29" spans="1:13" ht="15" thickBot="1" x14ac:dyDescent="0.35">
      <c r="A29" s="5">
        <v>647</v>
      </c>
      <c r="B29" s="3">
        <v>40573</v>
      </c>
      <c r="C29" s="1">
        <v>5</v>
      </c>
      <c r="D29" s="2" t="b">
        <v>0</v>
      </c>
      <c r="E29" s="1">
        <v>0</v>
      </c>
      <c r="F29" s="1">
        <v>1</v>
      </c>
      <c r="G29" s="1">
        <v>0.14000000000000001</v>
      </c>
      <c r="H29" s="1">
        <v>0.21210000000000001</v>
      </c>
      <c r="I29" s="1">
        <v>0.86</v>
      </c>
      <c r="J29" s="1">
        <v>0</v>
      </c>
      <c r="K29" s="1">
        <v>0</v>
      </c>
      <c r="L29" s="1">
        <v>3</v>
      </c>
      <c r="M29" s="6">
        <v>3</v>
      </c>
    </row>
    <row r="30" spans="1:13" ht="15" thickBot="1" x14ac:dyDescent="0.35">
      <c r="A30" s="5">
        <v>648</v>
      </c>
      <c r="B30" s="3">
        <v>40573</v>
      </c>
      <c r="C30" s="1">
        <v>7</v>
      </c>
      <c r="D30" s="2" t="b">
        <v>0</v>
      </c>
      <c r="E30" s="1">
        <v>0</v>
      </c>
      <c r="F30" s="1">
        <v>1</v>
      </c>
      <c r="G30" s="1">
        <v>0.14000000000000001</v>
      </c>
      <c r="H30" s="1">
        <v>0.21210000000000001</v>
      </c>
      <c r="I30" s="1">
        <v>0.86</v>
      </c>
      <c r="J30" s="1">
        <v>0</v>
      </c>
      <c r="K30" s="1">
        <v>0</v>
      </c>
      <c r="L30" s="1">
        <v>3</v>
      </c>
      <c r="M30" s="6">
        <v>3</v>
      </c>
    </row>
    <row r="31" spans="1:13" ht="15" thickBot="1" x14ac:dyDescent="0.35">
      <c r="A31" s="5">
        <v>649</v>
      </c>
      <c r="B31" s="3">
        <v>40573</v>
      </c>
      <c r="C31" s="1">
        <v>8</v>
      </c>
      <c r="D31" s="2" t="b">
        <v>0</v>
      </c>
      <c r="E31" s="1">
        <v>0</v>
      </c>
      <c r="F31" s="1">
        <v>2</v>
      </c>
      <c r="G31" s="1">
        <v>0.14000000000000001</v>
      </c>
      <c r="H31" s="1">
        <v>0.21210000000000001</v>
      </c>
      <c r="I31" s="1">
        <v>0.86</v>
      </c>
      <c r="J31" s="1">
        <v>0</v>
      </c>
      <c r="K31" s="1">
        <v>1</v>
      </c>
      <c r="L31" s="1">
        <v>11</v>
      </c>
      <c r="M31" s="6">
        <v>12</v>
      </c>
    </row>
    <row r="32" spans="1:13" ht="15" thickBot="1" x14ac:dyDescent="0.35">
      <c r="A32" s="5">
        <v>650</v>
      </c>
      <c r="B32" s="3">
        <v>40573</v>
      </c>
      <c r="C32" s="1">
        <v>9</v>
      </c>
      <c r="D32" s="2" t="b">
        <v>0</v>
      </c>
      <c r="E32" s="1">
        <v>0</v>
      </c>
      <c r="F32" s="1">
        <v>2</v>
      </c>
      <c r="G32" s="1">
        <v>0.16</v>
      </c>
      <c r="H32" s="1">
        <v>0.2273</v>
      </c>
      <c r="I32" s="1">
        <v>0.8</v>
      </c>
      <c r="J32" s="1">
        <v>0</v>
      </c>
      <c r="K32" s="1">
        <v>4</v>
      </c>
      <c r="L32" s="1">
        <v>34</v>
      </c>
      <c r="M32" s="6">
        <v>38</v>
      </c>
    </row>
    <row r="33" spans="1:13" ht="15" thickBot="1" x14ac:dyDescent="0.35">
      <c r="A33" s="5">
        <v>651</v>
      </c>
      <c r="B33" s="3">
        <v>40573</v>
      </c>
      <c r="C33" s="1">
        <v>10</v>
      </c>
      <c r="D33" s="2" t="b">
        <v>0</v>
      </c>
      <c r="E33" s="1">
        <v>0</v>
      </c>
      <c r="F33" s="1">
        <v>2</v>
      </c>
      <c r="G33" s="1">
        <v>0.18</v>
      </c>
      <c r="H33" s="1">
        <v>0.2424</v>
      </c>
      <c r="I33" s="1">
        <v>0.8</v>
      </c>
      <c r="J33" s="1">
        <v>0</v>
      </c>
      <c r="K33" s="1">
        <v>7</v>
      </c>
      <c r="L33" s="1">
        <v>57</v>
      </c>
      <c r="M33" s="6">
        <v>64</v>
      </c>
    </row>
    <row r="34" spans="1:13" ht="15" thickBot="1" x14ac:dyDescent="0.35">
      <c r="A34" s="5">
        <v>652</v>
      </c>
      <c r="B34" s="3">
        <v>40573</v>
      </c>
      <c r="C34" s="1">
        <v>11</v>
      </c>
      <c r="D34" s="2" t="b">
        <v>0</v>
      </c>
      <c r="E34" s="1">
        <v>0</v>
      </c>
      <c r="F34" s="1">
        <v>1</v>
      </c>
      <c r="G34" s="1">
        <v>0.22</v>
      </c>
      <c r="H34" s="1">
        <v>0.2727</v>
      </c>
      <c r="I34" s="1">
        <v>0.75</v>
      </c>
      <c r="J34" s="1">
        <v>0</v>
      </c>
      <c r="K34" s="1">
        <v>9</v>
      </c>
      <c r="L34" s="1">
        <v>50</v>
      </c>
      <c r="M34" s="6">
        <v>59</v>
      </c>
    </row>
    <row r="35" spans="1:13" ht="15" thickBot="1" x14ac:dyDescent="0.35">
      <c r="A35" s="5">
        <v>653</v>
      </c>
      <c r="B35" s="3">
        <v>40573</v>
      </c>
      <c r="C35" s="1">
        <v>12</v>
      </c>
      <c r="D35" s="2" t="b">
        <v>0</v>
      </c>
      <c r="E35" s="1">
        <v>0</v>
      </c>
      <c r="F35" s="1">
        <v>1</v>
      </c>
      <c r="G35" s="1">
        <v>0.3</v>
      </c>
      <c r="H35" s="1">
        <v>0.31819999999999998</v>
      </c>
      <c r="I35" s="1">
        <v>0.52</v>
      </c>
      <c r="J35" s="1">
        <v>0.1045</v>
      </c>
      <c r="K35" s="1">
        <v>10</v>
      </c>
      <c r="L35" s="1">
        <v>87</v>
      </c>
      <c r="M35" s="6">
        <v>97</v>
      </c>
    </row>
    <row r="36" spans="1:13" ht="15" thickBot="1" x14ac:dyDescent="0.35">
      <c r="A36" s="5">
        <v>654</v>
      </c>
      <c r="B36" s="3">
        <v>40573</v>
      </c>
      <c r="C36" s="1">
        <v>13</v>
      </c>
      <c r="D36" s="2" t="b">
        <v>0</v>
      </c>
      <c r="E36" s="1">
        <v>0</v>
      </c>
      <c r="F36" s="1">
        <v>1</v>
      </c>
      <c r="G36" s="1">
        <v>0.28000000000000003</v>
      </c>
      <c r="H36" s="1">
        <v>0.28789999999999999</v>
      </c>
      <c r="I36" s="1">
        <v>0.61</v>
      </c>
      <c r="J36" s="1">
        <v>0.1045</v>
      </c>
      <c r="K36" s="1">
        <v>13</v>
      </c>
      <c r="L36" s="1">
        <v>71</v>
      </c>
      <c r="M36" s="6">
        <v>84</v>
      </c>
    </row>
    <row r="37" spans="1:13" ht="15" thickBot="1" x14ac:dyDescent="0.35">
      <c r="A37" s="5">
        <v>655</v>
      </c>
      <c r="B37" s="3">
        <v>40573</v>
      </c>
      <c r="C37" s="1">
        <v>14</v>
      </c>
      <c r="D37" s="2" t="b">
        <v>0</v>
      </c>
      <c r="E37" s="1">
        <v>0</v>
      </c>
      <c r="F37" s="1">
        <v>1</v>
      </c>
      <c r="G37" s="1">
        <v>0.28000000000000003</v>
      </c>
      <c r="H37" s="1">
        <v>0.30299999999999999</v>
      </c>
      <c r="I37" s="1">
        <v>0.61</v>
      </c>
      <c r="J37" s="1">
        <v>8.9599999999999999E-2</v>
      </c>
      <c r="K37" s="1">
        <v>18</v>
      </c>
      <c r="L37" s="1">
        <v>104</v>
      </c>
      <c r="M37" s="6">
        <v>122</v>
      </c>
    </row>
    <row r="38" spans="1:13" ht="15" thickBot="1" x14ac:dyDescent="0.35">
      <c r="A38" s="5">
        <v>656</v>
      </c>
      <c r="B38" s="3">
        <v>40573</v>
      </c>
      <c r="C38" s="1">
        <v>15</v>
      </c>
      <c r="D38" s="2" t="b">
        <v>0</v>
      </c>
      <c r="E38" s="1">
        <v>0</v>
      </c>
      <c r="F38" s="1">
        <v>1</v>
      </c>
      <c r="G38" s="1">
        <v>0.3</v>
      </c>
      <c r="H38" s="1">
        <v>0.33329999999999999</v>
      </c>
      <c r="I38" s="1">
        <v>0.56000000000000005</v>
      </c>
      <c r="J38" s="1">
        <v>0</v>
      </c>
      <c r="K38" s="1">
        <v>14</v>
      </c>
      <c r="L38" s="1">
        <v>95</v>
      </c>
      <c r="M38" s="6">
        <v>109</v>
      </c>
    </row>
    <row r="39" spans="1:13" ht="15" thickBot="1" x14ac:dyDescent="0.35">
      <c r="A39" s="5">
        <v>657</v>
      </c>
      <c r="B39" s="3">
        <v>40573</v>
      </c>
      <c r="C39" s="1">
        <v>16</v>
      </c>
      <c r="D39" s="2" t="b">
        <v>0</v>
      </c>
      <c r="E39" s="1">
        <v>0</v>
      </c>
      <c r="F39" s="1">
        <v>1</v>
      </c>
      <c r="G39" s="1">
        <v>0.3</v>
      </c>
      <c r="H39" s="1">
        <v>0.33329999999999999</v>
      </c>
      <c r="I39" s="1">
        <v>0.56000000000000005</v>
      </c>
      <c r="J39" s="1">
        <v>0</v>
      </c>
      <c r="K39" s="1">
        <v>19</v>
      </c>
      <c r="L39" s="1">
        <v>104</v>
      </c>
      <c r="M39" s="6">
        <v>123</v>
      </c>
    </row>
    <row r="40" spans="1:13" ht="15" thickBot="1" x14ac:dyDescent="0.35">
      <c r="A40" s="5">
        <v>658</v>
      </c>
      <c r="B40" s="3">
        <v>40573</v>
      </c>
      <c r="C40" s="1">
        <v>17</v>
      </c>
      <c r="D40" s="2" t="b">
        <v>0</v>
      </c>
      <c r="E40" s="1">
        <v>0</v>
      </c>
      <c r="F40" s="1">
        <v>1</v>
      </c>
      <c r="G40" s="1">
        <v>0.3</v>
      </c>
      <c r="H40" s="1">
        <v>0.28789999999999999</v>
      </c>
      <c r="I40" s="1">
        <v>0.56000000000000005</v>
      </c>
      <c r="J40" s="1">
        <v>0.19400000000000001</v>
      </c>
      <c r="K40" s="1">
        <v>6</v>
      </c>
      <c r="L40" s="1">
        <v>71</v>
      </c>
      <c r="M40" s="6">
        <v>77</v>
      </c>
    </row>
    <row r="41" spans="1:13" ht="15" thickBot="1" x14ac:dyDescent="0.35">
      <c r="A41" s="5">
        <v>659</v>
      </c>
      <c r="B41" s="3">
        <v>40573</v>
      </c>
      <c r="C41" s="1">
        <v>18</v>
      </c>
      <c r="D41" s="2" t="b">
        <v>0</v>
      </c>
      <c r="E41" s="1">
        <v>0</v>
      </c>
      <c r="F41" s="1">
        <v>1</v>
      </c>
      <c r="G41" s="1">
        <v>0.26</v>
      </c>
      <c r="H41" s="1">
        <v>0.2576</v>
      </c>
      <c r="I41" s="1">
        <v>0.65</v>
      </c>
      <c r="J41" s="1">
        <v>0.16420000000000001</v>
      </c>
      <c r="K41" s="1">
        <v>8</v>
      </c>
      <c r="L41" s="1">
        <v>57</v>
      </c>
      <c r="M41" s="6">
        <v>65</v>
      </c>
    </row>
    <row r="42" spans="1:13" ht="15" thickBot="1" x14ac:dyDescent="0.35">
      <c r="A42" s="5">
        <v>660</v>
      </c>
      <c r="B42" s="3">
        <v>40573</v>
      </c>
      <c r="C42" s="1">
        <v>19</v>
      </c>
      <c r="D42" s="2" t="b">
        <v>0</v>
      </c>
      <c r="E42" s="1">
        <v>0</v>
      </c>
      <c r="F42" s="1">
        <v>1</v>
      </c>
      <c r="G42" s="1">
        <v>0.26</v>
      </c>
      <c r="H42" s="1">
        <v>0.2576</v>
      </c>
      <c r="I42" s="1">
        <v>0.65</v>
      </c>
      <c r="J42" s="1">
        <v>0.19400000000000001</v>
      </c>
      <c r="K42" s="1">
        <v>9</v>
      </c>
      <c r="L42" s="1">
        <v>46</v>
      </c>
      <c r="M42" s="6">
        <v>55</v>
      </c>
    </row>
    <row r="43" spans="1:13" ht="15" thickBot="1" x14ac:dyDescent="0.35">
      <c r="A43" s="5">
        <v>661</v>
      </c>
      <c r="B43" s="3">
        <v>40573</v>
      </c>
      <c r="C43" s="1">
        <v>20</v>
      </c>
      <c r="D43" s="2" t="b">
        <v>0</v>
      </c>
      <c r="E43" s="1">
        <v>0</v>
      </c>
      <c r="F43" s="1">
        <v>2</v>
      </c>
      <c r="G43" s="1">
        <v>0.26</v>
      </c>
      <c r="H43" s="1">
        <v>0.2727</v>
      </c>
      <c r="I43" s="1">
        <v>0.65</v>
      </c>
      <c r="J43" s="1">
        <v>0.1045</v>
      </c>
      <c r="K43" s="1">
        <v>3</v>
      </c>
      <c r="L43" s="1">
        <v>30</v>
      </c>
      <c r="M43" s="6">
        <v>33</v>
      </c>
    </row>
    <row r="44" spans="1:13" ht="15" thickBot="1" x14ac:dyDescent="0.35">
      <c r="A44" s="5">
        <v>662</v>
      </c>
      <c r="B44" s="3">
        <v>40573</v>
      </c>
      <c r="C44" s="1">
        <v>21</v>
      </c>
      <c r="D44" s="2" t="b">
        <v>0</v>
      </c>
      <c r="E44" s="1">
        <v>0</v>
      </c>
      <c r="F44" s="1">
        <v>2</v>
      </c>
      <c r="G44" s="1">
        <v>0.24</v>
      </c>
      <c r="H44" s="1">
        <v>0.2424</v>
      </c>
      <c r="I44" s="1">
        <v>0.7</v>
      </c>
      <c r="J44" s="1">
        <v>0.16420000000000001</v>
      </c>
      <c r="K44" s="1">
        <v>3</v>
      </c>
      <c r="L44" s="1">
        <v>25</v>
      </c>
      <c r="M44" s="6">
        <v>28</v>
      </c>
    </row>
    <row r="45" spans="1:13" ht="15" thickBot="1" x14ac:dyDescent="0.35">
      <c r="A45" s="5">
        <v>663</v>
      </c>
      <c r="B45" s="3">
        <v>40573</v>
      </c>
      <c r="C45" s="1">
        <v>22</v>
      </c>
      <c r="D45" s="2" t="b">
        <v>0</v>
      </c>
      <c r="E45" s="1">
        <v>0</v>
      </c>
      <c r="F45" s="1">
        <v>2</v>
      </c>
      <c r="G45" s="1">
        <v>0.24</v>
      </c>
      <c r="H45" s="1">
        <v>0.2273</v>
      </c>
      <c r="I45" s="1">
        <v>0.7</v>
      </c>
      <c r="J45" s="1">
        <v>0.19400000000000001</v>
      </c>
      <c r="K45" s="1">
        <v>2</v>
      </c>
      <c r="L45" s="1">
        <v>19</v>
      </c>
      <c r="M45" s="6">
        <v>21</v>
      </c>
    </row>
    <row r="46" spans="1:13" ht="15" thickBot="1" x14ac:dyDescent="0.35">
      <c r="A46" s="5">
        <v>664</v>
      </c>
      <c r="B46" s="3">
        <v>40573</v>
      </c>
      <c r="C46" s="1">
        <v>23</v>
      </c>
      <c r="D46" s="2" t="b">
        <v>0</v>
      </c>
      <c r="E46" s="1">
        <v>0</v>
      </c>
      <c r="F46" s="1">
        <v>2</v>
      </c>
      <c r="G46" s="1">
        <v>0.24</v>
      </c>
      <c r="H46" s="1">
        <v>0.21210000000000001</v>
      </c>
      <c r="I46" s="1">
        <v>0.65</v>
      </c>
      <c r="J46" s="1">
        <v>0.28360000000000002</v>
      </c>
      <c r="K46" s="1">
        <v>5</v>
      </c>
      <c r="L46" s="1">
        <v>16</v>
      </c>
      <c r="M46" s="6">
        <v>21</v>
      </c>
    </row>
    <row r="47" spans="1:13" ht="15" thickBot="1" x14ac:dyDescent="0.35">
      <c r="A47" s="5">
        <v>665</v>
      </c>
      <c r="B47" s="3">
        <v>40574</v>
      </c>
      <c r="C47" s="1">
        <v>0</v>
      </c>
      <c r="D47" s="2" t="b">
        <v>0</v>
      </c>
      <c r="E47" s="1">
        <v>1</v>
      </c>
      <c r="F47" s="1">
        <v>2</v>
      </c>
      <c r="G47" s="1">
        <v>0.24</v>
      </c>
      <c r="H47" s="1">
        <v>0.2273</v>
      </c>
      <c r="I47" s="1">
        <v>0.65</v>
      </c>
      <c r="J47" s="1">
        <v>0.22389999999999999</v>
      </c>
      <c r="K47" s="1">
        <v>1</v>
      </c>
      <c r="L47" s="1">
        <v>6</v>
      </c>
      <c r="M47" s="6">
        <v>7</v>
      </c>
    </row>
    <row r="48" spans="1:13" ht="15" thickBot="1" x14ac:dyDescent="0.35">
      <c r="A48" s="5">
        <v>666</v>
      </c>
      <c r="B48" s="3">
        <v>40574</v>
      </c>
      <c r="C48" s="1">
        <v>1</v>
      </c>
      <c r="D48" s="2" t="b">
        <v>0</v>
      </c>
      <c r="E48" s="1">
        <v>1</v>
      </c>
      <c r="F48" s="1">
        <v>1</v>
      </c>
      <c r="G48" s="1">
        <v>0.22</v>
      </c>
      <c r="H48" s="1">
        <v>0.21210000000000001</v>
      </c>
      <c r="I48" s="1">
        <v>0.64</v>
      </c>
      <c r="J48" s="1">
        <v>0.25369999999999998</v>
      </c>
      <c r="K48" s="1">
        <v>2</v>
      </c>
      <c r="L48" s="1">
        <v>5</v>
      </c>
      <c r="M48" s="6">
        <v>7</v>
      </c>
    </row>
    <row r="49" spans="1:13" ht="15" thickBot="1" x14ac:dyDescent="0.35">
      <c r="A49" s="5">
        <v>667</v>
      </c>
      <c r="B49" s="3">
        <v>40574</v>
      </c>
      <c r="C49" s="1">
        <v>2</v>
      </c>
      <c r="D49" s="2" t="b">
        <v>0</v>
      </c>
      <c r="E49" s="1">
        <v>1</v>
      </c>
      <c r="F49" s="1">
        <v>1</v>
      </c>
      <c r="G49" s="1">
        <v>0.22</v>
      </c>
      <c r="H49" s="1">
        <v>0.2273</v>
      </c>
      <c r="I49" s="1">
        <v>0.64</v>
      </c>
      <c r="J49" s="1">
        <v>0.19400000000000001</v>
      </c>
      <c r="K49" s="1">
        <v>0</v>
      </c>
      <c r="L49" s="1">
        <v>1</v>
      </c>
      <c r="M49" s="6">
        <v>1</v>
      </c>
    </row>
    <row r="50" spans="1:13" ht="15" thickBot="1" x14ac:dyDescent="0.35">
      <c r="A50" s="5">
        <v>668</v>
      </c>
      <c r="B50" s="3">
        <v>40574</v>
      </c>
      <c r="C50" s="1">
        <v>3</v>
      </c>
      <c r="D50" s="2" t="b">
        <v>0</v>
      </c>
      <c r="E50" s="1">
        <v>1</v>
      </c>
      <c r="F50" s="1">
        <v>1</v>
      </c>
      <c r="G50" s="1">
        <v>0.22</v>
      </c>
      <c r="H50" s="1">
        <v>0.2273</v>
      </c>
      <c r="I50" s="1">
        <v>0.64</v>
      </c>
      <c r="J50" s="1">
        <v>0.19400000000000001</v>
      </c>
      <c r="K50" s="1">
        <v>0</v>
      </c>
      <c r="L50" s="1">
        <v>2</v>
      </c>
      <c r="M50" s="6">
        <v>2</v>
      </c>
    </row>
    <row r="51" spans="1:13" ht="15" thickBot="1" x14ac:dyDescent="0.35">
      <c r="A51" s="5">
        <v>669</v>
      </c>
      <c r="B51" s="3">
        <v>40574</v>
      </c>
      <c r="C51" s="1">
        <v>4</v>
      </c>
      <c r="D51" s="2" t="b">
        <v>0</v>
      </c>
      <c r="E51" s="1">
        <v>1</v>
      </c>
      <c r="F51" s="1">
        <v>1</v>
      </c>
      <c r="G51" s="1">
        <v>0.2</v>
      </c>
      <c r="H51" s="1">
        <v>0.19700000000000001</v>
      </c>
      <c r="I51" s="1">
        <v>0.59</v>
      </c>
      <c r="J51" s="1">
        <v>0.22389999999999999</v>
      </c>
      <c r="K51" s="1">
        <v>0</v>
      </c>
      <c r="L51" s="1">
        <v>2</v>
      </c>
      <c r="M51" s="6">
        <v>2</v>
      </c>
    </row>
    <row r="52" spans="1:13" ht="15" thickBot="1" x14ac:dyDescent="0.35">
      <c r="A52" s="5">
        <v>670</v>
      </c>
      <c r="B52" s="3">
        <v>40574</v>
      </c>
      <c r="C52" s="1">
        <v>5</v>
      </c>
      <c r="D52" s="2" t="b">
        <v>0</v>
      </c>
      <c r="E52" s="1">
        <v>1</v>
      </c>
      <c r="F52" s="1">
        <v>1</v>
      </c>
      <c r="G52" s="1">
        <v>0.18</v>
      </c>
      <c r="H52" s="1">
        <v>0.16669999999999999</v>
      </c>
      <c r="I52" s="1">
        <v>0.64</v>
      </c>
      <c r="J52" s="1">
        <v>0.28360000000000002</v>
      </c>
      <c r="K52" s="1">
        <v>0</v>
      </c>
      <c r="L52" s="1">
        <v>8</v>
      </c>
      <c r="M52" s="6">
        <v>8</v>
      </c>
    </row>
    <row r="53" spans="1:13" ht="15" thickBot="1" x14ac:dyDescent="0.35">
      <c r="A53" s="5">
        <v>671</v>
      </c>
      <c r="B53" s="3">
        <v>40574</v>
      </c>
      <c r="C53" s="1">
        <v>6</v>
      </c>
      <c r="D53" s="2" t="b">
        <v>0</v>
      </c>
      <c r="E53" s="1">
        <v>1</v>
      </c>
      <c r="F53" s="1">
        <v>1</v>
      </c>
      <c r="G53" s="1">
        <v>0.16</v>
      </c>
      <c r="H53" s="1">
        <v>0.13639999999999999</v>
      </c>
      <c r="I53" s="1">
        <v>0.69</v>
      </c>
      <c r="J53" s="1">
        <v>0.32840000000000003</v>
      </c>
      <c r="K53" s="1">
        <v>0</v>
      </c>
      <c r="L53" s="1">
        <v>37</v>
      </c>
      <c r="M53" s="6">
        <v>37</v>
      </c>
    </row>
    <row r="54" spans="1:13" ht="15" thickBot="1" x14ac:dyDescent="0.35">
      <c r="A54" s="5">
        <v>672</v>
      </c>
      <c r="B54" s="3">
        <v>40574</v>
      </c>
      <c r="C54" s="1">
        <v>7</v>
      </c>
      <c r="D54" s="2" t="b">
        <v>0</v>
      </c>
      <c r="E54" s="1">
        <v>1</v>
      </c>
      <c r="F54" s="1">
        <v>2</v>
      </c>
      <c r="G54" s="1">
        <v>0.16</v>
      </c>
      <c r="H54" s="1">
        <v>0.13639999999999999</v>
      </c>
      <c r="I54" s="1">
        <v>0.64</v>
      </c>
      <c r="J54" s="1">
        <v>0.28360000000000002</v>
      </c>
      <c r="K54" s="1">
        <v>1</v>
      </c>
      <c r="L54" s="1">
        <v>71</v>
      </c>
      <c r="M54" s="6">
        <v>72</v>
      </c>
    </row>
    <row r="55" spans="1:13" ht="15" thickBot="1" x14ac:dyDescent="0.35">
      <c r="A55" s="5">
        <v>673</v>
      </c>
      <c r="B55" s="3">
        <v>40574</v>
      </c>
      <c r="C55" s="1">
        <v>8</v>
      </c>
      <c r="D55" s="2" t="b">
        <v>0</v>
      </c>
      <c r="E55" s="1">
        <v>1</v>
      </c>
      <c r="F55" s="1">
        <v>2</v>
      </c>
      <c r="G55" s="1">
        <v>0.16</v>
      </c>
      <c r="H55" s="1">
        <v>0.13639999999999999</v>
      </c>
      <c r="I55" s="1">
        <v>0.59</v>
      </c>
      <c r="J55" s="1">
        <v>0.28360000000000002</v>
      </c>
      <c r="K55" s="1">
        <v>3</v>
      </c>
      <c r="L55" s="1">
        <v>182</v>
      </c>
      <c r="M55" s="6">
        <v>185</v>
      </c>
    </row>
    <row r="56" spans="1:13" ht="15" thickBot="1" x14ac:dyDescent="0.35">
      <c r="A56" s="5">
        <v>674</v>
      </c>
      <c r="B56" s="3">
        <v>40574</v>
      </c>
      <c r="C56" s="1">
        <v>9</v>
      </c>
      <c r="D56" s="2" t="b">
        <v>0</v>
      </c>
      <c r="E56" s="1">
        <v>1</v>
      </c>
      <c r="F56" s="1">
        <v>2</v>
      </c>
      <c r="G56" s="1">
        <v>0.16</v>
      </c>
      <c r="H56" s="1">
        <v>0.13639999999999999</v>
      </c>
      <c r="I56" s="1">
        <v>0.59</v>
      </c>
      <c r="J56" s="1">
        <v>0.29849999999999999</v>
      </c>
      <c r="K56" s="1">
        <v>0</v>
      </c>
      <c r="L56" s="1">
        <v>112</v>
      </c>
      <c r="M56" s="6">
        <v>112</v>
      </c>
    </row>
    <row r="57" spans="1:13" ht="15" thickBot="1" x14ac:dyDescent="0.35">
      <c r="A57" s="5">
        <v>675</v>
      </c>
      <c r="B57" s="3">
        <v>40574</v>
      </c>
      <c r="C57" s="1">
        <v>10</v>
      </c>
      <c r="D57" s="2" t="b">
        <v>0</v>
      </c>
      <c r="E57" s="1">
        <v>1</v>
      </c>
      <c r="F57" s="1">
        <v>2</v>
      </c>
      <c r="G57" s="1">
        <v>0.16</v>
      </c>
      <c r="H57" s="1">
        <v>0.1515</v>
      </c>
      <c r="I57" s="1">
        <v>0.59</v>
      </c>
      <c r="J57" s="1">
        <v>0.19400000000000001</v>
      </c>
      <c r="K57" s="1">
        <v>1</v>
      </c>
      <c r="L57" s="1">
        <v>68</v>
      </c>
      <c r="M57" s="6">
        <v>69</v>
      </c>
    </row>
    <row r="58" spans="1:13" ht="15" thickBot="1" x14ac:dyDescent="0.35">
      <c r="A58" s="5">
        <v>676</v>
      </c>
      <c r="B58" s="3">
        <v>40574</v>
      </c>
      <c r="C58" s="1">
        <v>11</v>
      </c>
      <c r="D58" s="2" t="b">
        <v>0</v>
      </c>
      <c r="E58" s="1">
        <v>1</v>
      </c>
      <c r="F58" s="1">
        <v>2</v>
      </c>
      <c r="G58" s="1">
        <v>0.16</v>
      </c>
      <c r="H58" s="1">
        <v>0.1515</v>
      </c>
      <c r="I58" s="1">
        <v>0.59</v>
      </c>
      <c r="J58" s="1">
        <v>0.19400000000000001</v>
      </c>
      <c r="K58" s="1">
        <v>2</v>
      </c>
      <c r="L58" s="1">
        <v>46</v>
      </c>
      <c r="M58" s="6">
        <v>48</v>
      </c>
    </row>
    <row r="59" spans="1:13" ht="15" thickBot="1" x14ac:dyDescent="0.35">
      <c r="A59" s="5">
        <v>677</v>
      </c>
      <c r="B59" s="3">
        <v>40574</v>
      </c>
      <c r="C59" s="1">
        <v>12</v>
      </c>
      <c r="D59" s="2" t="b">
        <v>0</v>
      </c>
      <c r="E59" s="1">
        <v>1</v>
      </c>
      <c r="F59" s="1">
        <v>2</v>
      </c>
      <c r="G59" s="1">
        <v>0.18</v>
      </c>
      <c r="H59" s="1">
        <v>0.21210000000000001</v>
      </c>
      <c r="I59" s="1">
        <v>0.55000000000000004</v>
      </c>
      <c r="J59" s="1">
        <v>0.1045</v>
      </c>
      <c r="K59" s="1">
        <v>6</v>
      </c>
      <c r="L59" s="1">
        <v>62</v>
      </c>
      <c r="M59" s="6">
        <v>68</v>
      </c>
    </row>
    <row r="60" spans="1:13" ht="15" thickBot="1" x14ac:dyDescent="0.35">
      <c r="A60" s="5">
        <v>678</v>
      </c>
      <c r="B60" s="3">
        <v>40574</v>
      </c>
      <c r="C60" s="1">
        <v>13</v>
      </c>
      <c r="D60" s="2" t="b">
        <v>0</v>
      </c>
      <c r="E60" s="1">
        <v>1</v>
      </c>
      <c r="F60" s="1">
        <v>2</v>
      </c>
      <c r="G60" s="1">
        <v>0.16</v>
      </c>
      <c r="H60" s="1">
        <v>0.2273</v>
      </c>
      <c r="I60" s="1">
        <v>0.59</v>
      </c>
      <c r="J60" s="1">
        <v>0</v>
      </c>
      <c r="K60" s="1">
        <v>2</v>
      </c>
      <c r="L60" s="1">
        <v>52</v>
      </c>
      <c r="M60" s="6">
        <v>54</v>
      </c>
    </row>
    <row r="61" spans="1:13" ht="15" thickBot="1" x14ac:dyDescent="0.35">
      <c r="A61" s="5">
        <v>679</v>
      </c>
      <c r="B61" s="3">
        <v>40574</v>
      </c>
      <c r="C61" s="1">
        <v>14</v>
      </c>
      <c r="D61" s="2" t="b">
        <v>0</v>
      </c>
      <c r="E61" s="1">
        <v>1</v>
      </c>
      <c r="F61" s="1">
        <v>2</v>
      </c>
      <c r="G61" s="1">
        <v>0.18</v>
      </c>
      <c r="H61" s="1">
        <v>0.19700000000000001</v>
      </c>
      <c r="I61" s="1">
        <v>0.55000000000000004</v>
      </c>
      <c r="J61" s="1">
        <v>0.1343</v>
      </c>
      <c r="K61" s="1">
        <v>1</v>
      </c>
      <c r="L61" s="1">
        <v>85</v>
      </c>
      <c r="M61" s="6">
        <v>86</v>
      </c>
    </row>
    <row r="62" spans="1:13" ht="15" thickBot="1" x14ac:dyDescent="0.35">
      <c r="A62" s="5">
        <v>680</v>
      </c>
      <c r="B62" s="3">
        <v>40574</v>
      </c>
      <c r="C62" s="1">
        <v>15</v>
      </c>
      <c r="D62" s="2" t="b">
        <v>0</v>
      </c>
      <c r="E62" s="1">
        <v>1</v>
      </c>
      <c r="F62" s="1">
        <v>2</v>
      </c>
      <c r="G62" s="1">
        <v>0.16</v>
      </c>
      <c r="H62" s="1">
        <v>0.18179999999999999</v>
      </c>
      <c r="I62" s="1">
        <v>0.59</v>
      </c>
      <c r="J62" s="1">
        <v>0.1343</v>
      </c>
      <c r="K62" s="1">
        <v>3</v>
      </c>
      <c r="L62" s="1">
        <v>41</v>
      </c>
      <c r="M62" s="6">
        <v>44</v>
      </c>
    </row>
    <row r="63" spans="1:13" ht="15" thickBot="1" x14ac:dyDescent="0.35">
      <c r="A63" s="5">
        <v>681</v>
      </c>
      <c r="B63" s="3">
        <v>40574</v>
      </c>
      <c r="C63" s="1">
        <v>16</v>
      </c>
      <c r="D63" s="2" t="b">
        <v>0</v>
      </c>
      <c r="E63" s="1">
        <v>1</v>
      </c>
      <c r="F63" s="1">
        <v>2</v>
      </c>
      <c r="G63" s="1">
        <v>0.16</v>
      </c>
      <c r="H63" s="1">
        <v>0.18179999999999999</v>
      </c>
      <c r="I63" s="1">
        <v>0.56000000000000005</v>
      </c>
      <c r="J63" s="1">
        <v>0.19400000000000001</v>
      </c>
      <c r="K63" s="1">
        <v>3</v>
      </c>
      <c r="L63" s="1">
        <v>83</v>
      </c>
      <c r="M63" s="6">
        <v>86</v>
      </c>
    </row>
    <row r="64" spans="1:13" ht="15" thickBot="1" x14ac:dyDescent="0.35">
      <c r="A64" s="5">
        <v>682</v>
      </c>
      <c r="B64" s="3">
        <v>40574</v>
      </c>
      <c r="C64" s="1">
        <v>17</v>
      </c>
      <c r="D64" s="2" t="b">
        <v>0</v>
      </c>
      <c r="E64" s="1">
        <v>1</v>
      </c>
      <c r="F64" s="1">
        <v>2</v>
      </c>
      <c r="G64" s="1">
        <v>0.16</v>
      </c>
      <c r="H64" s="1">
        <v>0.1515</v>
      </c>
      <c r="I64" s="1">
        <v>0.59</v>
      </c>
      <c r="J64" s="1">
        <v>0.19400000000000001</v>
      </c>
      <c r="K64" s="1">
        <v>6</v>
      </c>
      <c r="L64" s="1">
        <v>155</v>
      </c>
      <c r="M64" s="6">
        <v>161</v>
      </c>
    </row>
    <row r="65" spans="1:13" ht="15" thickBot="1" x14ac:dyDescent="0.35">
      <c r="A65" s="5">
        <v>683</v>
      </c>
      <c r="B65" s="3">
        <v>40574</v>
      </c>
      <c r="C65" s="1">
        <v>18</v>
      </c>
      <c r="D65" s="2" t="b">
        <v>0</v>
      </c>
      <c r="E65" s="1">
        <v>1</v>
      </c>
      <c r="F65" s="1">
        <v>2</v>
      </c>
      <c r="G65" s="1">
        <v>0.16</v>
      </c>
      <c r="H65" s="1">
        <v>0.1515</v>
      </c>
      <c r="I65" s="1">
        <v>0.55000000000000004</v>
      </c>
      <c r="J65" s="1">
        <v>0.22389999999999999</v>
      </c>
      <c r="K65" s="1">
        <v>3</v>
      </c>
      <c r="L65" s="1">
        <v>153</v>
      </c>
      <c r="M65" s="6">
        <v>156</v>
      </c>
    </row>
    <row r="66" spans="1:13" ht="15" thickBot="1" x14ac:dyDescent="0.35">
      <c r="A66" s="5">
        <v>684</v>
      </c>
      <c r="B66" s="3">
        <v>40574</v>
      </c>
      <c r="C66" s="1">
        <v>19</v>
      </c>
      <c r="D66" s="2" t="b">
        <v>0</v>
      </c>
      <c r="E66" s="1">
        <v>1</v>
      </c>
      <c r="F66" s="1">
        <v>1</v>
      </c>
      <c r="G66" s="1">
        <v>0.3</v>
      </c>
      <c r="H66" s="1">
        <v>0.31819999999999998</v>
      </c>
      <c r="I66" s="1">
        <v>0.61</v>
      </c>
      <c r="J66" s="1">
        <v>0.1045</v>
      </c>
      <c r="K66" s="1">
        <v>3</v>
      </c>
      <c r="L66" s="1">
        <v>108</v>
      </c>
      <c r="M66" s="6">
        <v>111</v>
      </c>
    </row>
    <row r="67" spans="1:13" ht="15" thickBot="1" x14ac:dyDescent="0.35">
      <c r="A67" s="5">
        <v>685</v>
      </c>
      <c r="B67" s="3">
        <v>40574</v>
      </c>
      <c r="C67" s="1">
        <v>20</v>
      </c>
      <c r="D67" s="2" t="b">
        <v>0</v>
      </c>
      <c r="E67" s="1">
        <v>1</v>
      </c>
      <c r="F67" s="1">
        <v>3</v>
      </c>
      <c r="G67" s="1">
        <v>0.16</v>
      </c>
      <c r="H67" s="1">
        <v>0.16669999999999999</v>
      </c>
      <c r="I67" s="1">
        <v>0.59</v>
      </c>
      <c r="J67" s="1">
        <v>0.16420000000000001</v>
      </c>
      <c r="K67" s="1">
        <v>0</v>
      </c>
      <c r="L67" s="1">
        <v>78</v>
      </c>
      <c r="M67" s="6">
        <v>78</v>
      </c>
    </row>
    <row r="68" spans="1:13" ht="15" thickBot="1" x14ac:dyDescent="0.35">
      <c r="A68" s="5">
        <v>686</v>
      </c>
      <c r="B68" s="3">
        <v>40574</v>
      </c>
      <c r="C68" s="1">
        <v>21</v>
      </c>
      <c r="D68" s="2" t="b">
        <v>0</v>
      </c>
      <c r="E68" s="1">
        <v>1</v>
      </c>
      <c r="F68" s="1">
        <v>3</v>
      </c>
      <c r="G68" s="1">
        <v>0.16</v>
      </c>
      <c r="H68" s="1">
        <v>0.19700000000000001</v>
      </c>
      <c r="I68" s="1">
        <v>0.59</v>
      </c>
      <c r="J68" s="1">
        <v>8.9599999999999999E-2</v>
      </c>
      <c r="K68" s="1">
        <v>3</v>
      </c>
      <c r="L68" s="1">
        <v>53</v>
      </c>
      <c r="M68" s="6">
        <v>56</v>
      </c>
    </row>
    <row r="69" spans="1:13" ht="15" thickBot="1" x14ac:dyDescent="0.35">
      <c r="A69" s="5">
        <v>687</v>
      </c>
      <c r="B69" s="3">
        <v>40574</v>
      </c>
      <c r="C69" s="1">
        <v>22</v>
      </c>
      <c r="D69" s="2" t="b">
        <v>0</v>
      </c>
      <c r="E69" s="1">
        <v>1</v>
      </c>
      <c r="F69" s="1">
        <v>2</v>
      </c>
      <c r="G69" s="1">
        <v>0.16</v>
      </c>
      <c r="H69" s="1">
        <v>0.18179999999999999</v>
      </c>
      <c r="I69" s="1">
        <v>0.59</v>
      </c>
      <c r="J69" s="1">
        <v>0.1045</v>
      </c>
      <c r="K69" s="1">
        <v>0</v>
      </c>
      <c r="L69" s="1">
        <v>34</v>
      </c>
      <c r="M69" s="6">
        <v>34</v>
      </c>
    </row>
    <row r="70" spans="1:13" ht="15" thickBot="1" x14ac:dyDescent="0.35">
      <c r="A70" s="5">
        <v>688</v>
      </c>
      <c r="B70" s="3">
        <v>40574</v>
      </c>
      <c r="C70" s="1">
        <v>23</v>
      </c>
      <c r="D70" s="2" t="b">
        <v>0</v>
      </c>
      <c r="E70" s="1">
        <v>1</v>
      </c>
      <c r="F70" s="1">
        <v>2</v>
      </c>
      <c r="G70" s="1">
        <v>0.16</v>
      </c>
      <c r="H70" s="1">
        <v>0.19700000000000001</v>
      </c>
      <c r="I70" s="1">
        <v>0.64</v>
      </c>
      <c r="J70" s="1">
        <v>8.9599999999999999E-2</v>
      </c>
      <c r="K70" s="1">
        <v>2</v>
      </c>
      <c r="L70" s="1">
        <v>15</v>
      </c>
      <c r="M70" s="6">
        <v>17</v>
      </c>
    </row>
    <row r="71" spans="1:13" ht="15" thickBot="1" x14ac:dyDescent="0.35">
      <c r="A71" s="5">
        <v>689</v>
      </c>
      <c r="B71" s="3">
        <v>40575</v>
      </c>
      <c r="C71" s="1">
        <v>0</v>
      </c>
      <c r="D71" s="2" t="b">
        <v>0</v>
      </c>
      <c r="E71" s="1">
        <v>2</v>
      </c>
      <c r="F71" s="1">
        <v>2</v>
      </c>
      <c r="G71" s="1">
        <v>0.16</v>
      </c>
      <c r="H71" s="1">
        <v>0.18179999999999999</v>
      </c>
      <c r="I71" s="1">
        <v>0.64</v>
      </c>
      <c r="J71" s="1">
        <v>0.1045</v>
      </c>
      <c r="K71" s="1">
        <v>2</v>
      </c>
      <c r="L71" s="1">
        <v>6</v>
      </c>
      <c r="M71" s="6">
        <v>8</v>
      </c>
    </row>
    <row r="72" spans="1:13" ht="15" thickBot="1" x14ac:dyDescent="0.35">
      <c r="A72" s="5">
        <v>690</v>
      </c>
      <c r="B72" s="3">
        <v>40575</v>
      </c>
      <c r="C72" s="1">
        <v>1</v>
      </c>
      <c r="D72" s="2" t="b">
        <v>0</v>
      </c>
      <c r="E72" s="1">
        <v>2</v>
      </c>
      <c r="F72" s="1">
        <v>2</v>
      </c>
      <c r="G72" s="1">
        <v>0.16</v>
      </c>
      <c r="H72" s="1">
        <v>0.18179999999999999</v>
      </c>
      <c r="I72" s="1">
        <v>0.69</v>
      </c>
      <c r="J72" s="1">
        <v>0.1045</v>
      </c>
      <c r="K72" s="1">
        <v>0</v>
      </c>
      <c r="L72" s="1">
        <v>3</v>
      </c>
      <c r="M72" s="6">
        <v>3</v>
      </c>
    </row>
    <row r="73" spans="1:13" ht="15" thickBot="1" x14ac:dyDescent="0.35">
      <c r="A73" s="5">
        <v>691</v>
      </c>
      <c r="B73" s="3">
        <v>40575</v>
      </c>
      <c r="C73" s="1">
        <v>2</v>
      </c>
      <c r="D73" s="2" t="b">
        <v>0</v>
      </c>
      <c r="E73" s="1">
        <v>2</v>
      </c>
      <c r="F73" s="1">
        <v>2</v>
      </c>
      <c r="G73" s="1">
        <v>0.16</v>
      </c>
      <c r="H73" s="1">
        <v>0.2273</v>
      </c>
      <c r="I73" s="1">
        <v>0.69</v>
      </c>
      <c r="J73" s="1">
        <v>0</v>
      </c>
      <c r="K73" s="1">
        <v>0</v>
      </c>
      <c r="L73" s="1">
        <v>2</v>
      </c>
      <c r="M73" s="6">
        <v>2</v>
      </c>
    </row>
    <row r="74" spans="1:13" ht="15" thickBot="1" x14ac:dyDescent="0.35">
      <c r="A74" s="5">
        <v>692</v>
      </c>
      <c r="B74" s="3">
        <v>40575</v>
      </c>
      <c r="C74" s="1">
        <v>3</v>
      </c>
      <c r="D74" s="2" t="b">
        <v>0</v>
      </c>
      <c r="E74" s="1">
        <v>2</v>
      </c>
      <c r="F74" s="1">
        <v>2</v>
      </c>
      <c r="G74" s="1">
        <v>0.16</v>
      </c>
      <c r="H74" s="1">
        <v>0.2273</v>
      </c>
      <c r="I74" s="1">
        <v>0.69</v>
      </c>
      <c r="J74" s="1">
        <v>0</v>
      </c>
      <c r="K74" s="1">
        <v>0</v>
      </c>
      <c r="L74" s="1">
        <v>2</v>
      </c>
      <c r="M74" s="6">
        <v>2</v>
      </c>
    </row>
    <row r="75" spans="1:13" ht="15" thickBot="1" x14ac:dyDescent="0.35">
      <c r="A75" s="5">
        <v>693</v>
      </c>
      <c r="B75" s="3">
        <v>40575</v>
      </c>
      <c r="C75" s="1">
        <v>5</v>
      </c>
      <c r="D75" s="2" t="b">
        <v>0</v>
      </c>
      <c r="E75" s="1">
        <v>2</v>
      </c>
      <c r="F75" s="1">
        <v>3</v>
      </c>
      <c r="G75" s="1">
        <v>0.14000000000000001</v>
      </c>
      <c r="H75" s="1">
        <v>0.21210000000000001</v>
      </c>
      <c r="I75" s="1">
        <v>0.93</v>
      </c>
      <c r="J75" s="1">
        <v>0</v>
      </c>
      <c r="K75" s="1">
        <v>0</v>
      </c>
      <c r="L75" s="1">
        <v>3</v>
      </c>
      <c r="M75" s="6">
        <v>3</v>
      </c>
    </row>
    <row r="76" spans="1:13" ht="15" thickBot="1" x14ac:dyDescent="0.35">
      <c r="A76" s="5">
        <v>694</v>
      </c>
      <c r="B76" s="3">
        <v>40575</v>
      </c>
      <c r="C76" s="1">
        <v>6</v>
      </c>
      <c r="D76" s="2" t="b">
        <v>0</v>
      </c>
      <c r="E76" s="1">
        <v>2</v>
      </c>
      <c r="F76" s="1">
        <v>3</v>
      </c>
      <c r="G76" s="1">
        <v>0.14000000000000001</v>
      </c>
      <c r="H76" s="1">
        <v>0.21210000000000001</v>
      </c>
      <c r="I76" s="1">
        <v>0.93</v>
      </c>
      <c r="J76" s="1">
        <v>0</v>
      </c>
      <c r="K76" s="1">
        <v>0</v>
      </c>
      <c r="L76" s="1">
        <v>22</v>
      </c>
      <c r="M76" s="6">
        <v>22</v>
      </c>
    </row>
    <row r="77" spans="1:13" ht="15" thickBot="1" x14ac:dyDescent="0.35">
      <c r="A77" s="5">
        <v>695</v>
      </c>
      <c r="B77" s="3">
        <v>40575</v>
      </c>
      <c r="C77" s="1">
        <v>7</v>
      </c>
      <c r="D77" s="2" t="b">
        <v>0</v>
      </c>
      <c r="E77" s="1">
        <v>2</v>
      </c>
      <c r="F77" s="1">
        <v>3</v>
      </c>
      <c r="G77" s="1">
        <v>0.16</v>
      </c>
      <c r="H77" s="1">
        <v>0.2273</v>
      </c>
      <c r="I77" s="1">
        <v>0.93</v>
      </c>
      <c r="J77" s="1">
        <v>0</v>
      </c>
      <c r="K77" s="1">
        <v>0</v>
      </c>
      <c r="L77" s="1">
        <v>52</v>
      </c>
      <c r="M77" s="6">
        <v>52</v>
      </c>
    </row>
    <row r="78" spans="1:13" ht="15" thickBot="1" x14ac:dyDescent="0.35">
      <c r="A78" s="5">
        <v>696</v>
      </c>
      <c r="B78" s="3">
        <v>40575</v>
      </c>
      <c r="C78" s="1">
        <v>8</v>
      </c>
      <c r="D78" s="2" t="b">
        <v>0</v>
      </c>
      <c r="E78" s="1">
        <v>2</v>
      </c>
      <c r="F78" s="1">
        <v>3</v>
      </c>
      <c r="G78" s="1">
        <v>0.16</v>
      </c>
      <c r="H78" s="1">
        <v>0.2273</v>
      </c>
      <c r="I78" s="1">
        <v>0.93</v>
      </c>
      <c r="J78" s="1">
        <v>0</v>
      </c>
      <c r="K78" s="1">
        <v>3</v>
      </c>
      <c r="L78" s="1">
        <v>132</v>
      </c>
      <c r="M78" s="6">
        <v>135</v>
      </c>
    </row>
    <row r="79" spans="1:13" ht="15" thickBot="1" x14ac:dyDescent="0.35">
      <c r="A79" s="5">
        <v>697</v>
      </c>
      <c r="B79" s="3">
        <v>40575</v>
      </c>
      <c r="C79" s="1">
        <v>9</v>
      </c>
      <c r="D79" s="2" t="b">
        <v>0</v>
      </c>
      <c r="E79" s="1">
        <v>2</v>
      </c>
      <c r="F79" s="1">
        <v>2</v>
      </c>
      <c r="G79" s="1">
        <v>0.16</v>
      </c>
      <c r="H79" s="1">
        <v>0.2273</v>
      </c>
      <c r="I79" s="1">
        <v>0.93</v>
      </c>
      <c r="J79" s="1">
        <v>0</v>
      </c>
      <c r="K79" s="1">
        <v>2</v>
      </c>
      <c r="L79" s="1">
        <v>114</v>
      </c>
      <c r="M79" s="6">
        <v>116</v>
      </c>
    </row>
    <row r="80" spans="1:13" ht="15" thickBot="1" x14ac:dyDescent="0.35">
      <c r="A80" s="5">
        <v>698</v>
      </c>
      <c r="B80" s="3">
        <v>40575</v>
      </c>
      <c r="C80" s="1">
        <v>10</v>
      </c>
      <c r="D80" s="2" t="b">
        <v>0</v>
      </c>
      <c r="E80" s="1">
        <v>2</v>
      </c>
      <c r="F80" s="1">
        <v>2</v>
      </c>
      <c r="G80" s="1">
        <v>0.16</v>
      </c>
      <c r="H80" s="1">
        <v>0.2273</v>
      </c>
      <c r="I80" s="1">
        <v>0.93</v>
      </c>
      <c r="J80" s="1">
        <v>0</v>
      </c>
      <c r="K80" s="1">
        <v>0</v>
      </c>
      <c r="L80" s="1">
        <v>47</v>
      </c>
      <c r="M80" s="6">
        <v>47</v>
      </c>
    </row>
    <row r="81" spans="1:13" ht="15" thickBot="1" x14ac:dyDescent="0.35">
      <c r="A81" s="5">
        <v>699</v>
      </c>
      <c r="B81" s="3">
        <v>40575</v>
      </c>
      <c r="C81" s="1">
        <v>11</v>
      </c>
      <c r="D81" s="2" t="b">
        <v>0</v>
      </c>
      <c r="E81" s="1">
        <v>2</v>
      </c>
      <c r="F81" s="1">
        <v>2</v>
      </c>
      <c r="G81" s="1">
        <v>0.18</v>
      </c>
      <c r="H81" s="1">
        <v>0.2424</v>
      </c>
      <c r="I81" s="1">
        <v>0.86</v>
      </c>
      <c r="J81" s="1">
        <v>0</v>
      </c>
      <c r="K81" s="1">
        <v>2</v>
      </c>
      <c r="L81" s="1">
        <v>49</v>
      </c>
      <c r="M81" s="6">
        <v>51</v>
      </c>
    </row>
    <row r="82" spans="1:13" ht="15" thickBot="1" x14ac:dyDescent="0.35">
      <c r="A82" s="5">
        <v>700</v>
      </c>
      <c r="B82" s="3">
        <v>40575</v>
      </c>
      <c r="C82" s="1">
        <v>12</v>
      </c>
      <c r="D82" s="2" t="b">
        <v>0</v>
      </c>
      <c r="E82" s="1">
        <v>2</v>
      </c>
      <c r="F82" s="1">
        <v>2</v>
      </c>
      <c r="G82" s="1">
        <v>0.2</v>
      </c>
      <c r="H82" s="1">
        <v>0.2576</v>
      </c>
      <c r="I82" s="1">
        <v>0.86</v>
      </c>
      <c r="J82" s="1">
        <v>0</v>
      </c>
      <c r="K82" s="1">
        <v>2</v>
      </c>
      <c r="L82" s="1">
        <v>53</v>
      </c>
      <c r="M82" s="6">
        <v>55</v>
      </c>
    </row>
    <row r="83" spans="1:13" ht="15" thickBot="1" x14ac:dyDescent="0.35">
      <c r="A83" s="5">
        <v>701</v>
      </c>
      <c r="B83" s="3">
        <v>40575</v>
      </c>
      <c r="C83" s="1">
        <v>13</v>
      </c>
      <c r="D83" s="2" t="b">
        <v>0</v>
      </c>
      <c r="E83" s="1">
        <v>2</v>
      </c>
      <c r="F83" s="1">
        <v>2</v>
      </c>
      <c r="G83" s="1">
        <v>0.2</v>
      </c>
      <c r="H83" s="1">
        <v>0.2576</v>
      </c>
      <c r="I83" s="1">
        <v>0.86</v>
      </c>
      <c r="J83" s="1">
        <v>0</v>
      </c>
      <c r="K83" s="1">
        <v>3</v>
      </c>
      <c r="L83" s="1">
        <v>49</v>
      </c>
      <c r="M83" s="6">
        <v>52</v>
      </c>
    </row>
    <row r="84" spans="1:13" ht="15" thickBot="1" x14ac:dyDescent="0.35">
      <c r="A84" s="5">
        <v>702</v>
      </c>
      <c r="B84" s="3">
        <v>40575</v>
      </c>
      <c r="C84" s="1">
        <v>14</v>
      </c>
      <c r="D84" s="2" t="b">
        <v>0</v>
      </c>
      <c r="E84" s="1">
        <v>2</v>
      </c>
      <c r="F84" s="1">
        <v>2</v>
      </c>
      <c r="G84" s="1">
        <v>0.22</v>
      </c>
      <c r="H84" s="1">
        <v>0.2576</v>
      </c>
      <c r="I84" s="1">
        <v>0.8</v>
      </c>
      <c r="J84" s="1">
        <v>8.9599999999999999E-2</v>
      </c>
      <c r="K84" s="1">
        <v>5</v>
      </c>
      <c r="L84" s="1">
        <v>49</v>
      </c>
      <c r="M84" s="6">
        <v>54</v>
      </c>
    </row>
    <row r="85" spans="1:13" ht="15" thickBot="1" x14ac:dyDescent="0.35">
      <c r="A85" s="5">
        <v>703</v>
      </c>
      <c r="B85" s="3">
        <v>40575</v>
      </c>
      <c r="C85" s="1">
        <v>15</v>
      </c>
      <c r="D85" s="2" t="b">
        <v>0</v>
      </c>
      <c r="E85" s="1">
        <v>2</v>
      </c>
      <c r="F85" s="1">
        <v>2</v>
      </c>
      <c r="G85" s="1">
        <v>0.24</v>
      </c>
      <c r="H85" s="1">
        <v>0.28789999999999999</v>
      </c>
      <c r="I85" s="1">
        <v>0.75</v>
      </c>
      <c r="J85" s="1">
        <v>0</v>
      </c>
      <c r="K85" s="1">
        <v>7</v>
      </c>
      <c r="L85" s="1">
        <v>45</v>
      </c>
      <c r="M85" s="6">
        <v>52</v>
      </c>
    </row>
    <row r="86" spans="1:13" ht="15" thickBot="1" x14ac:dyDescent="0.35">
      <c r="A86" s="5">
        <v>704</v>
      </c>
      <c r="B86" s="3">
        <v>40575</v>
      </c>
      <c r="C86" s="1">
        <v>16</v>
      </c>
      <c r="D86" s="2" t="b">
        <v>0</v>
      </c>
      <c r="E86" s="1">
        <v>2</v>
      </c>
      <c r="F86" s="1">
        <v>2</v>
      </c>
      <c r="G86" s="1">
        <v>0.24</v>
      </c>
      <c r="H86" s="1">
        <v>0.2424</v>
      </c>
      <c r="I86" s="1">
        <v>0.75</v>
      </c>
      <c r="J86" s="1">
        <v>0.1343</v>
      </c>
      <c r="K86" s="1">
        <v>3</v>
      </c>
      <c r="L86" s="1">
        <v>61</v>
      </c>
      <c r="M86" s="6">
        <v>64</v>
      </c>
    </row>
    <row r="87" spans="1:13" ht="15" thickBot="1" x14ac:dyDescent="0.35">
      <c r="A87" s="5">
        <v>705</v>
      </c>
      <c r="B87" s="3">
        <v>40575</v>
      </c>
      <c r="C87" s="1">
        <v>17</v>
      </c>
      <c r="D87" s="2" t="b">
        <v>0</v>
      </c>
      <c r="E87" s="1">
        <v>2</v>
      </c>
      <c r="F87" s="1">
        <v>2</v>
      </c>
      <c r="G87" s="1">
        <v>0.24</v>
      </c>
      <c r="H87" s="1">
        <v>0.28789999999999999</v>
      </c>
      <c r="I87" s="1">
        <v>0.75</v>
      </c>
      <c r="J87" s="1">
        <v>0</v>
      </c>
      <c r="K87" s="1">
        <v>4</v>
      </c>
      <c r="L87" s="1">
        <v>172</v>
      </c>
      <c r="M87" s="6">
        <v>176</v>
      </c>
    </row>
    <row r="88" spans="1:13" ht="15" thickBot="1" x14ac:dyDescent="0.35">
      <c r="A88" s="5">
        <v>706</v>
      </c>
      <c r="B88" s="3">
        <v>40575</v>
      </c>
      <c r="C88" s="1">
        <v>18</v>
      </c>
      <c r="D88" s="2" t="b">
        <v>0</v>
      </c>
      <c r="E88" s="1">
        <v>2</v>
      </c>
      <c r="F88" s="1">
        <v>2</v>
      </c>
      <c r="G88" s="1">
        <v>0.24</v>
      </c>
      <c r="H88" s="1">
        <v>0.2576</v>
      </c>
      <c r="I88" s="1">
        <v>0.81</v>
      </c>
      <c r="J88" s="1">
        <v>0.1045</v>
      </c>
      <c r="K88" s="1">
        <v>3</v>
      </c>
      <c r="L88" s="1">
        <v>165</v>
      </c>
      <c r="M88" s="6">
        <v>168</v>
      </c>
    </row>
    <row r="89" spans="1:13" ht="15" thickBot="1" x14ac:dyDescent="0.35">
      <c r="A89" s="5">
        <v>707</v>
      </c>
      <c r="B89" s="3">
        <v>40575</v>
      </c>
      <c r="C89" s="1">
        <v>19</v>
      </c>
      <c r="D89" s="2" t="b">
        <v>0</v>
      </c>
      <c r="E89" s="1">
        <v>2</v>
      </c>
      <c r="F89" s="1">
        <v>2</v>
      </c>
      <c r="G89" s="1">
        <v>0.24</v>
      </c>
      <c r="H89" s="1">
        <v>0.2424</v>
      </c>
      <c r="I89" s="1">
        <v>0.81</v>
      </c>
      <c r="J89" s="1">
        <v>0.1343</v>
      </c>
      <c r="K89" s="1">
        <v>3</v>
      </c>
      <c r="L89" s="1">
        <v>105</v>
      </c>
      <c r="M89" s="6">
        <v>108</v>
      </c>
    </row>
    <row r="90" spans="1:13" ht="15" thickBot="1" x14ac:dyDescent="0.35">
      <c r="A90" s="5">
        <v>708</v>
      </c>
      <c r="B90" s="3">
        <v>40575</v>
      </c>
      <c r="C90" s="1">
        <v>20</v>
      </c>
      <c r="D90" s="2" t="b">
        <v>0</v>
      </c>
      <c r="E90" s="1">
        <v>2</v>
      </c>
      <c r="F90" s="1">
        <v>2</v>
      </c>
      <c r="G90" s="1">
        <v>0.22</v>
      </c>
      <c r="H90" s="1">
        <v>0.2273</v>
      </c>
      <c r="I90" s="1">
        <v>0.87</v>
      </c>
      <c r="J90" s="1">
        <v>0.1343</v>
      </c>
      <c r="K90" s="1">
        <v>5</v>
      </c>
      <c r="L90" s="1">
        <v>69</v>
      </c>
      <c r="M90" s="6">
        <v>74</v>
      </c>
    </row>
    <row r="91" spans="1:13" ht="15" thickBot="1" x14ac:dyDescent="0.35">
      <c r="A91" s="5">
        <v>709</v>
      </c>
      <c r="B91" s="3">
        <v>40575</v>
      </c>
      <c r="C91" s="1">
        <v>21</v>
      </c>
      <c r="D91" s="2" t="b">
        <v>0</v>
      </c>
      <c r="E91" s="1">
        <v>2</v>
      </c>
      <c r="F91" s="1">
        <v>2</v>
      </c>
      <c r="G91" s="1">
        <v>0.22</v>
      </c>
      <c r="H91" s="1">
        <v>0.2273</v>
      </c>
      <c r="I91" s="1">
        <v>0.87</v>
      </c>
      <c r="J91" s="1">
        <v>0.1343</v>
      </c>
      <c r="K91" s="1">
        <v>0</v>
      </c>
      <c r="L91" s="1">
        <v>64</v>
      </c>
      <c r="M91" s="6">
        <v>64</v>
      </c>
    </row>
    <row r="92" spans="1:13" ht="15" thickBot="1" x14ac:dyDescent="0.35">
      <c r="A92" s="5">
        <v>710</v>
      </c>
      <c r="B92" s="3">
        <v>40575</v>
      </c>
      <c r="C92" s="1">
        <v>22</v>
      </c>
      <c r="D92" s="2" t="b">
        <v>0</v>
      </c>
      <c r="E92" s="1">
        <v>2</v>
      </c>
      <c r="F92" s="1">
        <v>2</v>
      </c>
      <c r="G92" s="1">
        <v>0.22</v>
      </c>
      <c r="H92" s="1">
        <v>0.2576</v>
      </c>
      <c r="I92" s="1">
        <v>0.87</v>
      </c>
      <c r="J92" s="1">
        <v>8.9599999999999999E-2</v>
      </c>
      <c r="K92" s="1">
        <v>2</v>
      </c>
      <c r="L92" s="1">
        <v>34</v>
      </c>
      <c r="M92" s="6">
        <v>36</v>
      </c>
    </row>
    <row r="93" spans="1:13" ht="15" thickBot="1" x14ac:dyDescent="0.35">
      <c r="A93" s="5">
        <v>711</v>
      </c>
      <c r="B93" s="3">
        <v>40575</v>
      </c>
      <c r="C93" s="1">
        <v>23</v>
      </c>
      <c r="D93" s="2" t="b">
        <v>0</v>
      </c>
      <c r="E93" s="1">
        <v>2</v>
      </c>
      <c r="F93" s="1">
        <v>3</v>
      </c>
      <c r="G93" s="1">
        <v>0.2</v>
      </c>
      <c r="H93" s="1">
        <v>0.19700000000000001</v>
      </c>
      <c r="I93" s="1">
        <v>0.93</v>
      </c>
      <c r="J93" s="1">
        <v>0.19400000000000001</v>
      </c>
      <c r="K93" s="1">
        <v>1</v>
      </c>
      <c r="L93" s="1">
        <v>15</v>
      </c>
      <c r="M93" s="6">
        <v>16</v>
      </c>
    </row>
    <row r="94" spans="1:13" ht="15" thickBot="1" x14ac:dyDescent="0.35">
      <c r="A94" s="5">
        <v>712</v>
      </c>
      <c r="B94" s="3">
        <v>40576</v>
      </c>
      <c r="C94" s="1">
        <v>0</v>
      </c>
      <c r="D94" s="2" t="b">
        <v>0</v>
      </c>
      <c r="E94" s="1">
        <v>3</v>
      </c>
      <c r="F94" s="1">
        <v>3</v>
      </c>
      <c r="G94" s="1">
        <v>0.22</v>
      </c>
      <c r="H94" s="1">
        <v>0.2424</v>
      </c>
      <c r="I94" s="1">
        <v>0.93</v>
      </c>
      <c r="J94" s="1">
        <v>0.1045</v>
      </c>
      <c r="K94" s="1">
        <v>0</v>
      </c>
      <c r="L94" s="1">
        <v>2</v>
      </c>
      <c r="M94" s="6">
        <v>2</v>
      </c>
    </row>
    <row r="95" spans="1:13" ht="15" thickBot="1" x14ac:dyDescent="0.35">
      <c r="A95" s="5">
        <v>713</v>
      </c>
      <c r="B95" s="3">
        <v>40576</v>
      </c>
      <c r="C95" s="1">
        <v>1</v>
      </c>
      <c r="D95" s="2" t="b">
        <v>0</v>
      </c>
      <c r="E95" s="1">
        <v>3</v>
      </c>
      <c r="F95" s="1">
        <v>3</v>
      </c>
      <c r="G95" s="1">
        <v>0.22</v>
      </c>
      <c r="H95" s="1">
        <v>0.2273</v>
      </c>
      <c r="I95" s="1">
        <v>0.93</v>
      </c>
      <c r="J95" s="1">
        <v>0.19400000000000001</v>
      </c>
      <c r="K95" s="1">
        <v>0</v>
      </c>
      <c r="L95" s="1">
        <v>3</v>
      </c>
      <c r="M95" s="6">
        <v>3</v>
      </c>
    </row>
    <row r="96" spans="1:13" ht="15" thickBot="1" x14ac:dyDescent="0.35">
      <c r="A96" s="5">
        <v>714</v>
      </c>
      <c r="B96" s="3">
        <v>40576</v>
      </c>
      <c r="C96" s="1">
        <v>2</v>
      </c>
      <c r="D96" s="2" t="b">
        <v>0</v>
      </c>
      <c r="E96" s="1">
        <v>3</v>
      </c>
      <c r="F96" s="1">
        <v>3</v>
      </c>
      <c r="G96" s="1">
        <v>0.22</v>
      </c>
      <c r="H96" s="1">
        <v>0.2273</v>
      </c>
      <c r="I96" s="1">
        <v>0.93</v>
      </c>
      <c r="J96" s="1">
        <v>0.1343</v>
      </c>
      <c r="K96" s="1">
        <v>4</v>
      </c>
      <c r="L96" s="1">
        <v>0</v>
      </c>
      <c r="M96" s="6">
        <v>4</v>
      </c>
    </row>
    <row r="97" spans="1:13" ht="15" thickBot="1" x14ac:dyDescent="0.35">
      <c r="A97" s="5">
        <v>715</v>
      </c>
      <c r="B97" s="3">
        <v>40576</v>
      </c>
      <c r="C97" s="1">
        <v>3</v>
      </c>
      <c r="D97" s="2" t="b">
        <v>0</v>
      </c>
      <c r="E97" s="1">
        <v>3</v>
      </c>
      <c r="F97" s="1">
        <v>3</v>
      </c>
      <c r="G97" s="1">
        <v>0.22</v>
      </c>
      <c r="H97" s="1">
        <v>0.2273</v>
      </c>
      <c r="I97" s="1">
        <v>0.93</v>
      </c>
      <c r="J97" s="1">
        <v>0.1343</v>
      </c>
      <c r="K97" s="1">
        <v>0</v>
      </c>
      <c r="L97" s="1">
        <v>1</v>
      </c>
      <c r="M97" s="6">
        <v>1</v>
      </c>
    </row>
    <row r="98" spans="1:13" ht="15" thickBot="1" x14ac:dyDescent="0.35">
      <c r="A98" s="5">
        <v>716</v>
      </c>
      <c r="B98" s="3">
        <v>40576</v>
      </c>
      <c r="C98" s="1">
        <v>4</v>
      </c>
      <c r="D98" s="2" t="b">
        <v>0</v>
      </c>
      <c r="E98" s="1">
        <v>3</v>
      </c>
      <c r="F98" s="1">
        <v>3</v>
      </c>
      <c r="G98" s="1">
        <v>0.22</v>
      </c>
      <c r="H98" s="1">
        <v>0.21210000000000001</v>
      </c>
      <c r="I98" s="1">
        <v>0.93</v>
      </c>
      <c r="J98" s="1">
        <v>0.28360000000000002</v>
      </c>
      <c r="K98" s="1">
        <v>0</v>
      </c>
      <c r="L98" s="1">
        <v>1</v>
      </c>
      <c r="M98" s="6">
        <v>1</v>
      </c>
    </row>
    <row r="99" spans="1:13" ht="15" thickBot="1" x14ac:dyDescent="0.35">
      <c r="A99" s="5">
        <v>717</v>
      </c>
      <c r="B99" s="3">
        <v>40576</v>
      </c>
      <c r="C99" s="1">
        <v>5</v>
      </c>
      <c r="D99" s="2" t="b">
        <v>0</v>
      </c>
      <c r="E99" s="1">
        <v>3</v>
      </c>
      <c r="F99" s="1">
        <v>3</v>
      </c>
      <c r="G99" s="1">
        <v>0.22</v>
      </c>
      <c r="H99" s="1">
        <v>0.2424</v>
      </c>
      <c r="I99" s="1">
        <v>0.93</v>
      </c>
      <c r="J99" s="1">
        <v>0.1045</v>
      </c>
      <c r="K99" s="1">
        <v>0</v>
      </c>
      <c r="L99" s="1">
        <v>3</v>
      </c>
      <c r="M99" s="6">
        <v>3</v>
      </c>
    </row>
    <row r="100" spans="1:13" ht="15" thickBot="1" x14ac:dyDescent="0.35">
      <c r="A100" s="5">
        <v>718</v>
      </c>
      <c r="B100" s="3">
        <v>40576</v>
      </c>
      <c r="C100" s="1">
        <v>6</v>
      </c>
      <c r="D100" s="2" t="b">
        <v>0</v>
      </c>
      <c r="E100" s="1">
        <v>3</v>
      </c>
      <c r="F100" s="1">
        <v>3</v>
      </c>
      <c r="G100" s="1">
        <v>0.22</v>
      </c>
      <c r="H100" s="1">
        <v>0.2424</v>
      </c>
      <c r="I100" s="1">
        <v>0.93</v>
      </c>
      <c r="J100" s="1">
        <v>0.1045</v>
      </c>
      <c r="K100" s="1">
        <v>1</v>
      </c>
      <c r="L100" s="1">
        <v>17</v>
      </c>
      <c r="M100" s="6">
        <v>18</v>
      </c>
    </row>
    <row r="101" spans="1:13" ht="15" thickBot="1" x14ac:dyDescent="0.35">
      <c r="A101" s="5">
        <v>719</v>
      </c>
      <c r="B101" s="3">
        <v>40576</v>
      </c>
      <c r="C101" s="1">
        <v>7</v>
      </c>
      <c r="D101" s="2" t="b">
        <v>0</v>
      </c>
      <c r="E101" s="1">
        <v>3</v>
      </c>
      <c r="F101" s="1">
        <v>3</v>
      </c>
      <c r="G101" s="1">
        <v>0.22</v>
      </c>
      <c r="H101" s="1">
        <v>0.21210000000000001</v>
      </c>
      <c r="I101" s="1">
        <v>0.93</v>
      </c>
      <c r="J101" s="1">
        <v>0.22389999999999999</v>
      </c>
      <c r="K101" s="1">
        <v>1</v>
      </c>
      <c r="L101" s="1">
        <v>48</v>
      </c>
      <c r="M101" s="6">
        <v>49</v>
      </c>
    </row>
    <row r="102" spans="1:13" ht="15" thickBot="1" x14ac:dyDescent="0.35">
      <c r="A102" s="5">
        <v>720</v>
      </c>
      <c r="B102" s="3">
        <v>40576</v>
      </c>
      <c r="C102" s="1">
        <v>8</v>
      </c>
      <c r="D102" s="2" t="b">
        <v>0</v>
      </c>
      <c r="E102" s="1">
        <v>3</v>
      </c>
      <c r="F102" s="1">
        <v>3</v>
      </c>
      <c r="G102" s="1">
        <v>0.22</v>
      </c>
      <c r="H102" s="1">
        <v>0.21210000000000001</v>
      </c>
      <c r="I102" s="1">
        <v>0.93</v>
      </c>
      <c r="J102" s="1">
        <v>0.22389999999999999</v>
      </c>
      <c r="K102" s="1">
        <v>1</v>
      </c>
      <c r="L102" s="1">
        <v>154</v>
      </c>
      <c r="M102" s="6">
        <v>155</v>
      </c>
    </row>
    <row r="103" spans="1:13" ht="15" thickBot="1" x14ac:dyDescent="0.35">
      <c r="A103" s="5">
        <v>721</v>
      </c>
      <c r="B103" s="3">
        <v>40576</v>
      </c>
      <c r="C103" s="1">
        <v>9</v>
      </c>
      <c r="D103" s="2" t="b">
        <v>0</v>
      </c>
      <c r="E103" s="1">
        <v>3</v>
      </c>
      <c r="F103" s="1">
        <v>2</v>
      </c>
      <c r="G103" s="1">
        <v>0.24</v>
      </c>
      <c r="H103" s="1">
        <v>0.2576</v>
      </c>
      <c r="I103" s="1">
        <v>0.93</v>
      </c>
      <c r="J103" s="1">
        <v>8.9599999999999999E-2</v>
      </c>
      <c r="K103" s="1">
        <v>4</v>
      </c>
      <c r="L103" s="1">
        <v>119</v>
      </c>
      <c r="M103" s="6">
        <v>123</v>
      </c>
    </row>
    <row r="104" spans="1:13" ht="15" thickBot="1" x14ac:dyDescent="0.35">
      <c r="A104" s="5">
        <v>722</v>
      </c>
      <c r="B104" s="3">
        <v>40576</v>
      </c>
      <c r="C104" s="1">
        <v>10</v>
      </c>
      <c r="D104" s="2" t="b">
        <v>0</v>
      </c>
      <c r="E104" s="1">
        <v>3</v>
      </c>
      <c r="F104" s="1">
        <v>2</v>
      </c>
      <c r="G104" s="1">
        <v>0.22</v>
      </c>
      <c r="H104" s="1">
        <v>0.2727</v>
      </c>
      <c r="I104" s="1">
        <v>1</v>
      </c>
      <c r="J104" s="1">
        <v>0</v>
      </c>
      <c r="K104" s="1">
        <v>2</v>
      </c>
      <c r="L104" s="1">
        <v>59</v>
      </c>
      <c r="M104" s="6">
        <v>61</v>
      </c>
    </row>
    <row r="105" spans="1:13" ht="15" thickBot="1" x14ac:dyDescent="0.35">
      <c r="A105" s="5">
        <v>723</v>
      </c>
      <c r="B105" s="3">
        <v>40576</v>
      </c>
      <c r="C105" s="1">
        <v>11</v>
      </c>
      <c r="D105" s="2" t="b">
        <v>0</v>
      </c>
      <c r="E105" s="1">
        <v>3</v>
      </c>
      <c r="F105" s="1">
        <v>2</v>
      </c>
      <c r="G105" s="1">
        <v>0.24</v>
      </c>
      <c r="H105" s="1">
        <v>0.2273</v>
      </c>
      <c r="I105" s="1">
        <v>0.93</v>
      </c>
      <c r="J105" s="1">
        <v>0.19400000000000001</v>
      </c>
      <c r="K105" s="1">
        <v>5</v>
      </c>
      <c r="L105" s="1">
        <v>47</v>
      </c>
      <c r="M105" s="6">
        <v>52</v>
      </c>
    </row>
    <row r="106" spans="1:13" ht="15" thickBot="1" x14ac:dyDescent="0.35">
      <c r="A106" s="5">
        <v>724</v>
      </c>
      <c r="B106" s="3">
        <v>40576</v>
      </c>
      <c r="C106" s="1">
        <v>12</v>
      </c>
      <c r="D106" s="2" t="b">
        <v>0</v>
      </c>
      <c r="E106" s="1">
        <v>3</v>
      </c>
      <c r="F106" s="1">
        <v>2</v>
      </c>
      <c r="G106" s="1">
        <v>0.24</v>
      </c>
      <c r="H106" s="1">
        <v>0.2273</v>
      </c>
      <c r="I106" s="1">
        <v>0.93</v>
      </c>
      <c r="J106" s="1">
        <v>0.22389999999999999</v>
      </c>
      <c r="K106" s="1">
        <v>3</v>
      </c>
      <c r="L106" s="1">
        <v>61</v>
      </c>
      <c r="M106" s="6">
        <v>64</v>
      </c>
    </row>
    <row r="107" spans="1:13" ht="15" thickBot="1" x14ac:dyDescent="0.35">
      <c r="A107" s="5">
        <v>725</v>
      </c>
      <c r="B107" s="3">
        <v>40576</v>
      </c>
      <c r="C107" s="1">
        <v>13</v>
      </c>
      <c r="D107" s="2" t="b">
        <v>0</v>
      </c>
      <c r="E107" s="1">
        <v>3</v>
      </c>
      <c r="F107" s="1">
        <v>1</v>
      </c>
      <c r="G107" s="1">
        <v>0.34</v>
      </c>
      <c r="H107" s="1">
        <v>0.33329999999999999</v>
      </c>
      <c r="I107" s="1">
        <v>0.93</v>
      </c>
      <c r="J107" s="1">
        <v>0.16420000000000001</v>
      </c>
      <c r="K107" s="1">
        <v>1</v>
      </c>
      <c r="L107" s="1">
        <v>74</v>
      </c>
      <c r="M107" s="6">
        <v>75</v>
      </c>
    </row>
    <row r="108" spans="1:13" ht="15" thickBot="1" x14ac:dyDescent="0.35">
      <c r="A108" s="5">
        <v>726</v>
      </c>
      <c r="B108" s="3">
        <v>40576</v>
      </c>
      <c r="C108" s="1">
        <v>14</v>
      </c>
      <c r="D108" s="2" t="b">
        <v>0</v>
      </c>
      <c r="E108" s="1">
        <v>3</v>
      </c>
      <c r="F108" s="1">
        <v>1</v>
      </c>
      <c r="G108" s="1">
        <v>0.38</v>
      </c>
      <c r="H108" s="1">
        <v>0.39389999999999997</v>
      </c>
      <c r="I108" s="1">
        <v>0.82</v>
      </c>
      <c r="J108" s="1">
        <v>0.3881</v>
      </c>
      <c r="K108" s="1">
        <v>2</v>
      </c>
      <c r="L108" s="1">
        <v>61</v>
      </c>
      <c r="M108" s="6">
        <v>63</v>
      </c>
    </row>
    <row r="109" spans="1:13" ht="15" thickBot="1" x14ac:dyDescent="0.35">
      <c r="A109" s="5">
        <v>727</v>
      </c>
      <c r="B109" s="3">
        <v>40576</v>
      </c>
      <c r="C109" s="1">
        <v>15</v>
      </c>
      <c r="D109" s="2" t="b">
        <v>0</v>
      </c>
      <c r="E109" s="1">
        <v>3</v>
      </c>
      <c r="F109" s="1">
        <v>1</v>
      </c>
      <c r="G109" s="1">
        <v>0.38</v>
      </c>
      <c r="H109" s="1">
        <v>0.39389999999999997</v>
      </c>
      <c r="I109" s="1">
        <v>0.76</v>
      </c>
      <c r="J109" s="1">
        <v>0.32840000000000003</v>
      </c>
      <c r="K109" s="1">
        <v>10</v>
      </c>
      <c r="L109" s="1">
        <v>66</v>
      </c>
      <c r="M109" s="6">
        <v>76</v>
      </c>
    </row>
    <row r="110" spans="1:13" ht="15" thickBot="1" x14ac:dyDescent="0.35">
      <c r="A110" s="5">
        <v>728</v>
      </c>
      <c r="B110" s="3">
        <v>40576</v>
      </c>
      <c r="C110" s="1">
        <v>16</v>
      </c>
      <c r="D110" s="2" t="b">
        <v>0</v>
      </c>
      <c r="E110" s="1">
        <v>3</v>
      </c>
      <c r="F110" s="1">
        <v>1</v>
      </c>
      <c r="G110" s="1">
        <v>0.36</v>
      </c>
      <c r="H110" s="1">
        <v>0.33329999999999999</v>
      </c>
      <c r="I110" s="1">
        <v>0.71</v>
      </c>
      <c r="J110" s="1">
        <v>0.29849999999999999</v>
      </c>
      <c r="K110" s="1">
        <v>8</v>
      </c>
      <c r="L110" s="1">
        <v>95</v>
      </c>
      <c r="M110" s="6">
        <v>103</v>
      </c>
    </row>
    <row r="111" spans="1:13" ht="15" thickBot="1" x14ac:dyDescent="0.35">
      <c r="A111" s="5">
        <v>729</v>
      </c>
      <c r="B111" s="3">
        <v>40576</v>
      </c>
      <c r="C111" s="1">
        <v>17</v>
      </c>
      <c r="D111" s="2" t="b">
        <v>0</v>
      </c>
      <c r="E111" s="1">
        <v>3</v>
      </c>
      <c r="F111" s="1">
        <v>1</v>
      </c>
      <c r="G111" s="1">
        <v>0.36</v>
      </c>
      <c r="H111" s="1">
        <v>0.31819999999999998</v>
      </c>
      <c r="I111" s="1">
        <v>0.53</v>
      </c>
      <c r="J111" s="1">
        <v>0.52239999999999998</v>
      </c>
      <c r="K111" s="1">
        <v>7</v>
      </c>
      <c r="L111" s="1">
        <v>183</v>
      </c>
      <c r="M111" s="6">
        <v>190</v>
      </c>
    </row>
    <row r="112" spans="1:13" ht="15" thickBot="1" x14ac:dyDescent="0.35">
      <c r="A112" s="5">
        <v>730</v>
      </c>
      <c r="B112" s="3">
        <v>40576</v>
      </c>
      <c r="C112" s="1">
        <v>18</v>
      </c>
      <c r="D112" s="2" t="b">
        <v>0</v>
      </c>
      <c r="E112" s="1">
        <v>3</v>
      </c>
      <c r="F112" s="1">
        <v>1</v>
      </c>
      <c r="G112" s="1">
        <v>0.34</v>
      </c>
      <c r="H112" s="1">
        <v>0.28789999999999999</v>
      </c>
      <c r="I112" s="1">
        <v>0.42</v>
      </c>
      <c r="J112" s="1">
        <v>0.55220000000000002</v>
      </c>
      <c r="K112" s="1">
        <v>7</v>
      </c>
      <c r="L112" s="1">
        <v>175</v>
      </c>
      <c r="M112" s="6">
        <v>182</v>
      </c>
    </row>
    <row r="113" spans="1:13" ht="15" thickBot="1" x14ac:dyDescent="0.35">
      <c r="A113" s="5">
        <v>731</v>
      </c>
      <c r="B113" s="3">
        <v>40576</v>
      </c>
      <c r="C113" s="1">
        <v>19</v>
      </c>
      <c r="D113" s="2" t="b">
        <v>0</v>
      </c>
      <c r="E113" s="1">
        <v>3</v>
      </c>
      <c r="F113" s="1">
        <v>1</v>
      </c>
      <c r="G113" s="1">
        <v>0.28000000000000003</v>
      </c>
      <c r="H113" s="1">
        <v>0.2424</v>
      </c>
      <c r="I113" s="1">
        <v>0.45</v>
      </c>
      <c r="J113" s="1">
        <v>0.49249999999999999</v>
      </c>
      <c r="K113" s="1">
        <v>3</v>
      </c>
      <c r="L113" s="1">
        <v>88</v>
      </c>
      <c r="M113" s="6">
        <v>91</v>
      </c>
    </row>
    <row r="114" spans="1:13" ht="15" thickBot="1" x14ac:dyDescent="0.35">
      <c r="A114" s="5">
        <v>732</v>
      </c>
      <c r="B114" s="3">
        <v>40576</v>
      </c>
      <c r="C114" s="1">
        <v>20</v>
      </c>
      <c r="D114" s="2" t="b">
        <v>0</v>
      </c>
      <c r="E114" s="1">
        <v>3</v>
      </c>
      <c r="F114" s="1">
        <v>1</v>
      </c>
      <c r="G114" s="1">
        <v>0.24</v>
      </c>
      <c r="H114" s="1">
        <v>0.19700000000000001</v>
      </c>
      <c r="I114" s="1">
        <v>0.48</v>
      </c>
      <c r="J114" s="1">
        <v>0.55220000000000002</v>
      </c>
      <c r="K114" s="1">
        <v>4</v>
      </c>
      <c r="L114" s="1">
        <v>71</v>
      </c>
      <c r="M114" s="6">
        <v>75</v>
      </c>
    </row>
    <row r="115" spans="1:13" ht="15" thickBot="1" x14ac:dyDescent="0.35">
      <c r="A115" s="5">
        <v>733</v>
      </c>
      <c r="B115" s="3">
        <v>40576</v>
      </c>
      <c r="C115" s="1">
        <v>21</v>
      </c>
      <c r="D115" s="2" t="b">
        <v>0</v>
      </c>
      <c r="E115" s="1">
        <v>3</v>
      </c>
      <c r="F115" s="1">
        <v>1</v>
      </c>
      <c r="G115" s="1">
        <v>0.22</v>
      </c>
      <c r="H115" s="1">
        <v>0.19700000000000001</v>
      </c>
      <c r="I115" s="1">
        <v>0.47</v>
      </c>
      <c r="J115" s="1">
        <v>0.32840000000000003</v>
      </c>
      <c r="K115" s="1">
        <v>1</v>
      </c>
      <c r="L115" s="1">
        <v>62</v>
      </c>
      <c r="M115" s="6">
        <v>63</v>
      </c>
    </row>
    <row r="116" spans="1:13" ht="15" thickBot="1" x14ac:dyDescent="0.35">
      <c r="A116" s="5">
        <v>734</v>
      </c>
      <c r="B116" s="3">
        <v>40576</v>
      </c>
      <c r="C116" s="1">
        <v>22</v>
      </c>
      <c r="D116" s="2" t="b">
        <v>0</v>
      </c>
      <c r="E116" s="1">
        <v>3</v>
      </c>
      <c r="F116" s="1">
        <v>1</v>
      </c>
      <c r="G116" s="1">
        <v>0.22</v>
      </c>
      <c r="H116" s="1">
        <v>0.21210000000000001</v>
      </c>
      <c r="I116" s="1">
        <v>0.44</v>
      </c>
      <c r="J116" s="1">
        <v>0.25369999999999998</v>
      </c>
      <c r="K116" s="1">
        <v>5</v>
      </c>
      <c r="L116" s="1">
        <v>35</v>
      </c>
      <c r="M116" s="6">
        <v>40</v>
      </c>
    </row>
    <row r="117" spans="1:13" ht="15" thickBot="1" x14ac:dyDescent="0.35">
      <c r="A117" s="5">
        <v>735</v>
      </c>
      <c r="B117" s="3">
        <v>40576</v>
      </c>
      <c r="C117" s="1">
        <v>23</v>
      </c>
      <c r="D117" s="2" t="b">
        <v>0</v>
      </c>
      <c r="E117" s="1">
        <v>3</v>
      </c>
      <c r="F117" s="1">
        <v>1</v>
      </c>
      <c r="G117" s="1">
        <v>0.2</v>
      </c>
      <c r="H117" s="1">
        <v>0.16669999999999999</v>
      </c>
      <c r="I117" s="1">
        <v>0.44</v>
      </c>
      <c r="J117" s="1">
        <v>0.44779999999999998</v>
      </c>
      <c r="K117" s="1">
        <v>3</v>
      </c>
      <c r="L117" s="1">
        <v>29</v>
      </c>
      <c r="M117" s="6">
        <v>32</v>
      </c>
    </row>
    <row r="118" spans="1:13" ht="15" thickBot="1" x14ac:dyDescent="0.35">
      <c r="A118" s="5">
        <v>736</v>
      </c>
      <c r="B118" s="3">
        <v>40577</v>
      </c>
      <c r="C118" s="1">
        <v>0</v>
      </c>
      <c r="D118" s="2" t="b">
        <v>0</v>
      </c>
      <c r="E118" s="1">
        <v>4</v>
      </c>
      <c r="F118" s="1">
        <v>1</v>
      </c>
      <c r="G118" s="1">
        <v>0.2</v>
      </c>
      <c r="H118" s="1">
        <v>0.16669999999999999</v>
      </c>
      <c r="I118" s="1">
        <v>0.4</v>
      </c>
      <c r="J118" s="1">
        <v>0.44779999999999998</v>
      </c>
      <c r="K118" s="1">
        <v>1</v>
      </c>
      <c r="L118" s="1">
        <v>11</v>
      </c>
      <c r="M118" s="6">
        <v>12</v>
      </c>
    </row>
    <row r="119" spans="1:13" ht="15" thickBot="1" x14ac:dyDescent="0.35">
      <c r="A119" s="5">
        <v>737</v>
      </c>
      <c r="B119" s="3">
        <v>40577</v>
      </c>
      <c r="C119" s="1">
        <v>1</v>
      </c>
      <c r="D119" s="2" t="b">
        <v>0</v>
      </c>
      <c r="E119" s="1">
        <v>4</v>
      </c>
      <c r="F119" s="1">
        <v>1</v>
      </c>
      <c r="G119" s="1">
        <v>0.2</v>
      </c>
      <c r="H119" s="1">
        <v>0.1515</v>
      </c>
      <c r="I119" s="1">
        <v>0.44</v>
      </c>
      <c r="J119" s="1">
        <v>0.52239999999999998</v>
      </c>
      <c r="K119" s="1">
        <v>0</v>
      </c>
      <c r="L119" s="1">
        <v>5</v>
      </c>
      <c r="M119" s="6">
        <v>5</v>
      </c>
    </row>
    <row r="120" spans="1:13" ht="15" thickBot="1" x14ac:dyDescent="0.35">
      <c r="A120" s="5">
        <v>738</v>
      </c>
      <c r="B120" s="3">
        <v>40577</v>
      </c>
      <c r="C120" s="1">
        <v>2</v>
      </c>
      <c r="D120" s="2" t="b">
        <v>0</v>
      </c>
      <c r="E120" s="1">
        <v>4</v>
      </c>
      <c r="F120" s="1">
        <v>1</v>
      </c>
      <c r="G120" s="1">
        <v>0.18</v>
      </c>
      <c r="H120" s="1">
        <v>0.16669999999999999</v>
      </c>
      <c r="I120" s="1">
        <v>0.43</v>
      </c>
      <c r="J120" s="1">
        <v>0.25369999999999998</v>
      </c>
      <c r="K120" s="1">
        <v>0</v>
      </c>
      <c r="L120" s="1">
        <v>2</v>
      </c>
      <c r="M120" s="6">
        <v>2</v>
      </c>
    </row>
    <row r="121" spans="1:13" ht="15" thickBot="1" x14ac:dyDescent="0.35">
      <c r="A121" s="5">
        <v>739</v>
      </c>
      <c r="B121" s="3">
        <v>40577</v>
      </c>
      <c r="C121" s="1">
        <v>3</v>
      </c>
      <c r="D121" s="2" t="b">
        <v>0</v>
      </c>
      <c r="E121" s="1">
        <v>4</v>
      </c>
      <c r="F121" s="1">
        <v>1</v>
      </c>
      <c r="G121" s="1">
        <v>0.18</v>
      </c>
      <c r="H121" s="1">
        <v>0.16669999999999999</v>
      </c>
      <c r="I121" s="1">
        <v>0.43</v>
      </c>
      <c r="J121" s="1">
        <v>0.25369999999999998</v>
      </c>
      <c r="K121" s="1">
        <v>0</v>
      </c>
      <c r="L121" s="1">
        <v>1</v>
      </c>
      <c r="M121" s="6">
        <v>1</v>
      </c>
    </row>
    <row r="122" spans="1:13" ht="15" thickBot="1" x14ac:dyDescent="0.35">
      <c r="A122" s="5">
        <v>740</v>
      </c>
      <c r="B122" s="3">
        <v>40577</v>
      </c>
      <c r="C122" s="1">
        <v>5</v>
      </c>
      <c r="D122" s="2" t="b">
        <v>0</v>
      </c>
      <c r="E122" s="1">
        <v>4</v>
      </c>
      <c r="F122" s="1">
        <v>1</v>
      </c>
      <c r="G122" s="1">
        <v>0.16</v>
      </c>
      <c r="H122" s="1">
        <v>0.13639999999999999</v>
      </c>
      <c r="I122" s="1">
        <v>0.5</v>
      </c>
      <c r="J122" s="1">
        <v>0.29849999999999999</v>
      </c>
      <c r="K122" s="1">
        <v>0</v>
      </c>
      <c r="L122" s="1">
        <v>2</v>
      </c>
      <c r="M122" s="6">
        <v>2</v>
      </c>
    </row>
    <row r="123" spans="1:13" ht="15" thickBot="1" x14ac:dyDescent="0.35">
      <c r="A123" s="5">
        <v>741</v>
      </c>
      <c r="B123" s="3">
        <v>40577</v>
      </c>
      <c r="C123" s="1">
        <v>6</v>
      </c>
      <c r="D123" s="2" t="b">
        <v>0</v>
      </c>
      <c r="E123" s="1">
        <v>4</v>
      </c>
      <c r="F123" s="1">
        <v>1</v>
      </c>
      <c r="G123" s="1">
        <v>0.16</v>
      </c>
      <c r="H123" s="1">
        <v>0.13639999999999999</v>
      </c>
      <c r="I123" s="1">
        <v>0.43</v>
      </c>
      <c r="J123" s="1">
        <v>0.35820000000000002</v>
      </c>
      <c r="K123" s="1">
        <v>0</v>
      </c>
      <c r="L123" s="1">
        <v>39</v>
      </c>
      <c r="M123" s="6">
        <v>39</v>
      </c>
    </row>
    <row r="124" spans="1:13" ht="15" thickBot="1" x14ac:dyDescent="0.35">
      <c r="A124" s="5">
        <v>742</v>
      </c>
      <c r="B124" s="3">
        <v>40577</v>
      </c>
      <c r="C124" s="1">
        <v>7</v>
      </c>
      <c r="D124" s="2" t="b">
        <v>0</v>
      </c>
      <c r="E124" s="1">
        <v>4</v>
      </c>
      <c r="F124" s="1">
        <v>1</v>
      </c>
      <c r="G124" s="1">
        <v>0.14000000000000001</v>
      </c>
      <c r="H124" s="1">
        <v>0.1212</v>
      </c>
      <c r="I124" s="1">
        <v>0.5</v>
      </c>
      <c r="J124" s="1">
        <v>0.32840000000000003</v>
      </c>
      <c r="K124" s="1">
        <v>1</v>
      </c>
      <c r="L124" s="1">
        <v>86</v>
      </c>
      <c r="M124" s="6">
        <v>87</v>
      </c>
    </row>
    <row r="125" spans="1:13" ht="15" thickBot="1" x14ac:dyDescent="0.35">
      <c r="A125" s="5">
        <v>743</v>
      </c>
      <c r="B125" s="3">
        <v>40577</v>
      </c>
      <c r="C125" s="1">
        <v>8</v>
      </c>
      <c r="D125" s="2" t="b">
        <v>0</v>
      </c>
      <c r="E125" s="1">
        <v>4</v>
      </c>
      <c r="F125" s="1">
        <v>1</v>
      </c>
      <c r="G125" s="1">
        <v>0.14000000000000001</v>
      </c>
      <c r="H125" s="1">
        <v>0.1212</v>
      </c>
      <c r="I125" s="1">
        <v>0.5</v>
      </c>
      <c r="J125" s="1">
        <v>0.35820000000000002</v>
      </c>
      <c r="K125" s="1">
        <v>4</v>
      </c>
      <c r="L125" s="1">
        <v>184</v>
      </c>
      <c r="M125" s="6">
        <v>188</v>
      </c>
    </row>
    <row r="126" spans="1:13" ht="15" thickBot="1" x14ac:dyDescent="0.35">
      <c r="A126" s="5">
        <v>744</v>
      </c>
      <c r="B126" s="3">
        <v>40577</v>
      </c>
      <c r="C126" s="1">
        <v>9</v>
      </c>
      <c r="D126" s="2" t="b">
        <v>0</v>
      </c>
      <c r="E126" s="1">
        <v>4</v>
      </c>
      <c r="F126" s="1">
        <v>1</v>
      </c>
      <c r="G126" s="1">
        <v>0.16</v>
      </c>
      <c r="H126" s="1">
        <v>0.13639999999999999</v>
      </c>
      <c r="I126" s="1">
        <v>0.47</v>
      </c>
      <c r="J126" s="1">
        <v>0.29849999999999999</v>
      </c>
      <c r="K126" s="1">
        <v>6</v>
      </c>
      <c r="L126" s="1">
        <v>127</v>
      </c>
      <c r="M126" s="6">
        <v>133</v>
      </c>
    </row>
    <row r="127" spans="1:13" ht="15" thickBot="1" x14ac:dyDescent="0.35">
      <c r="A127" s="5">
        <v>745</v>
      </c>
      <c r="B127" s="3">
        <v>40577</v>
      </c>
      <c r="C127" s="1">
        <v>10</v>
      </c>
      <c r="D127" s="2" t="b">
        <v>0</v>
      </c>
      <c r="E127" s="1">
        <v>4</v>
      </c>
      <c r="F127" s="1">
        <v>1</v>
      </c>
      <c r="G127" s="1">
        <v>0.18</v>
      </c>
      <c r="H127" s="1">
        <v>0.1515</v>
      </c>
      <c r="I127" s="1">
        <v>0.43</v>
      </c>
      <c r="J127" s="1">
        <v>0.32840000000000003</v>
      </c>
      <c r="K127" s="1">
        <v>2</v>
      </c>
      <c r="L127" s="1">
        <v>50</v>
      </c>
      <c r="M127" s="6">
        <v>52</v>
      </c>
    </row>
    <row r="128" spans="1:13" ht="15" thickBot="1" x14ac:dyDescent="0.35">
      <c r="A128" s="5">
        <v>746</v>
      </c>
      <c r="B128" s="3">
        <v>40577</v>
      </c>
      <c r="C128" s="1">
        <v>11</v>
      </c>
      <c r="D128" s="2" t="b">
        <v>0</v>
      </c>
      <c r="E128" s="1">
        <v>4</v>
      </c>
      <c r="F128" s="1">
        <v>1</v>
      </c>
      <c r="G128" s="1">
        <v>0.18</v>
      </c>
      <c r="H128" s="1">
        <v>0.13639999999999999</v>
      </c>
      <c r="I128" s="1">
        <v>0.43</v>
      </c>
      <c r="J128" s="1">
        <v>0.44779999999999998</v>
      </c>
      <c r="K128" s="1">
        <v>9</v>
      </c>
      <c r="L128" s="1">
        <v>55</v>
      </c>
      <c r="M128" s="6">
        <v>64</v>
      </c>
    </row>
    <row r="129" spans="1:13" ht="15" thickBot="1" x14ac:dyDescent="0.35">
      <c r="A129" s="5">
        <v>747</v>
      </c>
      <c r="B129" s="3">
        <v>40577</v>
      </c>
      <c r="C129" s="1">
        <v>12</v>
      </c>
      <c r="D129" s="2" t="b">
        <v>0</v>
      </c>
      <c r="E129" s="1">
        <v>4</v>
      </c>
      <c r="F129" s="1">
        <v>1</v>
      </c>
      <c r="G129" s="1">
        <v>0.2</v>
      </c>
      <c r="H129" s="1">
        <v>0.18179999999999999</v>
      </c>
      <c r="I129" s="1">
        <v>0.4</v>
      </c>
      <c r="J129" s="1">
        <v>0.35820000000000002</v>
      </c>
      <c r="K129" s="1">
        <v>2</v>
      </c>
      <c r="L129" s="1">
        <v>67</v>
      </c>
      <c r="M129" s="6">
        <v>69</v>
      </c>
    </row>
    <row r="130" spans="1:13" ht="15" thickBot="1" x14ac:dyDescent="0.35">
      <c r="A130" s="5">
        <v>748</v>
      </c>
      <c r="B130" s="3">
        <v>40577</v>
      </c>
      <c r="C130" s="1">
        <v>13</v>
      </c>
      <c r="D130" s="2" t="b">
        <v>0</v>
      </c>
      <c r="E130" s="1">
        <v>4</v>
      </c>
      <c r="F130" s="1">
        <v>1</v>
      </c>
      <c r="G130" s="1">
        <v>0.2</v>
      </c>
      <c r="H130" s="1">
        <v>0.16669999999999999</v>
      </c>
      <c r="I130" s="1">
        <v>0.4</v>
      </c>
      <c r="J130" s="1">
        <v>0.41789999999999999</v>
      </c>
      <c r="K130" s="1">
        <v>4</v>
      </c>
      <c r="L130" s="1">
        <v>47</v>
      </c>
      <c r="M130" s="6">
        <v>51</v>
      </c>
    </row>
    <row r="131" spans="1:13" ht="15" thickBot="1" x14ac:dyDescent="0.35">
      <c r="A131" s="5">
        <v>749</v>
      </c>
      <c r="B131" s="3">
        <v>40577</v>
      </c>
      <c r="C131" s="1">
        <v>14</v>
      </c>
      <c r="D131" s="2" t="b">
        <v>0</v>
      </c>
      <c r="E131" s="1">
        <v>4</v>
      </c>
      <c r="F131" s="1">
        <v>1</v>
      </c>
      <c r="G131" s="1">
        <v>0.22</v>
      </c>
      <c r="H131" s="1">
        <v>0.19700000000000001</v>
      </c>
      <c r="I131" s="1">
        <v>0.37</v>
      </c>
      <c r="J131" s="1">
        <v>0.3881</v>
      </c>
      <c r="K131" s="1">
        <v>4</v>
      </c>
      <c r="L131" s="1">
        <v>43</v>
      </c>
      <c r="M131" s="6">
        <v>47</v>
      </c>
    </row>
    <row r="132" spans="1:13" ht="15" thickBot="1" x14ac:dyDescent="0.35">
      <c r="A132" s="5">
        <v>750</v>
      </c>
      <c r="B132" s="3">
        <v>40577</v>
      </c>
      <c r="C132" s="1">
        <v>15</v>
      </c>
      <c r="D132" s="2" t="b">
        <v>0</v>
      </c>
      <c r="E132" s="1">
        <v>4</v>
      </c>
      <c r="F132" s="1">
        <v>1</v>
      </c>
      <c r="G132" s="1">
        <v>0.22</v>
      </c>
      <c r="H132" s="1">
        <v>0.19700000000000001</v>
      </c>
      <c r="I132" s="1">
        <v>0.37</v>
      </c>
      <c r="J132" s="1">
        <v>0.32840000000000003</v>
      </c>
      <c r="K132" s="1">
        <v>4</v>
      </c>
      <c r="L132" s="1">
        <v>56</v>
      </c>
      <c r="M132" s="6">
        <v>60</v>
      </c>
    </row>
    <row r="133" spans="1:13" ht="15" thickBot="1" x14ac:dyDescent="0.35">
      <c r="A133" s="5">
        <v>751</v>
      </c>
      <c r="B133" s="3">
        <v>40577</v>
      </c>
      <c r="C133" s="1">
        <v>16</v>
      </c>
      <c r="D133" s="2" t="b">
        <v>0</v>
      </c>
      <c r="E133" s="1">
        <v>4</v>
      </c>
      <c r="F133" s="1">
        <v>1</v>
      </c>
      <c r="G133" s="1">
        <v>0.22</v>
      </c>
      <c r="H133" s="1">
        <v>0.21210000000000001</v>
      </c>
      <c r="I133" s="1">
        <v>0.37</v>
      </c>
      <c r="J133" s="1">
        <v>0.25369999999999998</v>
      </c>
      <c r="K133" s="1">
        <v>5</v>
      </c>
      <c r="L133" s="1">
        <v>73</v>
      </c>
      <c r="M133" s="6">
        <v>78</v>
      </c>
    </row>
    <row r="134" spans="1:13" ht="15" thickBot="1" x14ac:dyDescent="0.35">
      <c r="A134" s="5">
        <v>752</v>
      </c>
      <c r="B134" s="3">
        <v>40577</v>
      </c>
      <c r="C134" s="1">
        <v>17</v>
      </c>
      <c r="D134" s="2" t="b">
        <v>0</v>
      </c>
      <c r="E134" s="1">
        <v>4</v>
      </c>
      <c r="F134" s="1">
        <v>1</v>
      </c>
      <c r="G134" s="1">
        <v>0.2</v>
      </c>
      <c r="H134" s="1">
        <v>0.19700000000000001</v>
      </c>
      <c r="I134" s="1">
        <v>0.4</v>
      </c>
      <c r="J134" s="1">
        <v>0.19400000000000001</v>
      </c>
      <c r="K134" s="1">
        <v>5</v>
      </c>
      <c r="L134" s="1">
        <v>170</v>
      </c>
      <c r="M134" s="6">
        <v>175</v>
      </c>
    </row>
    <row r="135" spans="1:13" ht="15" thickBot="1" x14ac:dyDescent="0.35">
      <c r="A135" s="5">
        <v>753</v>
      </c>
      <c r="B135" s="3">
        <v>40577</v>
      </c>
      <c r="C135" s="1">
        <v>18</v>
      </c>
      <c r="D135" s="2" t="b">
        <v>0</v>
      </c>
      <c r="E135" s="1">
        <v>4</v>
      </c>
      <c r="F135" s="1">
        <v>1</v>
      </c>
      <c r="G135" s="1">
        <v>0.2</v>
      </c>
      <c r="H135" s="1">
        <v>0.21210000000000001</v>
      </c>
      <c r="I135" s="1">
        <v>0.4</v>
      </c>
      <c r="J135" s="1">
        <v>0.16420000000000001</v>
      </c>
      <c r="K135" s="1">
        <v>2</v>
      </c>
      <c r="L135" s="1">
        <v>145</v>
      </c>
      <c r="M135" s="6">
        <v>147</v>
      </c>
    </row>
    <row r="136" spans="1:13" ht="15" thickBot="1" x14ac:dyDescent="0.35">
      <c r="A136" s="5">
        <v>754</v>
      </c>
      <c r="B136" s="3">
        <v>40577</v>
      </c>
      <c r="C136" s="1">
        <v>19</v>
      </c>
      <c r="D136" s="2" t="b">
        <v>0</v>
      </c>
      <c r="E136" s="1">
        <v>4</v>
      </c>
      <c r="F136" s="1">
        <v>1</v>
      </c>
      <c r="G136" s="1">
        <v>0.2</v>
      </c>
      <c r="H136" s="1">
        <v>0.2576</v>
      </c>
      <c r="I136" s="1">
        <v>0.4</v>
      </c>
      <c r="J136" s="1">
        <v>0</v>
      </c>
      <c r="K136" s="1">
        <v>4</v>
      </c>
      <c r="L136" s="1">
        <v>92</v>
      </c>
      <c r="M136" s="6">
        <v>96</v>
      </c>
    </row>
    <row r="137" spans="1:13" ht="15" thickBot="1" x14ac:dyDescent="0.35">
      <c r="A137" s="5">
        <v>755</v>
      </c>
      <c r="B137" s="3">
        <v>40577</v>
      </c>
      <c r="C137" s="1">
        <v>20</v>
      </c>
      <c r="D137" s="2" t="b">
        <v>0</v>
      </c>
      <c r="E137" s="1">
        <v>4</v>
      </c>
      <c r="F137" s="1">
        <v>1</v>
      </c>
      <c r="G137" s="1">
        <v>0.2</v>
      </c>
      <c r="H137" s="1">
        <v>0.2273</v>
      </c>
      <c r="I137" s="1">
        <v>0.47</v>
      </c>
      <c r="J137" s="1">
        <v>8.9599999999999999E-2</v>
      </c>
      <c r="K137" s="1">
        <v>1</v>
      </c>
      <c r="L137" s="1">
        <v>108</v>
      </c>
      <c r="M137" s="6">
        <v>109</v>
      </c>
    </row>
    <row r="138" spans="1:13" ht="15" thickBot="1" x14ac:dyDescent="0.35">
      <c r="A138" s="5">
        <v>756</v>
      </c>
      <c r="B138" s="3">
        <v>40577</v>
      </c>
      <c r="C138" s="1">
        <v>21</v>
      </c>
      <c r="D138" s="2" t="b">
        <v>0</v>
      </c>
      <c r="E138" s="1">
        <v>4</v>
      </c>
      <c r="F138" s="1">
        <v>1</v>
      </c>
      <c r="G138" s="1">
        <v>0.18</v>
      </c>
      <c r="H138" s="1">
        <v>0.21210000000000001</v>
      </c>
      <c r="I138" s="1">
        <v>0.55000000000000004</v>
      </c>
      <c r="J138" s="1">
        <v>0.1045</v>
      </c>
      <c r="K138" s="1">
        <v>1</v>
      </c>
      <c r="L138" s="1">
        <v>53</v>
      </c>
      <c r="M138" s="6">
        <v>54</v>
      </c>
    </row>
    <row r="139" spans="1:13" ht="15" thickBot="1" x14ac:dyDescent="0.35">
      <c r="A139" s="5">
        <v>757</v>
      </c>
      <c r="B139" s="3">
        <v>40577</v>
      </c>
      <c r="C139" s="1">
        <v>22</v>
      </c>
      <c r="D139" s="2" t="b">
        <v>0</v>
      </c>
      <c r="E139" s="1">
        <v>4</v>
      </c>
      <c r="F139" s="1">
        <v>1</v>
      </c>
      <c r="G139" s="1">
        <v>0.18</v>
      </c>
      <c r="H139" s="1">
        <v>0.21210000000000001</v>
      </c>
      <c r="I139" s="1">
        <v>0.51</v>
      </c>
      <c r="J139" s="1">
        <v>8.9599999999999999E-2</v>
      </c>
      <c r="K139" s="1">
        <v>2</v>
      </c>
      <c r="L139" s="1">
        <v>39</v>
      </c>
      <c r="M139" s="6">
        <v>41</v>
      </c>
    </row>
    <row r="140" spans="1:13" ht="15" thickBot="1" x14ac:dyDescent="0.35">
      <c r="A140" s="5">
        <v>758</v>
      </c>
      <c r="B140" s="3">
        <v>40577</v>
      </c>
      <c r="C140" s="1">
        <v>23</v>
      </c>
      <c r="D140" s="2" t="b">
        <v>0</v>
      </c>
      <c r="E140" s="1">
        <v>4</v>
      </c>
      <c r="F140" s="1">
        <v>1</v>
      </c>
      <c r="G140" s="1">
        <v>0.2</v>
      </c>
      <c r="H140" s="1">
        <v>0.2273</v>
      </c>
      <c r="I140" s="1">
        <v>0.47</v>
      </c>
      <c r="J140" s="1">
        <v>0.1045</v>
      </c>
      <c r="K140" s="1">
        <v>4</v>
      </c>
      <c r="L140" s="1">
        <v>34</v>
      </c>
      <c r="M140" s="6">
        <v>38</v>
      </c>
    </row>
    <row r="141" spans="1:13" ht="15" thickBot="1" x14ac:dyDescent="0.35">
      <c r="A141" s="5">
        <v>759</v>
      </c>
      <c r="B141" s="3">
        <v>40578</v>
      </c>
      <c r="C141" s="1">
        <v>0</v>
      </c>
      <c r="D141" s="2" t="b">
        <v>0</v>
      </c>
      <c r="E141" s="1">
        <v>5</v>
      </c>
      <c r="F141" s="1">
        <v>2</v>
      </c>
      <c r="G141" s="1">
        <v>0.2</v>
      </c>
      <c r="H141" s="1">
        <v>0.2576</v>
      </c>
      <c r="I141" s="1">
        <v>0.44</v>
      </c>
      <c r="J141" s="1">
        <v>0</v>
      </c>
      <c r="K141" s="1">
        <v>3</v>
      </c>
      <c r="L141" s="1">
        <v>10</v>
      </c>
      <c r="M141" s="6">
        <v>13</v>
      </c>
    </row>
    <row r="142" spans="1:13" ht="15" thickBot="1" x14ac:dyDescent="0.35">
      <c r="A142" s="5">
        <v>760</v>
      </c>
      <c r="B142" s="3">
        <v>40578</v>
      </c>
      <c r="C142" s="1">
        <v>1</v>
      </c>
      <c r="D142" s="2" t="b">
        <v>0</v>
      </c>
      <c r="E142" s="1">
        <v>5</v>
      </c>
      <c r="F142" s="1">
        <v>2</v>
      </c>
      <c r="G142" s="1">
        <v>0.16</v>
      </c>
      <c r="H142" s="1">
        <v>0.2273</v>
      </c>
      <c r="I142" s="1">
        <v>0.59</v>
      </c>
      <c r="J142" s="1">
        <v>0</v>
      </c>
      <c r="K142" s="1">
        <v>0</v>
      </c>
      <c r="L142" s="1">
        <v>7</v>
      </c>
      <c r="M142" s="6">
        <v>7</v>
      </c>
    </row>
    <row r="143" spans="1:13" ht="15" thickBot="1" x14ac:dyDescent="0.35">
      <c r="A143" s="5">
        <v>761</v>
      </c>
      <c r="B143" s="3">
        <v>40578</v>
      </c>
      <c r="C143" s="1">
        <v>2</v>
      </c>
      <c r="D143" s="2" t="b">
        <v>0</v>
      </c>
      <c r="E143" s="1">
        <v>5</v>
      </c>
      <c r="F143" s="1">
        <v>2</v>
      </c>
      <c r="G143" s="1">
        <v>0.14000000000000001</v>
      </c>
      <c r="H143" s="1">
        <v>0.16669999999999999</v>
      </c>
      <c r="I143" s="1">
        <v>0.63</v>
      </c>
      <c r="J143" s="1">
        <v>0.1045</v>
      </c>
      <c r="K143" s="1">
        <v>0</v>
      </c>
      <c r="L143" s="1">
        <v>1</v>
      </c>
      <c r="M143" s="6">
        <v>1</v>
      </c>
    </row>
    <row r="144" spans="1:13" ht="15" thickBot="1" x14ac:dyDescent="0.35">
      <c r="A144" s="5">
        <v>762</v>
      </c>
      <c r="B144" s="3">
        <v>40578</v>
      </c>
      <c r="C144" s="1">
        <v>3</v>
      </c>
      <c r="D144" s="2" t="b">
        <v>0</v>
      </c>
      <c r="E144" s="1">
        <v>5</v>
      </c>
      <c r="F144" s="1">
        <v>2</v>
      </c>
      <c r="G144" s="1">
        <v>0.14000000000000001</v>
      </c>
      <c r="H144" s="1">
        <v>0.16669999999999999</v>
      </c>
      <c r="I144" s="1">
        <v>0.63</v>
      </c>
      <c r="J144" s="1">
        <v>0.1045</v>
      </c>
      <c r="K144" s="1">
        <v>0</v>
      </c>
      <c r="L144" s="1">
        <v>1</v>
      </c>
      <c r="M144" s="6">
        <v>1</v>
      </c>
    </row>
    <row r="145" spans="1:13" ht="15" thickBot="1" x14ac:dyDescent="0.35">
      <c r="A145" s="5">
        <v>763</v>
      </c>
      <c r="B145" s="3">
        <v>40578</v>
      </c>
      <c r="C145" s="1">
        <v>5</v>
      </c>
      <c r="D145" s="2" t="b">
        <v>0</v>
      </c>
      <c r="E145" s="1">
        <v>5</v>
      </c>
      <c r="F145" s="1">
        <v>2</v>
      </c>
      <c r="G145" s="1">
        <v>0.14000000000000001</v>
      </c>
      <c r="H145" s="1">
        <v>0.1515</v>
      </c>
      <c r="I145" s="1">
        <v>0.63</v>
      </c>
      <c r="J145" s="1">
        <v>0.1343</v>
      </c>
      <c r="K145" s="1">
        <v>0</v>
      </c>
      <c r="L145" s="1">
        <v>7</v>
      </c>
      <c r="M145" s="6">
        <v>7</v>
      </c>
    </row>
    <row r="146" spans="1:13" ht="15" thickBot="1" x14ac:dyDescent="0.35">
      <c r="A146" s="5">
        <v>764</v>
      </c>
      <c r="B146" s="3">
        <v>40578</v>
      </c>
      <c r="C146" s="1">
        <v>6</v>
      </c>
      <c r="D146" s="2" t="b">
        <v>0</v>
      </c>
      <c r="E146" s="1">
        <v>5</v>
      </c>
      <c r="F146" s="1">
        <v>2</v>
      </c>
      <c r="G146" s="1">
        <v>0.16</v>
      </c>
      <c r="H146" s="1">
        <v>0.2273</v>
      </c>
      <c r="I146" s="1">
        <v>0.55000000000000004</v>
      </c>
      <c r="J146" s="1">
        <v>0</v>
      </c>
      <c r="K146" s="1">
        <v>2</v>
      </c>
      <c r="L146" s="1">
        <v>26</v>
      </c>
      <c r="M146" s="6">
        <v>28</v>
      </c>
    </row>
    <row r="147" spans="1:13" ht="15" thickBot="1" x14ac:dyDescent="0.35">
      <c r="A147" s="5">
        <v>765</v>
      </c>
      <c r="B147" s="3">
        <v>40578</v>
      </c>
      <c r="C147" s="1">
        <v>7</v>
      </c>
      <c r="D147" s="2" t="b">
        <v>0</v>
      </c>
      <c r="E147" s="1">
        <v>5</v>
      </c>
      <c r="F147" s="1">
        <v>1</v>
      </c>
      <c r="G147" s="1">
        <v>0.14000000000000001</v>
      </c>
      <c r="H147" s="1">
        <v>0.21210000000000001</v>
      </c>
      <c r="I147" s="1">
        <v>0.59</v>
      </c>
      <c r="J147" s="1">
        <v>0</v>
      </c>
      <c r="K147" s="1">
        <v>0</v>
      </c>
      <c r="L147" s="1">
        <v>87</v>
      </c>
      <c r="M147" s="6">
        <v>87</v>
      </c>
    </row>
    <row r="148" spans="1:13" ht="15" thickBot="1" x14ac:dyDescent="0.35">
      <c r="A148" s="5">
        <v>766</v>
      </c>
      <c r="B148" s="3">
        <v>40578</v>
      </c>
      <c r="C148" s="1">
        <v>8</v>
      </c>
      <c r="D148" s="2" t="b">
        <v>0</v>
      </c>
      <c r="E148" s="1">
        <v>5</v>
      </c>
      <c r="F148" s="1">
        <v>1</v>
      </c>
      <c r="G148" s="1">
        <v>0.14000000000000001</v>
      </c>
      <c r="H148" s="1">
        <v>0.1515</v>
      </c>
      <c r="I148" s="1">
        <v>0.74</v>
      </c>
      <c r="J148" s="1">
        <v>0.1343</v>
      </c>
      <c r="K148" s="1">
        <v>3</v>
      </c>
      <c r="L148" s="1">
        <v>217</v>
      </c>
      <c r="M148" s="6">
        <v>220</v>
      </c>
    </row>
    <row r="149" spans="1:13" ht="15" thickBot="1" x14ac:dyDescent="0.35">
      <c r="A149" s="5">
        <v>767</v>
      </c>
      <c r="B149" s="3">
        <v>40578</v>
      </c>
      <c r="C149" s="1">
        <v>9</v>
      </c>
      <c r="D149" s="2" t="b">
        <v>0</v>
      </c>
      <c r="E149" s="1">
        <v>5</v>
      </c>
      <c r="F149" s="1">
        <v>2</v>
      </c>
      <c r="G149" s="1">
        <v>0.16</v>
      </c>
      <c r="H149" s="1">
        <v>0.18179999999999999</v>
      </c>
      <c r="I149" s="1">
        <v>0.8</v>
      </c>
      <c r="J149" s="1">
        <v>0.1343</v>
      </c>
      <c r="K149" s="1">
        <v>3</v>
      </c>
      <c r="L149" s="1">
        <v>124</v>
      </c>
      <c r="M149" s="6">
        <v>127</v>
      </c>
    </row>
    <row r="150" spans="1:13" ht="15" thickBot="1" x14ac:dyDescent="0.35">
      <c r="A150" s="5">
        <v>768</v>
      </c>
      <c r="B150" s="3">
        <v>40578</v>
      </c>
      <c r="C150" s="1">
        <v>10</v>
      </c>
      <c r="D150" s="2" t="b">
        <v>0</v>
      </c>
      <c r="E150" s="1">
        <v>5</v>
      </c>
      <c r="F150" s="1">
        <v>2</v>
      </c>
      <c r="G150" s="1">
        <v>0.2</v>
      </c>
      <c r="H150" s="1">
        <v>0.21210000000000001</v>
      </c>
      <c r="I150" s="1">
        <v>0.51</v>
      </c>
      <c r="J150" s="1">
        <v>0.1343</v>
      </c>
      <c r="K150" s="1">
        <v>5</v>
      </c>
      <c r="L150" s="1">
        <v>46</v>
      </c>
      <c r="M150" s="6">
        <v>51</v>
      </c>
    </row>
    <row r="151" spans="1:13" ht="15" thickBot="1" x14ac:dyDescent="0.35">
      <c r="A151" s="5">
        <v>769</v>
      </c>
      <c r="B151" s="3">
        <v>40578</v>
      </c>
      <c r="C151" s="1">
        <v>11</v>
      </c>
      <c r="D151" s="2" t="b">
        <v>0</v>
      </c>
      <c r="E151" s="1">
        <v>5</v>
      </c>
      <c r="F151" s="1">
        <v>1</v>
      </c>
      <c r="G151" s="1">
        <v>0.22</v>
      </c>
      <c r="H151" s="1">
        <v>0.2273</v>
      </c>
      <c r="I151" s="1">
        <v>0.51</v>
      </c>
      <c r="J151" s="1">
        <v>0.16420000000000001</v>
      </c>
      <c r="K151" s="1">
        <v>3</v>
      </c>
      <c r="L151" s="1">
        <v>61</v>
      </c>
      <c r="M151" s="6">
        <v>64</v>
      </c>
    </row>
    <row r="152" spans="1:13" ht="15" thickBot="1" x14ac:dyDescent="0.35">
      <c r="A152" s="5">
        <v>770</v>
      </c>
      <c r="B152" s="3">
        <v>40578</v>
      </c>
      <c r="C152" s="1">
        <v>12</v>
      </c>
      <c r="D152" s="2" t="b">
        <v>0</v>
      </c>
      <c r="E152" s="1">
        <v>5</v>
      </c>
      <c r="F152" s="1">
        <v>2</v>
      </c>
      <c r="G152" s="1">
        <v>0.24</v>
      </c>
      <c r="H152" s="1">
        <v>0.2424</v>
      </c>
      <c r="I152" s="1">
        <v>0.48</v>
      </c>
      <c r="J152" s="1">
        <v>0.16420000000000001</v>
      </c>
      <c r="K152" s="1">
        <v>8</v>
      </c>
      <c r="L152" s="1">
        <v>78</v>
      </c>
      <c r="M152" s="6">
        <v>86</v>
      </c>
    </row>
    <row r="153" spans="1:13" ht="15" thickBot="1" x14ac:dyDescent="0.35">
      <c r="A153" s="5">
        <v>771</v>
      </c>
      <c r="B153" s="3">
        <v>40578</v>
      </c>
      <c r="C153" s="1">
        <v>13</v>
      </c>
      <c r="D153" s="2" t="b">
        <v>0</v>
      </c>
      <c r="E153" s="1">
        <v>5</v>
      </c>
      <c r="F153" s="1">
        <v>2</v>
      </c>
      <c r="G153" s="1">
        <v>0.26</v>
      </c>
      <c r="H153" s="1">
        <v>0.2576</v>
      </c>
      <c r="I153" s="1">
        <v>0.5</v>
      </c>
      <c r="J153" s="1">
        <v>0.22389999999999999</v>
      </c>
      <c r="K153" s="1">
        <v>9</v>
      </c>
      <c r="L153" s="1">
        <v>73</v>
      </c>
      <c r="M153" s="6">
        <v>82</v>
      </c>
    </row>
    <row r="154" spans="1:13" ht="15" thickBot="1" x14ac:dyDescent="0.35">
      <c r="A154" s="5">
        <v>772</v>
      </c>
      <c r="B154" s="3">
        <v>40578</v>
      </c>
      <c r="C154" s="1">
        <v>14</v>
      </c>
      <c r="D154" s="2" t="b">
        <v>0</v>
      </c>
      <c r="E154" s="1">
        <v>5</v>
      </c>
      <c r="F154" s="1">
        <v>2</v>
      </c>
      <c r="G154" s="1">
        <v>0.28000000000000003</v>
      </c>
      <c r="H154" s="1">
        <v>0.2727</v>
      </c>
      <c r="I154" s="1">
        <v>0.45</v>
      </c>
      <c r="J154" s="1">
        <v>0.16420000000000001</v>
      </c>
      <c r="K154" s="1">
        <v>15</v>
      </c>
      <c r="L154" s="1">
        <v>76</v>
      </c>
      <c r="M154" s="6">
        <v>91</v>
      </c>
    </row>
    <row r="155" spans="1:13" ht="15" thickBot="1" x14ac:dyDescent="0.35">
      <c r="A155" s="5">
        <v>773</v>
      </c>
      <c r="B155" s="3">
        <v>40578</v>
      </c>
      <c r="C155" s="1">
        <v>15</v>
      </c>
      <c r="D155" s="2" t="b">
        <v>0</v>
      </c>
      <c r="E155" s="1">
        <v>5</v>
      </c>
      <c r="F155" s="1">
        <v>2</v>
      </c>
      <c r="G155" s="1">
        <v>0.28000000000000003</v>
      </c>
      <c r="H155" s="1">
        <v>0.2727</v>
      </c>
      <c r="I155" s="1">
        <v>0.48</v>
      </c>
      <c r="J155" s="1">
        <v>0.25369999999999998</v>
      </c>
      <c r="K155" s="1">
        <v>9</v>
      </c>
      <c r="L155" s="1">
        <v>81</v>
      </c>
      <c r="M155" s="6">
        <v>90</v>
      </c>
    </row>
    <row r="156" spans="1:13" ht="15" thickBot="1" x14ac:dyDescent="0.35">
      <c r="A156" s="5">
        <v>774</v>
      </c>
      <c r="B156" s="3">
        <v>40578</v>
      </c>
      <c r="C156" s="1">
        <v>16</v>
      </c>
      <c r="D156" s="2" t="b">
        <v>0</v>
      </c>
      <c r="E156" s="1">
        <v>5</v>
      </c>
      <c r="F156" s="1">
        <v>2</v>
      </c>
      <c r="G156" s="1">
        <v>0.3</v>
      </c>
      <c r="H156" s="1">
        <v>0.28789999999999999</v>
      </c>
      <c r="I156" s="1">
        <v>0.42</v>
      </c>
      <c r="J156" s="1">
        <v>0.22389999999999999</v>
      </c>
      <c r="K156" s="1">
        <v>8</v>
      </c>
      <c r="L156" s="1">
        <v>91</v>
      </c>
      <c r="M156" s="6">
        <v>99</v>
      </c>
    </row>
    <row r="157" spans="1:13" ht="15" thickBot="1" x14ac:dyDescent="0.35">
      <c r="A157" s="5">
        <v>775</v>
      </c>
      <c r="B157" s="3">
        <v>40578</v>
      </c>
      <c r="C157" s="1">
        <v>17</v>
      </c>
      <c r="D157" s="2" t="b">
        <v>0</v>
      </c>
      <c r="E157" s="1">
        <v>5</v>
      </c>
      <c r="F157" s="1">
        <v>2</v>
      </c>
      <c r="G157" s="1">
        <v>0.26</v>
      </c>
      <c r="H157" s="1">
        <v>0.2727</v>
      </c>
      <c r="I157" s="1">
        <v>0.56000000000000005</v>
      </c>
      <c r="J157" s="1">
        <v>0.1343</v>
      </c>
      <c r="K157" s="1">
        <v>10</v>
      </c>
      <c r="L157" s="1">
        <v>195</v>
      </c>
      <c r="M157" s="6">
        <v>205</v>
      </c>
    </row>
    <row r="158" spans="1:13" ht="15" thickBot="1" x14ac:dyDescent="0.35">
      <c r="A158" s="5">
        <v>776</v>
      </c>
      <c r="B158" s="3">
        <v>40578</v>
      </c>
      <c r="C158" s="1">
        <v>18</v>
      </c>
      <c r="D158" s="2" t="b">
        <v>0</v>
      </c>
      <c r="E158" s="1">
        <v>5</v>
      </c>
      <c r="F158" s="1">
        <v>2</v>
      </c>
      <c r="G158" s="1">
        <v>0.24</v>
      </c>
      <c r="H158" s="1">
        <v>0.2576</v>
      </c>
      <c r="I158" s="1">
        <v>0.6</v>
      </c>
      <c r="J158" s="1">
        <v>0.1045</v>
      </c>
      <c r="K158" s="1">
        <v>3</v>
      </c>
      <c r="L158" s="1">
        <v>152</v>
      </c>
      <c r="M158" s="6">
        <v>155</v>
      </c>
    </row>
    <row r="159" spans="1:13" ht="15" thickBot="1" x14ac:dyDescent="0.35">
      <c r="A159" s="5">
        <v>777</v>
      </c>
      <c r="B159" s="3">
        <v>40578</v>
      </c>
      <c r="C159" s="1">
        <v>19</v>
      </c>
      <c r="D159" s="2" t="b">
        <v>0</v>
      </c>
      <c r="E159" s="1">
        <v>5</v>
      </c>
      <c r="F159" s="1">
        <v>2</v>
      </c>
      <c r="G159" s="1">
        <v>0.24</v>
      </c>
      <c r="H159" s="1">
        <v>0.2424</v>
      </c>
      <c r="I159" s="1">
        <v>0.65</v>
      </c>
      <c r="J159" s="1">
        <v>0.1343</v>
      </c>
      <c r="K159" s="1">
        <v>1</v>
      </c>
      <c r="L159" s="1">
        <v>102</v>
      </c>
      <c r="M159" s="6">
        <v>103</v>
      </c>
    </row>
    <row r="160" spans="1:13" ht="15" thickBot="1" x14ac:dyDescent="0.35">
      <c r="A160" s="5">
        <v>778</v>
      </c>
      <c r="B160" s="3">
        <v>40578</v>
      </c>
      <c r="C160" s="1">
        <v>20</v>
      </c>
      <c r="D160" s="2" t="b">
        <v>0</v>
      </c>
      <c r="E160" s="1">
        <v>5</v>
      </c>
      <c r="F160" s="1">
        <v>2</v>
      </c>
      <c r="G160" s="1">
        <v>0.24</v>
      </c>
      <c r="H160" s="1">
        <v>0.2424</v>
      </c>
      <c r="I160" s="1">
        <v>0.65</v>
      </c>
      <c r="J160" s="1">
        <v>0.16420000000000001</v>
      </c>
      <c r="K160" s="1">
        <v>2</v>
      </c>
      <c r="L160" s="1">
        <v>69</v>
      </c>
      <c r="M160" s="6">
        <v>71</v>
      </c>
    </row>
    <row r="161" spans="1:13" ht="15" thickBot="1" x14ac:dyDescent="0.35">
      <c r="A161" s="5">
        <v>779</v>
      </c>
      <c r="B161" s="3">
        <v>40578</v>
      </c>
      <c r="C161" s="1">
        <v>21</v>
      </c>
      <c r="D161" s="2" t="b">
        <v>0</v>
      </c>
      <c r="E161" s="1">
        <v>5</v>
      </c>
      <c r="F161" s="1">
        <v>2</v>
      </c>
      <c r="G161" s="1">
        <v>0.24</v>
      </c>
      <c r="H161" s="1">
        <v>0.2424</v>
      </c>
      <c r="I161" s="1">
        <v>0.7</v>
      </c>
      <c r="J161" s="1">
        <v>0.16420000000000001</v>
      </c>
      <c r="K161" s="1">
        <v>2</v>
      </c>
      <c r="L161" s="1">
        <v>41</v>
      </c>
      <c r="M161" s="6">
        <v>43</v>
      </c>
    </row>
    <row r="162" spans="1:13" ht="15" thickBot="1" x14ac:dyDescent="0.35">
      <c r="A162" s="5">
        <v>780</v>
      </c>
      <c r="B162" s="3">
        <v>40578</v>
      </c>
      <c r="C162" s="1">
        <v>22</v>
      </c>
      <c r="D162" s="2" t="b">
        <v>0</v>
      </c>
      <c r="E162" s="1">
        <v>5</v>
      </c>
      <c r="F162" s="1">
        <v>2</v>
      </c>
      <c r="G162" s="1">
        <v>0.24</v>
      </c>
      <c r="H162" s="1">
        <v>0.2424</v>
      </c>
      <c r="I162" s="1">
        <v>0.65</v>
      </c>
      <c r="J162" s="1">
        <v>0.16420000000000001</v>
      </c>
      <c r="K162" s="1">
        <v>1</v>
      </c>
      <c r="L162" s="1">
        <v>45</v>
      </c>
      <c r="M162" s="6">
        <v>46</v>
      </c>
    </row>
    <row r="163" spans="1:13" ht="15" thickBot="1" x14ac:dyDescent="0.35">
      <c r="A163" s="5">
        <v>781</v>
      </c>
      <c r="B163" s="3">
        <v>40578</v>
      </c>
      <c r="C163" s="1">
        <v>23</v>
      </c>
      <c r="D163" s="2" t="b">
        <v>0</v>
      </c>
      <c r="E163" s="1">
        <v>5</v>
      </c>
      <c r="F163" s="1">
        <v>2</v>
      </c>
      <c r="G163" s="1">
        <v>0.24</v>
      </c>
      <c r="H163" s="1">
        <v>0.2424</v>
      </c>
      <c r="I163" s="1">
        <v>0.7</v>
      </c>
      <c r="J163" s="1">
        <v>0.1343</v>
      </c>
      <c r="K163" s="1">
        <v>1</v>
      </c>
      <c r="L163" s="1">
        <v>30</v>
      </c>
      <c r="M163" s="6">
        <v>31</v>
      </c>
    </row>
    <row r="164" spans="1:13" ht="15" thickBot="1" x14ac:dyDescent="0.35">
      <c r="A164" s="5">
        <v>782</v>
      </c>
      <c r="B164" s="3">
        <v>40579</v>
      </c>
      <c r="C164" s="1">
        <v>0</v>
      </c>
      <c r="D164" s="2" t="b">
        <v>0</v>
      </c>
      <c r="E164" s="1">
        <v>6</v>
      </c>
      <c r="F164" s="1">
        <v>2</v>
      </c>
      <c r="G164" s="1">
        <v>0.24</v>
      </c>
      <c r="H164" s="1">
        <v>0.2424</v>
      </c>
      <c r="I164" s="1">
        <v>0.7</v>
      </c>
      <c r="J164" s="1">
        <v>0.16420000000000001</v>
      </c>
      <c r="K164" s="1">
        <v>3</v>
      </c>
      <c r="L164" s="1">
        <v>36</v>
      </c>
      <c r="M164" s="6">
        <v>39</v>
      </c>
    </row>
    <row r="165" spans="1:13" ht="15" thickBot="1" x14ac:dyDescent="0.35">
      <c r="A165" s="5">
        <v>783</v>
      </c>
      <c r="B165" s="3">
        <v>40579</v>
      </c>
      <c r="C165" s="1">
        <v>1</v>
      </c>
      <c r="D165" s="2" t="b">
        <v>0</v>
      </c>
      <c r="E165" s="1">
        <v>6</v>
      </c>
      <c r="F165" s="1">
        <v>2</v>
      </c>
      <c r="G165" s="1">
        <v>0.24</v>
      </c>
      <c r="H165" s="1">
        <v>0.2424</v>
      </c>
      <c r="I165" s="1">
        <v>0.65</v>
      </c>
      <c r="J165" s="1">
        <v>0.16420000000000001</v>
      </c>
      <c r="K165" s="1">
        <v>1</v>
      </c>
      <c r="L165" s="1">
        <v>17</v>
      </c>
      <c r="M165" s="6">
        <v>18</v>
      </c>
    </row>
    <row r="166" spans="1:13" ht="15" thickBot="1" x14ac:dyDescent="0.35">
      <c r="A166" s="5">
        <v>784</v>
      </c>
      <c r="B166" s="3">
        <v>40579</v>
      </c>
      <c r="C166" s="1">
        <v>2</v>
      </c>
      <c r="D166" s="2" t="b">
        <v>0</v>
      </c>
      <c r="E166" s="1">
        <v>6</v>
      </c>
      <c r="F166" s="1">
        <v>2</v>
      </c>
      <c r="G166" s="1">
        <v>0.24</v>
      </c>
      <c r="H166" s="1">
        <v>0.2424</v>
      </c>
      <c r="I166" s="1">
        <v>0.75</v>
      </c>
      <c r="J166" s="1">
        <v>0.16420000000000001</v>
      </c>
      <c r="K166" s="1">
        <v>5</v>
      </c>
      <c r="L166" s="1">
        <v>12</v>
      </c>
      <c r="M166" s="6">
        <v>17</v>
      </c>
    </row>
    <row r="167" spans="1:13" ht="15" thickBot="1" x14ac:dyDescent="0.35">
      <c r="A167" s="5">
        <v>785</v>
      </c>
      <c r="B167" s="3">
        <v>40579</v>
      </c>
      <c r="C167" s="1">
        <v>3</v>
      </c>
      <c r="D167" s="2" t="b">
        <v>0</v>
      </c>
      <c r="E167" s="1">
        <v>6</v>
      </c>
      <c r="F167" s="1">
        <v>2</v>
      </c>
      <c r="G167" s="1">
        <v>0.24</v>
      </c>
      <c r="H167" s="1">
        <v>0.2424</v>
      </c>
      <c r="I167" s="1">
        <v>0.75</v>
      </c>
      <c r="J167" s="1">
        <v>0.16420000000000001</v>
      </c>
      <c r="K167" s="1">
        <v>1</v>
      </c>
      <c r="L167" s="1">
        <v>10</v>
      </c>
      <c r="M167" s="6">
        <v>11</v>
      </c>
    </row>
    <row r="168" spans="1:13" ht="15" thickBot="1" x14ac:dyDescent="0.35">
      <c r="A168" s="5">
        <v>786</v>
      </c>
      <c r="B168" s="3">
        <v>40579</v>
      </c>
      <c r="C168" s="1">
        <v>4</v>
      </c>
      <c r="D168" s="2" t="b">
        <v>0</v>
      </c>
      <c r="E168" s="1">
        <v>6</v>
      </c>
      <c r="F168" s="1">
        <v>3</v>
      </c>
      <c r="G168" s="1">
        <v>0.22</v>
      </c>
      <c r="H168" s="1">
        <v>0.2273</v>
      </c>
      <c r="I168" s="1">
        <v>0.93</v>
      </c>
      <c r="J168" s="1">
        <v>0.1343</v>
      </c>
      <c r="K168" s="1">
        <v>0</v>
      </c>
      <c r="L168" s="1">
        <v>8</v>
      </c>
      <c r="M168" s="6">
        <v>8</v>
      </c>
    </row>
    <row r="169" spans="1:13" ht="15" thickBot="1" x14ac:dyDescent="0.35">
      <c r="A169" s="5">
        <v>787</v>
      </c>
      <c r="B169" s="3">
        <v>40579</v>
      </c>
      <c r="C169" s="1">
        <v>5</v>
      </c>
      <c r="D169" s="2" t="b">
        <v>0</v>
      </c>
      <c r="E169" s="1">
        <v>6</v>
      </c>
      <c r="F169" s="1">
        <v>3</v>
      </c>
      <c r="G169" s="1">
        <v>0.2</v>
      </c>
      <c r="H169" s="1">
        <v>0.2273</v>
      </c>
      <c r="I169" s="1">
        <v>1</v>
      </c>
      <c r="J169" s="1">
        <v>8.9599999999999999E-2</v>
      </c>
      <c r="K169" s="1">
        <v>0</v>
      </c>
      <c r="L169" s="1">
        <v>9</v>
      </c>
      <c r="M169" s="6">
        <v>9</v>
      </c>
    </row>
    <row r="170" spans="1:13" ht="15" thickBot="1" x14ac:dyDescent="0.35">
      <c r="A170" s="5">
        <v>788</v>
      </c>
      <c r="B170" s="3">
        <v>40579</v>
      </c>
      <c r="C170" s="1">
        <v>6</v>
      </c>
      <c r="D170" s="2" t="b">
        <v>0</v>
      </c>
      <c r="E170" s="1">
        <v>6</v>
      </c>
      <c r="F170" s="1">
        <v>3</v>
      </c>
      <c r="G170" s="1">
        <v>0.2</v>
      </c>
      <c r="H170" s="1">
        <v>0.2576</v>
      </c>
      <c r="I170" s="1">
        <v>1</v>
      </c>
      <c r="J170" s="1">
        <v>0</v>
      </c>
      <c r="K170" s="1">
        <v>0</v>
      </c>
      <c r="L170" s="1">
        <v>4</v>
      </c>
      <c r="M170" s="6">
        <v>4</v>
      </c>
    </row>
    <row r="171" spans="1:13" ht="15" thickBot="1" x14ac:dyDescent="0.35">
      <c r="A171" s="5">
        <v>789</v>
      </c>
      <c r="B171" s="3">
        <v>40579</v>
      </c>
      <c r="C171" s="1">
        <v>7</v>
      </c>
      <c r="D171" s="2" t="b">
        <v>0</v>
      </c>
      <c r="E171" s="1">
        <v>6</v>
      </c>
      <c r="F171" s="1">
        <v>3</v>
      </c>
      <c r="G171" s="1">
        <v>0.22</v>
      </c>
      <c r="H171" s="1">
        <v>0.2576</v>
      </c>
      <c r="I171" s="1">
        <v>0.93</v>
      </c>
      <c r="J171" s="1">
        <v>8.9599999999999999E-2</v>
      </c>
      <c r="K171" s="1">
        <v>0</v>
      </c>
      <c r="L171" s="1">
        <v>4</v>
      </c>
      <c r="M171" s="6">
        <v>4</v>
      </c>
    </row>
    <row r="172" spans="1:13" ht="15" thickBot="1" x14ac:dyDescent="0.35">
      <c r="A172" s="5">
        <v>790</v>
      </c>
      <c r="B172" s="3">
        <v>40579</v>
      </c>
      <c r="C172" s="1">
        <v>8</v>
      </c>
      <c r="D172" s="2" t="b">
        <v>0</v>
      </c>
      <c r="E172" s="1">
        <v>6</v>
      </c>
      <c r="F172" s="1">
        <v>3</v>
      </c>
      <c r="G172" s="1">
        <v>0.2</v>
      </c>
      <c r="H172" s="1">
        <v>0.2273</v>
      </c>
      <c r="I172" s="1">
        <v>1</v>
      </c>
      <c r="J172" s="1">
        <v>8.9599999999999999E-2</v>
      </c>
      <c r="K172" s="1">
        <v>0</v>
      </c>
      <c r="L172" s="1">
        <v>10</v>
      </c>
      <c r="M172" s="6">
        <v>10</v>
      </c>
    </row>
    <row r="173" spans="1:13" ht="15" thickBot="1" x14ac:dyDescent="0.35">
      <c r="A173" s="5">
        <v>791</v>
      </c>
      <c r="B173" s="3">
        <v>40579</v>
      </c>
      <c r="C173" s="1">
        <v>9</v>
      </c>
      <c r="D173" s="2" t="b">
        <v>0</v>
      </c>
      <c r="E173" s="1">
        <v>6</v>
      </c>
      <c r="F173" s="1">
        <v>3</v>
      </c>
      <c r="G173" s="1">
        <v>0.2</v>
      </c>
      <c r="H173" s="1">
        <v>0.2273</v>
      </c>
      <c r="I173" s="1">
        <v>1</v>
      </c>
      <c r="J173" s="1">
        <v>8.9599999999999999E-2</v>
      </c>
      <c r="K173" s="1">
        <v>3</v>
      </c>
      <c r="L173" s="1">
        <v>17</v>
      </c>
      <c r="M173" s="6">
        <v>20</v>
      </c>
    </row>
    <row r="174" spans="1:13" ht="15" thickBot="1" x14ac:dyDescent="0.35">
      <c r="A174" s="5">
        <v>792</v>
      </c>
      <c r="B174" s="3">
        <v>40579</v>
      </c>
      <c r="C174" s="1">
        <v>10</v>
      </c>
      <c r="D174" s="2" t="b">
        <v>0</v>
      </c>
      <c r="E174" s="1">
        <v>6</v>
      </c>
      <c r="F174" s="1">
        <v>3</v>
      </c>
      <c r="G174" s="1">
        <v>0.2</v>
      </c>
      <c r="H174" s="1">
        <v>0.21210000000000001</v>
      </c>
      <c r="I174" s="1">
        <v>1</v>
      </c>
      <c r="J174" s="1">
        <v>0.1343</v>
      </c>
      <c r="K174" s="1">
        <v>3</v>
      </c>
      <c r="L174" s="1">
        <v>31</v>
      </c>
      <c r="M174" s="6">
        <v>34</v>
      </c>
    </row>
    <row r="175" spans="1:13" ht="15" thickBot="1" x14ac:dyDescent="0.35">
      <c r="A175" s="5">
        <v>793</v>
      </c>
      <c r="B175" s="3">
        <v>40579</v>
      </c>
      <c r="C175" s="1">
        <v>11</v>
      </c>
      <c r="D175" s="2" t="b">
        <v>0</v>
      </c>
      <c r="E175" s="1">
        <v>6</v>
      </c>
      <c r="F175" s="1">
        <v>3</v>
      </c>
      <c r="G175" s="1">
        <v>0.22</v>
      </c>
      <c r="H175" s="1">
        <v>0.2273</v>
      </c>
      <c r="I175" s="1">
        <v>1</v>
      </c>
      <c r="J175" s="1">
        <v>0.1343</v>
      </c>
      <c r="K175" s="1">
        <v>1</v>
      </c>
      <c r="L175" s="1">
        <v>46</v>
      </c>
      <c r="M175" s="6">
        <v>47</v>
      </c>
    </row>
    <row r="176" spans="1:13" ht="15" thickBot="1" x14ac:dyDescent="0.35">
      <c r="A176" s="5">
        <v>794</v>
      </c>
      <c r="B176" s="3">
        <v>40579</v>
      </c>
      <c r="C176" s="1">
        <v>12</v>
      </c>
      <c r="D176" s="2" t="b">
        <v>0</v>
      </c>
      <c r="E176" s="1">
        <v>6</v>
      </c>
      <c r="F176" s="1">
        <v>3</v>
      </c>
      <c r="G176" s="1">
        <v>0.22</v>
      </c>
      <c r="H176" s="1">
        <v>0.2273</v>
      </c>
      <c r="I176" s="1">
        <v>1</v>
      </c>
      <c r="J176" s="1">
        <v>0.16420000000000001</v>
      </c>
      <c r="K176" s="1">
        <v>10</v>
      </c>
      <c r="L176" s="1">
        <v>42</v>
      </c>
      <c r="M176" s="6">
        <v>52</v>
      </c>
    </row>
    <row r="177" spans="1:13" ht="15" thickBot="1" x14ac:dyDescent="0.35">
      <c r="A177" s="5">
        <v>795</v>
      </c>
      <c r="B177" s="3">
        <v>40579</v>
      </c>
      <c r="C177" s="1">
        <v>13</v>
      </c>
      <c r="D177" s="2" t="b">
        <v>0</v>
      </c>
      <c r="E177" s="1">
        <v>6</v>
      </c>
      <c r="F177" s="1">
        <v>3</v>
      </c>
      <c r="G177" s="1">
        <v>0.22</v>
      </c>
      <c r="H177" s="1">
        <v>0.2273</v>
      </c>
      <c r="I177" s="1">
        <v>1</v>
      </c>
      <c r="J177" s="1">
        <v>0.16420000000000001</v>
      </c>
      <c r="K177" s="1">
        <v>10</v>
      </c>
      <c r="L177" s="1">
        <v>62</v>
      </c>
      <c r="M177" s="6">
        <v>72</v>
      </c>
    </row>
    <row r="178" spans="1:13" ht="15" thickBot="1" x14ac:dyDescent="0.35">
      <c r="A178" s="5">
        <v>796</v>
      </c>
      <c r="B178" s="3">
        <v>40579</v>
      </c>
      <c r="C178" s="1">
        <v>14</v>
      </c>
      <c r="D178" s="2" t="b">
        <v>0</v>
      </c>
      <c r="E178" s="1">
        <v>6</v>
      </c>
      <c r="F178" s="1">
        <v>3</v>
      </c>
      <c r="G178" s="1">
        <v>0.22</v>
      </c>
      <c r="H178" s="1">
        <v>0.2727</v>
      </c>
      <c r="I178" s="1">
        <v>1</v>
      </c>
      <c r="J178" s="1">
        <v>0</v>
      </c>
      <c r="K178" s="1">
        <v>5</v>
      </c>
      <c r="L178" s="1">
        <v>50</v>
      </c>
      <c r="M178" s="6">
        <v>55</v>
      </c>
    </row>
    <row r="179" spans="1:13" ht="15" thickBot="1" x14ac:dyDescent="0.35">
      <c r="A179" s="5">
        <v>797</v>
      </c>
      <c r="B179" s="3">
        <v>40579</v>
      </c>
      <c r="C179" s="1">
        <v>15</v>
      </c>
      <c r="D179" s="2" t="b">
        <v>0</v>
      </c>
      <c r="E179" s="1">
        <v>6</v>
      </c>
      <c r="F179" s="1">
        <v>3</v>
      </c>
      <c r="G179" s="1">
        <v>0.22</v>
      </c>
      <c r="H179" s="1">
        <v>0.2727</v>
      </c>
      <c r="I179" s="1">
        <v>1</v>
      </c>
      <c r="J179" s="1">
        <v>0</v>
      </c>
      <c r="K179" s="1">
        <v>11</v>
      </c>
      <c r="L179" s="1">
        <v>49</v>
      </c>
      <c r="M179" s="6">
        <v>60</v>
      </c>
    </row>
    <row r="180" spans="1:13" ht="15" thickBot="1" x14ac:dyDescent="0.35">
      <c r="A180" s="5">
        <v>798</v>
      </c>
      <c r="B180" s="3">
        <v>40579</v>
      </c>
      <c r="C180" s="1">
        <v>16</v>
      </c>
      <c r="D180" s="2" t="b">
        <v>0</v>
      </c>
      <c r="E180" s="1">
        <v>6</v>
      </c>
      <c r="F180" s="1">
        <v>3</v>
      </c>
      <c r="G180" s="1">
        <v>0.22</v>
      </c>
      <c r="H180" s="1">
        <v>0.2273</v>
      </c>
      <c r="I180" s="1">
        <v>1</v>
      </c>
      <c r="J180" s="1">
        <v>0.1343</v>
      </c>
      <c r="K180" s="1">
        <v>8</v>
      </c>
      <c r="L180" s="1">
        <v>63</v>
      </c>
      <c r="M180" s="6">
        <v>71</v>
      </c>
    </row>
    <row r="181" spans="1:13" ht="15" thickBot="1" x14ac:dyDescent="0.35">
      <c r="A181" s="5">
        <v>799</v>
      </c>
      <c r="B181" s="3">
        <v>40579</v>
      </c>
      <c r="C181" s="1">
        <v>17</v>
      </c>
      <c r="D181" s="2" t="b">
        <v>0</v>
      </c>
      <c r="E181" s="1">
        <v>6</v>
      </c>
      <c r="F181" s="1">
        <v>2</v>
      </c>
      <c r="G181" s="1">
        <v>0.24</v>
      </c>
      <c r="H181" s="1">
        <v>0.21210000000000001</v>
      </c>
      <c r="I181" s="1">
        <v>1</v>
      </c>
      <c r="J181" s="1">
        <v>0.28360000000000002</v>
      </c>
      <c r="K181" s="1">
        <v>14</v>
      </c>
      <c r="L181" s="1">
        <v>64</v>
      </c>
      <c r="M181" s="6">
        <v>78</v>
      </c>
    </row>
    <row r="182" spans="1:13" ht="15" thickBot="1" x14ac:dyDescent="0.35">
      <c r="A182" s="5">
        <v>800</v>
      </c>
      <c r="B182" s="3">
        <v>40579</v>
      </c>
      <c r="C182" s="1">
        <v>18</v>
      </c>
      <c r="D182" s="2" t="b">
        <v>0</v>
      </c>
      <c r="E182" s="1">
        <v>6</v>
      </c>
      <c r="F182" s="1">
        <v>2</v>
      </c>
      <c r="G182" s="1">
        <v>0.28000000000000003</v>
      </c>
      <c r="H182" s="1">
        <v>0.2424</v>
      </c>
      <c r="I182" s="1">
        <v>0.93</v>
      </c>
      <c r="J182" s="1">
        <v>0.44779999999999998</v>
      </c>
      <c r="K182" s="1">
        <v>2</v>
      </c>
      <c r="L182" s="1">
        <v>81</v>
      </c>
      <c r="M182" s="6">
        <v>83</v>
      </c>
    </row>
    <row r="183" spans="1:13" ht="15" thickBot="1" x14ac:dyDescent="0.35">
      <c r="A183" s="5">
        <v>801</v>
      </c>
      <c r="B183" s="3">
        <v>40579</v>
      </c>
      <c r="C183" s="1">
        <v>19</v>
      </c>
      <c r="D183" s="2" t="b">
        <v>0</v>
      </c>
      <c r="E183" s="1">
        <v>6</v>
      </c>
      <c r="F183" s="1">
        <v>2</v>
      </c>
      <c r="G183" s="1">
        <v>0.28000000000000003</v>
      </c>
      <c r="H183" s="1">
        <v>0.2424</v>
      </c>
      <c r="I183" s="1">
        <v>0.93</v>
      </c>
      <c r="J183" s="1">
        <v>0.44779999999999998</v>
      </c>
      <c r="K183" s="1">
        <v>6</v>
      </c>
      <c r="L183" s="1">
        <v>78</v>
      </c>
      <c r="M183" s="6">
        <v>84</v>
      </c>
    </row>
    <row r="184" spans="1:13" ht="15" thickBot="1" x14ac:dyDescent="0.35">
      <c r="A184" s="5">
        <v>802</v>
      </c>
      <c r="B184" s="3">
        <v>40579</v>
      </c>
      <c r="C184" s="1">
        <v>20</v>
      </c>
      <c r="D184" s="2" t="b">
        <v>0</v>
      </c>
      <c r="E184" s="1">
        <v>6</v>
      </c>
      <c r="F184" s="1">
        <v>1</v>
      </c>
      <c r="G184" s="1">
        <v>0.3</v>
      </c>
      <c r="H184" s="1">
        <v>0.28789999999999999</v>
      </c>
      <c r="I184" s="1">
        <v>0.87</v>
      </c>
      <c r="J184" s="1">
        <v>0.25369999999999998</v>
      </c>
      <c r="K184" s="1">
        <v>5</v>
      </c>
      <c r="L184" s="1">
        <v>64</v>
      </c>
      <c r="M184" s="6">
        <v>69</v>
      </c>
    </row>
    <row r="185" spans="1:13" ht="15" thickBot="1" x14ac:dyDescent="0.35">
      <c r="A185" s="5">
        <v>803</v>
      </c>
      <c r="B185" s="3">
        <v>40579</v>
      </c>
      <c r="C185" s="1">
        <v>21</v>
      </c>
      <c r="D185" s="2" t="b">
        <v>0</v>
      </c>
      <c r="E185" s="1">
        <v>6</v>
      </c>
      <c r="F185" s="1">
        <v>1</v>
      </c>
      <c r="G185" s="1">
        <v>0.26</v>
      </c>
      <c r="H185" s="1">
        <v>0.2576</v>
      </c>
      <c r="I185" s="1">
        <v>1</v>
      </c>
      <c r="J185" s="1">
        <v>0.19400000000000001</v>
      </c>
      <c r="K185" s="1">
        <v>3</v>
      </c>
      <c r="L185" s="1">
        <v>53</v>
      </c>
      <c r="M185" s="6">
        <v>56</v>
      </c>
    </row>
    <row r="186" spans="1:13" ht="15" thickBot="1" x14ac:dyDescent="0.35">
      <c r="A186" s="5">
        <v>804</v>
      </c>
      <c r="B186" s="3">
        <v>40579</v>
      </c>
      <c r="C186" s="1">
        <v>22</v>
      </c>
      <c r="D186" s="2" t="b">
        <v>0</v>
      </c>
      <c r="E186" s="1">
        <v>6</v>
      </c>
      <c r="F186" s="1">
        <v>1</v>
      </c>
      <c r="G186" s="1">
        <v>0.26</v>
      </c>
      <c r="H186" s="1">
        <v>0.2727</v>
      </c>
      <c r="I186" s="1">
        <v>0.93</v>
      </c>
      <c r="J186" s="1">
        <v>0.1343</v>
      </c>
      <c r="K186" s="1">
        <v>2</v>
      </c>
      <c r="L186" s="1">
        <v>43</v>
      </c>
      <c r="M186" s="6">
        <v>45</v>
      </c>
    </row>
    <row r="187" spans="1:13" ht="15" thickBot="1" x14ac:dyDescent="0.35">
      <c r="A187" s="5">
        <v>805</v>
      </c>
      <c r="B187" s="3">
        <v>40579</v>
      </c>
      <c r="C187" s="1">
        <v>23</v>
      </c>
      <c r="D187" s="2" t="b">
        <v>0</v>
      </c>
      <c r="E187" s="1">
        <v>6</v>
      </c>
      <c r="F187" s="1">
        <v>1</v>
      </c>
      <c r="G187" s="1">
        <v>0.26</v>
      </c>
      <c r="H187" s="1">
        <v>0.2576</v>
      </c>
      <c r="I187" s="1">
        <v>0.93</v>
      </c>
      <c r="J187" s="1">
        <v>0.22389999999999999</v>
      </c>
      <c r="K187" s="1">
        <v>7</v>
      </c>
      <c r="L187" s="1">
        <v>52</v>
      </c>
      <c r="M187" s="6">
        <v>59</v>
      </c>
    </row>
    <row r="188" spans="1:13" ht="15" thickBot="1" x14ac:dyDescent="0.35">
      <c r="A188" s="5">
        <v>806</v>
      </c>
      <c r="B188" s="3">
        <v>40580</v>
      </c>
      <c r="C188" s="1">
        <v>0</v>
      </c>
      <c r="D188" s="2" t="b">
        <v>0</v>
      </c>
      <c r="E188" s="1">
        <v>0</v>
      </c>
      <c r="F188" s="1">
        <v>1</v>
      </c>
      <c r="G188" s="1">
        <v>0.26</v>
      </c>
      <c r="H188" s="1">
        <v>0.2576</v>
      </c>
      <c r="I188" s="1">
        <v>0.7</v>
      </c>
      <c r="J188" s="1">
        <v>0.19400000000000001</v>
      </c>
      <c r="K188" s="1">
        <v>2</v>
      </c>
      <c r="L188" s="1">
        <v>37</v>
      </c>
      <c r="M188" s="6">
        <v>39</v>
      </c>
    </row>
    <row r="189" spans="1:13" ht="15" thickBot="1" x14ac:dyDescent="0.35">
      <c r="A189" s="5">
        <v>807</v>
      </c>
      <c r="B189" s="3">
        <v>40580</v>
      </c>
      <c r="C189" s="1">
        <v>1</v>
      </c>
      <c r="D189" s="2" t="b">
        <v>0</v>
      </c>
      <c r="E189" s="1">
        <v>0</v>
      </c>
      <c r="F189" s="1">
        <v>1</v>
      </c>
      <c r="G189" s="1">
        <v>0.26</v>
      </c>
      <c r="H189" s="1">
        <v>0.2273</v>
      </c>
      <c r="I189" s="1">
        <v>0.65</v>
      </c>
      <c r="J189" s="1">
        <v>0.41789999999999999</v>
      </c>
      <c r="K189" s="1">
        <v>4</v>
      </c>
      <c r="L189" s="1">
        <v>40</v>
      </c>
      <c r="M189" s="6">
        <v>44</v>
      </c>
    </row>
    <row r="190" spans="1:13" ht="15" thickBot="1" x14ac:dyDescent="0.35">
      <c r="A190" s="5">
        <v>808</v>
      </c>
      <c r="B190" s="3">
        <v>40580</v>
      </c>
      <c r="C190" s="1">
        <v>2</v>
      </c>
      <c r="D190" s="2" t="b">
        <v>0</v>
      </c>
      <c r="E190" s="1">
        <v>0</v>
      </c>
      <c r="F190" s="1">
        <v>1</v>
      </c>
      <c r="G190" s="1">
        <v>0.26</v>
      </c>
      <c r="H190" s="1">
        <v>0.2273</v>
      </c>
      <c r="I190" s="1">
        <v>0.6</v>
      </c>
      <c r="J190" s="1">
        <v>0.32840000000000003</v>
      </c>
      <c r="K190" s="1">
        <v>0</v>
      </c>
      <c r="L190" s="1">
        <v>20</v>
      </c>
      <c r="M190" s="6">
        <v>20</v>
      </c>
    </row>
    <row r="191" spans="1:13" ht="15" thickBot="1" x14ac:dyDescent="0.35">
      <c r="A191" s="5">
        <v>809</v>
      </c>
      <c r="B191" s="3">
        <v>40580</v>
      </c>
      <c r="C191" s="1">
        <v>3</v>
      </c>
      <c r="D191" s="2" t="b">
        <v>0</v>
      </c>
      <c r="E191" s="1">
        <v>0</v>
      </c>
      <c r="F191" s="1">
        <v>1</v>
      </c>
      <c r="G191" s="1">
        <v>0.26</v>
      </c>
      <c r="H191" s="1">
        <v>0.28789999999999999</v>
      </c>
      <c r="I191" s="1">
        <v>0.6</v>
      </c>
      <c r="J191" s="1">
        <v>8.9599999999999999E-2</v>
      </c>
      <c r="K191" s="1">
        <v>3</v>
      </c>
      <c r="L191" s="1">
        <v>10</v>
      </c>
      <c r="M191" s="6">
        <v>13</v>
      </c>
    </row>
    <row r="192" spans="1:13" ht="15" thickBot="1" x14ac:dyDescent="0.35">
      <c r="A192" s="5">
        <v>810</v>
      </c>
      <c r="B192" s="3">
        <v>40580</v>
      </c>
      <c r="C192" s="1">
        <v>4</v>
      </c>
      <c r="D192" s="2" t="b">
        <v>0</v>
      </c>
      <c r="E192" s="1">
        <v>0</v>
      </c>
      <c r="F192" s="1">
        <v>1</v>
      </c>
      <c r="G192" s="1">
        <v>0.26</v>
      </c>
      <c r="H192" s="1">
        <v>0.2273</v>
      </c>
      <c r="I192" s="1">
        <v>0.6</v>
      </c>
      <c r="J192" s="1">
        <v>0.35820000000000002</v>
      </c>
      <c r="K192" s="1">
        <v>0</v>
      </c>
      <c r="L192" s="1">
        <v>2</v>
      </c>
      <c r="M192" s="6">
        <v>2</v>
      </c>
    </row>
    <row r="193" spans="1:13" ht="15" thickBot="1" x14ac:dyDescent="0.35">
      <c r="A193" s="5">
        <v>811</v>
      </c>
      <c r="B193" s="3">
        <v>40580</v>
      </c>
      <c r="C193" s="1">
        <v>5</v>
      </c>
      <c r="D193" s="2" t="b">
        <v>0</v>
      </c>
      <c r="E193" s="1">
        <v>0</v>
      </c>
      <c r="F193" s="1">
        <v>1</v>
      </c>
      <c r="G193" s="1">
        <v>0.26</v>
      </c>
      <c r="H193" s="1">
        <v>0.2576</v>
      </c>
      <c r="I193" s="1">
        <v>0.6</v>
      </c>
      <c r="J193" s="1">
        <v>0.22389999999999999</v>
      </c>
      <c r="K193" s="1">
        <v>0</v>
      </c>
      <c r="L193" s="1">
        <v>1</v>
      </c>
      <c r="M193" s="6">
        <v>1</v>
      </c>
    </row>
    <row r="194" spans="1:13" ht="15" thickBot="1" x14ac:dyDescent="0.35">
      <c r="A194" s="5">
        <v>812</v>
      </c>
      <c r="B194" s="3">
        <v>40580</v>
      </c>
      <c r="C194" s="1">
        <v>6</v>
      </c>
      <c r="D194" s="2" t="b">
        <v>0</v>
      </c>
      <c r="E194" s="1">
        <v>0</v>
      </c>
      <c r="F194" s="1">
        <v>1</v>
      </c>
      <c r="G194" s="1">
        <v>0.26</v>
      </c>
      <c r="H194" s="1">
        <v>0.2576</v>
      </c>
      <c r="I194" s="1">
        <v>0.6</v>
      </c>
      <c r="J194" s="1">
        <v>0.22389999999999999</v>
      </c>
      <c r="K194" s="1">
        <v>0</v>
      </c>
      <c r="L194" s="1">
        <v>1</v>
      </c>
      <c r="M194" s="6">
        <v>1</v>
      </c>
    </row>
    <row r="195" spans="1:13" ht="15" thickBot="1" x14ac:dyDescent="0.35">
      <c r="A195" s="5">
        <v>813</v>
      </c>
      <c r="B195" s="3">
        <v>40580</v>
      </c>
      <c r="C195" s="1">
        <v>7</v>
      </c>
      <c r="D195" s="2" t="b">
        <v>0</v>
      </c>
      <c r="E195" s="1">
        <v>0</v>
      </c>
      <c r="F195" s="1">
        <v>1</v>
      </c>
      <c r="G195" s="1">
        <v>0.24</v>
      </c>
      <c r="H195" s="1">
        <v>0.2424</v>
      </c>
      <c r="I195" s="1">
        <v>0.65</v>
      </c>
      <c r="J195" s="1">
        <v>0.16420000000000001</v>
      </c>
      <c r="K195" s="1">
        <v>0</v>
      </c>
      <c r="L195" s="1">
        <v>8</v>
      </c>
      <c r="M195" s="6">
        <v>8</v>
      </c>
    </row>
    <row r="196" spans="1:13" ht="15" thickBot="1" x14ac:dyDescent="0.35">
      <c r="A196" s="5">
        <v>814</v>
      </c>
      <c r="B196" s="3">
        <v>40580</v>
      </c>
      <c r="C196" s="1">
        <v>8</v>
      </c>
      <c r="D196" s="2" t="b">
        <v>0</v>
      </c>
      <c r="E196" s="1">
        <v>0</v>
      </c>
      <c r="F196" s="1">
        <v>1</v>
      </c>
      <c r="G196" s="1">
        <v>0.24</v>
      </c>
      <c r="H196" s="1">
        <v>0.2576</v>
      </c>
      <c r="I196" s="1">
        <v>0.65</v>
      </c>
      <c r="J196" s="1">
        <v>0.1045</v>
      </c>
      <c r="K196" s="1">
        <v>2</v>
      </c>
      <c r="L196" s="1">
        <v>21</v>
      </c>
      <c r="M196" s="6">
        <v>23</v>
      </c>
    </row>
    <row r="197" spans="1:13" ht="15" thickBot="1" x14ac:dyDescent="0.35">
      <c r="A197" s="5">
        <v>815</v>
      </c>
      <c r="B197" s="3">
        <v>40580</v>
      </c>
      <c r="C197" s="1">
        <v>9</v>
      </c>
      <c r="D197" s="2" t="b">
        <v>0</v>
      </c>
      <c r="E197" s="1">
        <v>0</v>
      </c>
      <c r="F197" s="1">
        <v>1</v>
      </c>
      <c r="G197" s="1">
        <v>0.28000000000000003</v>
      </c>
      <c r="H197" s="1">
        <v>0.28789999999999999</v>
      </c>
      <c r="I197" s="1">
        <v>0.56000000000000005</v>
      </c>
      <c r="J197" s="1">
        <v>0.1045</v>
      </c>
      <c r="K197" s="1">
        <v>7</v>
      </c>
      <c r="L197" s="1">
        <v>38</v>
      </c>
      <c r="M197" s="6">
        <v>45</v>
      </c>
    </row>
    <row r="198" spans="1:13" ht="15" thickBot="1" x14ac:dyDescent="0.35">
      <c r="A198" s="5">
        <v>816</v>
      </c>
      <c r="B198" s="3">
        <v>40580</v>
      </c>
      <c r="C198" s="1">
        <v>10</v>
      </c>
      <c r="D198" s="2" t="b">
        <v>0</v>
      </c>
      <c r="E198" s="1">
        <v>0</v>
      </c>
      <c r="F198" s="1">
        <v>1</v>
      </c>
      <c r="G198" s="1">
        <v>0.3</v>
      </c>
      <c r="H198" s="1">
        <v>0.28789999999999999</v>
      </c>
      <c r="I198" s="1">
        <v>0.52</v>
      </c>
      <c r="J198" s="1">
        <v>0.25369999999999998</v>
      </c>
      <c r="K198" s="1">
        <v>15</v>
      </c>
      <c r="L198" s="1">
        <v>74</v>
      </c>
      <c r="M198" s="6">
        <v>89</v>
      </c>
    </row>
    <row r="199" spans="1:13" ht="15" thickBot="1" x14ac:dyDescent="0.35">
      <c r="A199" s="5">
        <v>817</v>
      </c>
      <c r="B199" s="3">
        <v>40580</v>
      </c>
      <c r="C199" s="1">
        <v>11</v>
      </c>
      <c r="D199" s="2" t="b">
        <v>0</v>
      </c>
      <c r="E199" s="1">
        <v>0</v>
      </c>
      <c r="F199" s="1">
        <v>1</v>
      </c>
      <c r="G199" s="1">
        <v>0.32</v>
      </c>
      <c r="H199" s="1">
        <v>0.30299999999999999</v>
      </c>
      <c r="I199" s="1">
        <v>0.49</v>
      </c>
      <c r="J199" s="1">
        <v>0.25369999999999998</v>
      </c>
      <c r="K199" s="1">
        <v>28</v>
      </c>
      <c r="L199" s="1">
        <v>89</v>
      </c>
      <c r="M199" s="6">
        <v>117</v>
      </c>
    </row>
    <row r="200" spans="1:13" ht="15" thickBot="1" x14ac:dyDescent="0.35">
      <c r="A200" s="5">
        <v>818</v>
      </c>
      <c r="B200" s="3">
        <v>40580</v>
      </c>
      <c r="C200" s="1">
        <v>12</v>
      </c>
      <c r="D200" s="2" t="b">
        <v>0</v>
      </c>
      <c r="E200" s="1">
        <v>0</v>
      </c>
      <c r="F200" s="1">
        <v>1</v>
      </c>
      <c r="G200" s="1">
        <v>0.34</v>
      </c>
      <c r="H200" s="1">
        <v>0.33329999999999999</v>
      </c>
      <c r="I200" s="1">
        <v>0.46</v>
      </c>
      <c r="J200" s="1">
        <v>0</v>
      </c>
      <c r="K200" s="1">
        <v>48</v>
      </c>
      <c r="L200" s="1">
        <v>126</v>
      </c>
      <c r="M200" s="6">
        <v>174</v>
      </c>
    </row>
    <row r="201" spans="1:13" ht="15" thickBot="1" x14ac:dyDescent="0.35">
      <c r="A201" s="5">
        <v>819</v>
      </c>
      <c r="B201" s="3">
        <v>40580</v>
      </c>
      <c r="C201" s="1">
        <v>13</v>
      </c>
      <c r="D201" s="2" t="b">
        <v>0</v>
      </c>
      <c r="E201" s="1">
        <v>0</v>
      </c>
      <c r="F201" s="1">
        <v>1</v>
      </c>
      <c r="G201" s="1">
        <v>0.34</v>
      </c>
      <c r="H201" s="1">
        <v>0.36359999999999998</v>
      </c>
      <c r="I201" s="1">
        <v>0.46</v>
      </c>
      <c r="J201" s="1">
        <v>0</v>
      </c>
      <c r="K201" s="1">
        <v>47</v>
      </c>
      <c r="L201" s="1">
        <v>135</v>
      </c>
      <c r="M201" s="6">
        <v>182</v>
      </c>
    </row>
    <row r="202" spans="1:13" ht="15" thickBot="1" x14ac:dyDescent="0.35">
      <c r="A202" s="5">
        <v>820</v>
      </c>
      <c r="B202" s="3">
        <v>40580</v>
      </c>
      <c r="C202" s="1">
        <v>14</v>
      </c>
      <c r="D202" s="2" t="b">
        <v>0</v>
      </c>
      <c r="E202" s="1">
        <v>0</v>
      </c>
      <c r="F202" s="1">
        <v>1</v>
      </c>
      <c r="G202" s="1">
        <v>0.34</v>
      </c>
      <c r="H202" s="1">
        <v>0.34849999999999998</v>
      </c>
      <c r="I202" s="1">
        <v>0.46</v>
      </c>
      <c r="J202" s="1">
        <v>8.9599999999999999E-2</v>
      </c>
      <c r="K202" s="1">
        <v>47</v>
      </c>
      <c r="L202" s="1">
        <v>114</v>
      </c>
      <c r="M202" s="6">
        <v>161</v>
      </c>
    </row>
    <row r="203" spans="1:13" ht="15" thickBot="1" x14ac:dyDescent="0.35">
      <c r="A203" s="5">
        <v>821</v>
      </c>
      <c r="B203" s="3">
        <v>40580</v>
      </c>
      <c r="C203" s="1">
        <v>15</v>
      </c>
      <c r="D203" s="2" t="b">
        <v>0</v>
      </c>
      <c r="E203" s="1">
        <v>0</v>
      </c>
      <c r="F203" s="1">
        <v>1</v>
      </c>
      <c r="G203" s="1">
        <v>0.34</v>
      </c>
      <c r="H203" s="1">
        <v>0.34849999999999998</v>
      </c>
      <c r="I203" s="1">
        <v>0.46</v>
      </c>
      <c r="J203" s="1">
        <v>8.9599999999999999E-2</v>
      </c>
      <c r="K203" s="1">
        <v>52</v>
      </c>
      <c r="L203" s="1">
        <v>130</v>
      </c>
      <c r="M203" s="6">
        <v>182</v>
      </c>
    </row>
    <row r="204" spans="1:13" ht="15" thickBot="1" x14ac:dyDescent="0.35">
      <c r="A204" s="5">
        <v>822</v>
      </c>
      <c r="B204" s="3">
        <v>40580</v>
      </c>
      <c r="C204" s="1">
        <v>16</v>
      </c>
      <c r="D204" s="2" t="b">
        <v>0</v>
      </c>
      <c r="E204" s="1">
        <v>0</v>
      </c>
      <c r="F204" s="1">
        <v>1</v>
      </c>
      <c r="G204" s="1">
        <v>0.34</v>
      </c>
      <c r="H204" s="1">
        <v>0.34849999999999998</v>
      </c>
      <c r="I204" s="1">
        <v>0.49</v>
      </c>
      <c r="J204" s="1">
        <v>0.1045</v>
      </c>
      <c r="K204" s="1">
        <v>42</v>
      </c>
      <c r="L204" s="1">
        <v>115</v>
      </c>
      <c r="M204" s="6">
        <v>157</v>
      </c>
    </row>
    <row r="205" spans="1:13" ht="15" thickBot="1" x14ac:dyDescent="0.35">
      <c r="A205" s="5">
        <v>823</v>
      </c>
      <c r="B205" s="3">
        <v>40580</v>
      </c>
      <c r="C205" s="1">
        <v>17</v>
      </c>
      <c r="D205" s="2" t="b">
        <v>0</v>
      </c>
      <c r="E205" s="1">
        <v>0</v>
      </c>
      <c r="F205" s="1">
        <v>1</v>
      </c>
      <c r="G205" s="1">
        <v>0.34</v>
      </c>
      <c r="H205" s="1">
        <v>0.36359999999999998</v>
      </c>
      <c r="I205" s="1">
        <v>0.46</v>
      </c>
      <c r="J205" s="1">
        <v>0</v>
      </c>
      <c r="K205" s="1">
        <v>24</v>
      </c>
      <c r="L205" s="1">
        <v>97</v>
      </c>
      <c r="M205" s="6">
        <v>121</v>
      </c>
    </row>
    <row r="206" spans="1:13" ht="15" thickBot="1" x14ac:dyDescent="0.35">
      <c r="A206" s="5">
        <v>824</v>
      </c>
      <c r="B206" s="3">
        <v>40580</v>
      </c>
      <c r="C206" s="1">
        <v>18</v>
      </c>
      <c r="D206" s="2" t="b">
        <v>0</v>
      </c>
      <c r="E206" s="1">
        <v>0</v>
      </c>
      <c r="F206" s="1">
        <v>1</v>
      </c>
      <c r="G206" s="1">
        <v>0.3</v>
      </c>
      <c r="H206" s="1">
        <v>0.30299999999999999</v>
      </c>
      <c r="I206" s="1">
        <v>0.56000000000000005</v>
      </c>
      <c r="J206" s="1">
        <v>0.16420000000000001</v>
      </c>
      <c r="K206" s="1">
        <v>13</v>
      </c>
      <c r="L206" s="1">
        <v>65</v>
      </c>
      <c r="M206" s="6">
        <v>78</v>
      </c>
    </row>
    <row r="207" spans="1:13" ht="15" thickBot="1" x14ac:dyDescent="0.35">
      <c r="A207" s="5">
        <v>825</v>
      </c>
      <c r="B207" s="3">
        <v>40580</v>
      </c>
      <c r="C207" s="1">
        <v>19</v>
      </c>
      <c r="D207" s="2" t="b">
        <v>0</v>
      </c>
      <c r="E207" s="1">
        <v>0</v>
      </c>
      <c r="F207" s="1">
        <v>1</v>
      </c>
      <c r="G207" s="1">
        <v>0.28000000000000003</v>
      </c>
      <c r="H207" s="1">
        <v>0.28789999999999999</v>
      </c>
      <c r="I207" s="1">
        <v>0.61</v>
      </c>
      <c r="J207" s="1">
        <v>0.1343</v>
      </c>
      <c r="K207" s="1">
        <v>1</v>
      </c>
      <c r="L207" s="1">
        <v>20</v>
      </c>
      <c r="M207" s="6">
        <v>21</v>
      </c>
    </row>
    <row r="208" spans="1:13" ht="15" thickBot="1" x14ac:dyDescent="0.35">
      <c r="A208" s="5">
        <v>826</v>
      </c>
      <c r="B208" s="3">
        <v>40580</v>
      </c>
      <c r="C208" s="1">
        <v>20</v>
      </c>
      <c r="D208" s="2" t="b">
        <v>0</v>
      </c>
      <c r="E208" s="1">
        <v>0</v>
      </c>
      <c r="F208" s="1">
        <v>1</v>
      </c>
      <c r="G208" s="1">
        <v>0.28000000000000003</v>
      </c>
      <c r="H208" s="1">
        <v>0.28789999999999999</v>
      </c>
      <c r="I208" s="1">
        <v>0.61</v>
      </c>
      <c r="J208" s="1">
        <v>0.1045</v>
      </c>
      <c r="K208" s="1">
        <v>5</v>
      </c>
      <c r="L208" s="1">
        <v>21</v>
      </c>
      <c r="M208" s="6">
        <v>26</v>
      </c>
    </row>
    <row r="209" spans="1:13" ht="15" thickBot="1" x14ac:dyDescent="0.35">
      <c r="A209" s="5">
        <v>827</v>
      </c>
      <c r="B209" s="3">
        <v>40580</v>
      </c>
      <c r="C209" s="1">
        <v>21</v>
      </c>
      <c r="D209" s="2" t="b">
        <v>0</v>
      </c>
      <c r="E209" s="1">
        <v>0</v>
      </c>
      <c r="F209" s="1">
        <v>1</v>
      </c>
      <c r="G209" s="1">
        <v>0.26</v>
      </c>
      <c r="H209" s="1">
        <v>0.30299999999999999</v>
      </c>
      <c r="I209" s="1">
        <v>0.6</v>
      </c>
      <c r="J209" s="1">
        <v>0</v>
      </c>
      <c r="K209" s="1">
        <v>5</v>
      </c>
      <c r="L209" s="1">
        <v>22</v>
      </c>
      <c r="M209" s="6">
        <v>27</v>
      </c>
    </row>
    <row r="210" spans="1:13" ht="15" thickBot="1" x14ac:dyDescent="0.35">
      <c r="A210" s="5">
        <v>828</v>
      </c>
      <c r="B210" s="3">
        <v>40580</v>
      </c>
      <c r="C210" s="1">
        <v>22</v>
      </c>
      <c r="D210" s="2" t="b">
        <v>0</v>
      </c>
      <c r="E210" s="1">
        <v>0</v>
      </c>
      <c r="F210" s="1">
        <v>1</v>
      </c>
      <c r="G210" s="1">
        <v>0.26</v>
      </c>
      <c r="H210" s="1">
        <v>0.30299999999999999</v>
      </c>
      <c r="I210" s="1">
        <v>0.6</v>
      </c>
      <c r="J210" s="1">
        <v>0</v>
      </c>
      <c r="K210" s="1">
        <v>5</v>
      </c>
      <c r="L210" s="1">
        <v>57</v>
      </c>
      <c r="M210" s="6">
        <v>62</v>
      </c>
    </row>
    <row r="211" spans="1:13" ht="15" thickBot="1" x14ac:dyDescent="0.35">
      <c r="A211" s="5">
        <v>829</v>
      </c>
      <c r="B211" s="3">
        <v>40580</v>
      </c>
      <c r="C211" s="1">
        <v>23</v>
      </c>
      <c r="D211" s="2" t="b">
        <v>0</v>
      </c>
      <c r="E211" s="1">
        <v>0</v>
      </c>
      <c r="F211" s="1">
        <v>1</v>
      </c>
      <c r="G211" s="1">
        <v>0.24</v>
      </c>
      <c r="H211" s="1">
        <v>0.28789999999999999</v>
      </c>
      <c r="I211" s="1">
        <v>0.65</v>
      </c>
      <c r="J211" s="1">
        <v>0</v>
      </c>
      <c r="K211" s="1">
        <v>4</v>
      </c>
      <c r="L211" s="1">
        <v>26</v>
      </c>
      <c r="M211" s="6">
        <v>30</v>
      </c>
    </row>
    <row r="212" spans="1:13" ht="15" thickBot="1" x14ac:dyDescent="0.35">
      <c r="A212" s="5">
        <v>830</v>
      </c>
      <c r="B212" s="3">
        <v>40581</v>
      </c>
      <c r="C212" s="1">
        <v>0</v>
      </c>
      <c r="D212" s="2" t="b">
        <v>0</v>
      </c>
      <c r="E212" s="1">
        <v>1</v>
      </c>
      <c r="F212" s="1">
        <v>1</v>
      </c>
      <c r="G212" s="1">
        <v>0.24</v>
      </c>
      <c r="H212" s="1">
        <v>0.28789999999999999</v>
      </c>
      <c r="I212" s="1">
        <v>0.65</v>
      </c>
      <c r="J212" s="1">
        <v>0</v>
      </c>
      <c r="K212" s="1">
        <v>1</v>
      </c>
      <c r="L212" s="1">
        <v>14</v>
      </c>
      <c r="M212" s="6">
        <v>15</v>
      </c>
    </row>
    <row r="213" spans="1:13" ht="15" thickBot="1" x14ac:dyDescent="0.35">
      <c r="A213" s="5">
        <v>831</v>
      </c>
      <c r="B213" s="3">
        <v>40581</v>
      </c>
      <c r="C213" s="1">
        <v>1</v>
      </c>
      <c r="D213" s="2" t="b">
        <v>0</v>
      </c>
      <c r="E213" s="1">
        <v>1</v>
      </c>
      <c r="F213" s="1">
        <v>1</v>
      </c>
      <c r="G213" s="1">
        <v>0.22</v>
      </c>
      <c r="H213" s="1">
        <v>0.2727</v>
      </c>
      <c r="I213" s="1">
        <v>0.75</v>
      </c>
      <c r="J213" s="1">
        <v>0</v>
      </c>
      <c r="K213" s="1">
        <v>1</v>
      </c>
      <c r="L213" s="1">
        <v>4</v>
      </c>
      <c r="M213" s="6">
        <v>5</v>
      </c>
    </row>
    <row r="214" spans="1:13" ht="15" thickBot="1" x14ac:dyDescent="0.35">
      <c r="A214" s="5">
        <v>832</v>
      </c>
      <c r="B214" s="3">
        <v>40581</v>
      </c>
      <c r="C214" s="1">
        <v>2</v>
      </c>
      <c r="D214" s="2" t="b">
        <v>0</v>
      </c>
      <c r="E214" s="1">
        <v>1</v>
      </c>
      <c r="F214" s="1">
        <v>1</v>
      </c>
      <c r="G214" s="1">
        <v>0.2</v>
      </c>
      <c r="H214" s="1">
        <v>0.2576</v>
      </c>
      <c r="I214" s="1">
        <v>0.8</v>
      </c>
      <c r="J214" s="1">
        <v>0</v>
      </c>
      <c r="K214" s="1">
        <v>0</v>
      </c>
      <c r="L214" s="1">
        <v>3</v>
      </c>
      <c r="M214" s="6">
        <v>3</v>
      </c>
    </row>
    <row r="215" spans="1:13" ht="15" thickBot="1" x14ac:dyDescent="0.35">
      <c r="A215" s="5">
        <v>833</v>
      </c>
      <c r="B215" s="3">
        <v>40581</v>
      </c>
      <c r="C215" s="1">
        <v>3</v>
      </c>
      <c r="D215" s="2" t="b">
        <v>0</v>
      </c>
      <c r="E215" s="1">
        <v>1</v>
      </c>
      <c r="F215" s="1">
        <v>1</v>
      </c>
      <c r="G215" s="1">
        <v>0.2</v>
      </c>
      <c r="H215" s="1">
        <v>0.2576</v>
      </c>
      <c r="I215" s="1">
        <v>0.86</v>
      </c>
      <c r="J215" s="1">
        <v>0</v>
      </c>
      <c r="K215" s="1">
        <v>0</v>
      </c>
      <c r="L215" s="1">
        <v>1</v>
      </c>
      <c r="M215" s="6">
        <v>1</v>
      </c>
    </row>
    <row r="216" spans="1:13" ht="15" thickBot="1" x14ac:dyDescent="0.35">
      <c r="A216" s="5">
        <v>834</v>
      </c>
      <c r="B216" s="3">
        <v>40581</v>
      </c>
      <c r="C216" s="1">
        <v>4</v>
      </c>
      <c r="D216" s="2" t="b">
        <v>0</v>
      </c>
      <c r="E216" s="1">
        <v>1</v>
      </c>
      <c r="F216" s="1">
        <v>1</v>
      </c>
      <c r="G216" s="1">
        <v>0.2</v>
      </c>
      <c r="H216" s="1">
        <v>0.2576</v>
      </c>
      <c r="I216" s="1">
        <v>0.86</v>
      </c>
      <c r="J216" s="1">
        <v>0</v>
      </c>
      <c r="K216" s="1">
        <v>1</v>
      </c>
      <c r="L216" s="1">
        <v>1</v>
      </c>
      <c r="M216" s="6">
        <v>2</v>
      </c>
    </row>
    <row r="217" spans="1:13" ht="15" thickBot="1" x14ac:dyDescent="0.35">
      <c r="A217" s="5">
        <v>835</v>
      </c>
      <c r="B217" s="3">
        <v>40581</v>
      </c>
      <c r="C217" s="1">
        <v>5</v>
      </c>
      <c r="D217" s="2" t="b">
        <v>0</v>
      </c>
      <c r="E217" s="1">
        <v>1</v>
      </c>
      <c r="F217" s="1">
        <v>1</v>
      </c>
      <c r="G217" s="1">
        <v>0.2</v>
      </c>
      <c r="H217" s="1">
        <v>0.2576</v>
      </c>
      <c r="I217" s="1">
        <v>0.86</v>
      </c>
      <c r="J217" s="1">
        <v>0</v>
      </c>
      <c r="K217" s="1">
        <v>1</v>
      </c>
      <c r="L217" s="1">
        <v>9</v>
      </c>
      <c r="M217" s="6">
        <v>10</v>
      </c>
    </row>
    <row r="218" spans="1:13" ht="15" thickBot="1" x14ac:dyDescent="0.35">
      <c r="A218" s="5">
        <v>836</v>
      </c>
      <c r="B218" s="3">
        <v>40581</v>
      </c>
      <c r="C218" s="1">
        <v>6</v>
      </c>
      <c r="D218" s="2" t="b">
        <v>0</v>
      </c>
      <c r="E218" s="1">
        <v>1</v>
      </c>
      <c r="F218" s="1">
        <v>1</v>
      </c>
      <c r="G218" s="1">
        <v>0.18</v>
      </c>
      <c r="H218" s="1">
        <v>0.2424</v>
      </c>
      <c r="I218" s="1">
        <v>0.93</v>
      </c>
      <c r="J218" s="1">
        <v>0</v>
      </c>
      <c r="K218" s="1">
        <v>1</v>
      </c>
      <c r="L218" s="1">
        <v>29</v>
      </c>
      <c r="M218" s="6">
        <v>30</v>
      </c>
    </row>
    <row r="219" spans="1:13" ht="15" thickBot="1" x14ac:dyDescent="0.35">
      <c r="A219" s="5">
        <v>837</v>
      </c>
      <c r="B219" s="3">
        <v>40581</v>
      </c>
      <c r="C219" s="1">
        <v>7</v>
      </c>
      <c r="D219" s="2" t="b">
        <v>0</v>
      </c>
      <c r="E219" s="1">
        <v>1</v>
      </c>
      <c r="F219" s="1">
        <v>1</v>
      </c>
      <c r="G219" s="1">
        <v>0.18</v>
      </c>
      <c r="H219" s="1">
        <v>0.2424</v>
      </c>
      <c r="I219" s="1">
        <v>0.86</v>
      </c>
      <c r="J219" s="1">
        <v>0</v>
      </c>
      <c r="K219" s="1">
        <v>6</v>
      </c>
      <c r="L219" s="1">
        <v>89</v>
      </c>
      <c r="M219" s="6">
        <v>95</v>
      </c>
    </row>
    <row r="220" spans="1:13" ht="15" thickBot="1" x14ac:dyDescent="0.35">
      <c r="A220" s="5">
        <v>838</v>
      </c>
      <c r="B220" s="3">
        <v>40581</v>
      </c>
      <c r="C220" s="1">
        <v>8</v>
      </c>
      <c r="D220" s="2" t="b">
        <v>0</v>
      </c>
      <c r="E220" s="1">
        <v>1</v>
      </c>
      <c r="F220" s="1">
        <v>2</v>
      </c>
      <c r="G220" s="1">
        <v>0.16</v>
      </c>
      <c r="H220" s="1">
        <v>0.2273</v>
      </c>
      <c r="I220" s="1">
        <v>1</v>
      </c>
      <c r="J220" s="1">
        <v>0</v>
      </c>
      <c r="K220" s="1">
        <v>7</v>
      </c>
      <c r="L220" s="1">
        <v>223</v>
      </c>
      <c r="M220" s="6">
        <v>230</v>
      </c>
    </row>
    <row r="221" spans="1:13" ht="15" thickBot="1" x14ac:dyDescent="0.35">
      <c r="A221" s="5">
        <v>839</v>
      </c>
      <c r="B221" s="3">
        <v>40581</v>
      </c>
      <c r="C221" s="1">
        <v>9</v>
      </c>
      <c r="D221" s="2" t="b">
        <v>0</v>
      </c>
      <c r="E221" s="1">
        <v>1</v>
      </c>
      <c r="F221" s="1">
        <v>1</v>
      </c>
      <c r="G221" s="1">
        <v>0.22</v>
      </c>
      <c r="H221" s="1">
        <v>0.2727</v>
      </c>
      <c r="I221" s="1">
        <v>0.8</v>
      </c>
      <c r="J221" s="1">
        <v>0</v>
      </c>
      <c r="K221" s="1">
        <v>3</v>
      </c>
      <c r="L221" s="1">
        <v>115</v>
      </c>
      <c r="M221" s="6">
        <v>118</v>
      </c>
    </row>
    <row r="222" spans="1:13" ht="15" thickBot="1" x14ac:dyDescent="0.35">
      <c r="A222" s="5">
        <v>840</v>
      </c>
      <c r="B222" s="3">
        <v>40581</v>
      </c>
      <c r="C222" s="1">
        <v>10</v>
      </c>
      <c r="D222" s="2" t="b">
        <v>0</v>
      </c>
      <c r="E222" s="1">
        <v>1</v>
      </c>
      <c r="F222" s="1">
        <v>1</v>
      </c>
      <c r="G222" s="1">
        <v>0.24</v>
      </c>
      <c r="H222" s="1">
        <v>0.2576</v>
      </c>
      <c r="I222" s="1">
        <v>0.75</v>
      </c>
      <c r="J222" s="1">
        <v>0.1045</v>
      </c>
      <c r="K222" s="1">
        <v>6</v>
      </c>
      <c r="L222" s="1">
        <v>49</v>
      </c>
      <c r="M222" s="6">
        <v>55</v>
      </c>
    </row>
    <row r="223" spans="1:13" ht="15" thickBot="1" x14ac:dyDescent="0.35">
      <c r="A223" s="5">
        <v>841</v>
      </c>
      <c r="B223" s="3">
        <v>40581</v>
      </c>
      <c r="C223" s="1">
        <v>11</v>
      </c>
      <c r="D223" s="2" t="b">
        <v>0</v>
      </c>
      <c r="E223" s="1">
        <v>1</v>
      </c>
      <c r="F223" s="1">
        <v>1</v>
      </c>
      <c r="G223" s="1">
        <v>0.3</v>
      </c>
      <c r="H223" s="1">
        <v>0.31819999999999998</v>
      </c>
      <c r="I223" s="1">
        <v>0.65</v>
      </c>
      <c r="J223" s="1">
        <v>8.9599999999999999E-2</v>
      </c>
      <c r="K223" s="1">
        <v>11</v>
      </c>
      <c r="L223" s="1">
        <v>36</v>
      </c>
      <c r="M223" s="6">
        <v>47</v>
      </c>
    </row>
    <row r="224" spans="1:13" ht="15" thickBot="1" x14ac:dyDescent="0.35">
      <c r="A224" s="5">
        <v>842</v>
      </c>
      <c r="B224" s="3">
        <v>40581</v>
      </c>
      <c r="C224" s="1">
        <v>12</v>
      </c>
      <c r="D224" s="2" t="b">
        <v>0</v>
      </c>
      <c r="E224" s="1">
        <v>1</v>
      </c>
      <c r="F224" s="1">
        <v>2</v>
      </c>
      <c r="G224" s="1">
        <v>0.32</v>
      </c>
      <c r="H224" s="1">
        <v>0.34849999999999998</v>
      </c>
      <c r="I224" s="1">
        <v>0.62</v>
      </c>
      <c r="J224" s="1">
        <v>0</v>
      </c>
      <c r="K224" s="1">
        <v>7</v>
      </c>
      <c r="L224" s="1">
        <v>59</v>
      </c>
      <c r="M224" s="6">
        <v>66</v>
      </c>
    </row>
    <row r="225" spans="1:13" ht="15" thickBot="1" x14ac:dyDescent="0.35">
      <c r="A225" s="5">
        <v>843</v>
      </c>
      <c r="B225" s="3">
        <v>40581</v>
      </c>
      <c r="C225" s="1">
        <v>13</v>
      </c>
      <c r="D225" s="2" t="b">
        <v>0</v>
      </c>
      <c r="E225" s="1">
        <v>1</v>
      </c>
      <c r="F225" s="1">
        <v>2</v>
      </c>
      <c r="G225" s="1">
        <v>0.36</v>
      </c>
      <c r="H225" s="1">
        <v>0.36359999999999998</v>
      </c>
      <c r="I225" s="1">
        <v>0.56999999999999995</v>
      </c>
      <c r="J225" s="1">
        <v>8.9599999999999999E-2</v>
      </c>
      <c r="K225" s="1">
        <v>10</v>
      </c>
      <c r="L225" s="1">
        <v>54</v>
      </c>
      <c r="M225" s="6">
        <v>64</v>
      </c>
    </row>
    <row r="226" spans="1:13" ht="15" thickBot="1" x14ac:dyDescent="0.35">
      <c r="A226" s="5">
        <v>844</v>
      </c>
      <c r="B226" s="3">
        <v>40581</v>
      </c>
      <c r="C226" s="1">
        <v>14</v>
      </c>
      <c r="D226" s="2" t="b">
        <v>0</v>
      </c>
      <c r="E226" s="1">
        <v>1</v>
      </c>
      <c r="F226" s="1">
        <v>2</v>
      </c>
      <c r="G226" s="1">
        <v>0.36</v>
      </c>
      <c r="H226" s="1">
        <v>0.36359999999999998</v>
      </c>
      <c r="I226" s="1">
        <v>0.56999999999999995</v>
      </c>
      <c r="J226" s="1">
        <v>8.9599999999999999E-2</v>
      </c>
      <c r="K226" s="1">
        <v>8</v>
      </c>
      <c r="L226" s="1">
        <v>52</v>
      </c>
      <c r="M226" s="6">
        <v>60</v>
      </c>
    </row>
    <row r="227" spans="1:13" ht="15" thickBot="1" x14ac:dyDescent="0.35">
      <c r="A227" s="5">
        <v>845</v>
      </c>
      <c r="B227" s="3">
        <v>40581</v>
      </c>
      <c r="C227" s="1">
        <v>15</v>
      </c>
      <c r="D227" s="2" t="b">
        <v>0</v>
      </c>
      <c r="E227" s="1">
        <v>1</v>
      </c>
      <c r="F227" s="1">
        <v>2</v>
      </c>
      <c r="G227" s="1">
        <v>0.38</v>
      </c>
      <c r="H227" s="1">
        <v>0.39389999999999997</v>
      </c>
      <c r="I227" s="1">
        <v>0.54</v>
      </c>
      <c r="J227" s="1">
        <v>8.9599999999999999E-2</v>
      </c>
      <c r="K227" s="1">
        <v>4</v>
      </c>
      <c r="L227" s="1">
        <v>46</v>
      </c>
      <c r="M227" s="6">
        <v>50</v>
      </c>
    </row>
    <row r="228" spans="1:13" ht="15" thickBot="1" x14ac:dyDescent="0.35">
      <c r="A228" s="5">
        <v>846</v>
      </c>
      <c r="B228" s="3">
        <v>40581</v>
      </c>
      <c r="C228" s="1">
        <v>16</v>
      </c>
      <c r="D228" s="2" t="b">
        <v>0</v>
      </c>
      <c r="E228" s="1">
        <v>1</v>
      </c>
      <c r="F228" s="1">
        <v>2</v>
      </c>
      <c r="G228" s="1">
        <v>0.36</v>
      </c>
      <c r="H228" s="1">
        <v>0.34849999999999998</v>
      </c>
      <c r="I228" s="1">
        <v>0.56999999999999995</v>
      </c>
      <c r="J228" s="1">
        <v>0.1343</v>
      </c>
      <c r="K228" s="1">
        <v>16</v>
      </c>
      <c r="L228" s="1">
        <v>98</v>
      </c>
      <c r="M228" s="6">
        <v>114</v>
      </c>
    </row>
    <row r="229" spans="1:13" ht="15" thickBot="1" x14ac:dyDescent="0.35">
      <c r="A229" s="5">
        <v>847</v>
      </c>
      <c r="B229" s="3">
        <v>40581</v>
      </c>
      <c r="C229" s="1">
        <v>17</v>
      </c>
      <c r="D229" s="2" t="b">
        <v>0</v>
      </c>
      <c r="E229" s="1">
        <v>1</v>
      </c>
      <c r="F229" s="1">
        <v>2</v>
      </c>
      <c r="G229" s="1">
        <v>0.32</v>
      </c>
      <c r="H229" s="1">
        <v>0.31819999999999998</v>
      </c>
      <c r="I229" s="1">
        <v>0.7</v>
      </c>
      <c r="J229" s="1">
        <v>0.16420000000000001</v>
      </c>
      <c r="K229" s="1">
        <v>9</v>
      </c>
      <c r="L229" s="1">
        <v>207</v>
      </c>
      <c r="M229" s="6">
        <v>216</v>
      </c>
    </row>
    <row r="230" spans="1:13" ht="15" thickBot="1" x14ac:dyDescent="0.35">
      <c r="A230" s="5">
        <v>848</v>
      </c>
      <c r="B230" s="3">
        <v>40581</v>
      </c>
      <c r="C230" s="1">
        <v>18</v>
      </c>
      <c r="D230" s="2" t="b">
        <v>0</v>
      </c>
      <c r="E230" s="1">
        <v>1</v>
      </c>
      <c r="F230" s="1">
        <v>2</v>
      </c>
      <c r="G230" s="1">
        <v>0.34</v>
      </c>
      <c r="H230" s="1">
        <v>0.33329999999999999</v>
      </c>
      <c r="I230" s="1">
        <v>0.66</v>
      </c>
      <c r="J230" s="1">
        <v>0.1343</v>
      </c>
      <c r="K230" s="1">
        <v>5</v>
      </c>
      <c r="L230" s="1">
        <v>170</v>
      </c>
      <c r="M230" s="6">
        <v>175</v>
      </c>
    </row>
    <row r="231" spans="1:13" ht="15" thickBot="1" x14ac:dyDescent="0.35">
      <c r="A231" s="5">
        <v>849</v>
      </c>
      <c r="B231" s="3">
        <v>40581</v>
      </c>
      <c r="C231" s="1">
        <v>19</v>
      </c>
      <c r="D231" s="2" t="b">
        <v>0</v>
      </c>
      <c r="E231" s="1">
        <v>1</v>
      </c>
      <c r="F231" s="1">
        <v>2</v>
      </c>
      <c r="G231" s="1">
        <v>0.32</v>
      </c>
      <c r="H231" s="1">
        <v>0.34849999999999998</v>
      </c>
      <c r="I231" s="1">
        <v>0.7</v>
      </c>
      <c r="J231" s="1">
        <v>0</v>
      </c>
      <c r="K231" s="1">
        <v>5</v>
      </c>
      <c r="L231" s="1">
        <v>123</v>
      </c>
      <c r="M231" s="6">
        <v>128</v>
      </c>
    </row>
    <row r="232" spans="1:13" ht="15" thickBot="1" x14ac:dyDescent="0.35">
      <c r="A232" s="5">
        <v>850</v>
      </c>
      <c r="B232" s="3">
        <v>40581</v>
      </c>
      <c r="C232" s="1">
        <v>20</v>
      </c>
      <c r="D232" s="2" t="b">
        <v>0</v>
      </c>
      <c r="E232" s="1">
        <v>1</v>
      </c>
      <c r="F232" s="1">
        <v>2</v>
      </c>
      <c r="G232" s="1">
        <v>0.32</v>
      </c>
      <c r="H232" s="1">
        <v>0.33329999999999999</v>
      </c>
      <c r="I232" s="1">
        <v>0.7</v>
      </c>
      <c r="J232" s="1">
        <v>0.1045</v>
      </c>
      <c r="K232" s="1">
        <v>6</v>
      </c>
      <c r="L232" s="1">
        <v>82</v>
      </c>
      <c r="M232" s="6">
        <v>88</v>
      </c>
    </row>
    <row r="233" spans="1:13" ht="15" thickBot="1" x14ac:dyDescent="0.35">
      <c r="A233" s="5">
        <v>851</v>
      </c>
      <c r="B233" s="3">
        <v>40581</v>
      </c>
      <c r="C233" s="1">
        <v>21</v>
      </c>
      <c r="D233" s="2" t="b">
        <v>0</v>
      </c>
      <c r="E233" s="1">
        <v>1</v>
      </c>
      <c r="F233" s="1">
        <v>1</v>
      </c>
      <c r="G233" s="1">
        <v>0.32</v>
      </c>
      <c r="H233" s="1">
        <v>0.34849999999999998</v>
      </c>
      <c r="I233" s="1">
        <v>0.7</v>
      </c>
      <c r="J233" s="1">
        <v>0</v>
      </c>
      <c r="K233" s="1">
        <v>3</v>
      </c>
      <c r="L233" s="1">
        <v>75</v>
      </c>
      <c r="M233" s="6">
        <v>78</v>
      </c>
    </row>
    <row r="234" spans="1:13" ht="15" thickBot="1" x14ac:dyDescent="0.35">
      <c r="A234" s="5">
        <v>852</v>
      </c>
      <c r="B234" s="3">
        <v>40581</v>
      </c>
      <c r="C234" s="1">
        <v>22</v>
      </c>
      <c r="D234" s="2" t="b">
        <v>0</v>
      </c>
      <c r="E234" s="1">
        <v>1</v>
      </c>
      <c r="F234" s="1">
        <v>1</v>
      </c>
      <c r="G234" s="1">
        <v>0.28000000000000003</v>
      </c>
      <c r="H234" s="1">
        <v>0.30299999999999999</v>
      </c>
      <c r="I234" s="1">
        <v>0.81</v>
      </c>
      <c r="J234" s="1">
        <v>8.9599999999999999E-2</v>
      </c>
      <c r="K234" s="1">
        <v>3</v>
      </c>
      <c r="L234" s="1">
        <v>34</v>
      </c>
      <c r="M234" s="6">
        <v>37</v>
      </c>
    </row>
    <row r="235" spans="1:13" ht="15" thickBot="1" x14ac:dyDescent="0.35">
      <c r="A235" s="5">
        <v>853</v>
      </c>
      <c r="B235" s="3">
        <v>40581</v>
      </c>
      <c r="C235" s="1">
        <v>23</v>
      </c>
      <c r="D235" s="2" t="b">
        <v>0</v>
      </c>
      <c r="E235" s="1">
        <v>1</v>
      </c>
      <c r="F235" s="1">
        <v>2</v>
      </c>
      <c r="G235" s="1">
        <v>0.3</v>
      </c>
      <c r="H235" s="1">
        <v>0.33329999999999999</v>
      </c>
      <c r="I235" s="1">
        <v>0.81</v>
      </c>
      <c r="J235" s="1">
        <v>0</v>
      </c>
      <c r="K235" s="1">
        <v>6</v>
      </c>
      <c r="L235" s="1">
        <v>19</v>
      </c>
      <c r="M235" s="6">
        <v>25</v>
      </c>
    </row>
    <row r="236" spans="1:13" ht="15" thickBot="1" x14ac:dyDescent="0.35">
      <c r="A236" s="5">
        <v>854</v>
      </c>
      <c r="B236" s="3">
        <v>40582</v>
      </c>
      <c r="C236" s="1">
        <v>0</v>
      </c>
      <c r="D236" s="2" t="b">
        <v>0</v>
      </c>
      <c r="E236" s="1">
        <v>2</v>
      </c>
      <c r="F236" s="1">
        <v>2</v>
      </c>
      <c r="G236" s="1">
        <v>0.28000000000000003</v>
      </c>
      <c r="H236" s="1">
        <v>0.31819999999999998</v>
      </c>
      <c r="I236" s="1">
        <v>0.87</v>
      </c>
      <c r="J236" s="1">
        <v>0</v>
      </c>
      <c r="K236" s="1">
        <v>4</v>
      </c>
      <c r="L236" s="1">
        <v>6</v>
      </c>
      <c r="M236" s="6">
        <v>10</v>
      </c>
    </row>
    <row r="237" spans="1:13" ht="15" thickBot="1" x14ac:dyDescent="0.35">
      <c r="A237" s="5">
        <v>855</v>
      </c>
      <c r="B237" s="3">
        <v>40582</v>
      </c>
      <c r="C237" s="1">
        <v>1</v>
      </c>
      <c r="D237" s="2" t="b">
        <v>0</v>
      </c>
      <c r="E237" s="1">
        <v>2</v>
      </c>
      <c r="F237" s="1">
        <v>2</v>
      </c>
      <c r="G237" s="1">
        <v>0.28000000000000003</v>
      </c>
      <c r="H237" s="1">
        <v>0.31819999999999998</v>
      </c>
      <c r="I237" s="1">
        <v>0.87</v>
      </c>
      <c r="J237" s="1">
        <v>0</v>
      </c>
      <c r="K237" s="1">
        <v>0</v>
      </c>
      <c r="L237" s="1">
        <v>4</v>
      </c>
      <c r="M237" s="6">
        <v>4</v>
      </c>
    </row>
    <row r="238" spans="1:13" ht="15" thickBot="1" x14ac:dyDescent="0.35">
      <c r="A238" s="5">
        <v>856</v>
      </c>
      <c r="B238" s="3">
        <v>40582</v>
      </c>
      <c r="C238" s="1">
        <v>2</v>
      </c>
      <c r="D238" s="2" t="b">
        <v>0</v>
      </c>
      <c r="E238" s="1">
        <v>2</v>
      </c>
      <c r="F238" s="1">
        <v>2</v>
      </c>
      <c r="G238" s="1">
        <v>0.26</v>
      </c>
      <c r="H238" s="1">
        <v>0.2727</v>
      </c>
      <c r="I238" s="1">
        <v>0.93</v>
      </c>
      <c r="J238" s="1">
        <v>0.1045</v>
      </c>
      <c r="K238" s="1">
        <v>1</v>
      </c>
      <c r="L238" s="1">
        <v>1</v>
      </c>
      <c r="M238" s="6">
        <v>2</v>
      </c>
    </row>
    <row r="239" spans="1:13" ht="15" thickBot="1" x14ac:dyDescent="0.35">
      <c r="A239" s="5">
        <v>857</v>
      </c>
      <c r="B239" s="3">
        <v>40582</v>
      </c>
      <c r="C239" s="1">
        <v>3</v>
      </c>
      <c r="D239" s="2" t="b">
        <v>0</v>
      </c>
      <c r="E239" s="1">
        <v>2</v>
      </c>
      <c r="F239" s="1">
        <v>3</v>
      </c>
      <c r="G239" s="1">
        <v>0.28000000000000003</v>
      </c>
      <c r="H239" s="1">
        <v>0.2727</v>
      </c>
      <c r="I239" s="1">
        <v>0.93</v>
      </c>
      <c r="J239" s="1">
        <v>0.16420000000000001</v>
      </c>
      <c r="K239" s="1">
        <v>0</v>
      </c>
      <c r="L239" s="1">
        <v>1</v>
      </c>
      <c r="M239" s="6">
        <v>1</v>
      </c>
    </row>
    <row r="240" spans="1:13" ht="15" thickBot="1" x14ac:dyDescent="0.35">
      <c r="A240" s="5">
        <v>858</v>
      </c>
      <c r="B240" s="3">
        <v>40582</v>
      </c>
      <c r="C240" s="1">
        <v>4</v>
      </c>
      <c r="D240" s="2" t="b">
        <v>0</v>
      </c>
      <c r="E240" s="1">
        <v>2</v>
      </c>
      <c r="F240" s="1">
        <v>1</v>
      </c>
      <c r="G240" s="1">
        <v>0.26</v>
      </c>
      <c r="H240" s="1">
        <v>0.2576</v>
      </c>
      <c r="I240" s="1">
        <v>0.93</v>
      </c>
      <c r="J240" s="1">
        <v>0.16420000000000001</v>
      </c>
      <c r="K240" s="1">
        <v>0</v>
      </c>
      <c r="L240" s="1">
        <v>3</v>
      </c>
      <c r="M240" s="6">
        <v>3</v>
      </c>
    </row>
    <row r="241" spans="1:13" ht="15" thickBot="1" x14ac:dyDescent="0.35">
      <c r="A241" s="5">
        <v>859</v>
      </c>
      <c r="B241" s="3">
        <v>40582</v>
      </c>
      <c r="C241" s="1">
        <v>5</v>
      </c>
      <c r="D241" s="2" t="b">
        <v>0</v>
      </c>
      <c r="E241" s="1">
        <v>2</v>
      </c>
      <c r="F241" s="1">
        <v>1</v>
      </c>
      <c r="G241" s="1">
        <v>0.26</v>
      </c>
      <c r="H241" s="1">
        <v>0.2273</v>
      </c>
      <c r="I241" s="1">
        <v>0.81</v>
      </c>
      <c r="J241" s="1">
        <v>0.32840000000000003</v>
      </c>
      <c r="K241" s="1">
        <v>0</v>
      </c>
      <c r="L241" s="1">
        <v>2</v>
      </c>
      <c r="M241" s="6">
        <v>2</v>
      </c>
    </row>
    <row r="242" spans="1:13" ht="15" thickBot="1" x14ac:dyDescent="0.35">
      <c r="A242" s="5">
        <v>860</v>
      </c>
      <c r="B242" s="3">
        <v>40582</v>
      </c>
      <c r="C242" s="1">
        <v>6</v>
      </c>
      <c r="D242" s="2" t="b">
        <v>0</v>
      </c>
      <c r="E242" s="1">
        <v>2</v>
      </c>
      <c r="F242" s="1">
        <v>1</v>
      </c>
      <c r="G242" s="1">
        <v>0.26</v>
      </c>
      <c r="H242" s="1">
        <v>0.2273</v>
      </c>
      <c r="I242" s="1">
        <v>0.7</v>
      </c>
      <c r="J242" s="1">
        <v>0.32840000000000003</v>
      </c>
      <c r="K242" s="1">
        <v>0</v>
      </c>
      <c r="L242" s="1">
        <v>39</v>
      </c>
      <c r="M242" s="6">
        <v>39</v>
      </c>
    </row>
    <row r="243" spans="1:13" ht="15" thickBot="1" x14ac:dyDescent="0.35">
      <c r="A243" s="5">
        <v>861</v>
      </c>
      <c r="B243" s="3">
        <v>40582</v>
      </c>
      <c r="C243" s="1">
        <v>7</v>
      </c>
      <c r="D243" s="2" t="b">
        <v>0</v>
      </c>
      <c r="E243" s="1">
        <v>2</v>
      </c>
      <c r="F243" s="1">
        <v>1</v>
      </c>
      <c r="G243" s="1">
        <v>0.24</v>
      </c>
      <c r="H243" s="1">
        <v>0.19700000000000001</v>
      </c>
      <c r="I243" s="1">
        <v>0.65</v>
      </c>
      <c r="J243" s="1">
        <v>0.41789999999999999</v>
      </c>
      <c r="K243" s="1">
        <v>3</v>
      </c>
      <c r="L243" s="1">
        <v>97</v>
      </c>
      <c r="M243" s="6">
        <v>100</v>
      </c>
    </row>
    <row r="244" spans="1:13" ht="15" thickBot="1" x14ac:dyDescent="0.35">
      <c r="A244" s="5">
        <v>862</v>
      </c>
      <c r="B244" s="3">
        <v>40582</v>
      </c>
      <c r="C244" s="1">
        <v>8</v>
      </c>
      <c r="D244" s="2" t="b">
        <v>0</v>
      </c>
      <c r="E244" s="1">
        <v>2</v>
      </c>
      <c r="F244" s="1">
        <v>1</v>
      </c>
      <c r="G244" s="1">
        <v>0.24</v>
      </c>
      <c r="H244" s="1">
        <v>0.19700000000000001</v>
      </c>
      <c r="I244" s="1">
        <v>0.56000000000000005</v>
      </c>
      <c r="J244" s="1">
        <v>0.49249999999999999</v>
      </c>
      <c r="K244" s="1">
        <v>7</v>
      </c>
      <c r="L244" s="1">
        <v>236</v>
      </c>
      <c r="M244" s="6">
        <v>243</v>
      </c>
    </row>
    <row r="245" spans="1:13" ht="15" thickBot="1" x14ac:dyDescent="0.35">
      <c r="A245" s="5">
        <v>863</v>
      </c>
      <c r="B245" s="3">
        <v>40582</v>
      </c>
      <c r="C245" s="1">
        <v>9</v>
      </c>
      <c r="D245" s="2" t="b">
        <v>0</v>
      </c>
      <c r="E245" s="1">
        <v>2</v>
      </c>
      <c r="F245" s="1">
        <v>1</v>
      </c>
      <c r="G245" s="1">
        <v>0.24</v>
      </c>
      <c r="H245" s="1">
        <v>0.19700000000000001</v>
      </c>
      <c r="I245" s="1">
        <v>0.52</v>
      </c>
      <c r="J245" s="1">
        <v>0.49249999999999999</v>
      </c>
      <c r="K245" s="1">
        <v>7</v>
      </c>
      <c r="L245" s="1">
        <v>128</v>
      </c>
      <c r="M245" s="6">
        <v>135</v>
      </c>
    </row>
    <row r="246" spans="1:13" ht="15" thickBot="1" x14ac:dyDescent="0.35">
      <c r="A246" s="5">
        <v>864</v>
      </c>
      <c r="B246" s="3">
        <v>40582</v>
      </c>
      <c r="C246" s="1">
        <v>10</v>
      </c>
      <c r="D246" s="2" t="b">
        <v>0</v>
      </c>
      <c r="E246" s="1">
        <v>2</v>
      </c>
      <c r="F246" s="1">
        <v>1</v>
      </c>
      <c r="G246" s="1">
        <v>0.22</v>
      </c>
      <c r="H246" s="1">
        <v>0.18179999999999999</v>
      </c>
      <c r="I246" s="1">
        <v>0.47</v>
      </c>
      <c r="J246" s="1">
        <v>0.55220000000000002</v>
      </c>
      <c r="K246" s="1">
        <v>4</v>
      </c>
      <c r="L246" s="1">
        <v>44</v>
      </c>
      <c r="M246" s="6">
        <v>48</v>
      </c>
    </row>
    <row r="247" spans="1:13" ht="15" thickBot="1" x14ac:dyDescent="0.35">
      <c r="A247" s="5">
        <v>865</v>
      </c>
      <c r="B247" s="3">
        <v>40582</v>
      </c>
      <c r="C247" s="1">
        <v>11</v>
      </c>
      <c r="D247" s="2" t="b">
        <v>0</v>
      </c>
      <c r="E247" s="1">
        <v>2</v>
      </c>
      <c r="F247" s="1">
        <v>1</v>
      </c>
      <c r="G247" s="1">
        <v>0.22</v>
      </c>
      <c r="H247" s="1">
        <v>0.18179999999999999</v>
      </c>
      <c r="I247" s="1">
        <v>0.47</v>
      </c>
      <c r="J247" s="1">
        <v>0.4627</v>
      </c>
      <c r="K247" s="1">
        <v>1</v>
      </c>
      <c r="L247" s="1">
        <v>49</v>
      </c>
      <c r="M247" s="6">
        <v>50</v>
      </c>
    </row>
    <row r="248" spans="1:13" ht="15" thickBot="1" x14ac:dyDescent="0.35">
      <c r="A248" s="5">
        <v>866</v>
      </c>
      <c r="B248" s="3">
        <v>40582</v>
      </c>
      <c r="C248" s="1">
        <v>12</v>
      </c>
      <c r="D248" s="2" t="b">
        <v>0</v>
      </c>
      <c r="E248" s="1">
        <v>2</v>
      </c>
      <c r="F248" s="1">
        <v>1</v>
      </c>
      <c r="G248" s="1">
        <v>0.24</v>
      </c>
      <c r="H248" s="1">
        <v>0.19700000000000001</v>
      </c>
      <c r="I248" s="1">
        <v>0.38</v>
      </c>
      <c r="J248" s="1">
        <v>0.49249999999999999</v>
      </c>
      <c r="K248" s="1">
        <v>2</v>
      </c>
      <c r="L248" s="1">
        <v>63</v>
      </c>
      <c r="M248" s="6">
        <v>65</v>
      </c>
    </row>
    <row r="249" spans="1:13" ht="15" thickBot="1" x14ac:dyDescent="0.35">
      <c r="A249" s="5">
        <v>867</v>
      </c>
      <c r="B249" s="3">
        <v>40582</v>
      </c>
      <c r="C249" s="1">
        <v>13</v>
      </c>
      <c r="D249" s="2" t="b">
        <v>0</v>
      </c>
      <c r="E249" s="1">
        <v>2</v>
      </c>
      <c r="F249" s="1">
        <v>2</v>
      </c>
      <c r="G249" s="1">
        <v>0.24</v>
      </c>
      <c r="H249" s="1">
        <v>0.19700000000000001</v>
      </c>
      <c r="I249" s="1">
        <v>0.32</v>
      </c>
      <c r="J249" s="1">
        <v>0.44779999999999998</v>
      </c>
      <c r="K249" s="1">
        <v>2</v>
      </c>
      <c r="L249" s="1">
        <v>48</v>
      </c>
      <c r="M249" s="6">
        <v>50</v>
      </c>
    </row>
    <row r="250" spans="1:13" ht="15" thickBot="1" x14ac:dyDescent="0.35">
      <c r="A250" s="5">
        <v>868</v>
      </c>
      <c r="B250" s="3">
        <v>40582</v>
      </c>
      <c r="C250" s="1">
        <v>14</v>
      </c>
      <c r="D250" s="2" t="b">
        <v>0</v>
      </c>
      <c r="E250" s="1">
        <v>2</v>
      </c>
      <c r="F250" s="1">
        <v>1</v>
      </c>
      <c r="G250" s="1">
        <v>0.22</v>
      </c>
      <c r="H250" s="1">
        <v>0.19700000000000001</v>
      </c>
      <c r="I250" s="1">
        <v>0.37</v>
      </c>
      <c r="J250" s="1">
        <v>0.41789999999999999</v>
      </c>
      <c r="K250" s="1">
        <v>3</v>
      </c>
      <c r="L250" s="1">
        <v>61</v>
      </c>
      <c r="M250" s="6">
        <v>64</v>
      </c>
    </row>
    <row r="251" spans="1:13" ht="15" thickBot="1" x14ac:dyDescent="0.35">
      <c r="A251" s="5">
        <v>869</v>
      </c>
      <c r="B251" s="3">
        <v>40582</v>
      </c>
      <c r="C251" s="1">
        <v>15</v>
      </c>
      <c r="D251" s="2" t="b">
        <v>0</v>
      </c>
      <c r="E251" s="1">
        <v>2</v>
      </c>
      <c r="F251" s="1">
        <v>1</v>
      </c>
      <c r="G251" s="1">
        <v>0.22</v>
      </c>
      <c r="H251" s="1">
        <v>0.19700000000000001</v>
      </c>
      <c r="I251" s="1">
        <v>0.35</v>
      </c>
      <c r="J251" s="1">
        <v>0.3881</v>
      </c>
      <c r="K251" s="1">
        <v>6</v>
      </c>
      <c r="L251" s="1">
        <v>45</v>
      </c>
      <c r="M251" s="6">
        <v>51</v>
      </c>
    </row>
    <row r="252" spans="1:13" ht="15" thickBot="1" x14ac:dyDescent="0.35">
      <c r="A252" s="5">
        <v>870</v>
      </c>
      <c r="B252" s="3">
        <v>40582</v>
      </c>
      <c r="C252" s="1">
        <v>16</v>
      </c>
      <c r="D252" s="2" t="b">
        <v>0</v>
      </c>
      <c r="E252" s="1">
        <v>2</v>
      </c>
      <c r="F252" s="1">
        <v>1</v>
      </c>
      <c r="G252" s="1">
        <v>0.22</v>
      </c>
      <c r="H252" s="1">
        <v>0.18179999999999999</v>
      </c>
      <c r="I252" s="1">
        <v>0.35</v>
      </c>
      <c r="J252" s="1">
        <v>0.52239999999999998</v>
      </c>
      <c r="K252" s="1">
        <v>4</v>
      </c>
      <c r="L252" s="1">
        <v>79</v>
      </c>
      <c r="M252" s="6">
        <v>83</v>
      </c>
    </row>
    <row r="253" spans="1:13" ht="15" thickBot="1" x14ac:dyDescent="0.35">
      <c r="A253" s="5">
        <v>871</v>
      </c>
      <c r="B253" s="3">
        <v>40582</v>
      </c>
      <c r="C253" s="1">
        <v>17</v>
      </c>
      <c r="D253" s="2" t="b">
        <v>0</v>
      </c>
      <c r="E253" s="1">
        <v>2</v>
      </c>
      <c r="F253" s="1">
        <v>1</v>
      </c>
      <c r="G253" s="1">
        <v>0.22</v>
      </c>
      <c r="H253" s="1">
        <v>0.18179999999999999</v>
      </c>
      <c r="I253" s="1">
        <v>0.32</v>
      </c>
      <c r="J253" s="1">
        <v>0.58209999999999995</v>
      </c>
      <c r="K253" s="1">
        <v>4</v>
      </c>
      <c r="L253" s="1">
        <v>172</v>
      </c>
      <c r="M253" s="6">
        <v>176</v>
      </c>
    </row>
    <row r="254" spans="1:13" ht="15" thickBot="1" x14ac:dyDescent="0.35">
      <c r="A254" s="5">
        <v>872</v>
      </c>
      <c r="B254" s="3">
        <v>40582</v>
      </c>
      <c r="C254" s="1">
        <v>18</v>
      </c>
      <c r="D254" s="2" t="b">
        <v>0</v>
      </c>
      <c r="E254" s="1">
        <v>2</v>
      </c>
      <c r="F254" s="1">
        <v>1</v>
      </c>
      <c r="G254" s="1">
        <v>0.2</v>
      </c>
      <c r="H254" s="1">
        <v>0.18179999999999999</v>
      </c>
      <c r="I254" s="1">
        <v>0.32</v>
      </c>
      <c r="J254" s="1">
        <v>0.3881</v>
      </c>
      <c r="K254" s="1">
        <v>1</v>
      </c>
      <c r="L254" s="1">
        <v>151</v>
      </c>
      <c r="M254" s="6">
        <v>152</v>
      </c>
    </row>
    <row r="255" spans="1:13" ht="15" thickBot="1" x14ac:dyDescent="0.35">
      <c r="A255" s="5">
        <v>873</v>
      </c>
      <c r="B255" s="3">
        <v>40582</v>
      </c>
      <c r="C255" s="1">
        <v>19</v>
      </c>
      <c r="D255" s="2" t="b">
        <v>0</v>
      </c>
      <c r="E255" s="1">
        <v>2</v>
      </c>
      <c r="F255" s="1">
        <v>1</v>
      </c>
      <c r="G255" s="1">
        <v>0.16</v>
      </c>
      <c r="H255" s="1">
        <v>0.1212</v>
      </c>
      <c r="I255" s="1">
        <v>0.4</v>
      </c>
      <c r="J255" s="1">
        <v>0.4627</v>
      </c>
      <c r="K255" s="1">
        <v>1</v>
      </c>
      <c r="L255" s="1">
        <v>100</v>
      </c>
      <c r="M255" s="6">
        <v>101</v>
      </c>
    </row>
    <row r="256" spans="1:13" ht="15" thickBot="1" x14ac:dyDescent="0.35">
      <c r="A256" s="5">
        <v>874</v>
      </c>
      <c r="B256" s="3">
        <v>40582</v>
      </c>
      <c r="C256" s="1">
        <v>20</v>
      </c>
      <c r="D256" s="2" t="b">
        <v>0</v>
      </c>
      <c r="E256" s="1">
        <v>2</v>
      </c>
      <c r="F256" s="1">
        <v>1</v>
      </c>
      <c r="G256" s="1">
        <v>0.16</v>
      </c>
      <c r="H256" s="1">
        <v>0.13639999999999999</v>
      </c>
      <c r="I256" s="1">
        <v>0.4</v>
      </c>
      <c r="J256" s="1">
        <v>0.32840000000000003</v>
      </c>
      <c r="K256" s="1">
        <v>3</v>
      </c>
      <c r="L256" s="1">
        <v>53</v>
      </c>
      <c r="M256" s="6">
        <v>56</v>
      </c>
    </row>
    <row r="257" spans="1:13" ht="15" thickBot="1" x14ac:dyDescent="0.35">
      <c r="A257" s="5">
        <v>875</v>
      </c>
      <c r="B257" s="3">
        <v>40582</v>
      </c>
      <c r="C257" s="1">
        <v>21</v>
      </c>
      <c r="D257" s="2" t="b">
        <v>0</v>
      </c>
      <c r="E257" s="1">
        <v>2</v>
      </c>
      <c r="F257" s="1">
        <v>1</v>
      </c>
      <c r="G257" s="1">
        <v>0.14000000000000001</v>
      </c>
      <c r="H257" s="1">
        <v>0.1061</v>
      </c>
      <c r="I257" s="1">
        <v>0.33</v>
      </c>
      <c r="J257" s="1">
        <v>0.4627</v>
      </c>
      <c r="K257" s="1">
        <v>8</v>
      </c>
      <c r="L257" s="1">
        <v>46</v>
      </c>
      <c r="M257" s="6">
        <v>54</v>
      </c>
    </row>
    <row r="258" spans="1:13" ht="15" thickBot="1" x14ac:dyDescent="0.35">
      <c r="A258" s="5">
        <v>876</v>
      </c>
      <c r="B258" s="3">
        <v>40582</v>
      </c>
      <c r="C258" s="1">
        <v>22</v>
      </c>
      <c r="D258" s="2" t="b">
        <v>0</v>
      </c>
      <c r="E258" s="1">
        <v>2</v>
      </c>
      <c r="F258" s="1">
        <v>1</v>
      </c>
      <c r="G258" s="1">
        <v>0.12</v>
      </c>
      <c r="H258" s="1">
        <v>0.1061</v>
      </c>
      <c r="I258" s="1">
        <v>0.33</v>
      </c>
      <c r="J258" s="1">
        <v>0.35820000000000002</v>
      </c>
      <c r="K258" s="1">
        <v>0</v>
      </c>
      <c r="L258" s="1">
        <v>29</v>
      </c>
      <c r="M258" s="6">
        <v>29</v>
      </c>
    </row>
    <row r="259" spans="1:13" ht="15" thickBot="1" x14ac:dyDescent="0.35">
      <c r="A259" s="5">
        <v>877</v>
      </c>
      <c r="B259" s="3">
        <v>40582</v>
      </c>
      <c r="C259" s="1">
        <v>23</v>
      </c>
      <c r="D259" s="2" t="b">
        <v>0</v>
      </c>
      <c r="E259" s="1">
        <v>2</v>
      </c>
      <c r="F259" s="1">
        <v>1</v>
      </c>
      <c r="G259" s="1">
        <v>0.12</v>
      </c>
      <c r="H259" s="1">
        <v>0.1061</v>
      </c>
      <c r="I259" s="1">
        <v>0.33</v>
      </c>
      <c r="J259" s="1">
        <v>0.32840000000000003</v>
      </c>
      <c r="K259" s="1">
        <v>3</v>
      </c>
      <c r="L259" s="1">
        <v>9</v>
      </c>
      <c r="M259" s="6">
        <v>12</v>
      </c>
    </row>
    <row r="260" spans="1:13" ht="15" thickBot="1" x14ac:dyDescent="0.35">
      <c r="A260" s="5">
        <v>878</v>
      </c>
      <c r="B260" s="3">
        <v>40583</v>
      </c>
      <c r="C260" s="1">
        <v>0</v>
      </c>
      <c r="D260" s="2" t="b">
        <v>0</v>
      </c>
      <c r="E260" s="1">
        <v>3</v>
      </c>
      <c r="F260" s="1">
        <v>1</v>
      </c>
      <c r="G260" s="1">
        <v>0.1</v>
      </c>
      <c r="H260" s="1">
        <v>7.5800000000000006E-2</v>
      </c>
      <c r="I260" s="1">
        <v>0.36</v>
      </c>
      <c r="J260" s="1">
        <v>0.35820000000000002</v>
      </c>
      <c r="K260" s="1">
        <v>0</v>
      </c>
      <c r="L260" s="1">
        <v>17</v>
      </c>
      <c r="M260" s="6">
        <v>17</v>
      </c>
    </row>
    <row r="261" spans="1:13" ht="15" thickBot="1" x14ac:dyDescent="0.35">
      <c r="A261" s="5">
        <v>879</v>
      </c>
      <c r="B261" s="3">
        <v>40583</v>
      </c>
      <c r="C261" s="1">
        <v>1</v>
      </c>
      <c r="D261" s="2" t="b">
        <v>0</v>
      </c>
      <c r="E261" s="1">
        <v>3</v>
      </c>
      <c r="F261" s="1">
        <v>1</v>
      </c>
      <c r="G261" s="1">
        <v>0.1</v>
      </c>
      <c r="H261" s="1">
        <v>0.1061</v>
      </c>
      <c r="I261" s="1">
        <v>0.36</v>
      </c>
      <c r="J261" s="1">
        <v>0.22389999999999999</v>
      </c>
      <c r="K261" s="1">
        <v>0</v>
      </c>
      <c r="L261" s="1">
        <v>7</v>
      </c>
      <c r="M261" s="6">
        <v>7</v>
      </c>
    </row>
    <row r="262" spans="1:13" ht="15" thickBot="1" x14ac:dyDescent="0.35">
      <c r="A262" s="5">
        <v>880</v>
      </c>
      <c r="B262" s="3">
        <v>40583</v>
      </c>
      <c r="C262" s="1">
        <v>2</v>
      </c>
      <c r="D262" s="2" t="b">
        <v>0</v>
      </c>
      <c r="E262" s="1">
        <v>3</v>
      </c>
      <c r="F262" s="1">
        <v>1</v>
      </c>
      <c r="G262" s="1">
        <v>0.08</v>
      </c>
      <c r="H262" s="1">
        <v>7.5800000000000006E-2</v>
      </c>
      <c r="I262" s="1">
        <v>0.38</v>
      </c>
      <c r="J262" s="1">
        <v>0.28360000000000002</v>
      </c>
      <c r="K262" s="1">
        <v>1</v>
      </c>
      <c r="L262" s="1">
        <v>2</v>
      </c>
      <c r="M262" s="6">
        <v>3</v>
      </c>
    </row>
    <row r="263" spans="1:13" ht="15" thickBot="1" x14ac:dyDescent="0.35">
      <c r="A263" s="5">
        <v>881</v>
      </c>
      <c r="B263" s="3">
        <v>40583</v>
      </c>
      <c r="C263" s="1">
        <v>3</v>
      </c>
      <c r="D263" s="2" t="b">
        <v>0</v>
      </c>
      <c r="E263" s="1">
        <v>3</v>
      </c>
      <c r="F263" s="1">
        <v>1</v>
      </c>
      <c r="G263" s="1">
        <v>0.06</v>
      </c>
      <c r="H263" s="1">
        <v>7.5800000000000006E-2</v>
      </c>
      <c r="I263" s="1">
        <v>0.45</v>
      </c>
      <c r="J263" s="1">
        <v>0.1343</v>
      </c>
      <c r="K263" s="1">
        <v>0</v>
      </c>
      <c r="L263" s="1">
        <v>2</v>
      </c>
      <c r="M263" s="6">
        <v>2</v>
      </c>
    </row>
    <row r="264" spans="1:13" ht="15" thickBot="1" x14ac:dyDescent="0.35">
      <c r="A264" s="5">
        <v>882</v>
      </c>
      <c r="B264" s="3">
        <v>40583</v>
      </c>
      <c r="C264" s="1">
        <v>5</v>
      </c>
      <c r="D264" s="2" t="b">
        <v>0</v>
      </c>
      <c r="E264" s="1">
        <v>3</v>
      </c>
      <c r="F264" s="1">
        <v>1</v>
      </c>
      <c r="G264" s="1">
        <v>0.06</v>
      </c>
      <c r="H264" s="1">
        <v>0.1061</v>
      </c>
      <c r="I264" s="1">
        <v>0.45</v>
      </c>
      <c r="J264" s="1">
        <v>0.1045</v>
      </c>
      <c r="K264" s="1">
        <v>0</v>
      </c>
      <c r="L264" s="1">
        <v>7</v>
      </c>
      <c r="M264" s="6">
        <v>7</v>
      </c>
    </row>
    <row r="265" spans="1:13" ht="15" thickBot="1" x14ac:dyDescent="0.35">
      <c r="A265" s="5">
        <v>883</v>
      </c>
      <c r="B265" s="3">
        <v>40583</v>
      </c>
      <c r="C265" s="1">
        <v>6</v>
      </c>
      <c r="D265" s="2" t="b">
        <v>0</v>
      </c>
      <c r="E265" s="1">
        <v>3</v>
      </c>
      <c r="F265" s="1">
        <v>1</v>
      </c>
      <c r="G265" s="1">
        <v>0.06</v>
      </c>
      <c r="H265" s="1">
        <v>0.1515</v>
      </c>
      <c r="I265" s="1">
        <v>0.45</v>
      </c>
      <c r="J265" s="1">
        <v>0</v>
      </c>
      <c r="K265" s="1">
        <v>0</v>
      </c>
      <c r="L265" s="1">
        <v>43</v>
      </c>
      <c r="M265" s="6">
        <v>43</v>
      </c>
    </row>
    <row r="266" spans="1:13" ht="15" thickBot="1" x14ac:dyDescent="0.35">
      <c r="A266" s="5">
        <v>884</v>
      </c>
      <c r="B266" s="3">
        <v>40583</v>
      </c>
      <c r="C266" s="1">
        <v>7</v>
      </c>
      <c r="D266" s="2" t="b">
        <v>0</v>
      </c>
      <c r="E266" s="1">
        <v>3</v>
      </c>
      <c r="F266" s="1">
        <v>1</v>
      </c>
      <c r="G266" s="1">
        <v>0.06</v>
      </c>
      <c r="H266" s="1">
        <v>0.1061</v>
      </c>
      <c r="I266" s="1">
        <v>0.49</v>
      </c>
      <c r="J266" s="1">
        <v>0.1045</v>
      </c>
      <c r="K266" s="1">
        <v>4</v>
      </c>
      <c r="L266" s="1">
        <v>95</v>
      </c>
      <c r="M266" s="6">
        <v>99</v>
      </c>
    </row>
    <row r="267" spans="1:13" ht="15" thickBot="1" x14ac:dyDescent="0.35">
      <c r="A267" s="5">
        <v>885</v>
      </c>
      <c r="B267" s="3">
        <v>40583</v>
      </c>
      <c r="C267" s="1">
        <v>8</v>
      </c>
      <c r="D267" s="2" t="b">
        <v>0</v>
      </c>
      <c r="E267" s="1">
        <v>3</v>
      </c>
      <c r="F267" s="1">
        <v>1</v>
      </c>
      <c r="G267" s="1">
        <v>0.1</v>
      </c>
      <c r="H267" s="1">
        <v>0.13639999999999999</v>
      </c>
      <c r="I267" s="1">
        <v>0.42</v>
      </c>
      <c r="J267" s="1">
        <v>0</v>
      </c>
      <c r="K267" s="1">
        <v>1</v>
      </c>
      <c r="L267" s="1">
        <v>198</v>
      </c>
      <c r="M267" s="6">
        <v>199</v>
      </c>
    </row>
    <row r="268" spans="1:13" ht="15" thickBot="1" x14ac:dyDescent="0.35">
      <c r="A268" s="5">
        <v>886</v>
      </c>
      <c r="B268" s="3">
        <v>40583</v>
      </c>
      <c r="C268" s="1">
        <v>9</v>
      </c>
      <c r="D268" s="2" t="b">
        <v>0</v>
      </c>
      <c r="E268" s="1">
        <v>3</v>
      </c>
      <c r="F268" s="1">
        <v>1</v>
      </c>
      <c r="G268" s="1">
        <v>0.12</v>
      </c>
      <c r="H268" s="1">
        <v>0.13639999999999999</v>
      </c>
      <c r="I268" s="1">
        <v>0.39</v>
      </c>
      <c r="J268" s="1">
        <v>0.16420000000000001</v>
      </c>
      <c r="K268" s="1">
        <v>4</v>
      </c>
      <c r="L268" s="1">
        <v>119</v>
      </c>
      <c r="M268" s="6">
        <v>123</v>
      </c>
    </row>
    <row r="269" spans="1:13" ht="15" thickBot="1" x14ac:dyDescent="0.35">
      <c r="A269" s="5">
        <v>887</v>
      </c>
      <c r="B269" s="3">
        <v>40583</v>
      </c>
      <c r="C269" s="1">
        <v>10</v>
      </c>
      <c r="D269" s="2" t="b">
        <v>0</v>
      </c>
      <c r="E269" s="1">
        <v>3</v>
      </c>
      <c r="F269" s="1">
        <v>1</v>
      </c>
      <c r="G269" s="1">
        <v>0.14000000000000001</v>
      </c>
      <c r="H269" s="1">
        <v>0.18179999999999999</v>
      </c>
      <c r="I269" s="1">
        <v>0.36</v>
      </c>
      <c r="J269" s="1">
        <v>0</v>
      </c>
      <c r="K269" s="1">
        <v>8</v>
      </c>
      <c r="L269" s="1">
        <v>51</v>
      </c>
      <c r="M269" s="6">
        <v>59</v>
      </c>
    </row>
    <row r="270" spans="1:13" ht="15" thickBot="1" x14ac:dyDescent="0.35">
      <c r="A270" s="5">
        <v>888</v>
      </c>
      <c r="B270" s="3">
        <v>40583</v>
      </c>
      <c r="C270" s="1">
        <v>11</v>
      </c>
      <c r="D270" s="2" t="b">
        <v>0</v>
      </c>
      <c r="E270" s="1">
        <v>3</v>
      </c>
      <c r="F270" s="1">
        <v>2</v>
      </c>
      <c r="G270" s="1">
        <v>0.14000000000000001</v>
      </c>
      <c r="H270" s="1">
        <v>0.1515</v>
      </c>
      <c r="I270" s="1">
        <v>0.43</v>
      </c>
      <c r="J270" s="1">
        <v>0.16420000000000001</v>
      </c>
      <c r="K270" s="1">
        <v>1</v>
      </c>
      <c r="L270" s="1">
        <v>40</v>
      </c>
      <c r="M270" s="6">
        <v>41</v>
      </c>
    </row>
    <row r="271" spans="1:13" ht="15" thickBot="1" x14ac:dyDescent="0.35">
      <c r="A271" s="5">
        <v>889</v>
      </c>
      <c r="B271" s="3">
        <v>40583</v>
      </c>
      <c r="C271" s="1">
        <v>12</v>
      </c>
      <c r="D271" s="2" t="b">
        <v>0</v>
      </c>
      <c r="E271" s="1">
        <v>3</v>
      </c>
      <c r="F271" s="1">
        <v>2</v>
      </c>
      <c r="G271" s="1">
        <v>0.18</v>
      </c>
      <c r="H271" s="1">
        <v>0.18179999999999999</v>
      </c>
      <c r="I271" s="1">
        <v>0.4</v>
      </c>
      <c r="J271" s="1">
        <v>0.22389999999999999</v>
      </c>
      <c r="K271" s="1">
        <v>4</v>
      </c>
      <c r="L271" s="1">
        <v>57</v>
      </c>
      <c r="M271" s="6">
        <v>61</v>
      </c>
    </row>
    <row r="272" spans="1:13" ht="15" thickBot="1" x14ac:dyDescent="0.35">
      <c r="A272" s="5">
        <v>890</v>
      </c>
      <c r="B272" s="3">
        <v>40583</v>
      </c>
      <c r="C272" s="1">
        <v>13</v>
      </c>
      <c r="D272" s="2" t="b">
        <v>0</v>
      </c>
      <c r="E272" s="1">
        <v>3</v>
      </c>
      <c r="F272" s="1">
        <v>1</v>
      </c>
      <c r="G272" s="1">
        <v>0.18</v>
      </c>
      <c r="H272" s="1">
        <v>0.16669999999999999</v>
      </c>
      <c r="I272" s="1">
        <v>0.4</v>
      </c>
      <c r="J272" s="1">
        <v>0.25369999999999998</v>
      </c>
      <c r="K272" s="1">
        <v>2</v>
      </c>
      <c r="L272" s="1">
        <v>67</v>
      </c>
      <c r="M272" s="6">
        <v>69</v>
      </c>
    </row>
    <row r="273" spans="1:13" ht="15" thickBot="1" x14ac:dyDescent="0.35">
      <c r="A273" s="5">
        <v>891</v>
      </c>
      <c r="B273" s="3">
        <v>40583</v>
      </c>
      <c r="C273" s="1">
        <v>14</v>
      </c>
      <c r="D273" s="2" t="b">
        <v>0</v>
      </c>
      <c r="E273" s="1">
        <v>3</v>
      </c>
      <c r="F273" s="1">
        <v>1</v>
      </c>
      <c r="G273" s="1">
        <v>0.2</v>
      </c>
      <c r="H273" s="1">
        <v>0.18179999999999999</v>
      </c>
      <c r="I273" s="1">
        <v>0.34</v>
      </c>
      <c r="J273" s="1">
        <v>0.29849999999999999</v>
      </c>
      <c r="K273" s="1">
        <v>2</v>
      </c>
      <c r="L273" s="1">
        <v>56</v>
      </c>
      <c r="M273" s="6">
        <v>58</v>
      </c>
    </row>
    <row r="274" spans="1:13" ht="15" thickBot="1" x14ac:dyDescent="0.35">
      <c r="A274" s="5">
        <v>892</v>
      </c>
      <c r="B274" s="3">
        <v>40583</v>
      </c>
      <c r="C274" s="1">
        <v>15</v>
      </c>
      <c r="D274" s="2" t="b">
        <v>0</v>
      </c>
      <c r="E274" s="1">
        <v>3</v>
      </c>
      <c r="F274" s="1">
        <v>2</v>
      </c>
      <c r="G274" s="1">
        <v>0.2</v>
      </c>
      <c r="H274" s="1">
        <v>0.18179999999999999</v>
      </c>
      <c r="I274" s="1">
        <v>0.34</v>
      </c>
      <c r="J274" s="1">
        <v>0.28360000000000002</v>
      </c>
      <c r="K274" s="1">
        <v>3</v>
      </c>
      <c r="L274" s="1">
        <v>61</v>
      </c>
      <c r="M274" s="6">
        <v>64</v>
      </c>
    </row>
    <row r="275" spans="1:13" ht="15" thickBot="1" x14ac:dyDescent="0.35">
      <c r="A275" s="5">
        <v>893</v>
      </c>
      <c r="B275" s="3">
        <v>40583</v>
      </c>
      <c r="C275" s="1">
        <v>16</v>
      </c>
      <c r="D275" s="2" t="b">
        <v>0</v>
      </c>
      <c r="E275" s="1">
        <v>3</v>
      </c>
      <c r="F275" s="1">
        <v>2</v>
      </c>
      <c r="G275" s="1">
        <v>0.2</v>
      </c>
      <c r="H275" s="1">
        <v>0.19700000000000001</v>
      </c>
      <c r="I275" s="1">
        <v>0.37</v>
      </c>
      <c r="J275" s="1">
        <v>0.25369999999999998</v>
      </c>
      <c r="K275" s="1">
        <v>7</v>
      </c>
      <c r="L275" s="1">
        <v>72</v>
      </c>
      <c r="M275" s="6">
        <v>79</v>
      </c>
    </row>
    <row r="276" spans="1:13" ht="15" thickBot="1" x14ac:dyDescent="0.35">
      <c r="A276" s="5">
        <v>894</v>
      </c>
      <c r="B276" s="3">
        <v>40583</v>
      </c>
      <c r="C276" s="1">
        <v>17</v>
      </c>
      <c r="D276" s="2" t="b">
        <v>0</v>
      </c>
      <c r="E276" s="1">
        <v>3</v>
      </c>
      <c r="F276" s="1">
        <v>2</v>
      </c>
      <c r="G276" s="1">
        <v>0.2</v>
      </c>
      <c r="H276" s="1">
        <v>0.19700000000000001</v>
      </c>
      <c r="I276" s="1">
        <v>0.34</v>
      </c>
      <c r="J276" s="1">
        <v>0.25369999999999998</v>
      </c>
      <c r="K276" s="1">
        <v>9</v>
      </c>
      <c r="L276" s="1">
        <v>157</v>
      </c>
      <c r="M276" s="6">
        <v>166</v>
      </c>
    </row>
    <row r="277" spans="1:13" ht="15" thickBot="1" x14ac:dyDescent="0.35">
      <c r="A277" s="5">
        <v>895</v>
      </c>
      <c r="B277" s="3">
        <v>40583</v>
      </c>
      <c r="C277" s="1">
        <v>18</v>
      </c>
      <c r="D277" s="2" t="b">
        <v>0</v>
      </c>
      <c r="E277" s="1">
        <v>3</v>
      </c>
      <c r="F277" s="1">
        <v>2</v>
      </c>
      <c r="G277" s="1">
        <v>0.18</v>
      </c>
      <c r="H277" s="1">
        <v>0.16669999999999999</v>
      </c>
      <c r="I277" s="1">
        <v>0.47</v>
      </c>
      <c r="J277" s="1">
        <v>0.29849999999999999</v>
      </c>
      <c r="K277" s="1">
        <v>2</v>
      </c>
      <c r="L277" s="1">
        <v>168</v>
      </c>
      <c r="M277" s="6">
        <v>170</v>
      </c>
    </row>
    <row r="278" spans="1:13" ht="15" thickBot="1" x14ac:dyDescent="0.35">
      <c r="A278" s="5">
        <v>896</v>
      </c>
      <c r="B278" s="3">
        <v>40583</v>
      </c>
      <c r="C278" s="1">
        <v>19</v>
      </c>
      <c r="D278" s="2" t="b">
        <v>0</v>
      </c>
      <c r="E278" s="1">
        <v>3</v>
      </c>
      <c r="F278" s="1">
        <v>3</v>
      </c>
      <c r="G278" s="1">
        <v>0.14000000000000001</v>
      </c>
      <c r="H278" s="1">
        <v>0.1212</v>
      </c>
      <c r="I278" s="1">
        <v>0.86</v>
      </c>
      <c r="J278" s="1">
        <v>0.25369999999999998</v>
      </c>
      <c r="K278" s="1">
        <v>1</v>
      </c>
      <c r="L278" s="1">
        <v>87</v>
      </c>
      <c r="M278" s="6">
        <v>88</v>
      </c>
    </row>
    <row r="279" spans="1:13" ht="15" thickBot="1" x14ac:dyDescent="0.35">
      <c r="A279" s="5">
        <v>897</v>
      </c>
      <c r="B279" s="3">
        <v>40583</v>
      </c>
      <c r="C279" s="1">
        <v>20</v>
      </c>
      <c r="D279" s="2" t="b">
        <v>0</v>
      </c>
      <c r="E279" s="1">
        <v>3</v>
      </c>
      <c r="F279" s="1">
        <v>3</v>
      </c>
      <c r="G279" s="1">
        <v>0.14000000000000001</v>
      </c>
      <c r="H279" s="1">
        <v>0.1515</v>
      </c>
      <c r="I279" s="1">
        <v>0.86</v>
      </c>
      <c r="J279" s="1">
        <v>0.16420000000000001</v>
      </c>
      <c r="K279" s="1">
        <v>0</v>
      </c>
      <c r="L279" s="1">
        <v>84</v>
      </c>
      <c r="M279" s="6">
        <v>84</v>
      </c>
    </row>
    <row r="280" spans="1:13" ht="15" thickBot="1" x14ac:dyDescent="0.35">
      <c r="A280" s="5">
        <v>898</v>
      </c>
      <c r="B280" s="3">
        <v>40583</v>
      </c>
      <c r="C280" s="1">
        <v>21</v>
      </c>
      <c r="D280" s="2" t="b">
        <v>0</v>
      </c>
      <c r="E280" s="1">
        <v>3</v>
      </c>
      <c r="F280" s="1">
        <v>2</v>
      </c>
      <c r="G280" s="1">
        <v>0.14000000000000001</v>
      </c>
      <c r="H280" s="1">
        <v>0.1515</v>
      </c>
      <c r="I280" s="1">
        <v>0.86</v>
      </c>
      <c r="J280" s="1">
        <v>0.16420000000000001</v>
      </c>
      <c r="K280" s="1">
        <v>0</v>
      </c>
      <c r="L280" s="1">
        <v>83</v>
      </c>
      <c r="M280" s="6">
        <v>83</v>
      </c>
    </row>
    <row r="281" spans="1:13" ht="15" thickBot="1" x14ac:dyDescent="0.35">
      <c r="A281" s="5">
        <v>899</v>
      </c>
      <c r="B281" s="3">
        <v>40583</v>
      </c>
      <c r="C281" s="1">
        <v>22</v>
      </c>
      <c r="D281" s="2" t="b">
        <v>0</v>
      </c>
      <c r="E281" s="1">
        <v>3</v>
      </c>
      <c r="F281" s="1">
        <v>3</v>
      </c>
      <c r="G281" s="1">
        <v>0.16</v>
      </c>
      <c r="H281" s="1">
        <v>0.16669999999999999</v>
      </c>
      <c r="I281" s="1">
        <v>0.8</v>
      </c>
      <c r="J281" s="1">
        <v>0.16420000000000001</v>
      </c>
      <c r="K281" s="1">
        <v>4</v>
      </c>
      <c r="L281" s="1">
        <v>42</v>
      </c>
      <c r="M281" s="6">
        <v>46</v>
      </c>
    </row>
    <row r="282" spans="1:13" ht="15" thickBot="1" x14ac:dyDescent="0.35">
      <c r="A282" s="5">
        <v>900</v>
      </c>
      <c r="B282" s="3">
        <v>40583</v>
      </c>
      <c r="C282" s="1">
        <v>23</v>
      </c>
      <c r="D282" s="2" t="b">
        <v>0</v>
      </c>
      <c r="E282" s="1">
        <v>3</v>
      </c>
      <c r="F282" s="1">
        <v>3</v>
      </c>
      <c r="G282" s="1">
        <v>0.16</v>
      </c>
      <c r="H282" s="1">
        <v>0.1515</v>
      </c>
      <c r="I282" s="1">
        <v>0.8</v>
      </c>
      <c r="J282" s="1">
        <v>0.19400000000000001</v>
      </c>
      <c r="K282" s="1">
        <v>0</v>
      </c>
      <c r="L282" s="1">
        <v>37</v>
      </c>
      <c r="M282" s="6">
        <v>37</v>
      </c>
    </row>
    <row r="283" spans="1:13" ht="15" thickBot="1" x14ac:dyDescent="0.35">
      <c r="A283" s="5">
        <v>901</v>
      </c>
      <c r="B283" s="3">
        <v>40584</v>
      </c>
      <c r="C283" s="1">
        <v>0</v>
      </c>
      <c r="D283" s="2" t="b">
        <v>0</v>
      </c>
      <c r="E283" s="1">
        <v>4</v>
      </c>
      <c r="F283" s="1">
        <v>3</v>
      </c>
      <c r="G283" s="1">
        <v>0.14000000000000001</v>
      </c>
      <c r="H283" s="1">
        <v>0.13639999999999999</v>
      </c>
      <c r="I283" s="1">
        <v>0.86</v>
      </c>
      <c r="J283" s="1">
        <v>0.19400000000000001</v>
      </c>
      <c r="K283" s="1">
        <v>0</v>
      </c>
      <c r="L283" s="1">
        <v>16</v>
      </c>
      <c r="M283" s="6">
        <v>16</v>
      </c>
    </row>
    <row r="284" spans="1:13" ht="15" thickBot="1" x14ac:dyDescent="0.35">
      <c r="A284" s="5">
        <v>902</v>
      </c>
      <c r="B284" s="3">
        <v>40584</v>
      </c>
      <c r="C284" s="1">
        <v>1</v>
      </c>
      <c r="D284" s="2" t="b">
        <v>0</v>
      </c>
      <c r="E284" s="1">
        <v>4</v>
      </c>
      <c r="F284" s="1">
        <v>3</v>
      </c>
      <c r="G284" s="1">
        <v>0.14000000000000001</v>
      </c>
      <c r="H284" s="1">
        <v>0.1515</v>
      </c>
      <c r="I284" s="1">
        <v>0.8</v>
      </c>
      <c r="J284" s="1">
        <v>0.1343</v>
      </c>
      <c r="K284" s="1">
        <v>0</v>
      </c>
      <c r="L284" s="1">
        <v>7</v>
      </c>
      <c r="M284" s="6">
        <v>7</v>
      </c>
    </row>
    <row r="285" spans="1:13" ht="15" thickBot="1" x14ac:dyDescent="0.35">
      <c r="A285" s="5">
        <v>903</v>
      </c>
      <c r="B285" s="3">
        <v>40584</v>
      </c>
      <c r="C285" s="1">
        <v>2</v>
      </c>
      <c r="D285" s="2" t="b">
        <v>0</v>
      </c>
      <c r="E285" s="1">
        <v>4</v>
      </c>
      <c r="F285" s="1">
        <v>3</v>
      </c>
      <c r="G285" s="1">
        <v>0.14000000000000001</v>
      </c>
      <c r="H285" s="1">
        <v>0.1515</v>
      </c>
      <c r="I285" s="1">
        <v>0.8</v>
      </c>
      <c r="J285" s="1">
        <v>0.1343</v>
      </c>
      <c r="K285" s="1">
        <v>0</v>
      </c>
      <c r="L285" s="1">
        <v>3</v>
      </c>
      <c r="M285" s="6">
        <v>3</v>
      </c>
    </row>
    <row r="286" spans="1:13" ht="15" thickBot="1" x14ac:dyDescent="0.35">
      <c r="A286" s="5">
        <v>904</v>
      </c>
      <c r="B286" s="3">
        <v>40584</v>
      </c>
      <c r="C286" s="1">
        <v>4</v>
      </c>
      <c r="D286" s="2" t="b">
        <v>0</v>
      </c>
      <c r="E286" s="1">
        <v>4</v>
      </c>
      <c r="F286" s="1">
        <v>2</v>
      </c>
      <c r="G286" s="1">
        <v>0.14000000000000001</v>
      </c>
      <c r="H286" s="1">
        <v>0.13639999999999999</v>
      </c>
      <c r="I286" s="1">
        <v>0.59</v>
      </c>
      <c r="J286" s="1">
        <v>0.22389999999999999</v>
      </c>
      <c r="K286" s="1">
        <v>0</v>
      </c>
      <c r="L286" s="1">
        <v>1</v>
      </c>
      <c r="M286" s="6">
        <v>1</v>
      </c>
    </row>
    <row r="287" spans="1:13" ht="15" thickBot="1" x14ac:dyDescent="0.35">
      <c r="A287" s="5">
        <v>905</v>
      </c>
      <c r="B287" s="3">
        <v>40584</v>
      </c>
      <c r="C287" s="1">
        <v>5</v>
      </c>
      <c r="D287" s="2" t="b">
        <v>0</v>
      </c>
      <c r="E287" s="1">
        <v>4</v>
      </c>
      <c r="F287" s="1">
        <v>2</v>
      </c>
      <c r="G287" s="1">
        <v>0.12</v>
      </c>
      <c r="H287" s="1">
        <v>0.1212</v>
      </c>
      <c r="I287" s="1">
        <v>0.5</v>
      </c>
      <c r="J287" s="1">
        <v>0.22389999999999999</v>
      </c>
      <c r="K287" s="1">
        <v>0</v>
      </c>
      <c r="L287" s="1">
        <v>6</v>
      </c>
      <c r="M287" s="6">
        <v>6</v>
      </c>
    </row>
    <row r="288" spans="1:13" ht="15" thickBot="1" x14ac:dyDescent="0.35">
      <c r="A288" s="5">
        <v>906</v>
      </c>
      <c r="B288" s="3">
        <v>40584</v>
      </c>
      <c r="C288" s="1">
        <v>6</v>
      </c>
      <c r="D288" s="2" t="b">
        <v>0</v>
      </c>
      <c r="E288" s="1">
        <v>4</v>
      </c>
      <c r="F288" s="1">
        <v>2</v>
      </c>
      <c r="G288" s="1">
        <v>0.12</v>
      </c>
      <c r="H288" s="1">
        <v>0.1212</v>
      </c>
      <c r="I288" s="1">
        <v>0.54</v>
      </c>
      <c r="J288" s="1">
        <v>0.28360000000000002</v>
      </c>
      <c r="K288" s="1">
        <v>0</v>
      </c>
      <c r="L288" s="1">
        <v>26</v>
      </c>
      <c r="M288" s="6">
        <v>26</v>
      </c>
    </row>
    <row r="289" spans="1:13" ht="15" thickBot="1" x14ac:dyDescent="0.35">
      <c r="A289" s="5">
        <v>907</v>
      </c>
      <c r="B289" s="3">
        <v>40584</v>
      </c>
      <c r="C289" s="1">
        <v>7</v>
      </c>
      <c r="D289" s="2" t="b">
        <v>0</v>
      </c>
      <c r="E289" s="1">
        <v>4</v>
      </c>
      <c r="F289" s="1">
        <v>1</v>
      </c>
      <c r="G289" s="1">
        <v>0.1</v>
      </c>
      <c r="H289" s="1">
        <v>7.5800000000000006E-2</v>
      </c>
      <c r="I289" s="1">
        <v>0.5</v>
      </c>
      <c r="J289" s="1">
        <v>0.41789999999999999</v>
      </c>
      <c r="K289" s="1">
        <v>0</v>
      </c>
      <c r="L289" s="1">
        <v>99</v>
      </c>
      <c r="M289" s="6">
        <v>99</v>
      </c>
    </row>
    <row r="290" spans="1:13" ht="15" thickBot="1" x14ac:dyDescent="0.35">
      <c r="A290" s="5">
        <v>908</v>
      </c>
      <c r="B290" s="3">
        <v>40584</v>
      </c>
      <c r="C290" s="1">
        <v>8</v>
      </c>
      <c r="D290" s="2" t="b">
        <v>0</v>
      </c>
      <c r="E290" s="1">
        <v>4</v>
      </c>
      <c r="F290" s="1">
        <v>1</v>
      </c>
      <c r="G290" s="1">
        <v>0.1</v>
      </c>
      <c r="H290" s="1">
        <v>7.5800000000000006E-2</v>
      </c>
      <c r="I290" s="1">
        <v>0.49</v>
      </c>
      <c r="J290" s="1">
        <v>0.32840000000000003</v>
      </c>
      <c r="K290" s="1">
        <v>5</v>
      </c>
      <c r="L290" s="1">
        <v>173</v>
      </c>
      <c r="M290" s="6">
        <v>178</v>
      </c>
    </row>
    <row r="291" spans="1:13" ht="15" thickBot="1" x14ac:dyDescent="0.35">
      <c r="A291" s="5">
        <v>909</v>
      </c>
      <c r="B291" s="3">
        <v>40584</v>
      </c>
      <c r="C291" s="1">
        <v>9</v>
      </c>
      <c r="D291" s="2" t="b">
        <v>0</v>
      </c>
      <c r="E291" s="1">
        <v>4</v>
      </c>
      <c r="F291" s="1">
        <v>1</v>
      </c>
      <c r="G291" s="1">
        <v>0.12</v>
      </c>
      <c r="H291" s="1">
        <v>0.1061</v>
      </c>
      <c r="I291" s="1">
        <v>0.42</v>
      </c>
      <c r="J291" s="1">
        <v>0.35820000000000002</v>
      </c>
      <c r="K291" s="1">
        <v>1</v>
      </c>
      <c r="L291" s="1">
        <v>121</v>
      </c>
      <c r="M291" s="6">
        <v>122</v>
      </c>
    </row>
    <row r="292" spans="1:13" ht="15" thickBot="1" x14ac:dyDescent="0.35">
      <c r="A292" s="5">
        <v>910</v>
      </c>
      <c r="B292" s="3">
        <v>40584</v>
      </c>
      <c r="C292" s="1">
        <v>10</v>
      </c>
      <c r="D292" s="2" t="b">
        <v>0</v>
      </c>
      <c r="E292" s="1">
        <v>4</v>
      </c>
      <c r="F292" s="1">
        <v>1</v>
      </c>
      <c r="G292" s="1">
        <v>0.12</v>
      </c>
      <c r="H292" s="1">
        <v>0.1061</v>
      </c>
      <c r="I292" s="1">
        <v>0.42</v>
      </c>
      <c r="J292" s="1">
        <v>0.29849999999999999</v>
      </c>
      <c r="K292" s="1">
        <v>1</v>
      </c>
      <c r="L292" s="1">
        <v>34</v>
      </c>
      <c r="M292" s="6">
        <v>35</v>
      </c>
    </row>
    <row r="293" spans="1:13" ht="15" thickBot="1" x14ac:dyDescent="0.35">
      <c r="A293" s="5">
        <v>911</v>
      </c>
      <c r="B293" s="3">
        <v>40584</v>
      </c>
      <c r="C293" s="1">
        <v>11</v>
      </c>
      <c r="D293" s="2" t="b">
        <v>0</v>
      </c>
      <c r="E293" s="1">
        <v>4</v>
      </c>
      <c r="F293" s="1">
        <v>1</v>
      </c>
      <c r="G293" s="1">
        <v>0.14000000000000001</v>
      </c>
      <c r="H293" s="1">
        <v>0.1212</v>
      </c>
      <c r="I293" s="1">
        <v>0.39</v>
      </c>
      <c r="J293" s="1">
        <v>0.35820000000000002</v>
      </c>
      <c r="K293" s="1">
        <v>1</v>
      </c>
      <c r="L293" s="1">
        <v>44</v>
      </c>
      <c r="M293" s="6">
        <v>45</v>
      </c>
    </row>
    <row r="294" spans="1:13" ht="15" thickBot="1" x14ac:dyDescent="0.35">
      <c r="A294" s="5">
        <v>912</v>
      </c>
      <c r="B294" s="3">
        <v>40584</v>
      </c>
      <c r="C294" s="1">
        <v>12</v>
      </c>
      <c r="D294" s="2" t="b">
        <v>0</v>
      </c>
      <c r="E294" s="1">
        <v>4</v>
      </c>
      <c r="F294" s="1">
        <v>1</v>
      </c>
      <c r="G294" s="1">
        <v>0.16</v>
      </c>
      <c r="H294" s="1">
        <v>0.13639999999999999</v>
      </c>
      <c r="I294" s="1">
        <v>0.34</v>
      </c>
      <c r="J294" s="1">
        <v>0.3881</v>
      </c>
      <c r="K294" s="1">
        <v>4</v>
      </c>
      <c r="L294" s="1">
        <v>65</v>
      </c>
      <c r="M294" s="6">
        <v>69</v>
      </c>
    </row>
    <row r="295" spans="1:13" ht="15" thickBot="1" x14ac:dyDescent="0.35">
      <c r="A295" s="5">
        <v>913</v>
      </c>
      <c r="B295" s="3">
        <v>40584</v>
      </c>
      <c r="C295" s="1">
        <v>13</v>
      </c>
      <c r="D295" s="2" t="b">
        <v>0</v>
      </c>
      <c r="E295" s="1">
        <v>4</v>
      </c>
      <c r="F295" s="1">
        <v>1</v>
      </c>
      <c r="G295" s="1">
        <v>0.18</v>
      </c>
      <c r="H295" s="1">
        <v>0.16669999999999999</v>
      </c>
      <c r="I295" s="1">
        <v>0.28999999999999998</v>
      </c>
      <c r="J295" s="1">
        <v>0.29849999999999999</v>
      </c>
      <c r="K295" s="1">
        <v>3</v>
      </c>
      <c r="L295" s="1">
        <v>59</v>
      </c>
      <c r="M295" s="6">
        <v>62</v>
      </c>
    </row>
    <row r="296" spans="1:13" ht="15" thickBot="1" x14ac:dyDescent="0.35">
      <c r="A296" s="5">
        <v>914</v>
      </c>
      <c r="B296" s="3">
        <v>40584</v>
      </c>
      <c r="C296" s="1">
        <v>14</v>
      </c>
      <c r="D296" s="2" t="b">
        <v>0</v>
      </c>
      <c r="E296" s="1">
        <v>4</v>
      </c>
      <c r="F296" s="1">
        <v>1</v>
      </c>
      <c r="G296" s="1">
        <v>0.2</v>
      </c>
      <c r="H296" s="1">
        <v>0.18179999999999999</v>
      </c>
      <c r="I296" s="1">
        <v>0.27</v>
      </c>
      <c r="J296" s="1">
        <v>0.28360000000000002</v>
      </c>
      <c r="K296" s="1">
        <v>6</v>
      </c>
      <c r="L296" s="1">
        <v>42</v>
      </c>
      <c r="M296" s="6">
        <v>48</v>
      </c>
    </row>
    <row r="297" spans="1:13" ht="15" thickBot="1" x14ac:dyDescent="0.35">
      <c r="A297" s="5">
        <v>915</v>
      </c>
      <c r="B297" s="3">
        <v>40584</v>
      </c>
      <c r="C297" s="1">
        <v>15</v>
      </c>
      <c r="D297" s="2" t="b">
        <v>0</v>
      </c>
      <c r="E297" s="1">
        <v>4</v>
      </c>
      <c r="F297" s="1">
        <v>1</v>
      </c>
      <c r="G297" s="1">
        <v>0.2</v>
      </c>
      <c r="H297" s="1">
        <v>0.19700000000000001</v>
      </c>
      <c r="I297" s="1">
        <v>0.25</v>
      </c>
      <c r="J297" s="1">
        <v>0.25369999999999998</v>
      </c>
      <c r="K297" s="1">
        <v>0</v>
      </c>
      <c r="L297" s="1">
        <v>50</v>
      </c>
      <c r="M297" s="6">
        <v>50</v>
      </c>
    </row>
    <row r="298" spans="1:13" ht="15" thickBot="1" x14ac:dyDescent="0.35">
      <c r="A298" s="5">
        <v>916</v>
      </c>
      <c r="B298" s="3">
        <v>40584</v>
      </c>
      <c r="C298" s="1">
        <v>16</v>
      </c>
      <c r="D298" s="2" t="b">
        <v>0</v>
      </c>
      <c r="E298" s="1">
        <v>4</v>
      </c>
      <c r="F298" s="1">
        <v>1</v>
      </c>
      <c r="G298" s="1">
        <v>0.2</v>
      </c>
      <c r="H298" s="1">
        <v>0.18179999999999999</v>
      </c>
      <c r="I298" s="1">
        <v>0.27</v>
      </c>
      <c r="J298" s="1">
        <v>0.29849999999999999</v>
      </c>
      <c r="K298" s="1">
        <v>4</v>
      </c>
      <c r="L298" s="1">
        <v>76</v>
      </c>
      <c r="M298" s="6">
        <v>80</v>
      </c>
    </row>
    <row r="299" spans="1:13" ht="15" thickBot="1" x14ac:dyDescent="0.35">
      <c r="A299" s="5">
        <v>917</v>
      </c>
      <c r="B299" s="3">
        <v>40584</v>
      </c>
      <c r="C299" s="1">
        <v>17</v>
      </c>
      <c r="D299" s="2" t="b">
        <v>0</v>
      </c>
      <c r="E299" s="1">
        <v>4</v>
      </c>
      <c r="F299" s="1">
        <v>1</v>
      </c>
      <c r="G299" s="1">
        <v>0.18</v>
      </c>
      <c r="H299" s="1">
        <v>0.18179999999999999</v>
      </c>
      <c r="I299" s="1">
        <v>0.26</v>
      </c>
      <c r="J299" s="1">
        <v>0.19400000000000001</v>
      </c>
      <c r="K299" s="1">
        <v>6</v>
      </c>
      <c r="L299" s="1">
        <v>159</v>
      </c>
      <c r="M299" s="6">
        <v>165</v>
      </c>
    </row>
    <row r="300" spans="1:13" ht="15" thickBot="1" x14ac:dyDescent="0.35">
      <c r="A300" s="5">
        <v>918</v>
      </c>
      <c r="B300" s="3">
        <v>40584</v>
      </c>
      <c r="C300" s="1">
        <v>18</v>
      </c>
      <c r="D300" s="2" t="b">
        <v>0</v>
      </c>
      <c r="E300" s="1">
        <v>4</v>
      </c>
      <c r="F300" s="1">
        <v>1</v>
      </c>
      <c r="G300" s="1">
        <v>0.16</v>
      </c>
      <c r="H300" s="1">
        <v>0.18179999999999999</v>
      </c>
      <c r="I300" s="1">
        <v>0.28000000000000003</v>
      </c>
      <c r="J300" s="1">
        <v>0.1343</v>
      </c>
      <c r="K300" s="1">
        <v>3</v>
      </c>
      <c r="L300" s="1">
        <v>157</v>
      </c>
      <c r="M300" s="6">
        <v>160</v>
      </c>
    </row>
    <row r="301" spans="1:13" ht="15" thickBot="1" x14ac:dyDescent="0.35">
      <c r="A301" s="5">
        <v>919</v>
      </c>
      <c r="B301" s="3">
        <v>40584</v>
      </c>
      <c r="C301" s="1">
        <v>19</v>
      </c>
      <c r="D301" s="2" t="b">
        <v>0</v>
      </c>
      <c r="E301" s="1">
        <v>4</v>
      </c>
      <c r="F301" s="1">
        <v>1</v>
      </c>
      <c r="G301" s="1">
        <v>0.14000000000000001</v>
      </c>
      <c r="H301" s="1">
        <v>0.16669999999999999</v>
      </c>
      <c r="I301" s="1">
        <v>0.28000000000000003</v>
      </c>
      <c r="J301" s="1">
        <v>0.1045</v>
      </c>
      <c r="K301" s="1">
        <v>2</v>
      </c>
      <c r="L301" s="1">
        <v>110</v>
      </c>
      <c r="M301" s="6">
        <v>112</v>
      </c>
    </row>
    <row r="302" spans="1:13" ht="15" thickBot="1" x14ac:dyDescent="0.35">
      <c r="A302" s="5">
        <v>920</v>
      </c>
      <c r="B302" s="3">
        <v>40584</v>
      </c>
      <c r="C302" s="1">
        <v>20</v>
      </c>
      <c r="D302" s="2" t="b">
        <v>0</v>
      </c>
      <c r="E302" s="1">
        <v>4</v>
      </c>
      <c r="F302" s="1">
        <v>1</v>
      </c>
      <c r="G302" s="1">
        <v>0.14000000000000001</v>
      </c>
      <c r="H302" s="1">
        <v>0.18179999999999999</v>
      </c>
      <c r="I302" s="1">
        <v>0.31</v>
      </c>
      <c r="J302" s="1">
        <v>8.9599999999999999E-2</v>
      </c>
      <c r="K302" s="1">
        <v>4</v>
      </c>
      <c r="L302" s="1">
        <v>93</v>
      </c>
      <c r="M302" s="6">
        <v>97</v>
      </c>
    </row>
    <row r="303" spans="1:13" ht="15" thickBot="1" x14ac:dyDescent="0.35">
      <c r="A303" s="5">
        <v>921</v>
      </c>
      <c r="B303" s="3">
        <v>40584</v>
      </c>
      <c r="C303" s="1">
        <v>21</v>
      </c>
      <c r="D303" s="2" t="b">
        <v>0</v>
      </c>
      <c r="E303" s="1">
        <v>4</v>
      </c>
      <c r="F303" s="1">
        <v>1</v>
      </c>
      <c r="G303" s="1">
        <v>0.14000000000000001</v>
      </c>
      <c r="H303" s="1">
        <v>0.21210000000000001</v>
      </c>
      <c r="I303" s="1">
        <v>0.39</v>
      </c>
      <c r="J303" s="1">
        <v>0</v>
      </c>
      <c r="K303" s="1">
        <v>2</v>
      </c>
      <c r="L303" s="1">
        <v>70</v>
      </c>
      <c r="M303" s="6">
        <v>72</v>
      </c>
    </row>
    <row r="304" spans="1:13" ht="15" thickBot="1" x14ac:dyDescent="0.35">
      <c r="A304" s="5">
        <v>922</v>
      </c>
      <c r="B304" s="3">
        <v>40584</v>
      </c>
      <c r="C304" s="1">
        <v>22</v>
      </c>
      <c r="D304" s="2" t="b">
        <v>0</v>
      </c>
      <c r="E304" s="1">
        <v>4</v>
      </c>
      <c r="F304" s="1">
        <v>1</v>
      </c>
      <c r="G304" s="1">
        <v>0.12</v>
      </c>
      <c r="H304" s="1">
        <v>0.19700000000000001</v>
      </c>
      <c r="I304" s="1">
        <v>0.39</v>
      </c>
      <c r="J304" s="1">
        <v>0</v>
      </c>
      <c r="K304" s="1">
        <v>4</v>
      </c>
      <c r="L304" s="1">
        <v>47</v>
      </c>
      <c r="M304" s="6">
        <v>51</v>
      </c>
    </row>
    <row r="305" spans="1:13" ht="15" thickBot="1" x14ac:dyDescent="0.35">
      <c r="A305" s="5">
        <v>923</v>
      </c>
      <c r="B305" s="3">
        <v>40584</v>
      </c>
      <c r="C305" s="1">
        <v>23</v>
      </c>
      <c r="D305" s="2" t="b">
        <v>0</v>
      </c>
      <c r="E305" s="1">
        <v>4</v>
      </c>
      <c r="F305" s="1">
        <v>1</v>
      </c>
      <c r="G305" s="1">
        <v>0.12</v>
      </c>
      <c r="H305" s="1">
        <v>0.1515</v>
      </c>
      <c r="I305" s="1">
        <v>0.42</v>
      </c>
      <c r="J305" s="1">
        <v>0.1045</v>
      </c>
      <c r="K305" s="1">
        <v>1</v>
      </c>
      <c r="L305" s="1">
        <v>33</v>
      </c>
      <c r="M305" s="6">
        <v>34</v>
      </c>
    </row>
    <row r="306" spans="1:13" ht="15" thickBot="1" x14ac:dyDescent="0.35">
      <c r="A306" s="5">
        <v>924</v>
      </c>
      <c r="B306" s="3">
        <v>40585</v>
      </c>
      <c r="C306" s="1">
        <v>0</v>
      </c>
      <c r="D306" s="2" t="b">
        <v>0</v>
      </c>
      <c r="E306" s="1">
        <v>5</v>
      </c>
      <c r="F306" s="1">
        <v>1</v>
      </c>
      <c r="G306" s="1">
        <v>0.1</v>
      </c>
      <c r="H306" s="1">
        <v>0.13639999999999999</v>
      </c>
      <c r="I306" s="1">
        <v>0.49</v>
      </c>
      <c r="J306" s="1">
        <v>0.1045</v>
      </c>
      <c r="K306" s="1">
        <v>2</v>
      </c>
      <c r="L306" s="1">
        <v>12</v>
      </c>
      <c r="M306" s="6">
        <v>14</v>
      </c>
    </row>
    <row r="307" spans="1:13" ht="15" thickBot="1" x14ac:dyDescent="0.35">
      <c r="A307" s="5">
        <v>925</v>
      </c>
      <c r="B307" s="3">
        <v>40585</v>
      </c>
      <c r="C307" s="1">
        <v>1</v>
      </c>
      <c r="D307" s="2" t="b">
        <v>0</v>
      </c>
      <c r="E307" s="1">
        <v>5</v>
      </c>
      <c r="F307" s="1">
        <v>1</v>
      </c>
      <c r="G307" s="1">
        <v>0.1</v>
      </c>
      <c r="H307" s="1">
        <v>0.13639999999999999</v>
      </c>
      <c r="I307" s="1">
        <v>0.54</v>
      </c>
      <c r="J307" s="1">
        <v>8.9599999999999999E-2</v>
      </c>
      <c r="K307" s="1">
        <v>1</v>
      </c>
      <c r="L307" s="1">
        <v>6</v>
      </c>
      <c r="M307" s="6">
        <v>7</v>
      </c>
    </row>
    <row r="308" spans="1:13" ht="15" thickBot="1" x14ac:dyDescent="0.35">
      <c r="A308" s="5">
        <v>926</v>
      </c>
      <c r="B308" s="3">
        <v>40585</v>
      </c>
      <c r="C308" s="1">
        <v>2</v>
      </c>
      <c r="D308" s="2" t="b">
        <v>0</v>
      </c>
      <c r="E308" s="1">
        <v>5</v>
      </c>
      <c r="F308" s="1">
        <v>1</v>
      </c>
      <c r="G308" s="1">
        <v>0.1</v>
      </c>
      <c r="H308" s="1">
        <v>0.13639999999999999</v>
      </c>
      <c r="I308" s="1">
        <v>0.54</v>
      </c>
      <c r="J308" s="1">
        <v>8.9599999999999999E-2</v>
      </c>
      <c r="K308" s="1">
        <v>0</v>
      </c>
      <c r="L308" s="1">
        <v>3</v>
      </c>
      <c r="M308" s="6">
        <v>3</v>
      </c>
    </row>
    <row r="309" spans="1:13" ht="15" thickBot="1" x14ac:dyDescent="0.35">
      <c r="A309" s="5">
        <v>927</v>
      </c>
      <c r="B309" s="3">
        <v>40585</v>
      </c>
      <c r="C309" s="1">
        <v>5</v>
      </c>
      <c r="D309" s="2" t="b">
        <v>0</v>
      </c>
      <c r="E309" s="1">
        <v>5</v>
      </c>
      <c r="F309" s="1">
        <v>1</v>
      </c>
      <c r="G309" s="1">
        <v>0.08</v>
      </c>
      <c r="H309" s="1">
        <v>0.1212</v>
      </c>
      <c r="I309" s="1">
        <v>0.63</v>
      </c>
      <c r="J309" s="1">
        <v>8.9599999999999999E-2</v>
      </c>
      <c r="K309" s="1">
        <v>0</v>
      </c>
      <c r="L309" s="1">
        <v>4</v>
      </c>
      <c r="M309" s="6">
        <v>4</v>
      </c>
    </row>
    <row r="310" spans="1:13" ht="15" thickBot="1" x14ac:dyDescent="0.35">
      <c r="A310" s="5">
        <v>928</v>
      </c>
      <c r="B310" s="3">
        <v>40585</v>
      </c>
      <c r="C310" s="1">
        <v>6</v>
      </c>
      <c r="D310" s="2" t="b">
        <v>0</v>
      </c>
      <c r="E310" s="1">
        <v>5</v>
      </c>
      <c r="F310" s="1">
        <v>1</v>
      </c>
      <c r="G310" s="1">
        <v>0.1</v>
      </c>
      <c r="H310" s="1">
        <v>0.18179999999999999</v>
      </c>
      <c r="I310" s="1">
        <v>0.68</v>
      </c>
      <c r="J310" s="1">
        <v>0</v>
      </c>
      <c r="K310" s="1">
        <v>1</v>
      </c>
      <c r="L310" s="1">
        <v>23</v>
      </c>
      <c r="M310" s="6">
        <v>24</v>
      </c>
    </row>
    <row r="311" spans="1:13" ht="15" thickBot="1" x14ac:dyDescent="0.35">
      <c r="A311" s="5">
        <v>929</v>
      </c>
      <c r="B311" s="3">
        <v>40585</v>
      </c>
      <c r="C311" s="1">
        <v>7</v>
      </c>
      <c r="D311" s="2" t="b">
        <v>0</v>
      </c>
      <c r="E311" s="1">
        <v>5</v>
      </c>
      <c r="F311" s="1">
        <v>1</v>
      </c>
      <c r="G311" s="1">
        <v>0.08</v>
      </c>
      <c r="H311" s="1">
        <v>0.16669999999999999</v>
      </c>
      <c r="I311" s="1">
        <v>0.73</v>
      </c>
      <c r="J311" s="1">
        <v>0</v>
      </c>
      <c r="K311" s="1">
        <v>1</v>
      </c>
      <c r="L311" s="1">
        <v>73</v>
      </c>
      <c r="M311" s="6">
        <v>74</v>
      </c>
    </row>
    <row r="312" spans="1:13" ht="15" thickBot="1" x14ac:dyDescent="0.35">
      <c r="A312" s="5">
        <v>930</v>
      </c>
      <c r="B312" s="3">
        <v>40585</v>
      </c>
      <c r="C312" s="1">
        <v>8</v>
      </c>
      <c r="D312" s="2" t="b">
        <v>0</v>
      </c>
      <c r="E312" s="1">
        <v>5</v>
      </c>
      <c r="F312" s="1">
        <v>1</v>
      </c>
      <c r="G312" s="1">
        <v>0.1</v>
      </c>
      <c r="H312" s="1">
        <v>0.1212</v>
      </c>
      <c r="I312" s="1">
        <v>0.74</v>
      </c>
      <c r="J312" s="1">
        <v>0.16420000000000001</v>
      </c>
      <c r="K312" s="1">
        <v>4</v>
      </c>
      <c r="L312" s="1">
        <v>212</v>
      </c>
      <c r="M312" s="6">
        <v>216</v>
      </c>
    </row>
    <row r="313" spans="1:13" ht="15" thickBot="1" x14ac:dyDescent="0.35">
      <c r="A313" s="5">
        <v>931</v>
      </c>
      <c r="B313" s="3">
        <v>40585</v>
      </c>
      <c r="C313" s="1">
        <v>9</v>
      </c>
      <c r="D313" s="2" t="b">
        <v>0</v>
      </c>
      <c r="E313" s="1">
        <v>5</v>
      </c>
      <c r="F313" s="1">
        <v>1</v>
      </c>
      <c r="G313" s="1">
        <v>0.12</v>
      </c>
      <c r="H313" s="1">
        <v>0.1212</v>
      </c>
      <c r="I313" s="1">
        <v>0.74</v>
      </c>
      <c r="J313" s="1">
        <v>0.22389999999999999</v>
      </c>
      <c r="K313" s="1">
        <v>8</v>
      </c>
      <c r="L313" s="1">
        <v>132</v>
      </c>
      <c r="M313" s="6">
        <v>140</v>
      </c>
    </row>
    <row r="314" spans="1:13" ht="15" thickBot="1" x14ac:dyDescent="0.35">
      <c r="A314" s="5">
        <v>932</v>
      </c>
      <c r="B314" s="3">
        <v>40585</v>
      </c>
      <c r="C314" s="1">
        <v>10</v>
      </c>
      <c r="D314" s="2" t="b">
        <v>0</v>
      </c>
      <c r="E314" s="1">
        <v>5</v>
      </c>
      <c r="F314" s="1">
        <v>1</v>
      </c>
      <c r="G314" s="1">
        <v>0.14000000000000001</v>
      </c>
      <c r="H314" s="1">
        <v>0.13639999999999999</v>
      </c>
      <c r="I314" s="1">
        <v>0.69</v>
      </c>
      <c r="J314" s="1">
        <v>0.19400000000000001</v>
      </c>
      <c r="K314" s="1">
        <v>5</v>
      </c>
      <c r="L314" s="1">
        <v>39</v>
      </c>
      <c r="M314" s="6">
        <v>44</v>
      </c>
    </row>
    <row r="315" spans="1:13" ht="15" thickBot="1" x14ac:dyDescent="0.35">
      <c r="A315" s="5">
        <v>933</v>
      </c>
      <c r="B315" s="3">
        <v>40585</v>
      </c>
      <c r="C315" s="1">
        <v>11</v>
      </c>
      <c r="D315" s="2" t="b">
        <v>0</v>
      </c>
      <c r="E315" s="1">
        <v>5</v>
      </c>
      <c r="F315" s="1">
        <v>1</v>
      </c>
      <c r="G315" s="1">
        <v>0.22</v>
      </c>
      <c r="H315" s="1">
        <v>0.2273</v>
      </c>
      <c r="I315" s="1">
        <v>0.47</v>
      </c>
      <c r="J315" s="1">
        <v>0.1343</v>
      </c>
      <c r="K315" s="1">
        <v>12</v>
      </c>
      <c r="L315" s="1">
        <v>52</v>
      </c>
      <c r="M315" s="6">
        <v>64</v>
      </c>
    </row>
    <row r="316" spans="1:13" ht="15" thickBot="1" x14ac:dyDescent="0.35">
      <c r="A316" s="5">
        <v>934</v>
      </c>
      <c r="B316" s="3">
        <v>40585</v>
      </c>
      <c r="C316" s="1">
        <v>12</v>
      </c>
      <c r="D316" s="2" t="b">
        <v>0</v>
      </c>
      <c r="E316" s="1">
        <v>5</v>
      </c>
      <c r="F316" s="1">
        <v>1</v>
      </c>
      <c r="G316" s="1">
        <v>0.22</v>
      </c>
      <c r="H316" s="1">
        <v>0.2273</v>
      </c>
      <c r="I316" s="1">
        <v>0.47</v>
      </c>
      <c r="J316" s="1">
        <v>0.1343</v>
      </c>
      <c r="K316" s="1">
        <v>7</v>
      </c>
      <c r="L316" s="1">
        <v>64</v>
      </c>
      <c r="M316" s="6">
        <v>71</v>
      </c>
    </row>
    <row r="317" spans="1:13" ht="15" thickBot="1" x14ac:dyDescent="0.35">
      <c r="A317" s="5">
        <v>935</v>
      </c>
      <c r="B317" s="3">
        <v>40585</v>
      </c>
      <c r="C317" s="1">
        <v>13</v>
      </c>
      <c r="D317" s="2" t="b">
        <v>0</v>
      </c>
      <c r="E317" s="1">
        <v>5</v>
      </c>
      <c r="F317" s="1">
        <v>1</v>
      </c>
      <c r="G317" s="1">
        <v>0.24</v>
      </c>
      <c r="H317" s="1">
        <v>0.2273</v>
      </c>
      <c r="I317" s="1">
        <v>0.35</v>
      </c>
      <c r="J317" s="1">
        <v>0.19400000000000001</v>
      </c>
      <c r="K317" s="1">
        <v>21</v>
      </c>
      <c r="L317" s="1">
        <v>89</v>
      </c>
      <c r="M317" s="6">
        <v>110</v>
      </c>
    </row>
    <row r="318" spans="1:13" ht="15" thickBot="1" x14ac:dyDescent="0.35">
      <c r="A318" s="5">
        <v>936</v>
      </c>
      <c r="B318" s="3">
        <v>40585</v>
      </c>
      <c r="C318" s="1">
        <v>14</v>
      </c>
      <c r="D318" s="2" t="b">
        <v>0</v>
      </c>
      <c r="E318" s="1">
        <v>5</v>
      </c>
      <c r="F318" s="1">
        <v>1</v>
      </c>
      <c r="G318" s="1">
        <v>0.3</v>
      </c>
      <c r="H318" s="1">
        <v>0.28789999999999999</v>
      </c>
      <c r="I318" s="1">
        <v>0.26</v>
      </c>
      <c r="J318" s="1">
        <v>0.25369999999999998</v>
      </c>
      <c r="K318" s="1">
        <v>17</v>
      </c>
      <c r="L318" s="1">
        <v>67</v>
      </c>
      <c r="M318" s="6">
        <v>84</v>
      </c>
    </row>
    <row r="319" spans="1:13" ht="15" thickBot="1" x14ac:dyDescent="0.35">
      <c r="A319" s="5">
        <v>937</v>
      </c>
      <c r="B319" s="3">
        <v>40585</v>
      </c>
      <c r="C319" s="1">
        <v>15</v>
      </c>
      <c r="D319" s="2" t="b">
        <v>0</v>
      </c>
      <c r="E319" s="1">
        <v>5</v>
      </c>
      <c r="F319" s="1">
        <v>1</v>
      </c>
      <c r="G319" s="1">
        <v>0.32</v>
      </c>
      <c r="H319" s="1">
        <v>0.31819999999999998</v>
      </c>
      <c r="I319" s="1">
        <v>0.21</v>
      </c>
      <c r="J319" s="1">
        <v>0.16420000000000001</v>
      </c>
      <c r="K319" s="1">
        <v>12</v>
      </c>
      <c r="L319" s="1">
        <v>62</v>
      </c>
      <c r="M319" s="6">
        <v>74</v>
      </c>
    </row>
    <row r="320" spans="1:13" ht="15" thickBot="1" x14ac:dyDescent="0.35">
      <c r="A320" s="5">
        <v>938</v>
      </c>
      <c r="B320" s="3">
        <v>40585</v>
      </c>
      <c r="C320" s="1">
        <v>16</v>
      </c>
      <c r="D320" s="2" t="b">
        <v>0</v>
      </c>
      <c r="E320" s="1">
        <v>5</v>
      </c>
      <c r="F320" s="1">
        <v>1</v>
      </c>
      <c r="G320" s="1">
        <v>0.3</v>
      </c>
      <c r="H320" s="1">
        <v>0.28789999999999999</v>
      </c>
      <c r="I320" s="1">
        <v>0.28000000000000003</v>
      </c>
      <c r="J320" s="1">
        <v>0.19400000000000001</v>
      </c>
      <c r="K320" s="1">
        <v>14</v>
      </c>
      <c r="L320" s="1">
        <v>111</v>
      </c>
      <c r="M320" s="6">
        <v>125</v>
      </c>
    </row>
    <row r="321" spans="1:13" ht="15" thickBot="1" x14ac:dyDescent="0.35">
      <c r="A321" s="5">
        <v>939</v>
      </c>
      <c r="B321" s="3">
        <v>40585</v>
      </c>
      <c r="C321" s="1">
        <v>17</v>
      </c>
      <c r="D321" s="2" t="b">
        <v>0</v>
      </c>
      <c r="E321" s="1">
        <v>5</v>
      </c>
      <c r="F321" s="1">
        <v>1</v>
      </c>
      <c r="G321" s="1">
        <v>0.3</v>
      </c>
      <c r="H321" s="1">
        <v>0.33329999999999999</v>
      </c>
      <c r="I321" s="1">
        <v>0.24</v>
      </c>
      <c r="J321" s="1">
        <v>0</v>
      </c>
      <c r="K321" s="1">
        <v>18</v>
      </c>
      <c r="L321" s="1">
        <v>193</v>
      </c>
      <c r="M321" s="6">
        <v>211</v>
      </c>
    </row>
    <row r="322" spans="1:13" ht="15" thickBot="1" x14ac:dyDescent="0.35">
      <c r="A322" s="5">
        <v>940</v>
      </c>
      <c r="B322" s="3">
        <v>40585</v>
      </c>
      <c r="C322" s="1">
        <v>18</v>
      </c>
      <c r="D322" s="2" t="b">
        <v>0</v>
      </c>
      <c r="E322" s="1">
        <v>5</v>
      </c>
      <c r="F322" s="1">
        <v>1</v>
      </c>
      <c r="G322" s="1">
        <v>0.28000000000000003</v>
      </c>
      <c r="H322" s="1">
        <v>0.31819999999999998</v>
      </c>
      <c r="I322" s="1">
        <v>0.28000000000000003</v>
      </c>
      <c r="J322" s="1">
        <v>0</v>
      </c>
      <c r="K322" s="1">
        <v>9</v>
      </c>
      <c r="L322" s="1">
        <v>165</v>
      </c>
      <c r="M322" s="6">
        <v>174</v>
      </c>
    </row>
    <row r="323" spans="1:13" ht="15" thickBot="1" x14ac:dyDescent="0.35">
      <c r="A323" s="5">
        <v>941</v>
      </c>
      <c r="B323" s="3">
        <v>40585</v>
      </c>
      <c r="C323" s="1">
        <v>19</v>
      </c>
      <c r="D323" s="2" t="b">
        <v>0</v>
      </c>
      <c r="E323" s="1">
        <v>5</v>
      </c>
      <c r="F323" s="1">
        <v>1</v>
      </c>
      <c r="G323" s="1">
        <v>0.26</v>
      </c>
      <c r="H323" s="1">
        <v>0.30299999999999999</v>
      </c>
      <c r="I323" s="1">
        <v>0.33</v>
      </c>
      <c r="J323" s="1">
        <v>0</v>
      </c>
      <c r="K323" s="1">
        <v>7</v>
      </c>
      <c r="L323" s="1">
        <v>94</v>
      </c>
      <c r="M323" s="6">
        <v>101</v>
      </c>
    </row>
    <row r="324" spans="1:13" ht="15" thickBot="1" x14ac:dyDescent="0.35">
      <c r="A324" s="5">
        <v>942</v>
      </c>
      <c r="B324" s="3">
        <v>40585</v>
      </c>
      <c r="C324" s="1">
        <v>20</v>
      </c>
      <c r="D324" s="2" t="b">
        <v>0</v>
      </c>
      <c r="E324" s="1">
        <v>5</v>
      </c>
      <c r="F324" s="1">
        <v>1</v>
      </c>
      <c r="G324" s="1">
        <v>0.22</v>
      </c>
      <c r="H324" s="1">
        <v>0.2273</v>
      </c>
      <c r="I324" s="1">
        <v>0.55000000000000004</v>
      </c>
      <c r="J324" s="1">
        <v>0.1343</v>
      </c>
      <c r="K324" s="1">
        <v>2</v>
      </c>
      <c r="L324" s="1">
        <v>61</v>
      </c>
      <c r="M324" s="6">
        <v>63</v>
      </c>
    </row>
    <row r="325" spans="1:13" ht="15" thickBot="1" x14ac:dyDescent="0.35">
      <c r="A325" s="5">
        <v>943</v>
      </c>
      <c r="B325" s="3">
        <v>40585</v>
      </c>
      <c r="C325" s="1">
        <v>21</v>
      </c>
      <c r="D325" s="2" t="b">
        <v>0</v>
      </c>
      <c r="E325" s="1">
        <v>5</v>
      </c>
      <c r="F325" s="1">
        <v>1</v>
      </c>
      <c r="G325" s="1">
        <v>0.2</v>
      </c>
      <c r="H325" s="1">
        <v>0.21210000000000001</v>
      </c>
      <c r="I325" s="1">
        <v>0.59</v>
      </c>
      <c r="J325" s="1">
        <v>0.1343</v>
      </c>
      <c r="K325" s="1">
        <v>1</v>
      </c>
      <c r="L325" s="1">
        <v>46</v>
      </c>
      <c r="M325" s="6">
        <v>47</v>
      </c>
    </row>
    <row r="326" spans="1:13" ht="15" thickBot="1" x14ac:dyDescent="0.35">
      <c r="A326" s="5">
        <v>944</v>
      </c>
      <c r="B326" s="3">
        <v>40585</v>
      </c>
      <c r="C326" s="1">
        <v>22</v>
      </c>
      <c r="D326" s="2" t="b">
        <v>0</v>
      </c>
      <c r="E326" s="1">
        <v>5</v>
      </c>
      <c r="F326" s="1">
        <v>1</v>
      </c>
      <c r="G326" s="1">
        <v>0.2</v>
      </c>
      <c r="H326" s="1">
        <v>0.2273</v>
      </c>
      <c r="I326" s="1">
        <v>0.64</v>
      </c>
      <c r="J326" s="1">
        <v>8.9599999999999999E-2</v>
      </c>
      <c r="K326" s="1">
        <v>2</v>
      </c>
      <c r="L326" s="1">
        <v>41</v>
      </c>
      <c r="M326" s="6">
        <v>43</v>
      </c>
    </row>
    <row r="327" spans="1:13" ht="15" thickBot="1" x14ac:dyDescent="0.35">
      <c r="A327" s="5">
        <v>945</v>
      </c>
      <c r="B327" s="3">
        <v>40585</v>
      </c>
      <c r="C327" s="1">
        <v>23</v>
      </c>
      <c r="D327" s="2" t="b">
        <v>0</v>
      </c>
      <c r="E327" s="1">
        <v>5</v>
      </c>
      <c r="F327" s="1">
        <v>1</v>
      </c>
      <c r="G327" s="1">
        <v>0.18</v>
      </c>
      <c r="H327" s="1">
        <v>0.2424</v>
      </c>
      <c r="I327" s="1">
        <v>0.69</v>
      </c>
      <c r="J327" s="1">
        <v>0</v>
      </c>
      <c r="K327" s="1">
        <v>5</v>
      </c>
      <c r="L327" s="1">
        <v>48</v>
      </c>
      <c r="M327" s="6">
        <v>53</v>
      </c>
    </row>
    <row r="328" spans="1:13" ht="15" thickBot="1" x14ac:dyDescent="0.35">
      <c r="A328" s="5">
        <v>946</v>
      </c>
      <c r="B328" s="3">
        <v>40586</v>
      </c>
      <c r="C328" s="1">
        <v>0</v>
      </c>
      <c r="D328" s="2" t="b">
        <v>0</v>
      </c>
      <c r="E328" s="1">
        <v>6</v>
      </c>
      <c r="F328" s="1">
        <v>1</v>
      </c>
      <c r="G328" s="1">
        <v>0.16</v>
      </c>
      <c r="H328" s="1">
        <v>0.19700000000000001</v>
      </c>
      <c r="I328" s="1">
        <v>0.69</v>
      </c>
      <c r="J328" s="1">
        <v>8.9599999999999999E-2</v>
      </c>
      <c r="K328" s="1">
        <v>3</v>
      </c>
      <c r="L328" s="1">
        <v>27</v>
      </c>
      <c r="M328" s="6">
        <v>30</v>
      </c>
    </row>
    <row r="329" spans="1:13" ht="15" thickBot="1" x14ac:dyDescent="0.35">
      <c r="A329" s="5">
        <v>947</v>
      </c>
      <c r="B329" s="3">
        <v>40586</v>
      </c>
      <c r="C329" s="1">
        <v>1</v>
      </c>
      <c r="D329" s="2" t="b">
        <v>0</v>
      </c>
      <c r="E329" s="1">
        <v>6</v>
      </c>
      <c r="F329" s="1">
        <v>1</v>
      </c>
      <c r="G329" s="1">
        <v>0.14000000000000001</v>
      </c>
      <c r="H329" s="1">
        <v>0.21210000000000001</v>
      </c>
      <c r="I329" s="1">
        <v>0.86</v>
      </c>
      <c r="J329" s="1">
        <v>0</v>
      </c>
      <c r="K329" s="1">
        <v>2</v>
      </c>
      <c r="L329" s="1">
        <v>22</v>
      </c>
      <c r="M329" s="6">
        <v>24</v>
      </c>
    </row>
    <row r="330" spans="1:13" ht="15" thickBot="1" x14ac:dyDescent="0.35">
      <c r="A330" s="5">
        <v>948</v>
      </c>
      <c r="B330" s="3">
        <v>40586</v>
      </c>
      <c r="C330" s="1">
        <v>2</v>
      </c>
      <c r="D330" s="2" t="b">
        <v>0</v>
      </c>
      <c r="E330" s="1">
        <v>6</v>
      </c>
      <c r="F330" s="1">
        <v>1</v>
      </c>
      <c r="G330" s="1">
        <v>0.14000000000000001</v>
      </c>
      <c r="H330" s="1">
        <v>0.21210000000000001</v>
      </c>
      <c r="I330" s="1">
        <v>0.8</v>
      </c>
      <c r="J330" s="1">
        <v>0</v>
      </c>
      <c r="K330" s="1">
        <v>2</v>
      </c>
      <c r="L330" s="1">
        <v>13</v>
      </c>
      <c r="M330" s="6">
        <v>15</v>
      </c>
    </row>
    <row r="331" spans="1:13" ht="15" thickBot="1" x14ac:dyDescent="0.35">
      <c r="A331" s="5">
        <v>949</v>
      </c>
      <c r="B331" s="3">
        <v>40586</v>
      </c>
      <c r="C331" s="1">
        <v>3</v>
      </c>
      <c r="D331" s="2" t="b">
        <v>0</v>
      </c>
      <c r="E331" s="1">
        <v>6</v>
      </c>
      <c r="F331" s="1">
        <v>1</v>
      </c>
      <c r="G331" s="1">
        <v>0.12</v>
      </c>
      <c r="H331" s="1">
        <v>0.19700000000000001</v>
      </c>
      <c r="I331" s="1">
        <v>0.8</v>
      </c>
      <c r="J331" s="1">
        <v>0</v>
      </c>
      <c r="K331" s="1">
        <v>3</v>
      </c>
      <c r="L331" s="1">
        <v>7</v>
      </c>
      <c r="M331" s="6">
        <v>10</v>
      </c>
    </row>
    <row r="332" spans="1:13" ht="15" thickBot="1" x14ac:dyDescent="0.35">
      <c r="A332" s="5">
        <v>950</v>
      </c>
      <c r="B332" s="3">
        <v>40586</v>
      </c>
      <c r="C332" s="1">
        <v>4</v>
      </c>
      <c r="D332" s="2" t="b">
        <v>0</v>
      </c>
      <c r="E332" s="1">
        <v>6</v>
      </c>
      <c r="F332" s="1">
        <v>1</v>
      </c>
      <c r="G332" s="1">
        <v>0.12</v>
      </c>
      <c r="H332" s="1">
        <v>0.16669999999999999</v>
      </c>
      <c r="I332" s="1">
        <v>0.74</v>
      </c>
      <c r="J332" s="1">
        <v>8.9599999999999999E-2</v>
      </c>
      <c r="K332" s="1">
        <v>0</v>
      </c>
      <c r="L332" s="1">
        <v>4</v>
      </c>
      <c r="M332" s="6">
        <v>4</v>
      </c>
    </row>
    <row r="333" spans="1:13" ht="15" thickBot="1" x14ac:dyDescent="0.35">
      <c r="A333" s="5">
        <v>951</v>
      </c>
      <c r="B333" s="3">
        <v>40586</v>
      </c>
      <c r="C333" s="1">
        <v>5</v>
      </c>
      <c r="D333" s="2" t="b">
        <v>0</v>
      </c>
      <c r="E333" s="1">
        <v>6</v>
      </c>
      <c r="F333" s="1">
        <v>1</v>
      </c>
      <c r="G333" s="1">
        <v>0.12</v>
      </c>
      <c r="H333" s="1">
        <v>0.16669999999999999</v>
      </c>
      <c r="I333" s="1">
        <v>0.74</v>
      </c>
      <c r="J333" s="1">
        <v>8.9599999999999999E-2</v>
      </c>
      <c r="K333" s="1">
        <v>0</v>
      </c>
      <c r="L333" s="1">
        <v>1</v>
      </c>
      <c r="M333" s="6">
        <v>1</v>
      </c>
    </row>
    <row r="334" spans="1:13" ht="15" thickBot="1" x14ac:dyDescent="0.35">
      <c r="A334" s="5">
        <v>952</v>
      </c>
      <c r="B334" s="3">
        <v>40586</v>
      </c>
      <c r="C334" s="1">
        <v>6</v>
      </c>
      <c r="D334" s="2" t="b">
        <v>0</v>
      </c>
      <c r="E334" s="1">
        <v>6</v>
      </c>
      <c r="F334" s="1">
        <v>1</v>
      </c>
      <c r="G334" s="1">
        <v>0.12</v>
      </c>
      <c r="H334" s="1">
        <v>0.13639999999999999</v>
      </c>
      <c r="I334" s="1">
        <v>0.93</v>
      </c>
      <c r="J334" s="1">
        <v>0.19400000000000001</v>
      </c>
      <c r="K334" s="1">
        <v>1</v>
      </c>
      <c r="L334" s="1">
        <v>1</v>
      </c>
      <c r="M334" s="6">
        <v>2</v>
      </c>
    </row>
    <row r="335" spans="1:13" ht="15" thickBot="1" x14ac:dyDescent="0.35">
      <c r="A335" s="5">
        <v>953</v>
      </c>
      <c r="B335" s="3">
        <v>40586</v>
      </c>
      <c r="C335" s="1">
        <v>7</v>
      </c>
      <c r="D335" s="2" t="b">
        <v>0</v>
      </c>
      <c r="E335" s="1">
        <v>6</v>
      </c>
      <c r="F335" s="1">
        <v>1</v>
      </c>
      <c r="G335" s="1">
        <v>0.12</v>
      </c>
      <c r="H335" s="1">
        <v>0.1515</v>
      </c>
      <c r="I335" s="1">
        <v>0.8</v>
      </c>
      <c r="J335" s="1">
        <v>0.1045</v>
      </c>
      <c r="K335" s="1">
        <v>2</v>
      </c>
      <c r="L335" s="1">
        <v>9</v>
      </c>
      <c r="M335" s="6">
        <v>11</v>
      </c>
    </row>
    <row r="336" spans="1:13" ht="15" thickBot="1" x14ac:dyDescent="0.35">
      <c r="A336" s="5">
        <v>954</v>
      </c>
      <c r="B336" s="3">
        <v>40586</v>
      </c>
      <c r="C336" s="1">
        <v>8</v>
      </c>
      <c r="D336" s="2" t="b">
        <v>0</v>
      </c>
      <c r="E336" s="1">
        <v>6</v>
      </c>
      <c r="F336" s="1">
        <v>1</v>
      </c>
      <c r="G336" s="1">
        <v>0.14000000000000001</v>
      </c>
      <c r="H336" s="1">
        <v>0.1515</v>
      </c>
      <c r="I336" s="1">
        <v>0.86</v>
      </c>
      <c r="J336" s="1">
        <v>0.1343</v>
      </c>
      <c r="K336" s="1">
        <v>2</v>
      </c>
      <c r="L336" s="1">
        <v>28</v>
      </c>
      <c r="M336" s="6">
        <v>30</v>
      </c>
    </row>
    <row r="337" spans="1:13" ht="15" thickBot="1" x14ac:dyDescent="0.35">
      <c r="A337" s="5">
        <v>955</v>
      </c>
      <c r="B337" s="3">
        <v>40586</v>
      </c>
      <c r="C337" s="1">
        <v>9</v>
      </c>
      <c r="D337" s="2" t="b">
        <v>0</v>
      </c>
      <c r="E337" s="1">
        <v>6</v>
      </c>
      <c r="F337" s="1">
        <v>1</v>
      </c>
      <c r="G337" s="1">
        <v>0.16</v>
      </c>
      <c r="H337" s="1">
        <v>0.18179999999999999</v>
      </c>
      <c r="I337" s="1">
        <v>0.64</v>
      </c>
      <c r="J337" s="1">
        <v>0.1343</v>
      </c>
      <c r="K337" s="1">
        <v>5</v>
      </c>
      <c r="L337" s="1">
        <v>38</v>
      </c>
      <c r="M337" s="6">
        <v>43</v>
      </c>
    </row>
    <row r="338" spans="1:13" ht="15" thickBot="1" x14ac:dyDescent="0.35">
      <c r="A338" s="5">
        <v>956</v>
      </c>
      <c r="B338" s="3">
        <v>40586</v>
      </c>
      <c r="C338" s="1">
        <v>10</v>
      </c>
      <c r="D338" s="2" t="b">
        <v>0</v>
      </c>
      <c r="E338" s="1">
        <v>6</v>
      </c>
      <c r="F338" s="1">
        <v>1</v>
      </c>
      <c r="G338" s="1">
        <v>0.22</v>
      </c>
      <c r="H338" s="1">
        <v>0.21210000000000001</v>
      </c>
      <c r="I338" s="1">
        <v>0.41</v>
      </c>
      <c r="J338" s="1">
        <v>0.25369999999999998</v>
      </c>
      <c r="K338" s="1">
        <v>13</v>
      </c>
      <c r="L338" s="1">
        <v>71</v>
      </c>
      <c r="M338" s="6">
        <v>84</v>
      </c>
    </row>
    <row r="339" spans="1:13" ht="15" thickBot="1" x14ac:dyDescent="0.35">
      <c r="A339" s="5">
        <v>957</v>
      </c>
      <c r="B339" s="3">
        <v>40586</v>
      </c>
      <c r="C339" s="1">
        <v>11</v>
      </c>
      <c r="D339" s="2" t="b">
        <v>0</v>
      </c>
      <c r="E339" s="1">
        <v>6</v>
      </c>
      <c r="F339" s="1">
        <v>1</v>
      </c>
      <c r="G339" s="1">
        <v>0.3</v>
      </c>
      <c r="H339" s="1">
        <v>0.2727</v>
      </c>
      <c r="I339" s="1">
        <v>0.28000000000000003</v>
      </c>
      <c r="J339" s="1">
        <v>0.32840000000000003</v>
      </c>
      <c r="K339" s="1">
        <v>30</v>
      </c>
      <c r="L339" s="1">
        <v>84</v>
      </c>
      <c r="M339" s="6">
        <v>114</v>
      </c>
    </row>
    <row r="340" spans="1:13" ht="15" thickBot="1" x14ac:dyDescent="0.35">
      <c r="A340" s="5">
        <v>958</v>
      </c>
      <c r="B340" s="3">
        <v>40586</v>
      </c>
      <c r="C340" s="1">
        <v>12</v>
      </c>
      <c r="D340" s="2" t="b">
        <v>0</v>
      </c>
      <c r="E340" s="1">
        <v>6</v>
      </c>
      <c r="F340" s="1">
        <v>1</v>
      </c>
      <c r="G340" s="1">
        <v>0.3</v>
      </c>
      <c r="H340" s="1">
        <v>0.2727</v>
      </c>
      <c r="I340" s="1">
        <v>0.39</v>
      </c>
      <c r="J340" s="1">
        <v>0.4627</v>
      </c>
      <c r="K340" s="1">
        <v>27</v>
      </c>
      <c r="L340" s="1">
        <v>93</v>
      </c>
      <c r="M340" s="6">
        <v>120</v>
      </c>
    </row>
    <row r="341" spans="1:13" ht="15" thickBot="1" x14ac:dyDescent="0.35">
      <c r="A341" s="5">
        <v>959</v>
      </c>
      <c r="B341" s="3">
        <v>40586</v>
      </c>
      <c r="C341" s="1">
        <v>13</v>
      </c>
      <c r="D341" s="2" t="b">
        <v>0</v>
      </c>
      <c r="E341" s="1">
        <v>6</v>
      </c>
      <c r="F341" s="1">
        <v>1</v>
      </c>
      <c r="G341" s="1">
        <v>0.3</v>
      </c>
      <c r="H341" s="1">
        <v>0.2727</v>
      </c>
      <c r="I341" s="1">
        <v>0.39</v>
      </c>
      <c r="J341" s="1">
        <v>0.41789999999999999</v>
      </c>
      <c r="K341" s="1">
        <v>32</v>
      </c>
      <c r="L341" s="1">
        <v>103</v>
      </c>
      <c r="M341" s="6">
        <v>135</v>
      </c>
    </row>
    <row r="342" spans="1:13" ht="15" thickBot="1" x14ac:dyDescent="0.35">
      <c r="A342" s="5">
        <v>960</v>
      </c>
      <c r="B342" s="3">
        <v>40586</v>
      </c>
      <c r="C342" s="1">
        <v>14</v>
      </c>
      <c r="D342" s="2" t="b">
        <v>0</v>
      </c>
      <c r="E342" s="1">
        <v>6</v>
      </c>
      <c r="F342" s="1">
        <v>1</v>
      </c>
      <c r="G342" s="1">
        <v>0.34</v>
      </c>
      <c r="H342" s="1">
        <v>0.31819999999999998</v>
      </c>
      <c r="I342" s="1">
        <v>0.31</v>
      </c>
      <c r="J342" s="1">
        <v>0.28360000000000002</v>
      </c>
      <c r="K342" s="1">
        <v>30</v>
      </c>
      <c r="L342" s="1">
        <v>90</v>
      </c>
      <c r="M342" s="6">
        <v>120</v>
      </c>
    </row>
    <row r="343" spans="1:13" ht="15" thickBot="1" x14ac:dyDescent="0.35">
      <c r="A343" s="5">
        <v>961</v>
      </c>
      <c r="B343" s="3">
        <v>40586</v>
      </c>
      <c r="C343" s="1">
        <v>15</v>
      </c>
      <c r="D343" s="2" t="b">
        <v>0</v>
      </c>
      <c r="E343" s="1">
        <v>6</v>
      </c>
      <c r="F343" s="1">
        <v>1</v>
      </c>
      <c r="G343" s="1">
        <v>0.34</v>
      </c>
      <c r="H343" s="1">
        <v>0.30299999999999999</v>
      </c>
      <c r="I343" s="1">
        <v>0.28999999999999998</v>
      </c>
      <c r="J343" s="1">
        <v>0.41789999999999999</v>
      </c>
      <c r="K343" s="1">
        <v>47</v>
      </c>
      <c r="L343" s="1">
        <v>127</v>
      </c>
      <c r="M343" s="6">
        <v>174</v>
      </c>
    </row>
    <row r="344" spans="1:13" ht="15" thickBot="1" x14ac:dyDescent="0.35">
      <c r="A344" s="5">
        <v>962</v>
      </c>
      <c r="B344" s="3">
        <v>40586</v>
      </c>
      <c r="C344" s="1">
        <v>16</v>
      </c>
      <c r="D344" s="2" t="b">
        <v>0</v>
      </c>
      <c r="E344" s="1">
        <v>6</v>
      </c>
      <c r="F344" s="1">
        <v>1</v>
      </c>
      <c r="G344" s="1">
        <v>0.34</v>
      </c>
      <c r="H344" s="1">
        <v>0.30299999999999999</v>
      </c>
      <c r="I344" s="1">
        <v>0.28999999999999998</v>
      </c>
      <c r="J344" s="1">
        <v>0.41789999999999999</v>
      </c>
      <c r="K344" s="1">
        <v>42</v>
      </c>
      <c r="L344" s="1">
        <v>103</v>
      </c>
      <c r="M344" s="6">
        <v>145</v>
      </c>
    </row>
    <row r="345" spans="1:13" ht="15" thickBot="1" x14ac:dyDescent="0.35">
      <c r="A345" s="5">
        <v>963</v>
      </c>
      <c r="B345" s="3">
        <v>40586</v>
      </c>
      <c r="C345" s="1">
        <v>17</v>
      </c>
      <c r="D345" s="2" t="b">
        <v>0</v>
      </c>
      <c r="E345" s="1">
        <v>6</v>
      </c>
      <c r="F345" s="1">
        <v>1</v>
      </c>
      <c r="G345" s="1">
        <v>0.32</v>
      </c>
      <c r="H345" s="1">
        <v>0.28789999999999999</v>
      </c>
      <c r="I345" s="1">
        <v>0.31</v>
      </c>
      <c r="J345" s="1">
        <v>0.52239999999999998</v>
      </c>
      <c r="K345" s="1">
        <v>24</v>
      </c>
      <c r="L345" s="1">
        <v>113</v>
      </c>
      <c r="M345" s="6">
        <v>137</v>
      </c>
    </row>
    <row r="346" spans="1:13" ht="15" thickBot="1" x14ac:dyDescent="0.35">
      <c r="A346" s="5">
        <v>964</v>
      </c>
      <c r="B346" s="3">
        <v>40586</v>
      </c>
      <c r="C346" s="1">
        <v>18</v>
      </c>
      <c r="D346" s="2" t="b">
        <v>0</v>
      </c>
      <c r="E346" s="1">
        <v>6</v>
      </c>
      <c r="F346" s="1">
        <v>1</v>
      </c>
      <c r="G346" s="1">
        <v>0.28000000000000003</v>
      </c>
      <c r="H346" s="1">
        <v>0.2576</v>
      </c>
      <c r="I346" s="1">
        <v>0.38</v>
      </c>
      <c r="J346" s="1">
        <v>0.32840000000000003</v>
      </c>
      <c r="K346" s="1">
        <v>4</v>
      </c>
      <c r="L346" s="1">
        <v>60</v>
      </c>
      <c r="M346" s="6">
        <v>64</v>
      </c>
    </row>
    <row r="347" spans="1:13" ht="15" thickBot="1" x14ac:dyDescent="0.35">
      <c r="A347" s="5">
        <v>965</v>
      </c>
      <c r="B347" s="3">
        <v>40586</v>
      </c>
      <c r="C347" s="1">
        <v>19</v>
      </c>
      <c r="D347" s="2" t="b">
        <v>0</v>
      </c>
      <c r="E347" s="1">
        <v>6</v>
      </c>
      <c r="F347" s="1">
        <v>1</v>
      </c>
      <c r="G347" s="1">
        <v>0.28000000000000003</v>
      </c>
      <c r="H347" s="1">
        <v>0.2727</v>
      </c>
      <c r="I347" s="1">
        <v>0.38</v>
      </c>
      <c r="J347" s="1">
        <v>0.16420000000000001</v>
      </c>
      <c r="K347" s="1">
        <v>2</v>
      </c>
      <c r="L347" s="1">
        <v>39</v>
      </c>
      <c r="M347" s="6">
        <v>41</v>
      </c>
    </row>
    <row r="348" spans="1:13" ht="15" thickBot="1" x14ac:dyDescent="0.35">
      <c r="A348" s="5">
        <v>966</v>
      </c>
      <c r="B348" s="3">
        <v>40586</v>
      </c>
      <c r="C348" s="1">
        <v>20</v>
      </c>
      <c r="D348" s="2" t="b">
        <v>0</v>
      </c>
      <c r="E348" s="1">
        <v>6</v>
      </c>
      <c r="F348" s="1">
        <v>1</v>
      </c>
      <c r="G348" s="1">
        <v>0.26</v>
      </c>
      <c r="H348" s="1">
        <v>0.2576</v>
      </c>
      <c r="I348" s="1">
        <v>0.41</v>
      </c>
      <c r="J348" s="1">
        <v>0.22389999999999999</v>
      </c>
      <c r="K348" s="1">
        <v>1</v>
      </c>
      <c r="L348" s="1">
        <v>39</v>
      </c>
      <c r="M348" s="6">
        <v>40</v>
      </c>
    </row>
    <row r="349" spans="1:13" ht="15" thickBot="1" x14ac:dyDescent="0.35">
      <c r="A349" s="5">
        <v>967</v>
      </c>
      <c r="B349" s="3">
        <v>40586</v>
      </c>
      <c r="C349" s="1">
        <v>21</v>
      </c>
      <c r="D349" s="2" t="b">
        <v>0</v>
      </c>
      <c r="E349" s="1">
        <v>6</v>
      </c>
      <c r="F349" s="1">
        <v>1</v>
      </c>
      <c r="G349" s="1">
        <v>0.26</v>
      </c>
      <c r="H349" s="1">
        <v>0.30299999999999999</v>
      </c>
      <c r="I349" s="1">
        <v>0.41</v>
      </c>
      <c r="J349" s="1">
        <v>0</v>
      </c>
      <c r="K349" s="1">
        <v>9</v>
      </c>
      <c r="L349" s="1">
        <v>42</v>
      </c>
      <c r="M349" s="6">
        <v>51</v>
      </c>
    </row>
    <row r="350" spans="1:13" ht="15" thickBot="1" x14ac:dyDescent="0.35">
      <c r="A350" s="5">
        <v>968</v>
      </c>
      <c r="B350" s="3">
        <v>40586</v>
      </c>
      <c r="C350" s="1">
        <v>22</v>
      </c>
      <c r="D350" s="2" t="b">
        <v>0</v>
      </c>
      <c r="E350" s="1">
        <v>6</v>
      </c>
      <c r="F350" s="1">
        <v>1</v>
      </c>
      <c r="G350" s="1">
        <v>0.24</v>
      </c>
      <c r="H350" s="1">
        <v>0.2576</v>
      </c>
      <c r="I350" s="1">
        <v>0.44</v>
      </c>
      <c r="J350" s="1">
        <v>8.9599999999999999E-2</v>
      </c>
      <c r="K350" s="1">
        <v>6</v>
      </c>
      <c r="L350" s="1">
        <v>39</v>
      </c>
      <c r="M350" s="6">
        <v>45</v>
      </c>
    </row>
    <row r="351" spans="1:13" ht="15" thickBot="1" x14ac:dyDescent="0.35">
      <c r="A351" s="5">
        <v>969</v>
      </c>
      <c r="B351" s="3">
        <v>40586</v>
      </c>
      <c r="C351" s="1">
        <v>23</v>
      </c>
      <c r="D351" s="2" t="b">
        <v>0</v>
      </c>
      <c r="E351" s="1">
        <v>6</v>
      </c>
      <c r="F351" s="1">
        <v>1</v>
      </c>
      <c r="G351" s="1">
        <v>0.22</v>
      </c>
      <c r="H351" s="1">
        <v>0.2273</v>
      </c>
      <c r="I351" s="1">
        <v>0.51</v>
      </c>
      <c r="J351" s="1">
        <v>0.1343</v>
      </c>
      <c r="K351" s="1">
        <v>1</v>
      </c>
      <c r="L351" s="1">
        <v>31</v>
      </c>
      <c r="M351" s="6">
        <v>32</v>
      </c>
    </row>
    <row r="352" spans="1:13" ht="15" thickBot="1" x14ac:dyDescent="0.35">
      <c r="A352" s="5">
        <v>970</v>
      </c>
      <c r="B352" s="3">
        <v>40587</v>
      </c>
      <c r="C352" s="1">
        <v>0</v>
      </c>
      <c r="D352" s="2" t="b">
        <v>0</v>
      </c>
      <c r="E352" s="1">
        <v>0</v>
      </c>
      <c r="F352" s="1">
        <v>1</v>
      </c>
      <c r="G352" s="1">
        <v>0.2</v>
      </c>
      <c r="H352" s="1">
        <v>0.2273</v>
      </c>
      <c r="I352" s="1">
        <v>0.64</v>
      </c>
      <c r="J352" s="1">
        <v>0.1045</v>
      </c>
      <c r="K352" s="1">
        <v>5</v>
      </c>
      <c r="L352" s="1">
        <v>34</v>
      </c>
      <c r="M352" s="6">
        <v>39</v>
      </c>
    </row>
    <row r="353" spans="1:13" ht="15" thickBot="1" x14ac:dyDescent="0.35">
      <c r="A353" s="5">
        <v>971</v>
      </c>
      <c r="B353" s="3">
        <v>40587</v>
      </c>
      <c r="C353" s="1">
        <v>1</v>
      </c>
      <c r="D353" s="2" t="b">
        <v>0</v>
      </c>
      <c r="E353" s="1">
        <v>0</v>
      </c>
      <c r="F353" s="1">
        <v>1</v>
      </c>
      <c r="G353" s="1">
        <v>0.2</v>
      </c>
      <c r="H353" s="1">
        <v>0.2273</v>
      </c>
      <c r="I353" s="1">
        <v>0.59</v>
      </c>
      <c r="J353" s="1">
        <v>8.9599999999999999E-2</v>
      </c>
      <c r="K353" s="1">
        <v>1</v>
      </c>
      <c r="L353" s="1">
        <v>23</v>
      </c>
      <c r="M353" s="6">
        <v>24</v>
      </c>
    </row>
    <row r="354" spans="1:13" ht="15" thickBot="1" x14ac:dyDescent="0.35">
      <c r="A354" s="5">
        <v>972</v>
      </c>
      <c r="B354" s="3">
        <v>40587</v>
      </c>
      <c r="C354" s="1">
        <v>2</v>
      </c>
      <c r="D354" s="2" t="b">
        <v>0</v>
      </c>
      <c r="E354" s="1">
        <v>0</v>
      </c>
      <c r="F354" s="1">
        <v>2</v>
      </c>
      <c r="G354" s="1">
        <v>0.2</v>
      </c>
      <c r="H354" s="1">
        <v>0.2273</v>
      </c>
      <c r="I354" s="1">
        <v>0.75</v>
      </c>
      <c r="J354" s="1">
        <v>8.9599999999999999E-2</v>
      </c>
      <c r="K354" s="1">
        <v>1</v>
      </c>
      <c r="L354" s="1">
        <v>19</v>
      </c>
      <c r="M354" s="6">
        <v>20</v>
      </c>
    </row>
    <row r="355" spans="1:13" ht="15" thickBot="1" x14ac:dyDescent="0.35">
      <c r="A355" s="5">
        <v>973</v>
      </c>
      <c r="B355" s="3">
        <v>40587</v>
      </c>
      <c r="C355" s="1">
        <v>3</v>
      </c>
      <c r="D355" s="2" t="b">
        <v>0</v>
      </c>
      <c r="E355" s="1">
        <v>0</v>
      </c>
      <c r="F355" s="1">
        <v>2</v>
      </c>
      <c r="G355" s="1">
        <v>0.2</v>
      </c>
      <c r="H355" s="1">
        <v>0.2273</v>
      </c>
      <c r="I355" s="1">
        <v>0.69</v>
      </c>
      <c r="J355" s="1">
        <v>0.1045</v>
      </c>
      <c r="K355" s="1">
        <v>4</v>
      </c>
      <c r="L355" s="1">
        <v>8</v>
      </c>
      <c r="M355" s="6">
        <v>12</v>
      </c>
    </row>
    <row r="356" spans="1:13" ht="15" thickBot="1" x14ac:dyDescent="0.35">
      <c r="A356" s="5">
        <v>974</v>
      </c>
      <c r="B356" s="3">
        <v>40587</v>
      </c>
      <c r="C356" s="1">
        <v>4</v>
      </c>
      <c r="D356" s="2" t="b">
        <v>0</v>
      </c>
      <c r="E356" s="1">
        <v>0</v>
      </c>
      <c r="F356" s="1">
        <v>2</v>
      </c>
      <c r="G356" s="1">
        <v>0.2</v>
      </c>
      <c r="H356" s="1">
        <v>0.21210000000000001</v>
      </c>
      <c r="I356" s="1">
        <v>0.69</v>
      </c>
      <c r="J356" s="1">
        <v>0.16420000000000001</v>
      </c>
      <c r="K356" s="1">
        <v>0</v>
      </c>
      <c r="L356" s="1">
        <v>2</v>
      </c>
      <c r="M356" s="6">
        <v>2</v>
      </c>
    </row>
    <row r="357" spans="1:13" ht="15" thickBot="1" x14ac:dyDescent="0.35">
      <c r="A357" s="5">
        <v>975</v>
      </c>
      <c r="B357" s="3">
        <v>40587</v>
      </c>
      <c r="C357" s="1">
        <v>6</v>
      </c>
      <c r="D357" s="2" t="b">
        <v>0</v>
      </c>
      <c r="E357" s="1">
        <v>0</v>
      </c>
      <c r="F357" s="1">
        <v>2</v>
      </c>
      <c r="G357" s="1">
        <v>0.2</v>
      </c>
      <c r="H357" s="1">
        <v>0.21210000000000001</v>
      </c>
      <c r="I357" s="1">
        <v>0.69</v>
      </c>
      <c r="J357" s="1">
        <v>0.1343</v>
      </c>
      <c r="K357" s="1">
        <v>2</v>
      </c>
      <c r="L357" s="1">
        <v>3</v>
      </c>
      <c r="M357" s="6">
        <v>5</v>
      </c>
    </row>
    <row r="358" spans="1:13" ht="15" thickBot="1" x14ac:dyDescent="0.35">
      <c r="A358" s="5">
        <v>976</v>
      </c>
      <c r="B358" s="3">
        <v>40587</v>
      </c>
      <c r="C358" s="1">
        <v>7</v>
      </c>
      <c r="D358" s="2" t="b">
        <v>0</v>
      </c>
      <c r="E358" s="1">
        <v>0</v>
      </c>
      <c r="F358" s="1">
        <v>2</v>
      </c>
      <c r="G358" s="1">
        <v>0.22</v>
      </c>
      <c r="H358" s="1">
        <v>0.2727</v>
      </c>
      <c r="I358" s="1">
        <v>0.55000000000000004</v>
      </c>
      <c r="J358" s="1">
        <v>0</v>
      </c>
      <c r="K358" s="1">
        <v>0</v>
      </c>
      <c r="L358" s="1">
        <v>3</v>
      </c>
      <c r="M358" s="6">
        <v>3</v>
      </c>
    </row>
    <row r="359" spans="1:13" ht="15" thickBot="1" x14ac:dyDescent="0.35">
      <c r="A359" s="5">
        <v>977</v>
      </c>
      <c r="B359" s="3">
        <v>40587</v>
      </c>
      <c r="C359" s="1">
        <v>8</v>
      </c>
      <c r="D359" s="2" t="b">
        <v>0</v>
      </c>
      <c r="E359" s="1">
        <v>0</v>
      </c>
      <c r="F359" s="1">
        <v>2</v>
      </c>
      <c r="G359" s="1">
        <v>0.22</v>
      </c>
      <c r="H359" s="1">
        <v>0.2273</v>
      </c>
      <c r="I359" s="1">
        <v>0.64</v>
      </c>
      <c r="J359" s="1">
        <v>0.19400000000000001</v>
      </c>
      <c r="K359" s="1">
        <v>1</v>
      </c>
      <c r="L359" s="1">
        <v>11</v>
      </c>
      <c r="M359" s="6">
        <v>12</v>
      </c>
    </row>
    <row r="360" spans="1:13" ht="15" thickBot="1" x14ac:dyDescent="0.35">
      <c r="A360" s="5">
        <v>978</v>
      </c>
      <c r="B360" s="3">
        <v>40587</v>
      </c>
      <c r="C360" s="1">
        <v>9</v>
      </c>
      <c r="D360" s="2" t="b">
        <v>0</v>
      </c>
      <c r="E360" s="1">
        <v>0</v>
      </c>
      <c r="F360" s="1">
        <v>2</v>
      </c>
      <c r="G360" s="1">
        <v>0.24</v>
      </c>
      <c r="H360" s="1">
        <v>0.2273</v>
      </c>
      <c r="I360" s="1">
        <v>0.6</v>
      </c>
      <c r="J360" s="1">
        <v>0.22389999999999999</v>
      </c>
      <c r="K360" s="1">
        <v>12</v>
      </c>
      <c r="L360" s="1">
        <v>35</v>
      </c>
      <c r="M360" s="6">
        <v>47</v>
      </c>
    </row>
    <row r="361" spans="1:13" ht="15" thickBot="1" x14ac:dyDescent="0.35">
      <c r="A361" s="5">
        <v>979</v>
      </c>
      <c r="B361" s="3">
        <v>40587</v>
      </c>
      <c r="C361" s="1">
        <v>10</v>
      </c>
      <c r="D361" s="2" t="b">
        <v>0</v>
      </c>
      <c r="E361" s="1">
        <v>0</v>
      </c>
      <c r="F361" s="1">
        <v>1</v>
      </c>
      <c r="G361" s="1">
        <v>0.3</v>
      </c>
      <c r="H361" s="1">
        <v>0.2727</v>
      </c>
      <c r="I361" s="1">
        <v>0.45</v>
      </c>
      <c r="J361" s="1">
        <v>0.32840000000000003</v>
      </c>
      <c r="K361" s="1">
        <v>19</v>
      </c>
      <c r="L361" s="1">
        <v>86</v>
      </c>
      <c r="M361" s="6">
        <v>105</v>
      </c>
    </row>
    <row r="362" spans="1:13" ht="15" thickBot="1" x14ac:dyDescent="0.35">
      <c r="A362" s="5">
        <v>980</v>
      </c>
      <c r="B362" s="3">
        <v>40587</v>
      </c>
      <c r="C362" s="1">
        <v>11</v>
      </c>
      <c r="D362" s="2" t="b">
        <v>0</v>
      </c>
      <c r="E362" s="1">
        <v>0</v>
      </c>
      <c r="F362" s="1">
        <v>1</v>
      </c>
      <c r="G362" s="1">
        <v>0.32</v>
      </c>
      <c r="H362" s="1">
        <v>0.28789999999999999</v>
      </c>
      <c r="I362" s="1">
        <v>0.39</v>
      </c>
      <c r="J362" s="1">
        <v>0.44779999999999998</v>
      </c>
      <c r="K362" s="1">
        <v>26</v>
      </c>
      <c r="L362" s="1">
        <v>86</v>
      </c>
      <c r="M362" s="6">
        <v>112</v>
      </c>
    </row>
    <row r="363" spans="1:13" ht="15" thickBot="1" x14ac:dyDescent="0.35">
      <c r="A363" s="5">
        <v>981</v>
      </c>
      <c r="B363" s="3">
        <v>40587</v>
      </c>
      <c r="C363" s="1">
        <v>12</v>
      </c>
      <c r="D363" s="2" t="b">
        <v>0</v>
      </c>
      <c r="E363" s="1">
        <v>0</v>
      </c>
      <c r="F363" s="1">
        <v>1</v>
      </c>
      <c r="G363" s="1">
        <v>0.36</v>
      </c>
      <c r="H363" s="1">
        <v>0.31819999999999998</v>
      </c>
      <c r="I363" s="1">
        <v>0.32</v>
      </c>
      <c r="J363" s="1">
        <v>0.4627</v>
      </c>
      <c r="K363" s="1">
        <v>58</v>
      </c>
      <c r="L363" s="1">
        <v>94</v>
      </c>
      <c r="M363" s="6">
        <v>152</v>
      </c>
    </row>
    <row r="364" spans="1:13" ht="15" thickBot="1" x14ac:dyDescent="0.35">
      <c r="A364" s="5">
        <v>982</v>
      </c>
      <c r="B364" s="3">
        <v>40587</v>
      </c>
      <c r="C364" s="1">
        <v>13</v>
      </c>
      <c r="D364" s="2" t="b">
        <v>0</v>
      </c>
      <c r="E364" s="1">
        <v>0</v>
      </c>
      <c r="F364" s="1">
        <v>1</v>
      </c>
      <c r="G364" s="1">
        <v>0.38</v>
      </c>
      <c r="H364" s="1">
        <v>0.39389999999999997</v>
      </c>
      <c r="I364" s="1">
        <v>0.28999999999999998</v>
      </c>
      <c r="J364" s="1">
        <v>0.35820000000000002</v>
      </c>
      <c r="K364" s="1">
        <v>62</v>
      </c>
      <c r="L364" s="1">
        <v>92</v>
      </c>
      <c r="M364" s="6">
        <v>154</v>
      </c>
    </row>
    <row r="365" spans="1:13" ht="15" thickBot="1" x14ac:dyDescent="0.35">
      <c r="A365" s="5">
        <v>983</v>
      </c>
      <c r="B365" s="3">
        <v>40587</v>
      </c>
      <c r="C365" s="1">
        <v>14</v>
      </c>
      <c r="D365" s="2" t="b">
        <v>0</v>
      </c>
      <c r="E365" s="1">
        <v>0</v>
      </c>
      <c r="F365" s="1">
        <v>2</v>
      </c>
      <c r="G365" s="1">
        <v>0.4</v>
      </c>
      <c r="H365" s="1">
        <v>0.40910000000000002</v>
      </c>
      <c r="I365" s="1">
        <v>0.3</v>
      </c>
      <c r="J365" s="1">
        <v>0.41789999999999999</v>
      </c>
      <c r="K365" s="1">
        <v>51</v>
      </c>
      <c r="L365" s="1">
        <v>110</v>
      </c>
      <c r="M365" s="6">
        <v>161</v>
      </c>
    </row>
    <row r="366" spans="1:13" ht="15" thickBot="1" x14ac:dyDescent="0.35">
      <c r="A366" s="5">
        <v>984</v>
      </c>
      <c r="B366" s="3">
        <v>40587</v>
      </c>
      <c r="C366" s="1">
        <v>15</v>
      </c>
      <c r="D366" s="2" t="b">
        <v>0</v>
      </c>
      <c r="E366" s="1">
        <v>0</v>
      </c>
      <c r="F366" s="1">
        <v>2</v>
      </c>
      <c r="G366" s="1">
        <v>0.4</v>
      </c>
      <c r="H366" s="1">
        <v>0.40910000000000002</v>
      </c>
      <c r="I366" s="1">
        <v>0.3</v>
      </c>
      <c r="J366" s="1">
        <v>0.29849999999999999</v>
      </c>
      <c r="K366" s="1">
        <v>40</v>
      </c>
      <c r="L366" s="1">
        <v>122</v>
      </c>
      <c r="M366" s="6">
        <v>162</v>
      </c>
    </row>
    <row r="367" spans="1:13" ht="15" thickBot="1" x14ac:dyDescent="0.35">
      <c r="A367" s="5">
        <v>985</v>
      </c>
      <c r="B367" s="3">
        <v>40587</v>
      </c>
      <c r="C367" s="1">
        <v>16</v>
      </c>
      <c r="D367" s="2" t="b">
        <v>0</v>
      </c>
      <c r="E367" s="1">
        <v>0</v>
      </c>
      <c r="F367" s="1">
        <v>2</v>
      </c>
      <c r="G367" s="1">
        <v>0.42</v>
      </c>
      <c r="H367" s="1">
        <v>0.42420000000000002</v>
      </c>
      <c r="I367" s="1">
        <v>0.28000000000000003</v>
      </c>
      <c r="J367" s="1">
        <v>0.32840000000000003</v>
      </c>
      <c r="K367" s="1">
        <v>28</v>
      </c>
      <c r="L367" s="1">
        <v>106</v>
      </c>
      <c r="M367" s="6">
        <v>134</v>
      </c>
    </row>
    <row r="368" spans="1:13" ht="15" thickBot="1" x14ac:dyDescent="0.35">
      <c r="A368" s="5">
        <v>986</v>
      </c>
      <c r="B368" s="3">
        <v>40587</v>
      </c>
      <c r="C368" s="1">
        <v>17</v>
      </c>
      <c r="D368" s="2" t="b">
        <v>0</v>
      </c>
      <c r="E368" s="1">
        <v>0</v>
      </c>
      <c r="F368" s="1">
        <v>1</v>
      </c>
      <c r="G368" s="1">
        <v>0.42</v>
      </c>
      <c r="H368" s="1">
        <v>0.42420000000000002</v>
      </c>
      <c r="I368" s="1">
        <v>0.28000000000000003</v>
      </c>
      <c r="J368" s="1">
        <v>0.32840000000000003</v>
      </c>
      <c r="K368" s="1">
        <v>30</v>
      </c>
      <c r="L368" s="1">
        <v>95</v>
      </c>
      <c r="M368" s="6">
        <v>125</v>
      </c>
    </row>
    <row r="369" spans="1:13" ht="15" thickBot="1" x14ac:dyDescent="0.35">
      <c r="A369" s="5">
        <v>987</v>
      </c>
      <c r="B369" s="3">
        <v>40587</v>
      </c>
      <c r="C369" s="1">
        <v>18</v>
      </c>
      <c r="D369" s="2" t="b">
        <v>0</v>
      </c>
      <c r="E369" s="1">
        <v>0</v>
      </c>
      <c r="F369" s="1">
        <v>1</v>
      </c>
      <c r="G369" s="1">
        <v>0.4</v>
      </c>
      <c r="H369" s="1">
        <v>0.40910000000000002</v>
      </c>
      <c r="I369" s="1">
        <v>0.32</v>
      </c>
      <c r="J369" s="1">
        <v>0.29849999999999999</v>
      </c>
      <c r="K369" s="1">
        <v>17</v>
      </c>
      <c r="L369" s="1">
        <v>78</v>
      </c>
      <c r="M369" s="6">
        <v>95</v>
      </c>
    </row>
    <row r="370" spans="1:13" ht="15" thickBot="1" x14ac:dyDescent="0.35">
      <c r="A370" s="5">
        <v>988</v>
      </c>
      <c r="B370" s="3">
        <v>40587</v>
      </c>
      <c r="C370" s="1">
        <v>19</v>
      </c>
      <c r="D370" s="2" t="b">
        <v>0</v>
      </c>
      <c r="E370" s="1">
        <v>0</v>
      </c>
      <c r="F370" s="1">
        <v>1</v>
      </c>
      <c r="G370" s="1">
        <v>0.4</v>
      </c>
      <c r="H370" s="1">
        <v>0.40910000000000002</v>
      </c>
      <c r="I370" s="1">
        <v>0.35</v>
      </c>
      <c r="J370" s="1">
        <v>0.28360000000000002</v>
      </c>
      <c r="K370" s="1">
        <v>11</v>
      </c>
      <c r="L370" s="1">
        <v>50</v>
      </c>
      <c r="M370" s="6">
        <v>61</v>
      </c>
    </row>
    <row r="371" spans="1:13" ht="15" thickBot="1" x14ac:dyDescent="0.35">
      <c r="A371" s="5">
        <v>989</v>
      </c>
      <c r="B371" s="3">
        <v>40587</v>
      </c>
      <c r="C371" s="1">
        <v>20</v>
      </c>
      <c r="D371" s="2" t="b">
        <v>0</v>
      </c>
      <c r="E371" s="1">
        <v>0</v>
      </c>
      <c r="F371" s="1">
        <v>1</v>
      </c>
      <c r="G371" s="1">
        <v>0.4</v>
      </c>
      <c r="H371" s="1">
        <v>0.40910000000000002</v>
      </c>
      <c r="I371" s="1">
        <v>0.35</v>
      </c>
      <c r="J371" s="1">
        <v>0.32840000000000003</v>
      </c>
      <c r="K371" s="1">
        <v>15</v>
      </c>
      <c r="L371" s="1">
        <v>32</v>
      </c>
      <c r="M371" s="6">
        <v>47</v>
      </c>
    </row>
    <row r="372" spans="1:13" ht="15" thickBot="1" x14ac:dyDescent="0.35">
      <c r="A372" s="5">
        <v>990</v>
      </c>
      <c r="B372" s="3">
        <v>40587</v>
      </c>
      <c r="C372" s="1">
        <v>21</v>
      </c>
      <c r="D372" s="2" t="b">
        <v>0</v>
      </c>
      <c r="E372" s="1">
        <v>0</v>
      </c>
      <c r="F372" s="1">
        <v>1</v>
      </c>
      <c r="G372" s="1">
        <v>0.4</v>
      </c>
      <c r="H372" s="1">
        <v>0.40910000000000002</v>
      </c>
      <c r="I372" s="1">
        <v>0.35</v>
      </c>
      <c r="J372" s="1">
        <v>0.35820000000000002</v>
      </c>
      <c r="K372" s="1">
        <v>6</v>
      </c>
      <c r="L372" s="1">
        <v>45</v>
      </c>
      <c r="M372" s="6">
        <v>51</v>
      </c>
    </row>
    <row r="373" spans="1:13" ht="15" thickBot="1" x14ac:dyDescent="0.35">
      <c r="A373" s="5">
        <v>991</v>
      </c>
      <c r="B373" s="3">
        <v>40587</v>
      </c>
      <c r="C373" s="1">
        <v>22</v>
      </c>
      <c r="D373" s="2" t="b">
        <v>0</v>
      </c>
      <c r="E373" s="1">
        <v>0</v>
      </c>
      <c r="F373" s="1">
        <v>1</v>
      </c>
      <c r="G373" s="1">
        <v>0.4</v>
      </c>
      <c r="H373" s="1">
        <v>0.40910000000000002</v>
      </c>
      <c r="I373" s="1">
        <v>0.35</v>
      </c>
      <c r="J373" s="1">
        <v>0.29849999999999999</v>
      </c>
      <c r="K373" s="1">
        <v>5</v>
      </c>
      <c r="L373" s="1">
        <v>31</v>
      </c>
      <c r="M373" s="6">
        <v>36</v>
      </c>
    </row>
    <row r="374" spans="1:13" ht="15" thickBot="1" x14ac:dyDescent="0.35">
      <c r="A374" s="5">
        <v>992</v>
      </c>
      <c r="B374" s="3">
        <v>40587</v>
      </c>
      <c r="C374" s="1">
        <v>23</v>
      </c>
      <c r="D374" s="2" t="b">
        <v>0</v>
      </c>
      <c r="E374" s="1">
        <v>0</v>
      </c>
      <c r="F374" s="1">
        <v>1</v>
      </c>
      <c r="G374" s="1">
        <v>0.4</v>
      </c>
      <c r="H374" s="1">
        <v>0.40910000000000002</v>
      </c>
      <c r="I374" s="1">
        <v>0.35</v>
      </c>
      <c r="J374" s="1">
        <v>0.35820000000000002</v>
      </c>
      <c r="K374" s="1">
        <v>3</v>
      </c>
      <c r="L374" s="1">
        <v>27</v>
      </c>
      <c r="M374" s="6">
        <v>30</v>
      </c>
    </row>
    <row r="375" spans="1:13" ht="15" thickBot="1" x14ac:dyDescent="0.35">
      <c r="A375" s="5">
        <v>993</v>
      </c>
      <c r="B375" s="3">
        <v>40588</v>
      </c>
      <c r="C375" s="1">
        <v>0</v>
      </c>
      <c r="D375" s="2" t="b">
        <v>0</v>
      </c>
      <c r="E375" s="1">
        <v>1</v>
      </c>
      <c r="F375" s="1">
        <v>1</v>
      </c>
      <c r="G375" s="1">
        <v>0.38</v>
      </c>
      <c r="H375" s="1">
        <v>0.39389999999999997</v>
      </c>
      <c r="I375" s="1">
        <v>0.37</v>
      </c>
      <c r="J375" s="1">
        <v>0.35820000000000002</v>
      </c>
      <c r="K375" s="1">
        <v>3</v>
      </c>
      <c r="L375" s="1">
        <v>8</v>
      </c>
      <c r="M375" s="6">
        <v>11</v>
      </c>
    </row>
    <row r="376" spans="1:13" ht="15" thickBot="1" x14ac:dyDescent="0.35">
      <c r="A376" s="5">
        <v>994</v>
      </c>
      <c r="B376" s="3">
        <v>40588</v>
      </c>
      <c r="C376" s="1">
        <v>1</v>
      </c>
      <c r="D376" s="2" t="b">
        <v>0</v>
      </c>
      <c r="E376" s="1">
        <v>1</v>
      </c>
      <c r="F376" s="1">
        <v>1</v>
      </c>
      <c r="G376" s="1">
        <v>0.38</v>
      </c>
      <c r="H376" s="1">
        <v>0.39389999999999997</v>
      </c>
      <c r="I376" s="1">
        <v>0.37</v>
      </c>
      <c r="J376" s="1">
        <v>0.35820000000000002</v>
      </c>
      <c r="K376" s="1">
        <v>1</v>
      </c>
      <c r="L376" s="1">
        <v>6</v>
      </c>
      <c r="M376" s="6">
        <v>7</v>
      </c>
    </row>
    <row r="377" spans="1:13" ht="15" thickBot="1" x14ac:dyDescent="0.35">
      <c r="A377" s="5">
        <v>995</v>
      </c>
      <c r="B377" s="3">
        <v>40588</v>
      </c>
      <c r="C377" s="1">
        <v>2</v>
      </c>
      <c r="D377" s="2" t="b">
        <v>0</v>
      </c>
      <c r="E377" s="1">
        <v>1</v>
      </c>
      <c r="F377" s="1">
        <v>1</v>
      </c>
      <c r="G377" s="1">
        <v>0.36</v>
      </c>
      <c r="H377" s="1">
        <v>0.33329999999999999</v>
      </c>
      <c r="I377" s="1">
        <v>0.4</v>
      </c>
      <c r="J377" s="1">
        <v>0.29849999999999999</v>
      </c>
      <c r="K377" s="1">
        <v>0</v>
      </c>
      <c r="L377" s="1">
        <v>2</v>
      </c>
      <c r="M377" s="6">
        <v>2</v>
      </c>
    </row>
    <row r="378" spans="1:13" ht="15" thickBot="1" x14ac:dyDescent="0.35">
      <c r="A378" s="5">
        <v>996</v>
      </c>
      <c r="B378" s="3">
        <v>40588</v>
      </c>
      <c r="C378" s="1">
        <v>3</v>
      </c>
      <c r="D378" s="2" t="b">
        <v>0</v>
      </c>
      <c r="E378" s="1">
        <v>1</v>
      </c>
      <c r="F378" s="1">
        <v>1</v>
      </c>
      <c r="G378" s="1">
        <v>0.34</v>
      </c>
      <c r="H378" s="1">
        <v>0.31819999999999998</v>
      </c>
      <c r="I378" s="1">
        <v>0.46</v>
      </c>
      <c r="J378" s="1">
        <v>0.22389999999999999</v>
      </c>
      <c r="K378" s="1">
        <v>1</v>
      </c>
      <c r="L378" s="1">
        <v>1</v>
      </c>
      <c r="M378" s="6">
        <v>2</v>
      </c>
    </row>
    <row r="379" spans="1:13" ht="15" thickBot="1" x14ac:dyDescent="0.35">
      <c r="A379" s="5">
        <v>997</v>
      </c>
      <c r="B379" s="3">
        <v>40588</v>
      </c>
      <c r="C379" s="1">
        <v>4</v>
      </c>
      <c r="D379" s="2" t="b">
        <v>0</v>
      </c>
      <c r="E379" s="1">
        <v>1</v>
      </c>
      <c r="F379" s="1">
        <v>1</v>
      </c>
      <c r="G379" s="1">
        <v>0.32</v>
      </c>
      <c r="H379" s="1">
        <v>0.30299999999999999</v>
      </c>
      <c r="I379" s="1">
        <v>0.53</v>
      </c>
      <c r="J379" s="1">
        <v>0.28360000000000002</v>
      </c>
      <c r="K379" s="1">
        <v>0</v>
      </c>
      <c r="L379" s="1">
        <v>2</v>
      </c>
      <c r="M379" s="6">
        <v>2</v>
      </c>
    </row>
    <row r="380" spans="1:13" ht="15" thickBot="1" x14ac:dyDescent="0.35">
      <c r="A380" s="5">
        <v>998</v>
      </c>
      <c r="B380" s="3">
        <v>40588</v>
      </c>
      <c r="C380" s="1">
        <v>5</v>
      </c>
      <c r="D380" s="2" t="b">
        <v>0</v>
      </c>
      <c r="E380" s="1">
        <v>1</v>
      </c>
      <c r="F380" s="1">
        <v>1</v>
      </c>
      <c r="G380" s="1">
        <v>0.32</v>
      </c>
      <c r="H380" s="1">
        <v>0.30299999999999999</v>
      </c>
      <c r="I380" s="1">
        <v>0.53</v>
      </c>
      <c r="J380" s="1">
        <v>0.28360000000000002</v>
      </c>
      <c r="K380" s="1">
        <v>0</v>
      </c>
      <c r="L380" s="1">
        <v>3</v>
      </c>
      <c r="M380" s="6">
        <v>3</v>
      </c>
    </row>
    <row r="381" spans="1:13" ht="15" thickBot="1" x14ac:dyDescent="0.35">
      <c r="A381" s="5">
        <v>999</v>
      </c>
      <c r="B381" s="3">
        <v>40588</v>
      </c>
      <c r="C381" s="1">
        <v>6</v>
      </c>
      <c r="D381" s="2" t="b">
        <v>0</v>
      </c>
      <c r="E381" s="1">
        <v>1</v>
      </c>
      <c r="F381" s="1">
        <v>1</v>
      </c>
      <c r="G381" s="1">
        <v>0.34</v>
      </c>
      <c r="H381" s="1">
        <v>0.30299999999999999</v>
      </c>
      <c r="I381" s="1">
        <v>0.46</v>
      </c>
      <c r="J381" s="1">
        <v>0.29849999999999999</v>
      </c>
      <c r="K381" s="1">
        <v>1</v>
      </c>
      <c r="L381" s="1">
        <v>25</v>
      </c>
      <c r="M381" s="6">
        <v>26</v>
      </c>
    </row>
    <row r="382" spans="1:13" ht="15" thickBot="1" x14ac:dyDescent="0.35">
      <c r="A382" s="5">
        <v>1000</v>
      </c>
      <c r="B382" s="3">
        <v>40588</v>
      </c>
      <c r="C382" s="1">
        <v>7</v>
      </c>
      <c r="D382" s="2" t="b">
        <v>0</v>
      </c>
      <c r="E382" s="1">
        <v>1</v>
      </c>
      <c r="F382" s="1">
        <v>1</v>
      </c>
      <c r="G382" s="1">
        <v>0.34</v>
      </c>
      <c r="H382" s="1">
        <v>0.30299999999999999</v>
      </c>
      <c r="I382" s="1">
        <v>0.46</v>
      </c>
      <c r="J382" s="1">
        <v>0.29849999999999999</v>
      </c>
      <c r="K382" s="1">
        <v>2</v>
      </c>
      <c r="L382" s="1">
        <v>96</v>
      </c>
      <c r="M382" s="6">
        <v>98</v>
      </c>
    </row>
    <row r="383" spans="1:13" ht="15" thickBot="1" x14ac:dyDescent="0.35">
      <c r="A383" s="5">
        <v>611</v>
      </c>
      <c r="B383" s="3">
        <v>40571</v>
      </c>
      <c r="C383" s="1">
        <v>16</v>
      </c>
      <c r="D383" s="2" t="b">
        <v>0</v>
      </c>
      <c r="E383" s="1">
        <v>5</v>
      </c>
      <c r="F383" s="1">
        <v>1</v>
      </c>
      <c r="G383" s="1">
        <v>0.22</v>
      </c>
      <c r="H383" s="1">
        <v>0.2727</v>
      </c>
      <c r="I383" s="1">
        <v>0.8</v>
      </c>
      <c r="J383" s="1">
        <v>0</v>
      </c>
      <c r="K383" s="1">
        <v>10</v>
      </c>
      <c r="L383" s="1">
        <v>70</v>
      </c>
      <c r="M383" s="6">
        <v>80</v>
      </c>
    </row>
    <row r="384" spans="1:13" ht="15" thickBot="1" x14ac:dyDescent="0.35">
      <c r="A384" s="5">
        <v>612</v>
      </c>
      <c r="B384" s="3">
        <v>40571</v>
      </c>
      <c r="C384" s="1">
        <v>17</v>
      </c>
      <c r="D384" s="2" t="b">
        <v>0</v>
      </c>
      <c r="E384" s="1">
        <v>5</v>
      </c>
      <c r="F384" s="1">
        <v>1</v>
      </c>
      <c r="G384" s="1">
        <v>0.24</v>
      </c>
      <c r="H384" s="1">
        <v>0.2424</v>
      </c>
      <c r="I384" s="1">
        <v>0.75</v>
      </c>
      <c r="J384" s="1">
        <v>0.1343</v>
      </c>
      <c r="K384" s="1">
        <v>2</v>
      </c>
      <c r="L384" s="1">
        <v>147</v>
      </c>
      <c r="M384" s="6">
        <v>149</v>
      </c>
    </row>
    <row r="385" spans="1:13" ht="15" thickBot="1" x14ac:dyDescent="0.35">
      <c r="A385" s="5">
        <v>613</v>
      </c>
      <c r="B385" s="3">
        <v>40571</v>
      </c>
      <c r="C385" s="1">
        <v>18</v>
      </c>
      <c r="D385" s="2" t="b">
        <v>0</v>
      </c>
      <c r="E385" s="1">
        <v>5</v>
      </c>
      <c r="F385" s="1">
        <v>1</v>
      </c>
      <c r="G385" s="1">
        <v>0.24</v>
      </c>
      <c r="H385" s="1">
        <v>0.2273</v>
      </c>
      <c r="I385" s="1">
        <v>0.75</v>
      </c>
      <c r="J385" s="1">
        <v>0.19400000000000001</v>
      </c>
      <c r="K385" s="1">
        <v>2</v>
      </c>
      <c r="L385" s="1">
        <v>107</v>
      </c>
      <c r="M385" s="6">
        <v>109</v>
      </c>
    </row>
    <row r="386" spans="1:13" ht="15" thickBot="1" x14ac:dyDescent="0.35">
      <c r="A386" s="5">
        <v>614</v>
      </c>
      <c r="B386" s="3">
        <v>40571</v>
      </c>
      <c r="C386" s="1">
        <v>19</v>
      </c>
      <c r="D386" s="2" t="b">
        <v>0</v>
      </c>
      <c r="E386" s="1">
        <v>5</v>
      </c>
      <c r="F386" s="1">
        <v>2</v>
      </c>
      <c r="G386" s="1">
        <v>0.24</v>
      </c>
      <c r="H386" s="1">
        <v>0.2424</v>
      </c>
      <c r="I386" s="1">
        <v>0.75</v>
      </c>
      <c r="J386" s="1">
        <v>0.1343</v>
      </c>
      <c r="K386" s="1">
        <v>5</v>
      </c>
      <c r="L386" s="1">
        <v>84</v>
      </c>
      <c r="M386" s="6">
        <v>89</v>
      </c>
    </row>
    <row r="387" spans="1:13" ht="15" thickBot="1" x14ac:dyDescent="0.35">
      <c r="A387" s="5">
        <v>615</v>
      </c>
      <c r="B387" s="3">
        <v>40571</v>
      </c>
      <c r="C387" s="1">
        <v>20</v>
      </c>
      <c r="D387" s="2" t="b">
        <v>0</v>
      </c>
      <c r="E387" s="1">
        <v>5</v>
      </c>
      <c r="F387" s="1">
        <v>2</v>
      </c>
      <c r="G387" s="1">
        <v>0.24</v>
      </c>
      <c r="H387" s="1">
        <v>0.2273</v>
      </c>
      <c r="I387" s="1">
        <v>0.7</v>
      </c>
      <c r="J387" s="1">
        <v>0.19400000000000001</v>
      </c>
      <c r="K387" s="1">
        <v>1</v>
      </c>
      <c r="L387" s="1">
        <v>61</v>
      </c>
      <c r="M387" s="6">
        <v>62</v>
      </c>
    </row>
    <row r="388" spans="1:13" ht="15" thickBot="1" x14ac:dyDescent="0.35">
      <c r="A388" s="5">
        <v>616</v>
      </c>
      <c r="B388" s="3">
        <v>40571</v>
      </c>
      <c r="C388" s="1">
        <v>21</v>
      </c>
      <c r="D388" s="2" t="b">
        <v>0</v>
      </c>
      <c r="E388" s="1">
        <v>5</v>
      </c>
      <c r="F388" s="1">
        <v>2</v>
      </c>
      <c r="G388" s="1">
        <v>0.22</v>
      </c>
      <c r="H388" s="1">
        <v>0.2273</v>
      </c>
      <c r="I388" s="1">
        <v>0.75</v>
      </c>
      <c r="J388" s="1">
        <v>0.1343</v>
      </c>
      <c r="K388" s="1">
        <v>1</v>
      </c>
      <c r="L388" s="1">
        <v>57</v>
      </c>
      <c r="M388" s="6">
        <v>58</v>
      </c>
    </row>
    <row r="389" spans="1:13" ht="15" thickBot="1" x14ac:dyDescent="0.35">
      <c r="A389" s="5">
        <v>617</v>
      </c>
      <c r="B389" s="3">
        <v>40571</v>
      </c>
      <c r="C389" s="1">
        <v>22</v>
      </c>
      <c r="D389" s="2" t="b">
        <v>0</v>
      </c>
      <c r="E389" s="1">
        <v>5</v>
      </c>
      <c r="F389" s="1">
        <v>1</v>
      </c>
      <c r="G389" s="1">
        <v>0.24</v>
      </c>
      <c r="H389" s="1">
        <v>0.21210000000000001</v>
      </c>
      <c r="I389" s="1">
        <v>0.65</v>
      </c>
      <c r="J389" s="1">
        <v>0.35820000000000002</v>
      </c>
      <c r="K389" s="1">
        <v>0</v>
      </c>
      <c r="L389" s="1">
        <v>26</v>
      </c>
      <c r="M389" s="6">
        <v>26</v>
      </c>
    </row>
    <row r="390" spans="1:13" ht="15" thickBot="1" x14ac:dyDescent="0.35">
      <c r="A390" s="5">
        <v>618</v>
      </c>
      <c r="B390" s="3">
        <v>40571</v>
      </c>
      <c r="C390" s="1">
        <v>23</v>
      </c>
      <c r="D390" s="2" t="b">
        <v>0</v>
      </c>
      <c r="E390" s="1">
        <v>5</v>
      </c>
      <c r="F390" s="1">
        <v>1</v>
      </c>
      <c r="G390" s="1">
        <v>0.24</v>
      </c>
      <c r="H390" s="1">
        <v>0.2273</v>
      </c>
      <c r="I390" s="1">
        <v>0.6</v>
      </c>
      <c r="J390" s="1">
        <v>0.22389999999999999</v>
      </c>
      <c r="K390" s="1">
        <v>1</v>
      </c>
      <c r="L390" s="1">
        <v>22</v>
      </c>
      <c r="M390" s="6">
        <v>23</v>
      </c>
    </row>
    <row r="391" spans="1:13" x14ac:dyDescent="0.3">
      <c r="A391" s="10">
        <v>619</v>
      </c>
      <c r="B391" s="11">
        <v>40572</v>
      </c>
      <c r="C391" s="12">
        <v>0</v>
      </c>
      <c r="D391" s="13" t="b">
        <v>0</v>
      </c>
      <c r="E391" s="12">
        <v>6</v>
      </c>
      <c r="F391" s="12">
        <v>1</v>
      </c>
      <c r="G391" s="12">
        <v>0.22</v>
      </c>
      <c r="H391" s="12">
        <v>0.19700000000000001</v>
      </c>
      <c r="I391" s="12">
        <v>0.64</v>
      </c>
      <c r="J391" s="12">
        <v>0.35820000000000002</v>
      </c>
      <c r="K391" s="12">
        <v>2</v>
      </c>
      <c r="L391" s="12">
        <v>26</v>
      </c>
      <c r="M391" s="29">
        <v>28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AFFEBD-2EB6-450E-ABD0-28A51BFBBAD5}">
  <sheetPr>
    <tabColor theme="4" tint="-0.249977111117893"/>
  </sheetPr>
  <dimension ref="A1:N1001"/>
  <sheetViews>
    <sheetView workbookViewId="0">
      <selection activeCell="P2" sqref="P2"/>
    </sheetView>
  </sheetViews>
  <sheetFormatPr defaultRowHeight="14.4" x14ac:dyDescent="0.3"/>
  <cols>
    <col min="2" max="2" width="13" customWidth="1"/>
    <col min="3" max="3" width="5.5546875" customWidth="1"/>
    <col min="6" max="6" width="11.109375" customWidth="1"/>
    <col min="9" max="9" width="8.109375" customWidth="1"/>
    <col min="10" max="10" width="11.44140625" customWidth="1"/>
    <col min="12" max="12" width="10.5546875" customWidth="1"/>
    <col min="13" max="13" width="7.21875" customWidth="1"/>
  </cols>
  <sheetData>
    <row r="1" spans="1:14" ht="15" thickBot="1" x14ac:dyDescent="0.35">
      <c r="A1" s="39" t="s">
        <v>12</v>
      </c>
      <c r="B1" s="39" t="s">
        <v>11</v>
      </c>
      <c r="C1" s="39" t="s">
        <v>10</v>
      </c>
      <c r="D1" s="39" t="s">
        <v>9</v>
      </c>
      <c r="E1" s="39" t="s">
        <v>8</v>
      </c>
      <c r="F1" s="39" t="s">
        <v>7</v>
      </c>
      <c r="G1" s="39" t="s">
        <v>6</v>
      </c>
      <c r="H1" s="40" t="s">
        <v>5</v>
      </c>
      <c r="I1" s="39" t="s">
        <v>4</v>
      </c>
      <c r="J1" s="39" t="s">
        <v>3</v>
      </c>
      <c r="K1" s="39" t="s">
        <v>2</v>
      </c>
      <c r="L1" s="39" t="s">
        <v>1</v>
      </c>
      <c r="M1" s="41" t="s">
        <v>0</v>
      </c>
      <c r="N1" s="39" t="s">
        <v>39</v>
      </c>
    </row>
    <row r="2" spans="1:14" ht="15" thickBot="1" x14ac:dyDescent="0.35">
      <c r="A2" s="42">
        <v>1</v>
      </c>
      <c r="B2" s="43">
        <f>_xlfn.XLOOKUP(Table3[[#This Row],[instant]],DatSet1!A2:A611,DatSet1!B2:B611, ,0,1)</f>
        <v>40544</v>
      </c>
      <c r="C2" s="42">
        <f>_xlfn.XLOOKUP(Table3[[#This Row],[instant]],Table1[instant],Table1[hr], ,0,1)</f>
        <v>0</v>
      </c>
      <c r="D2" s="44" t="b">
        <f>_xlfn.XLOOKUP(Table3[[#This Row],[instant]],Table1[instant],Table1[holiday], ,0,1)</f>
        <v>0</v>
      </c>
      <c r="E2" s="44">
        <f>_xlfn.XLOOKUP(Table3[[#This Row],[instant]],Table1[instant],Table1[weekday], ,0,1)</f>
        <v>6</v>
      </c>
      <c r="F2" s="44">
        <f>_xlfn.XLOOKUP(Table3[[#This Row],[instant]],Table1[instant],Table1[weathersit], ,0,1)</f>
        <v>1</v>
      </c>
      <c r="G2" s="44">
        <f>_xlfn.XLOOKUP(Table3[[#This Row],[instant]],Table1[instant],Table1[temp], ,0,1)</f>
        <v>0.24</v>
      </c>
      <c r="H2" s="45">
        <f>_xlfn.XLOOKUP(Table3[[#This Row],[instant]],Table2[instant],Table2[atemp], ,0,1)</f>
        <v>0.28789999999999999</v>
      </c>
      <c r="I2" s="42">
        <f>_xlfn.XLOOKUP(Table3[[#This Row],[instant]],Table2[instant],Table2[hum], ,0,1)</f>
        <v>0.81</v>
      </c>
      <c r="J2" s="42">
        <f>_xlfn.XLOOKUP(Table3[[#This Row],[instant]],Table2[instant],Table2[windspeed], ,0,1)</f>
        <v>0</v>
      </c>
      <c r="K2" s="42">
        <f>_xlfn.XLOOKUP(Table3[[#This Row],[instant]],Table2[instant],Table2[casual], ,0,1)</f>
        <v>3</v>
      </c>
      <c r="L2" s="42">
        <f>_xlfn.XLOOKUP(Table3[[#This Row],[instant]],Table2[instant],Table2[registered], ,0,1)</f>
        <v>13</v>
      </c>
      <c r="M2" s="46">
        <f>_xlfn.XLOOKUP(Table3[[#This Row],[instant]],Table2[instant],Table2[cnt], ,0,1)</f>
        <v>16</v>
      </c>
      <c r="N2" s="47" t="str">
        <f>IF(OR(Table3[[#This Row],[weekday]]=0,Table3[[#This Row],[weekday]]=6),"Weekend","Weekday")</f>
        <v>Weekend</v>
      </c>
    </row>
    <row r="3" spans="1:14" ht="15" thickBot="1" x14ac:dyDescent="0.35">
      <c r="A3" s="1">
        <v>2</v>
      </c>
      <c r="B3" s="3">
        <f>_xlfn.XLOOKUP(Table3[[#This Row],[instant]],DatSet1!A3:A612,DatSet1!B3:B612,_xlfn.XLOOKUP(Table3[[#This Row],[instant]],'Final Data'!A3:A392,'Final Data'!B3:B392, ,0,1),0,1)</f>
        <v>40544</v>
      </c>
      <c r="C3" s="1">
        <f>_xlfn.XLOOKUP(Table3[[#This Row],[instant]],Table1[instant],Table1[hr], ,0,1)</f>
        <v>1</v>
      </c>
      <c r="D3" s="2" t="b">
        <f>_xlfn.XLOOKUP(Table3[[#This Row],[instant]],Table1[instant],Table1[holiday], ,0,1)</f>
        <v>0</v>
      </c>
      <c r="E3" s="2">
        <f>_xlfn.XLOOKUP(Table3[[#This Row],[instant]],Table1[instant],Table1[weekday], ,0,1)</f>
        <v>6</v>
      </c>
      <c r="F3" s="2">
        <f>_xlfn.XLOOKUP(Table3[[#This Row],[instant]],Table1[instant],Table1[weathersit], ,0,1)</f>
        <v>1</v>
      </c>
      <c r="G3" s="2">
        <f>_xlfn.XLOOKUP(Table3[[#This Row],[instant]],Table1[instant],Table1[temp], ,0,1)</f>
        <v>0.22</v>
      </c>
      <c r="H3" s="24">
        <f>_xlfn.XLOOKUP(Table3[[#This Row],[instant]],Table2[instant],Table2[atemp], ,0,1)</f>
        <v>0.2727</v>
      </c>
      <c r="I3" s="1">
        <f>_xlfn.XLOOKUP(Table3[[#This Row],[instant]],Table2[instant],Table2[hum], ,0,1)</f>
        <v>0.8</v>
      </c>
      <c r="J3" s="1">
        <f>_xlfn.XLOOKUP(Table3[[#This Row],[instant]],Table2[instant],Table2[windspeed], ,0,1)</f>
        <v>0</v>
      </c>
      <c r="K3" s="1">
        <f>_xlfn.XLOOKUP(Table3[[#This Row],[instant]],Table2[instant],Table2[casual], ,0,1)</f>
        <v>8</v>
      </c>
      <c r="L3" s="1">
        <f>_xlfn.XLOOKUP(Table3[[#This Row],[instant]],Table2[instant],Table2[registered], ,0,1)</f>
        <v>32</v>
      </c>
      <c r="M3" s="6">
        <f>_xlfn.XLOOKUP(Table3[[#This Row],[instant]],Table2[instant],Table2[cnt], ,0,1)</f>
        <v>40</v>
      </c>
      <c r="N3" s="1" t="str">
        <f>IF(OR(Table3[[#This Row],[weekday]]=0,Table3[[#This Row],[weekday]]=6),"Weekend","Weekday")</f>
        <v>Weekend</v>
      </c>
    </row>
    <row r="4" spans="1:14" ht="15" thickBot="1" x14ac:dyDescent="0.35">
      <c r="A4" s="42">
        <v>3</v>
      </c>
      <c r="B4" s="43">
        <f>_xlfn.XLOOKUP(Table3[[#This Row],[instant]],DatSet1!A4:A613,DatSet1!B4:B613,_xlfn.XLOOKUP(Table3[[#This Row],[instant]],'Final Data'!A4:A393,'Final Data'!B4:B393, ,0,1),0,1)</f>
        <v>40544</v>
      </c>
      <c r="C4" s="42">
        <f>_xlfn.XLOOKUP(Table3[[#This Row],[instant]],Table1[instant],Table1[hr], ,0,1)</f>
        <v>2</v>
      </c>
      <c r="D4" s="44" t="b">
        <f>_xlfn.XLOOKUP(Table3[[#This Row],[instant]],Table1[instant],Table1[holiday], ,0,1)</f>
        <v>0</v>
      </c>
      <c r="E4" s="44">
        <f>_xlfn.XLOOKUP(Table3[[#This Row],[instant]],Table1[instant],Table1[weekday], ,0,1)</f>
        <v>6</v>
      </c>
      <c r="F4" s="44">
        <f>_xlfn.XLOOKUP(Table3[[#This Row],[instant]],Table1[instant],Table1[weathersit], ,0,1)</f>
        <v>1</v>
      </c>
      <c r="G4" s="44">
        <f>_xlfn.XLOOKUP(Table3[[#This Row],[instant]],Table1[instant],Table1[temp], ,0,1)</f>
        <v>0.22</v>
      </c>
      <c r="H4" s="45">
        <f>_xlfn.XLOOKUP(Table3[[#This Row],[instant]],Table2[instant],Table2[atemp], ,0,1)</f>
        <v>0.2727</v>
      </c>
      <c r="I4" s="42">
        <f>_xlfn.XLOOKUP(Table3[[#This Row],[instant]],Table2[instant],Table2[hum], ,0,1)</f>
        <v>0.8</v>
      </c>
      <c r="J4" s="42">
        <f>_xlfn.XLOOKUP(Table3[[#This Row],[instant]],Table2[instant],Table2[windspeed], ,0,1)</f>
        <v>0</v>
      </c>
      <c r="K4" s="42">
        <f>_xlfn.XLOOKUP(Table3[[#This Row],[instant]],Table2[instant],Table2[casual], ,0,1)</f>
        <v>5</v>
      </c>
      <c r="L4" s="42">
        <f>_xlfn.XLOOKUP(Table3[[#This Row],[instant]],Table2[instant],Table2[registered], ,0,1)</f>
        <v>27</v>
      </c>
      <c r="M4" s="46">
        <f>_xlfn.XLOOKUP(Table3[[#This Row],[instant]],Table2[instant],Table2[cnt], ,0,1)</f>
        <v>32</v>
      </c>
      <c r="N4" s="42" t="str">
        <f>IF(OR(Table3[[#This Row],[weekday]]=0,Table3[[#This Row],[weekday]]=6),"Weekend","Weekday")</f>
        <v>Weekend</v>
      </c>
    </row>
    <row r="5" spans="1:14" ht="15" thickBot="1" x14ac:dyDescent="0.35">
      <c r="A5" s="1">
        <v>4</v>
      </c>
      <c r="B5" s="3">
        <f>_xlfn.XLOOKUP(Table3[[#This Row],[instant]],DatSet1!A5:A614,DatSet1!B5:B614,_xlfn.XLOOKUP(Table3[[#This Row],[instant]],'Final Data'!A5:A394,'Final Data'!B5:B394, ,0,1),0,1)</f>
        <v>40544</v>
      </c>
      <c r="C5" s="1">
        <f>_xlfn.XLOOKUP(Table3[[#This Row],[instant]],Table1[instant],Table1[hr], ,0,1)</f>
        <v>3</v>
      </c>
      <c r="D5" s="2" t="b">
        <f>_xlfn.XLOOKUP(Table3[[#This Row],[instant]],Table1[instant],Table1[holiday], ,0,1)</f>
        <v>0</v>
      </c>
      <c r="E5" s="2">
        <f>_xlfn.XLOOKUP(Table3[[#This Row],[instant]],Table1[instant],Table1[weekday], ,0,1)</f>
        <v>6</v>
      </c>
      <c r="F5" s="2">
        <f>_xlfn.XLOOKUP(Table3[[#This Row],[instant]],Table1[instant],Table1[weathersit], ,0,1)</f>
        <v>1</v>
      </c>
      <c r="G5" s="2">
        <f>_xlfn.XLOOKUP(Table3[[#This Row],[instant]],Table1[instant],Table1[temp], ,0,1)</f>
        <v>0.24</v>
      </c>
      <c r="H5" s="24">
        <f>_xlfn.XLOOKUP(Table3[[#This Row],[instant]],Table2[instant],Table2[atemp], ,0,1)</f>
        <v>0.28789999999999999</v>
      </c>
      <c r="I5" s="1">
        <f>_xlfn.XLOOKUP(Table3[[#This Row],[instant]],Table2[instant],Table2[hum], ,0,1)</f>
        <v>0.75</v>
      </c>
      <c r="J5" s="1">
        <f>_xlfn.XLOOKUP(Table3[[#This Row],[instant]],Table2[instant],Table2[windspeed], ,0,1)</f>
        <v>0</v>
      </c>
      <c r="K5" s="1">
        <f>_xlfn.XLOOKUP(Table3[[#This Row],[instant]],Table2[instant],Table2[casual], ,0,1)</f>
        <v>3</v>
      </c>
      <c r="L5" s="1">
        <f>_xlfn.XLOOKUP(Table3[[#This Row],[instant]],Table2[instant],Table2[registered], ,0,1)</f>
        <v>10</v>
      </c>
      <c r="M5" s="6">
        <f>_xlfn.XLOOKUP(Table3[[#This Row],[instant]],Table2[instant],Table2[cnt], ,0,1)</f>
        <v>13</v>
      </c>
      <c r="N5" s="1" t="str">
        <f>IF(OR(Table3[[#This Row],[weekday]]=0,Table3[[#This Row],[weekday]]=6),"Weekend","Weekday")</f>
        <v>Weekend</v>
      </c>
    </row>
    <row r="6" spans="1:14" ht="15" thickBot="1" x14ac:dyDescent="0.35">
      <c r="A6" s="42">
        <v>5</v>
      </c>
      <c r="B6" s="43">
        <f>_xlfn.XLOOKUP(Table3[[#This Row],[instant]],DatSet1!A6:A615,DatSet1!B6:B615,_xlfn.XLOOKUP(Table3[[#This Row],[instant]],'Final Data'!A6:A395,'Final Data'!B6:B395, ,0,1),0,1)</f>
        <v>40544</v>
      </c>
      <c r="C6" s="42">
        <f>_xlfn.XLOOKUP(Table3[[#This Row],[instant]],Table1[instant],Table1[hr], ,0,1)</f>
        <v>4</v>
      </c>
      <c r="D6" s="44" t="b">
        <f>_xlfn.XLOOKUP(Table3[[#This Row],[instant]],Table1[instant],Table1[holiday], ,0,1)</f>
        <v>0</v>
      </c>
      <c r="E6" s="44">
        <f>_xlfn.XLOOKUP(Table3[[#This Row],[instant]],Table1[instant],Table1[weekday], ,0,1)</f>
        <v>6</v>
      </c>
      <c r="F6" s="44">
        <f>_xlfn.XLOOKUP(Table3[[#This Row],[instant]],Table1[instant],Table1[weathersit], ,0,1)</f>
        <v>1</v>
      </c>
      <c r="G6" s="44">
        <f>_xlfn.XLOOKUP(Table3[[#This Row],[instant]],Table1[instant],Table1[temp], ,0,1)</f>
        <v>0.24</v>
      </c>
      <c r="H6" s="45">
        <f>_xlfn.XLOOKUP(Table3[[#This Row],[instant]],Table2[instant],Table2[atemp], ,0,1)</f>
        <v>0.28789999999999999</v>
      </c>
      <c r="I6" s="42">
        <f>_xlfn.XLOOKUP(Table3[[#This Row],[instant]],Table2[instant],Table2[hum], ,0,1)</f>
        <v>0.75</v>
      </c>
      <c r="J6" s="42">
        <f>_xlfn.XLOOKUP(Table3[[#This Row],[instant]],Table2[instant],Table2[windspeed], ,0,1)</f>
        <v>0</v>
      </c>
      <c r="K6" s="42">
        <f>_xlfn.XLOOKUP(Table3[[#This Row],[instant]],Table2[instant],Table2[casual], ,0,1)</f>
        <v>0</v>
      </c>
      <c r="L6" s="42">
        <f>_xlfn.XLOOKUP(Table3[[#This Row],[instant]],Table2[instant],Table2[registered], ,0,1)</f>
        <v>1</v>
      </c>
      <c r="M6" s="46">
        <f>_xlfn.XLOOKUP(Table3[[#This Row],[instant]],Table2[instant],Table2[cnt], ,0,1)</f>
        <v>1</v>
      </c>
      <c r="N6" s="42" t="str">
        <f>IF(OR(Table3[[#This Row],[weekday]]=0,Table3[[#This Row],[weekday]]=6),"Weekend","Weekday")</f>
        <v>Weekend</v>
      </c>
    </row>
    <row r="7" spans="1:14" ht="15" thickBot="1" x14ac:dyDescent="0.35">
      <c r="A7" s="1">
        <v>6</v>
      </c>
      <c r="B7" s="3">
        <f>_xlfn.XLOOKUP(Table3[[#This Row],[instant]],DatSet1!A7:A616,DatSet1!B7:B616,_xlfn.XLOOKUP(Table3[[#This Row],[instant]],'Final Data'!A7:A396,'Final Data'!B7:B396, ,0,1),0,1)</f>
        <v>40544</v>
      </c>
      <c r="C7" s="1">
        <f>_xlfn.XLOOKUP(Table3[[#This Row],[instant]],Table1[instant],Table1[hr], ,0,1)</f>
        <v>5</v>
      </c>
      <c r="D7" s="2" t="b">
        <f>_xlfn.XLOOKUP(Table3[[#This Row],[instant]],Table1[instant],Table1[holiday], ,0,1)</f>
        <v>0</v>
      </c>
      <c r="E7" s="2">
        <f>_xlfn.XLOOKUP(Table3[[#This Row],[instant]],Table1[instant],Table1[weekday], ,0,1)</f>
        <v>6</v>
      </c>
      <c r="F7" s="2">
        <f>_xlfn.XLOOKUP(Table3[[#This Row],[instant]],Table1[instant],Table1[weathersit], ,0,1)</f>
        <v>2</v>
      </c>
      <c r="G7" s="2">
        <f>_xlfn.XLOOKUP(Table3[[#This Row],[instant]],Table1[instant],Table1[temp], ,0,1)</f>
        <v>0.24</v>
      </c>
      <c r="H7" s="24">
        <f>_xlfn.XLOOKUP(Table3[[#This Row],[instant]],Table2[instant],Table2[atemp], ,0,1)</f>
        <v>0.2576</v>
      </c>
      <c r="I7" s="1">
        <f>_xlfn.XLOOKUP(Table3[[#This Row],[instant]],Table2[instant],Table2[hum], ,0,1)</f>
        <v>0.75</v>
      </c>
      <c r="J7" s="1">
        <f>_xlfn.XLOOKUP(Table3[[#This Row],[instant]],Table2[instant],Table2[windspeed], ,0,1)</f>
        <v>8.9599999999999999E-2</v>
      </c>
      <c r="K7" s="1">
        <f>_xlfn.XLOOKUP(Table3[[#This Row],[instant]],Table2[instant],Table2[casual], ,0,1)</f>
        <v>0</v>
      </c>
      <c r="L7" s="1">
        <f>_xlfn.XLOOKUP(Table3[[#This Row],[instant]],Table2[instant],Table2[registered], ,0,1)</f>
        <v>1</v>
      </c>
      <c r="M7" s="6">
        <f>_xlfn.XLOOKUP(Table3[[#This Row],[instant]],Table2[instant],Table2[cnt], ,0,1)</f>
        <v>1</v>
      </c>
      <c r="N7" s="1" t="str">
        <f>IF(OR(Table3[[#This Row],[weekday]]=0,Table3[[#This Row],[weekday]]=6),"Weekend","Weekday")</f>
        <v>Weekend</v>
      </c>
    </row>
    <row r="8" spans="1:14" ht="15" thickBot="1" x14ac:dyDescent="0.35">
      <c r="A8" s="42">
        <v>7</v>
      </c>
      <c r="B8" s="43">
        <f>_xlfn.XLOOKUP(Table3[[#This Row],[instant]],DatSet1!A8:A617,DatSet1!B8:B617,_xlfn.XLOOKUP(Table3[[#This Row],[instant]],'Final Data'!A8:A397,'Final Data'!B8:B397, ,0,1),0,1)</f>
        <v>40544</v>
      </c>
      <c r="C8" s="42">
        <f>_xlfn.XLOOKUP(Table3[[#This Row],[instant]],Table1[instant],Table1[hr], ,0,1)</f>
        <v>6</v>
      </c>
      <c r="D8" s="44" t="b">
        <f>_xlfn.XLOOKUP(Table3[[#This Row],[instant]],Table1[instant],Table1[holiday], ,0,1)</f>
        <v>0</v>
      </c>
      <c r="E8" s="44">
        <f>_xlfn.XLOOKUP(Table3[[#This Row],[instant]],Table1[instant],Table1[weekday], ,0,1)</f>
        <v>6</v>
      </c>
      <c r="F8" s="44">
        <f>_xlfn.XLOOKUP(Table3[[#This Row],[instant]],Table1[instant],Table1[weathersit], ,0,1)</f>
        <v>1</v>
      </c>
      <c r="G8" s="44">
        <f>_xlfn.XLOOKUP(Table3[[#This Row],[instant]],Table1[instant],Table1[temp], ,0,1)</f>
        <v>0.22</v>
      </c>
      <c r="H8" s="45">
        <f>_xlfn.XLOOKUP(Table3[[#This Row],[instant]],Table2[instant],Table2[atemp], ,0,1)</f>
        <v>0.2727</v>
      </c>
      <c r="I8" s="42">
        <f>_xlfn.XLOOKUP(Table3[[#This Row],[instant]],Table2[instant],Table2[hum], ,0,1)</f>
        <v>0.8</v>
      </c>
      <c r="J8" s="42">
        <f>_xlfn.XLOOKUP(Table3[[#This Row],[instant]],Table2[instant],Table2[windspeed], ,0,1)</f>
        <v>0</v>
      </c>
      <c r="K8" s="42">
        <f>_xlfn.XLOOKUP(Table3[[#This Row],[instant]],Table2[instant],Table2[casual], ,0,1)</f>
        <v>2</v>
      </c>
      <c r="L8" s="42">
        <f>_xlfn.XLOOKUP(Table3[[#This Row],[instant]],Table2[instant],Table2[registered], ,0,1)</f>
        <v>0</v>
      </c>
      <c r="M8" s="46">
        <f>_xlfn.XLOOKUP(Table3[[#This Row],[instant]],Table2[instant],Table2[cnt], ,0,1)</f>
        <v>2</v>
      </c>
      <c r="N8" s="42" t="str">
        <f>IF(OR(Table3[[#This Row],[weekday]]=0,Table3[[#This Row],[weekday]]=6),"Weekend","Weekday")</f>
        <v>Weekend</v>
      </c>
    </row>
    <row r="9" spans="1:14" ht="15" thickBot="1" x14ac:dyDescent="0.35">
      <c r="A9" s="1">
        <v>8</v>
      </c>
      <c r="B9" s="3">
        <f>_xlfn.XLOOKUP(Table3[[#This Row],[instant]],DatSet1!A9:A618,DatSet1!B9:B618,_xlfn.XLOOKUP(Table3[[#This Row],[instant]],'Final Data'!A9:A398,'Final Data'!B9:B398, ,0,1),0,1)</f>
        <v>40544</v>
      </c>
      <c r="C9" s="1">
        <f>_xlfn.XLOOKUP(Table3[[#This Row],[instant]],Table1[instant],Table1[hr], ,0,1)</f>
        <v>7</v>
      </c>
      <c r="D9" s="2" t="b">
        <f>_xlfn.XLOOKUP(Table3[[#This Row],[instant]],Table1[instant],Table1[holiday], ,0,1)</f>
        <v>0</v>
      </c>
      <c r="E9" s="2">
        <f>_xlfn.XLOOKUP(Table3[[#This Row],[instant]],Table1[instant],Table1[weekday], ,0,1)</f>
        <v>6</v>
      </c>
      <c r="F9" s="2">
        <f>_xlfn.XLOOKUP(Table3[[#This Row],[instant]],Table1[instant],Table1[weathersit], ,0,1)</f>
        <v>1</v>
      </c>
      <c r="G9" s="2">
        <f>_xlfn.XLOOKUP(Table3[[#This Row],[instant]],Table1[instant],Table1[temp], ,0,1)</f>
        <v>0.2</v>
      </c>
      <c r="H9" s="24">
        <f>_xlfn.XLOOKUP(Table3[[#This Row],[instant]],Table2[instant],Table2[atemp], ,0,1)</f>
        <v>0.2576</v>
      </c>
      <c r="I9" s="1">
        <f>_xlfn.XLOOKUP(Table3[[#This Row],[instant]],Table2[instant],Table2[hum], ,0,1)</f>
        <v>0.86</v>
      </c>
      <c r="J9" s="1">
        <f>_xlfn.XLOOKUP(Table3[[#This Row],[instant]],Table2[instant],Table2[windspeed], ,0,1)</f>
        <v>0</v>
      </c>
      <c r="K9" s="1">
        <f>_xlfn.XLOOKUP(Table3[[#This Row],[instant]],Table2[instant],Table2[casual], ,0,1)</f>
        <v>1</v>
      </c>
      <c r="L9" s="1">
        <f>_xlfn.XLOOKUP(Table3[[#This Row],[instant]],Table2[instant],Table2[registered], ,0,1)</f>
        <v>2</v>
      </c>
      <c r="M9" s="6">
        <f>_xlfn.XLOOKUP(Table3[[#This Row],[instant]],Table2[instant],Table2[cnt], ,0,1)</f>
        <v>3</v>
      </c>
      <c r="N9" s="1" t="str">
        <f>IF(OR(Table3[[#This Row],[weekday]]=0,Table3[[#This Row],[weekday]]=6),"Weekend","Weekday")</f>
        <v>Weekend</v>
      </c>
    </row>
    <row r="10" spans="1:14" ht="15" thickBot="1" x14ac:dyDescent="0.35">
      <c r="A10" s="42">
        <v>9</v>
      </c>
      <c r="B10" s="43">
        <f>_xlfn.XLOOKUP(Table3[[#This Row],[instant]],DatSet1!A10:A619,DatSet1!B10:B619,_xlfn.XLOOKUP(Table3[[#This Row],[instant]],'Final Data'!A10:A399,'Final Data'!B10:B399, ,0,1),0,1)</f>
        <v>40544</v>
      </c>
      <c r="C10" s="42">
        <f>_xlfn.XLOOKUP(Table3[[#This Row],[instant]],Table1[instant],Table1[hr], ,0,1)</f>
        <v>8</v>
      </c>
      <c r="D10" s="44" t="b">
        <f>_xlfn.XLOOKUP(Table3[[#This Row],[instant]],Table1[instant],Table1[holiday], ,0,1)</f>
        <v>0</v>
      </c>
      <c r="E10" s="44">
        <f>_xlfn.XLOOKUP(Table3[[#This Row],[instant]],Table1[instant],Table1[weekday], ,0,1)</f>
        <v>6</v>
      </c>
      <c r="F10" s="44">
        <f>_xlfn.XLOOKUP(Table3[[#This Row],[instant]],Table1[instant],Table1[weathersit], ,0,1)</f>
        <v>1</v>
      </c>
      <c r="G10" s="44">
        <f>_xlfn.XLOOKUP(Table3[[#This Row],[instant]],Table1[instant],Table1[temp], ,0,1)</f>
        <v>0.24</v>
      </c>
      <c r="H10" s="45">
        <f>_xlfn.XLOOKUP(Table3[[#This Row],[instant]],Table2[instant],Table2[atemp], ,0,1)</f>
        <v>0.19993489148580987</v>
      </c>
      <c r="I10" s="42">
        <f>_xlfn.XLOOKUP(Table3[[#This Row],[instant]],Table2[instant],Table2[hum], ,0,1)</f>
        <v>0.75</v>
      </c>
      <c r="J10" s="42">
        <f>_xlfn.XLOOKUP(Table3[[#This Row],[instant]],Table2[instant],Table2[windspeed], ,0,1)</f>
        <v>0</v>
      </c>
      <c r="K10" s="42">
        <f>_xlfn.XLOOKUP(Table3[[#This Row],[instant]],Table2[instant],Table2[casual], ,0,1)</f>
        <v>1</v>
      </c>
      <c r="L10" s="42">
        <f>_xlfn.XLOOKUP(Table3[[#This Row],[instant]],Table2[instant],Table2[registered], ,0,1)</f>
        <v>7</v>
      </c>
      <c r="M10" s="46">
        <f>_xlfn.XLOOKUP(Table3[[#This Row],[instant]],Table2[instant],Table2[cnt], ,0,1)</f>
        <v>8</v>
      </c>
      <c r="N10" s="42" t="str">
        <f>IF(OR(Table3[[#This Row],[weekday]]=0,Table3[[#This Row],[weekday]]=6),"Weekend","Weekday")</f>
        <v>Weekend</v>
      </c>
    </row>
    <row r="11" spans="1:14" ht="15" thickBot="1" x14ac:dyDescent="0.35">
      <c r="A11" s="1">
        <v>10</v>
      </c>
      <c r="B11" s="3">
        <f>_xlfn.XLOOKUP(Table3[[#This Row],[instant]],DatSet1!A11:A620,DatSet1!B11:B620,_xlfn.XLOOKUP(Table3[[#This Row],[instant]],'Final Data'!A11:A400,'Final Data'!B11:B400, ,0,1),0,1)</f>
        <v>40544</v>
      </c>
      <c r="C11" s="1">
        <f>_xlfn.XLOOKUP(Table3[[#This Row],[instant]],Table1[instant],Table1[hr], ,0,1)</f>
        <v>9</v>
      </c>
      <c r="D11" s="2" t="b">
        <f>_xlfn.XLOOKUP(Table3[[#This Row],[instant]],Table1[instant],Table1[holiday], ,0,1)</f>
        <v>0</v>
      </c>
      <c r="E11" s="2">
        <f>_xlfn.XLOOKUP(Table3[[#This Row],[instant]],Table1[instant],Table1[weekday], ,0,1)</f>
        <v>6</v>
      </c>
      <c r="F11" s="2">
        <f>_xlfn.XLOOKUP(Table3[[#This Row],[instant]],Table1[instant],Table1[weathersit], ,0,1)</f>
        <v>1</v>
      </c>
      <c r="G11" s="2">
        <f>_xlfn.XLOOKUP(Table3[[#This Row],[instant]],Table1[instant],Table1[temp], ,0,1)</f>
        <v>0.32</v>
      </c>
      <c r="H11" s="24">
        <f>_xlfn.XLOOKUP(Table3[[#This Row],[instant]],Table2[instant],Table2[atemp], ,0,1)</f>
        <v>0.34849999999999998</v>
      </c>
      <c r="I11" s="1">
        <f>_xlfn.XLOOKUP(Table3[[#This Row],[instant]],Table2[instant],Table2[hum], ,0,1)</f>
        <v>0.76</v>
      </c>
      <c r="J11" s="1">
        <f>_xlfn.XLOOKUP(Table3[[#This Row],[instant]],Table2[instant],Table2[windspeed], ,0,1)</f>
        <v>0</v>
      </c>
      <c r="K11" s="1">
        <f>_xlfn.XLOOKUP(Table3[[#This Row],[instant]],Table2[instant],Table2[casual], ,0,1)</f>
        <v>8</v>
      </c>
      <c r="L11" s="1">
        <f>_xlfn.XLOOKUP(Table3[[#This Row],[instant]],Table2[instant],Table2[registered], ,0,1)</f>
        <v>6</v>
      </c>
      <c r="M11" s="6">
        <f>_xlfn.XLOOKUP(Table3[[#This Row],[instant]],Table2[instant],Table2[cnt], ,0,1)</f>
        <v>14</v>
      </c>
      <c r="N11" s="1" t="str">
        <f>IF(OR(Table3[[#This Row],[weekday]]=0,Table3[[#This Row],[weekday]]=6),"Weekend","Weekday")</f>
        <v>Weekend</v>
      </c>
    </row>
    <row r="12" spans="1:14" ht="15" thickBot="1" x14ac:dyDescent="0.35">
      <c r="A12" s="42">
        <v>11</v>
      </c>
      <c r="B12" s="43">
        <f>_xlfn.XLOOKUP(Table3[[#This Row],[instant]],DatSet1!A12:A621,DatSet1!B12:B621,_xlfn.XLOOKUP(Table3[[#This Row],[instant]],'Final Data'!A12:A401,'Final Data'!B12:B401, ,0,1),0,1)</f>
        <v>40544</v>
      </c>
      <c r="C12" s="42">
        <f>_xlfn.XLOOKUP(Table3[[#This Row],[instant]],Table1[instant],Table1[hr], ,0,1)</f>
        <v>10</v>
      </c>
      <c r="D12" s="44" t="b">
        <f>_xlfn.XLOOKUP(Table3[[#This Row],[instant]],Table1[instant],Table1[holiday], ,0,1)</f>
        <v>0</v>
      </c>
      <c r="E12" s="44">
        <f>_xlfn.XLOOKUP(Table3[[#This Row],[instant]],Table1[instant],Table1[weekday], ,0,1)</f>
        <v>6</v>
      </c>
      <c r="F12" s="44">
        <f>_xlfn.XLOOKUP(Table3[[#This Row],[instant]],Table1[instant],Table1[weathersit], ,0,1)</f>
        <v>1</v>
      </c>
      <c r="G12" s="44">
        <f>_xlfn.XLOOKUP(Table3[[#This Row],[instant]],Table1[instant],Table1[temp], ,0,1)</f>
        <v>0.38</v>
      </c>
      <c r="H12" s="45">
        <f>_xlfn.XLOOKUP(Table3[[#This Row],[instant]],Table2[instant],Table2[atemp], ,0,1)</f>
        <v>0.39389999999999997</v>
      </c>
      <c r="I12" s="42">
        <f>_xlfn.XLOOKUP(Table3[[#This Row],[instant]],Table2[instant],Table2[hum], ,0,1)</f>
        <v>0.76</v>
      </c>
      <c r="J12" s="42">
        <f>_xlfn.XLOOKUP(Table3[[#This Row],[instant]],Table2[instant],Table2[windspeed], ,0,1)</f>
        <v>0.25369999999999998</v>
      </c>
      <c r="K12" s="42">
        <f>_xlfn.XLOOKUP(Table3[[#This Row],[instant]],Table2[instant],Table2[casual], ,0,1)</f>
        <v>12</v>
      </c>
      <c r="L12" s="42">
        <f>_xlfn.XLOOKUP(Table3[[#This Row],[instant]],Table2[instant],Table2[registered], ,0,1)</f>
        <v>24</v>
      </c>
      <c r="M12" s="46">
        <f>_xlfn.XLOOKUP(Table3[[#This Row],[instant]],Table2[instant],Table2[cnt], ,0,1)</f>
        <v>36</v>
      </c>
      <c r="N12" s="42" t="str">
        <f>IF(OR(Table3[[#This Row],[weekday]]=0,Table3[[#This Row],[weekday]]=6),"Weekend","Weekday")</f>
        <v>Weekend</v>
      </c>
    </row>
    <row r="13" spans="1:14" ht="15" thickBot="1" x14ac:dyDescent="0.35">
      <c r="A13" s="1">
        <v>12</v>
      </c>
      <c r="B13" s="3">
        <f>_xlfn.XLOOKUP(Table3[[#This Row],[instant]],DatSet1!A13:A622,DatSet1!B13:B622,_xlfn.XLOOKUP(Table3[[#This Row],[instant]],'Final Data'!A13:A402,'Final Data'!B13:B402, ,0,1),0,1)</f>
        <v>40544</v>
      </c>
      <c r="C13" s="1">
        <f>_xlfn.XLOOKUP(Table3[[#This Row],[instant]],Table1[instant],Table1[hr], ,0,1)</f>
        <v>11</v>
      </c>
      <c r="D13" s="2" t="b">
        <f>_xlfn.XLOOKUP(Table3[[#This Row],[instant]],Table1[instant],Table1[holiday], ,0,1)</f>
        <v>0</v>
      </c>
      <c r="E13" s="2">
        <f>_xlfn.XLOOKUP(Table3[[#This Row],[instant]],Table1[instant],Table1[weekday], ,0,1)</f>
        <v>6</v>
      </c>
      <c r="F13" s="2">
        <f>_xlfn.XLOOKUP(Table3[[#This Row],[instant]],Table1[instant],Table1[weathersit], ,0,1)</f>
        <v>1</v>
      </c>
      <c r="G13" s="2">
        <f>_xlfn.XLOOKUP(Table3[[#This Row],[instant]],Table1[instant],Table1[temp], ,0,1)</f>
        <v>0.36</v>
      </c>
      <c r="H13" s="24">
        <f>_xlfn.XLOOKUP(Table3[[#This Row],[instant]],Table2[instant],Table2[atemp], ,0,1)</f>
        <v>0.33329999999999999</v>
      </c>
      <c r="I13" s="1">
        <f>_xlfn.XLOOKUP(Table3[[#This Row],[instant]],Table2[instant],Table2[hum], ,0,1)</f>
        <v>0.81</v>
      </c>
      <c r="J13" s="1">
        <f>_xlfn.XLOOKUP(Table3[[#This Row],[instant]],Table2[instant],Table2[windspeed], ,0,1)</f>
        <v>0.28360000000000002</v>
      </c>
      <c r="K13" s="1">
        <f>_xlfn.XLOOKUP(Table3[[#This Row],[instant]],Table2[instant],Table2[casual], ,0,1)</f>
        <v>26</v>
      </c>
      <c r="L13" s="1">
        <f>_xlfn.XLOOKUP(Table3[[#This Row],[instant]],Table2[instant],Table2[registered], ,0,1)</f>
        <v>30</v>
      </c>
      <c r="M13" s="6">
        <f>_xlfn.XLOOKUP(Table3[[#This Row],[instant]],Table2[instant],Table2[cnt], ,0,1)</f>
        <v>56</v>
      </c>
      <c r="N13" s="1" t="str">
        <f>IF(OR(Table3[[#This Row],[weekday]]=0,Table3[[#This Row],[weekday]]=6),"Weekend","Weekday")</f>
        <v>Weekend</v>
      </c>
    </row>
    <row r="14" spans="1:14" ht="15" thickBot="1" x14ac:dyDescent="0.35">
      <c r="A14" s="42">
        <v>13</v>
      </c>
      <c r="B14" s="43">
        <f>_xlfn.XLOOKUP(Table3[[#This Row],[instant]],DatSet1!A14:A623,DatSet1!B14:B623,_xlfn.XLOOKUP(Table3[[#This Row],[instant]],'Final Data'!A14:A403,'Final Data'!B14:B403, ,0,1),0,1)</f>
        <v>40544</v>
      </c>
      <c r="C14" s="42">
        <f>_xlfn.XLOOKUP(Table3[[#This Row],[instant]],Table1[instant],Table1[hr], ,0,1)</f>
        <v>12</v>
      </c>
      <c r="D14" s="44" t="b">
        <f>_xlfn.XLOOKUP(Table3[[#This Row],[instant]],Table1[instant],Table1[holiday], ,0,1)</f>
        <v>0</v>
      </c>
      <c r="E14" s="44">
        <f>_xlfn.XLOOKUP(Table3[[#This Row],[instant]],Table1[instant],Table1[weekday], ,0,1)</f>
        <v>6</v>
      </c>
      <c r="F14" s="44">
        <f>_xlfn.XLOOKUP(Table3[[#This Row],[instant]],Table1[instant],Table1[weathersit], ,0,1)</f>
        <v>1</v>
      </c>
      <c r="G14" s="44">
        <f>_xlfn.XLOOKUP(Table3[[#This Row],[instant]],Table1[instant],Table1[temp], ,0,1)</f>
        <v>0.42</v>
      </c>
      <c r="H14" s="45">
        <f>_xlfn.XLOOKUP(Table3[[#This Row],[instant]],Table2[instant],Table2[atemp], ,0,1)</f>
        <v>0.42420000000000002</v>
      </c>
      <c r="I14" s="42">
        <f>_xlfn.XLOOKUP(Table3[[#This Row],[instant]],Table2[instant],Table2[hum], ,0,1)</f>
        <v>0.77</v>
      </c>
      <c r="J14" s="42">
        <f>_xlfn.XLOOKUP(Table3[[#This Row],[instant]],Table2[instant],Table2[windspeed], ,0,1)</f>
        <v>0.28360000000000002</v>
      </c>
      <c r="K14" s="42">
        <f>_xlfn.XLOOKUP(Table3[[#This Row],[instant]],Table2[instant],Table2[casual], ,0,1)</f>
        <v>29</v>
      </c>
      <c r="L14" s="42">
        <f>_xlfn.XLOOKUP(Table3[[#This Row],[instant]],Table2[instant],Table2[registered], ,0,1)</f>
        <v>55</v>
      </c>
      <c r="M14" s="46">
        <f>_xlfn.XLOOKUP(Table3[[#This Row],[instant]],Table2[instant],Table2[cnt], ,0,1)</f>
        <v>84</v>
      </c>
      <c r="N14" s="42" t="str">
        <f>IF(OR(Table3[[#This Row],[weekday]]=0,Table3[[#This Row],[weekday]]=6),"Weekend","Weekday")</f>
        <v>Weekend</v>
      </c>
    </row>
    <row r="15" spans="1:14" ht="15" thickBot="1" x14ac:dyDescent="0.35">
      <c r="A15" s="1">
        <v>14</v>
      </c>
      <c r="B15" s="3">
        <f>_xlfn.XLOOKUP(Table3[[#This Row],[instant]],DatSet1!A15:A624,DatSet1!B15:B624,_xlfn.XLOOKUP(Table3[[#This Row],[instant]],'Final Data'!A15:A404,'Final Data'!B15:B404, ,0,1),0,1)</f>
        <v>40544</v>
      </c>
      <c r="C15" s="1">
        <f>_xlfn.XLOOKUP(Table3[[#This Row],[instant]],Table1[instant],Table1[hr], ,0,1)</f>
        <v>13</v>
      </c>
      <c r="D15" s="2" t="b">
        <f>_xlfn.XLOOKUP(Table3[[#This Row],[instant]],Table1[instant],Table1[holiday], ,0,1)</f>
        <v>0</v>
      </c>
      <c r="E15" s="2">
        <f>_xlfn.XLOOKUP(Table3[[#This Row],[instant]],Table1[instant],Table1[weekday], ,0,1)</f>
        <v>6</v>
      </c>
      <c r="F15" s="2">
        <f>_xlfn.XLOOKUP(Table3[[#This Row],[instant]],Table1[instant],Table1[weathersit], ,0,1)</f>
        <v>2</v>
      </c>
      <c r="G15" s="2">
        <f>_xlfn.XLOOKUP(Table3[[#This Row],[instant]],Table1[instant],Table1[temp], ,0,1)</f>
        <v>0.46</v>
      </c>
      <c r="H15" s="24">
        <f>_xlfn.XLOOKUP(Table3[[#This Row],[instant]],Table2[instant],Table2[atemp], ,0,1)</f>
        <v>0.45450000000000002</v>
      </c>
      <c r="I15" s="1">
        <f>_xlfn.XLOOKUP(Table3[[#This Row],[instant]],Table2[instant],Table2[hum], ,0,1)</f>
        <v>0.72</v>
      </c>
      <c r="J15" s="1">
        <f>_xlfn.XLOOKUP(Table3[[#This Row],[instant]],Table2[instant],Table2[windspeed], ,0,1)</f>
        <v>0.29849999999999999</v>
      </c>
      <c r="K15" s="1">
        <f>_xlfn.XLOOKUP(Table3[[#This Row],[instant]],Table2[instant],Table2[casual], ,0,1)</f>
        <v>47</v>
      </c>
      <c r="L15" s="1">
        <f>_xlfn.XLOOKUP(Table3[[#This Row],[instant]],Table2[instant],Table2[registered], ,0,1)</f>
        <v>47</v>
      </c>
      <c r="M15" s="6">
        <f>_xlfn.XLOOKUP(Table3[[#This Row],[instant]],Table2[instant],Table2[cnt], ,0,1)</f>
        <v>94</v>
      </c>
      <c r="N15" s="1" t="str">
        <f>IF(OR(Table3[[#This Row],[weekday]]=0,Table3[[#This Row],[weekday]]=6),"Weekend","Weekday")</f>
        <v>Weekend</v>
      </c>
    </row>
    <row r="16" spans="1:14" ht="15" thickBot="1" x14ac:dyDescent="0.35">
      <c r="A16" s="42">
        <v>15</v>
      </c>
      <c r="B16" s="43">
        <f>_xlfn.XLOOKUP(Table3[[#This Row],[instant]],DatSet1!A16:A625,DatSet1!B16:B625,_xlfn.XLOOKUP(Table3[[#This Row],[instant]],'Final Data'!A16:A405,'Final Data'!B16:B405, ,0,1),0,1)</f>
        <v>40544</v>
      </c>
      <c r="C16" s="42">
        <f>_xlfn.XLOOKUP(Table3[[#This Row],[instant]],Table1[instant],Table1[hr], ,0,1)</f>
        <v>14</v>
      </c>
      <c r="D16" s="44" t="b">
        <f>_xlfn.XLOOKUP(Table3[[#This Row],[instant]],Table1[instant],Table1[holiday], ,0,1)</f>
        <v>0</v>
      </c>
      <c r="E16" s="44">
        <f>_xlfn.XLOOKUP(Table3[[#This Row],[instant]],Table1[instant],Table1[weekday], ,0,1)</f>
        <v>6</v>
      </c>
      <c r="F16" s="44">
        <f>_xlfn.XLOOKUP(Table3[[#This Row],[instant]],Table1[instant],Table1[weathersit], ,0,1)</f>
        <v>2</v>
      </c>
      <c r="G16" s="44">
        <f>_xlfn.XLOOKUP(Table3[[#This Row],[instant]],Table1[instant],Table1[temp], ,0,1)</f>
        <v>0.46</v>
      </c>
      <c r="H16" s="45">
        <f>_xlfn.XLOOKUP(Table3[[#This Row],[instant]],Table2[instant],Table2[atemp], ,0,1)</f>
        <v>0.45450000000000002</v>
      </c>
      <c r="I16" s="42">
        <f>_xlfn.XLOOKUP(Table3[[#This Row],[instant]],Table2[instant],Table2[hum], ,0,1)</f>
        <v>0.72</v>
      </c>
      <c r="J16" s="42">
        <f>_xlfn.XLOOKUP(Table3[[#This Row],[instant]],Table2[instant],Table2[windspeed], ,0,1)</f>
        <v>0.28360000000000002</v>
      </c>
      <c r="K16" s="42">
        <f>_xlfn.XLOOKUP(Table3[[#This Row],[instant]],Table2[instant],Table2[casual], ,0,1)</f>
        <v>35</v>
      </c>
      <c r="L16" s="42">
        <f>_xlfn.XLOOKUP(Table3[[#This Row],[instant]],Table2[instant],Table2[registered], ,0,1)</f>
        <v>71</v>
      </c>
      <c r="M16" s="46">
        <f>_xlfn.XLOOKUP(Table3[[#This Row],[instant]],Table2[instant],Table2[cnt], ,0,1)</f>
        <v>106</v>
      </c>
      <c r="N16" s="42" t="str">
        <f>IF(OR(Table3[[#This Row],[weekday]]=0,Table3[[#This Row],[weekday]]=6),"Weekend","Weekday")</f>
        <v>Weekend</v>
      </c>
    </row>
    <row r="17" spans="1:14" ht="15" thickBot="1" x14ac:dyDescent="0.35">
      <c r="A17" s="1">
        <v>16</v>
      </c>
      <c r="B17" s="3">
        <f>_xlfn.XLOOKUP(Table3[[#This Row],[instant]],DatSet1!A17:A626,DatSet1!B17:B626,_xlfn.XLOOKUP(Table3[[#This Row],[instant]],'Final Data'!A17:A406,'Final Data'!B17:B406, ,0,1),0,1)</f>
        <v>40544</v>
      </c>
      <c r="C17" s="1">
        <f>_xlfn.XLOOKUP(Table3[[#This Row],[instant]],Table1[instant],Table1[hr], ,0,1)</f>
        <v>15</v>
      </c>
      <c r="D17" s="2" t="b">
        <f>_xlfn.XLOOKUP(Table3[[#This Row],[instant]],Table1[instant],Table1[holiday], ,0,1)</f>
        <v>0</v>
      </c>
      <c r="E17" s="2">
        <f>_xlfn.XLOOKUP(Table3[[#This Row],[instant]],Table1[instant],Table1[weekday], ,0,1)</f>
        <v>6</v>
      </c>
      <c r="F17" s="2">
        <f>_xlfn.XLOOKUP(Table3[[#This Row],[instant]],Table1[instant],Table1[weathersit], ,0,1)</f>
        <v>2</v>
      </c>
      <c r="G17" s="2">
        <f>_xlfn.XLOOKUP(Table3[[#This Row],[instant]],Table1[instant],Table1[temp], ,0,1)</f>
        <v>0.44</v>
      </c>
      <c r="H17" s="24">
        <f>_xlfn.XLOOKUP(Table3[[#This Row],[instant]],Table2[instant],Table2[atemp], ,0,1)</f>
        <v>0.43940000000000001</v>
      </c>
      <c r="I17" s="1">
        <f>_xlfn.XLOOKUP(Table3[[#This Row],[instant]],Table2[instant],Table2[hum], ,0,1)</f>
        <v>0.77</v>
      </c>
      <c r="J17" s="1">
        <f>_xlfn.XLOOKUP(Table3[[#This Row],[instant]],Table2[instant],Table2[windspeed], ,0,1)</f>
        <v>0.29849999999999999</v>
      </c>
      <c r="K17" s="1">
        <f>_xlfn.XLOOKUP(Table3[[#This Row],[instant]],Table2[instant],Table2[casual], ,0,1)</f>
        <v>40</v>
      </c>
      <c r="L17" s="1">
        <f>_xlfn.XLOOKUP(Table3[[#This Row],[instant]],Table2[instant],Table2[registered], ,0,1)</f>
        <v>70</v>
      </c>
      <c r="M17" s="6">
        <f>_xlfn.XLOOKUP(Table3[[#This Row],[instant]],Table2[instant],Table2[cnt], ,0,1)</f>
        <v>110</v>
      </c>
      <c r="N17" s="1" t="str">
        <f>IF(OR(Table3[[#This Row],[weekday]]=0,Table3[[#This Row],[weekday]]=6),"Weekend","Weekday")</f>
        <v>Weekend</v>
      </c>
    </row>
    <row r="18" spans="1:14" ht="15" thickBot="1" x14ac:dyDescent="0.35">
      <c r="A18" s="42">
        <v>17</v>
      </c>
      <c r="B18" s="43">
        <f>_xlfn.XLOOKUP(Table3[[#This Row],[instant]],DatSet1!A18:A627,DatSet1!B18:B627,_xlfn.XLOOKUP(Table3[[#This Row],[instant]],'Final Data'!A18:A407,'Final Data'!B18:B407, ,0,1),0,1)</f>
        <v>40544</v>
      </c>
      <c r="C18" s="42">
        <f>_xlfn.XLOOKUP(Table3[[#This Row],[instant]],Table1[instant],Table1[hr], ,0,1)</f>
        <v>16</v>
      </c>
      <c r="D18" s="44" t="b">
        <f>_xlfn.XLOOKUP(Table3[[#This Row],[instant]],Table1[instant],Table1[holiday], ,0,1)</f>
        <v>0</v>
      </c>
      <c r="E18" s="44">
        <f>_xlfn.XLOOKUP(Table3[[#This Row],[instant]],Table1[instant],Table1[weekday], ,0,1)</f>
        <v>6</v>
      </c>
      <c r="F18" s="44">
        <f>_xlfn.XLOOKUP(Table3[[#This Row],[instant]],Table1[instant],Table1[weathersit], ,0,1)</f>
        <v>2</v>
      </c>
      <c r="G18" s="44">
        <f>_xlfn.XLOOKUP(Table3[[#This Row],[instant]],Table1[instant],Table1[temp], ,0,1)</f>
        <v>0.42</v>
      </c>
      <c r="H18" s="45">
        <f>_xlfn.XLOOKUP(Table3[[#This Row],[instant]],Table2[instant],Table2[atemp], ,0,1)</f>
        <v>0.42420000000000002</v>
      </c>
      <c r="I18" s="42">
        <f>_xlfn.XLOOKUP(Table3[[#This Row],[instant]],Table2[instant],Table2[hum], ,0,1)</f>
        <v>0.82</v>
      </c>
      <c r="J18" s="42">
        <f>_xlfn.XLOOKUP(Table3[[#This Row],[instant]],Table2[instant],Table2[windspeed], ,0,1)</f>
        <v>0.29849999999999999</v>
      </c>
      <c r="K18" s="42">
        <f>_xlfn.XLOOKUP(Table3[[#This Row],[instant]],Table2[instant],Table2[casual], ,0,1)</f>
        <v>41</v>
      </c>
      <c r="L18" s="42">
        <f>_xlfn.XLOOKUP(Table3[[#This Row],[instant]],Table2[instant],Table2[registered], ,0,1)</f>
        <v>52</v>
      </c>
      <c r="M18" s="46">
        <f>_xlfn.XLOOKUP(Table3[[#This Row],[instant]],Table2[instant],Table2[cnt], ,0,1)</f>
        <v>93</v>
      </c>
      <c r="N18" s="42" t="str">
        <f>IF(OR(Table3[[#This Row],[weekday]]=0,Table3[[#This Row],[weekday]]=6),"Weekend","Weekday")</f>
        <v>Weekend</v>
      </c>
    </row>
    <row r="19" spans="1:14" ht="15" thickBot="1" x14ac:dyDescent="0.35">
      <c r="A19" s="1">
        <v>18</v>
      </c>
      <c r="B19" s="3">
        <f>_xlfn.XLOOKUP(Table3[[#This Row],[instant]],DatSet1!A19:A628,DatSet1!B19:B628,_xlfn.XLOOKUP(Table3[[#This Row],[instant]],'Final Data'!A19:A408,'Final Data'!B19:B408, ,0,1),0,1)</f>
        <v>40544</v>
      </c>
      <c r="C19" s="1">
        <f>_xlfn.XLOOKUP(Table3[[#This Row],[instant]],Table1[instant],Table1[hr], ,0,1)</f>
        <v>17</v>
      </c>
      <c r="D19" s="2" t="b">
        <f>_xlfn.XLOOKUP(Table3[[#This Row],[instant]],Table1[instant],Table1[holiday], ,0,1)</f>
        <v>0</v>
      </c>
      <c r="E19" s="2">
        <f>_xlfn.XLOOKUP(Table3[[#This Row],[instant]],Table1[instant],Table1[weekday], ,0,1)</f>
        <v>6</v>
      </c>
      <c r="F19" s="2">
        <f>_xlfn.XLOOKUP(Table3[[#This Row],[instant]],Table1[instant],Table1[weathersit], ,0,1)</f>
        <v>2</v>
      </c>
      <c r="G19" s="2">
        <f>_xlfn.XLOOKUP(Table3[[#This Row],[instant]],Table1[instant],Table1[temp], ,0,1)</f>
        <v>0.44</v>
      </c>
      <c r="H19" s="24">
        <f>_xlfn.XLOOKUP(Table3[[#This Row],[instant]],Table2[instant],Table2[atemp], ,0,1)</f>
        <v>0.19993489148580987</v>
      </c>
      <c r="I19" s="1">
        <f>_xlfn.XLOOKUP(Table3[[#This Row],[instant]],Table2[instant],Table2[hum], ,0,1)</f>
        <v>0.82</v>
      </c>
      <c r="J19" s="1">
        <f>_xlfn.XLOOKUP(Table3[[#This Row],[instant]],Table2[instant],Table2[windspeed], ,0,1)</f>
        <v>0.28360000000000002</v>
      </c>
      <c r="K19" s="1">
        <f>_xlfn.XLOOKUP(Table3[[#This Row],[instant]],Table2[instant],Table2[casual], ,0,1)</f>
        <v>15</v>
      </c>
      <c r="L19" s="1">
        <f>_xlfn.XLOOKUP(Table3[[#This Row],[instant]],Table2[instant],Table2[registered], ,0,1)</f>
        <v>52</v>
      </c>
      <c r="M19" s="6">
        <f>_xlfn.XLOOKUP(Table3[[#This Row],[instant]],Table2[instant],Table2[cnt], ,0,1)</f>
        <v>67</v>
      </c>
      <c r="N19" s="1" t="str">
        <f>IF(OR(Table3[[#This Row],[weekday]]=0,Table3[[#This Row],[weekday]]=6),"Weekend","Weekday")</f>
        <v>Weekend</v>
      </c>
    </row>
    <row r="20" spans="1:14" ht="15" thickBot="1" x14ac:dyDescent="0.35">
      <c r="A20" s="42">
        <v>19</v>
      </c>
      <c r="B20" s="43">
        <f>_xlfn.XLOOKUP(Table3[[#This Row],[instant]],DatSet1!A20:A629,DatSet1!B20:B629,_xlfn.XLOOKUP(Table3[[#This Row],[instant]],'Final Data'!A20:A409,'Final Data'!B20:B409, ,0,1),0,1)</f>
        <v>40544</v>
      </c>
      <c r="C20" s="42">
        <f>_xlfn.XLOOKUP(Table3[[#This Row],[instant]],Table1[instant],Table1[hr], ,0,1)</f>
        <v>18</v>
      </c>
      <c r="D20" s="44" t="b">
        <f>_xlfn.XLOOKUP(Table3[[#This Row],[instant]],Table1[instant],Table1[holiday], ,0,1)</f>
        <v>0</v>
      </c>
      <c r="E20" s="44">
        <f>_xlfn.XLOOKUP(Table3[[#This Row],[instant]],Table1[instant],Table1[weekday], ,0,1)</f>
        <v>6</v>
      </c>
      <c r="F20" s="44">
        <f>_xlfn.XLOOKUP(Table3[[#This Row],[instant]],Table1[instant],Table1[weathersit], ,0,1)</f>
        <v>3</v>
      </c>
      <c r="G20" s="44">
        <f>_xlfn.XLOOKUP(Table3[[#This Row],[instant]],Table1[instant],Table1[temp], ,0,1)</f>
        <v>0.42</v>
      </c>
      <c r="H20" s="45">
        <f>_xlfn.XLOOKUP(Table3[[#This Row],[instant]],Table2[instant],Table2[atemp], ,0,1)</f>
        <v>0.42420000000000002</v>
      </c>
      <c r="I20" s="42">
        <f>_xlfn.XLOOKUP(Table3[[#This Row],[instant]],Table2[instant],Table2[hum], ,0,1)</f>
        <v>0.88</v>
      </c>
      <c r="J20" s="42">
        <f>_xlfn.XLOOKUP(Table3[[#This Row],[instant]],Table2[instant],Table2[windspeed], ,0,1)</f>
        <v>0.25369999999999998</v>
      </c>
      <c r="K20" s="42">
        <f>_xlfn.XLOOKUP(Table3[[#This Row],[instant]],Table2[instant],Table2[casual], ,0,1)</f>
        <v>9</v>
      </c>
      <c r="L20" s="42">
        <f>_xlfn.XLOOKUP(Table3[[#This Row],[instant]],Table2[instant],Table2[registered], ,0,1)</f>
        <v>26</v>
      </c>
      <c r="M20" s="46">
        <f>_xlfn.XLOOKUP(Table3[[#This Row],[instant]],Table2[instant],Table2[cnt], ,0,1)</f>
        <v>35</v>
      </c>
      <c r="N20" s="42" t="str">
        <f>IF(OR(Table3[[#This Row],[weekday]]=0,Table3[[#This Row],[weekday]]=6),"Weekend","Weekday")</f>
        <v>Weekend</v>
      </c>
    </row>
    <row r="21" spans="1:14" ht="15" thickBot="1" x14ac:dyDescent="0.35">
      <c r="A21" s="1">
        <v>20</v>
      </c>
      <c r="B21" s="3">
        <f>_xlfn.XLOOKUP(Table3[[#This Row],[instant]],DatSet1!A21:A630,DatSet1!B21:B630,_xlfn.XLOOKUP(Table3[[#This Row],[instant]],'Final Data'!A21:A410,'Final Data'!B21:B410, ,0,1),0,1)</f>
        <v>40544</v>
      </c>
      <c r="C21" s="1">
        <f>_xlfn.XLOOKUP(Table3[[#This Row],[instant]],Table1[instant],Table1[hr], ,0,1)</f>
        <v>19</v>
      </c>
      <c r="D21" s="2" t="b">
        <f>_xlfn.XLOOKUP(Table3[[#This Row],[instant]],Table1[instant],Table1[holiday], ,0,1)</f>
        <v>0</v>
      </c>
      <c r="E21" s="2">
        <f>_xlfn.XLOOKUP(Table3[[#This Row],[instant]],Table1[instant],Table1[weekday], ,0,1)</f>
        <v>6</v>
      </c>
      <c r="F21" s="2">
        <f>_xlfn.XLOOKUP(Table3[[#This Row],[instant]],Table1[instant],Table1[weathersit], ,0,1)</f>
        <v>3</v>
      </c>
      <c r="G21" s="2">
        <f>_xlfn.XLOOKUP(Table3[[#This Row],[instant]],Table1[instant],Table1[temp], ,0,1)</f>
        <v>0.42</v>
      </c>
      <c r="H21" s="24">
        <f>_xlfn.XLOOKUP(Table3[[#This Row],[instant]],Table2[instant],Table2[atemp], ,0,1)</f>
        <v>0.42420000000000002</v>
      </c>
      <c r="I21" s="1">
        <f>_xlfn.XLOOKUP(Table3[[#This Row],[instant]],Table2[instant],Table2[hum], ,0,1)</f>
        <v>0.88</v>
      </c>
      <c r="J21" s="1">
        <f>_xlfn.XLOOKUP(Table3[[#This Row],[instant]],Table2[instant],Table2[windspeed], ,0,1)</f>
        <v>0.25369999999999998</v>
      </c>
      <c r="K21" s="1">
        <f>_xlfn.XLOOKUP(Table3[[#This Row],[instant]],Table2[instant],Table2[casual], ,0,1)</f>
        <v>6</v>
      </c>
      <c r="L21" s="1">
        <f>_xlfn.XLOOKUP(Table3[[#This Row],[instant]],Table2[instant],Table2[registered], ,0,1)</f>
        <v>31</v>
      </c>
      <c r="M21" s="6">
        <f>_xlfn.XLOOKUP(Table3[[#This Row],[instant]],Table2[instant],Table2[cnt], ,0,1)</f>
        <v>37</v>
      </c>
      <c r="N21" s="1" t="str">
        <f>IF(OR(Table3[[#This Row],[weekday]]=0,Table3[[#This Row],[weekday]]=6),"Weekend","Weekday")</f>
        <v>Weekend</v>
      </c>
    </row>
    <row r="22" spans="1:14" ht="15" thickBot="1" x14ac:dyDescent="0.35">
      <c r="A22" s="42">
        <v>21</v>
      </c>
      <c r="B22" s="43">
        <f>_xlfn.XLOOKUP(Table3[[#This Row],[instant]],DatSet1!A22:A631,DatSet1!B22:B631,_xlfn.XLOOKUP(Table3[[#This Row],[instant]],'Final Data'!A22:A411,'Final Data'!B22:B411, ,0,1),0,1)</f>
        <v>40544</v>
      </c>
      <c r="C22" s="42">
        <f>_xlfn.XLOOKUP(Table3[[#This Row],[instant]],Table1[instant],Table1[hr], ,0,1)</f>
        <v>20</v>
      </c>
      <c r="D22" s="44" t="b">
        <f>_xlfn.XLOOKUP(Table3[[#This Row],[instant]],Table1[instant],Table1[holiday], ,0,1)</f>
        <v>0</v>
      </c>
      <c r="E22" s="44">
        <f>_xlfn.XLOOKUP(Table3[[#This Row],[instant]],Table1[instant],Table1[weekday], ,0,1)</f>
        <v>6</v>
      </c>
      <c r="F22" s="44">
        <f>_xlfn.XLOOKUP(Table3[[#This Row],[instant]],Table1[instant],Table1[weathersit], ,0,1)</f>
        <v>2</v>
      </c>
      <c r="G22" s="44">
        <f>_xlfn.XLOOKUP(Table3[[#This Row],[instant]],Table1[instant],Table1[temp], ,0,1)</f>
        <v>0.4</v>
      </c>
      <c r="H22" s="45">
        <f>_xlfn.XLOOKUP(Table3[[#This Row],[instant]],Table2[instant],Table2[atemp], ,0,1)</f>
        <v>0.40910000000000002</v>
      </c>
      <c r="I22" s="42">
        <f>_xlfn.XLOOKUP(Table3[[#This Row],[instant]],Table2[instant],Table2[hum], ,0,1)</f>
        <v>0.87</v>
      </c>
      <c r="J22" s="42">
        <f>_xlfn.XLOOKUP(Table3[[#This Row],[instant]],Table2[instant],Table2[windspeed], ,0,1)</f>
        <v>0.25369999999999998</v>
      </c>
      <c r="K22" s="42">
        <f>_xlfn.XLOOKUP(Table3[[#This Row],[instant]],Table2[instant],Table2[casual], ,0,1)</f>
        <v>11</v>
      </c>
      <c r="L22" s="42">
        <f>_xlfn.XLOOKUP(Table3[[#This Row],[instant]],Table2[instant],Table2[registered], ,0,1)</f>
        <v>25</v>
      </c>
      <c r="M22" s="46">
        <f>_xlfn.XLOOKUP(Table3[[#This Row],[instant]],Table2[instant],Table2[cnt], ,0,1)</f>
        <v>36</v>
      </c>
      <c r="N22" s="42" t="str">
        <f>IF(OR(Table3[[#This Row],[weekday]]=0,Table3[[#This Row],[weekday]]=6),"Weekend","Weekday")</f>
        <v>Weekend</v>
      </c>
    </row>
    <row r="23" spans="1:14" ht="15" thickBot="1" x14ac:dyDescent="0.35">
      <c r="A23" s="1">
        <v>22</v>
      </c>
      <c r="B23" s="3">
        <f>_xlfn.XLOOKUP(Table3[[#This Row],[instant]],DatSet1!A23:A632,DatSet1!B23:B632,_xlfn.XLOOKUP(Table3[[#This Row],[instant]],'Final Data'!A23:A412,'Final Data'!B23:B412, ,0,1),0,1)</f>
        <v>40544</v>
      </c>
      <c r="C23" s="1">
        <f>_xlfn.XLOOKUP(Table3[[#This Row],[instant]],Table1[instant],Table1[hr], ,0,1)</f>
        <v>21</v>
      </c>
      <c r="D23" s="2" t="b">
        <f>_xlfn.XLOOKUP(Table3[[#This Row],[instant]],Table1[instant],Table1[holiday], ,0,1)</f>
        <v>0</v>
      </c>
      <c r="E23" s="2">
        <f>_xlfn.XLOOKUP(Table3[[#This Row],[instant]],Table1[instant],Table1[weekday], ,0,1)</f>
        <v>6</v>
      </c>
      <c r="F23" s="2">
        <f>_xlfn.XLOOKUP(Table3[[#This Row],[instant]],Table1[instant],Table1[weathersit], ,0,1)</f>
        <v>2</v>
      </c>
      <c r="G23" s="2">
        <f>_xlfn.XLOOKUP(Table3[[#This Row],[instant]],Table1[instant],Table1[temp], ,0,1)</f>
        <v>0.4</v>
      </c>
      <c r="H23" s="24">
        <f>_xlfn.XLOOKUP(Table3[[#This Row],[instant]],Table2[instant],Table2[atemp], ,0,1)</f>
        <v>0.40910000000000002</v>
      </c>
      <c r="I23" s="1">
        <f>_xlfn.XLOOKUP(Table3[[#This Row],[instant]],Table2[instant],Table2[hum], ,0,1)</f>
        <v>0.87</v>
      </c>
      <c r="J23" s="1">
        <f>_xlfn.XLOOKUP(Table3[[#This Row],[instant]],Table2[instant],Table2[windspeed], ,0,1)</f>
        <v>0.19400000000000001</v>
      </c>
      <c r="K23" s="1">
        <f>_xlfn.XLOOKUP(Table3[[#This Row],[instant]],Table2[instant],Table2[casual], ,0,1)</f>
        <v>3</v>
      </c>
      <c r="L23" s="1">
        <f>_xlfn.XLOOKUP(Table3[[#This Row],[instant]],Table2[instant],Table2[registered], ,0,1)</f>
        <v>31</v>
      </c>
      <c r="M23" s="6">
        <f>_xlfn.XLOOKUP(Table3[[#This Row],[instant]],Table2[instant],Table2[cnt], ,0,1)</f>
        <v>34</v>
      </c>
      <c r="N23" s="1" t="str">
        <f>IF(OR(Table3[[#This Row],[weekday]]=0,Table3[[#This Row],[weekday]]=6),"Weekend","Weekday")</f>
        <v>Weekend</v>
      </c>
    </row>
    <row r="24" spans="1:14" ht="15" thickBot="1" x14ac:dyDescent="0.35">
      <c r="A24" s="42">
        <v>23</v>
      </c>
      <c r="B24" s="43">
        <f>_xlfn.XLOOKUP(Table3[[#This Row],[instant]],DatSet1!A24:A633,DatSet1!B24:B633,_xlfn.XLOOKUP(Table3[[#This Row],[instant]],'Final Data'!A24:A413,'Final Data'!B24:B413, ,0,1),0,1)</f>
        <v>40544</v>
      </c>
      <c r="C24" s="42">
        <f>_xlfn.XLOOKUP(Table3[[#This Row],[instant]],Table1[instant],Table1[hr], ,0,1)</f>
        <v>22</v>
      </c>
      <c r="D24" s="44" t="b">
        <f>_xlfn.XLOOKUP(Table3[[#This Row],[instant]],Table1[instant],Table1[holiday], ,0,1)</f>
        <v>0</v>
      </c>
      <c r="E24" s="44">
        <f>_xlfn.XLOOKUP(Table3[[#This Row],[instant]],Table1[instant],Table1[weekday], ,0,1)</f>
        <v>6</v>
      </c>
      <c r="F24" s="44">
        <f>_xlfn.XLOOKUP(Table3[[#This Row],[instant]],Table1[instant],Table1[weathersit], ,0,1)</f>
        <v>2</v>
      </c>
      <c r="G24" s="44">
        <f>_xlfn.XLOOKUP(Table3[[#This Row],[instant]],Table1[instant],Table1[temp], ,0,1)</f>
        <v>0.4</v>
      </c>
      <c r="H24" s="45">
        <f>_xlfn.XLOOKUP(Table3[[#This Row],[instant]],Table2[instant],Table2[atemp], ,0,1)</f>
        <v>0.40910000000000002</v>
      </c>
      <c r="I24" s="42">
        <f>_xlfn.XLOOKUP(Table3[[#This Row],[instant]],Table2[instant],Table2[hum], ,0,1)</f>
        <v>0.94</v>
      </c>
      <c r="J24" s="42">
        <f>_xlfn.XLOOKUP(Table3[[#This Row],[instant]],Table2[instant],Table2[windspeed], ,0,1)</f>
        <v>0.22389999999999999</v>
      </c>
      <c r="K24" s="42">
        <f>_xlfn.XLOOKUP(Table3[[#This Row],[instant]],Table2[instant],Table2[casual], ,0,1)</f>
        <v>11</v>
      </c>
      <c r="L24" s="42">
        <f>_xlfn.XLOOKUP(Table3[[#This Row],[instant]],Table2[instant],Table2[registered], ,0,1)</f>
        <v>17</v>
      </c>
      <c r="M24" s="46">
        <f>_xlfn.XLOOKUP(Table3[[#This Row],[instant]],Table2[instant],Table2[cnt], ,0,1)</f>
        <v>28</v>
      </c>
      <c r="N24" s="42" t="str">
        <f>IF(OR(Table3[[#This Row],[weekday]]=0,Table3[[#This Row],[weekday]]=6),"Weekend","Weekday")</f>
        <v>Weekend</v>
      </c>
    </row>
    <row r="25" spans="1:14" ht="15" thickBot="1" x14ac:dyDescent="0.35">
      <c r="A25" s="1">
        <v>24</v>
      </c>
      <c r="B25" s="3">
        <f>_xlfn.XLOOKUP(Table3[[#This Row],[instant]],DatSet1!A25:A634,DatSet1!B25:B634,_xlfn.XLOOKUP(Table3[[#This Row],[instant]],'Final Data'!A25:A414,'Final Data'!B25:B414, ,0,1),0,1)</f>
        <v>40544</v>
      </c>
      <c r="C25" s="1">
        <f>_xlfn.XLOOKUP(Table3[[#This Row],[instant]],Table1[instant],Table1[hr], ,0,1)</f>
        <v>23</v>
      </c>
      <c r="D25" s="2" t="b">
        <f>_xlfn.XLOOKUP(Table3[[#This Row],[instant]],Table1[instant],Table1[holiday], ,0,1)</f>
        <v>0</v>
      </c>
      <c r="E25" s="2">
        <f>_xlfn.XLOOKUP(Table3[[#This Row],[instant]],Table1[instant],Table1[weekday], ,0,1)</f>
        <v>6</v>
      </c>
      <c r="F25" s="2">
        <f>_xlfn.XLOOKUP(Table3[[#This Row],[instant]],Table1[instant],Table1[weathersit], ,0,1)</f>
        <v>2</v>
      </c>
      <c r="G25" s="2">
        <f>_xlfn.XLOOKUP(Table3[[#This Row],[instant]],Table1[instant],Table1[temp], ,0,1)</f>
        <v>0.46</v>
      </c>
      <c r="H25" s="24">
        <f>_xlfn.XLOOKUP(Table3[[#This Row],[instant]],Table2[instant],Table2[atemp], ,0,1)</f>
        <v>0.1999348914858099</v>
      </c>
      <c r="I25" s="1">
        <f>_xlfn.XLOOKUP(Table3[[#This Row],[instant]],Table2[instant],Table2[hum], ,0,1)</f>
        <v>0.88</v>
      </c>
      <c r="J25" s="1">
        <f>_xlfn.XLOOKUP(Table3[[#This Row],[instant]],Table2[instant],Table2[windspeed], ,0,1)</f>
        <v>0.29849999999999999</v>
      </c>
      <c r="K25" s="1">
        <f>_xlfn.XLOOKUP(Table3[[#This Row],[instant]],Table2[instant],Table2[casual], ,0,1)</f>
        <v>15</v>
      </c>
      <c r="L25" s="1">
        <f>_xlfn.XLOOKUP(Table3[[#This Row],[instant]],Table2[instant],Table2[registered], ,0,1)</f>
        <v>24</v>
      </c>
      <c r="M25" s="6">
        <f>_xlfn.XLOOKUP(Table3[[#This Row],[instant]],Table2[instant],Table2[cnt], ,0,1)</f>
        <v>39</v>
      </c>
      <c r="N25" s="1" t="str">
        <f>IF(OR(Table3[[#This Row],[weekday]]=0,Table3[[#This Row],[weekday]]=6),"Weekend","Weekday")</f>
        <v>Weekend</v>
      </c>
    </row>
    <row r="26" spans="1:14" ht="15" thickBot="1" x14ac:dyDescent="0.35">
      <c r="A26" s="42">
        <v>25</v>
      </c>
      <c r="B26" s="43">
        <f>_xlfn.XLOOKUP(Table3[[#This Row],[instant]],DatSet1!A26:A635,DatSet1!B26:B635,_xlfn.XLOOKUP(Table3[[#This Row],[instant]],'Final Data'!A26:A415,'Final Data'!B26:B415, ,0,1),0,1)</f>
        <v>40545</v>
      </c>
      <c r="C26" s="42">
        <f>_xlfn.XLOOKUP(Table3[[#This Row],[instant]],Table1[instant],Table1[hr], ,0,1)</f>
        <v>0</v>
      </c>
      <c r="D26" s="44" t="b">
        <f>_xlfn.XLOOKUP(Table3[[#This Row],[instant]],Table1[instant],Table1[holiday], ,0,1)</f>
        <v>0</v>
      </c>
      <c r="E26" s="44">
        <f>_xlfn.XLOOKUP(Table3[[#This Row],[instant]],Table1[instant],Table1[weekday], ,0,1)</f>
        <v>0</v>
      </c>
      <c r="F26" s="44">
        <f>_xlfn.XLOOKUP(Table3[[#This Row],[instant]],Table1[instant],Table1[weathersit], ,0,1)</f>
        <v>2</v>
      </c>
      <c r="G26" s="44">
        <f>_xlfn.XLOOKUP(Table3[[#This Row],[instant]],Table1[instant],Table1[temp], ,0,1)</f>
        <v>0.46</v>
      </c>
      <c r="H26" s="45">
        <f>_xlfn.XLOOKUP(Table3[[#This Row],[instant]],Table2[instant],Table2[atemp], ,0,1)</f>
        <v>0.45450000000000002</v>
      </c>
      <c r="I26" s="42">
        <f>_xlfn.XLOOKUP(Table3[[#This Row],[instant]],Table2[instant],Table2[hum], ,0,1)</f>
        <v>0.88</v>
      </c>
      <c r="J26" s="42">
        <f>_xlfn.XLOOKUP(Table3[[#This Row],[instant]],Table2[instant],Table2[windspeed], ,0,1)</f>
        <v>0.29849999999999999</v>
      </c>
      <c r="K26" s="42">
        <f>_xlfn.XLOOKUP(Table3[[#This Row],[instant]],Table2[instant],Table2[casual], ,0,1)</f>
        <v>4</v>
      </c>
      <c r="L26" s="42">
        <f>_xlfn.XLOOKUP(Table3[[#This Row],[instant]],Table2[instant],Table2[registered], ,0,1)</f>
        <v>13</v>
      </c>
      <c r="M26" s="46">
        <f>_xlfn.XLOOKUP(Table3[[#This Row],[instant]],Table2[instant],Table2[cnt], ,0,1)</f>
        <v>17</v>
      </c>
      <c r="N26" s="42" t="str">
        <f>IF(OR(Table3[[#This Row],[weekday]]=0,Table3[[#This Row],[weekday]]=6),"Weekend","Weekday")</f>
        <v>Weekend</v>
      </c>
    </row>
    <row r="27" spans="1:14" ht="15" thickBot="1" x14ac:dyDescent="0.35">
      <c r="A27" s="1">
        <v>26</v>
      </c>
      <c r="B27" s="3">
        <f>_xlfn.XLOOKUP(Table3[[#This Row],[instant]],DatSet1!A27:A636,DatSet1!B27:B636,_xlfn.XLOOKUP(Table3[[#This Row],[instant]],'Final Data'!A27:A416,'Final Data'!B27:B416, ,0,1),0,1)</f>
        <v>40545</v>
      </c>
      <c r="C27" s="1">
        <f>_xlfn.XLOOKUP(Table3[[#This Row],[instant]],Table1[instant],Table1[hr], ,0,1)</f>
        <v>1</v>
      </c>
      <c r="D27" s="2" t="b">
        <f>_xlfn.XLOOKUP(Table3[[#This Row],[instant]],Table1[instant],Table1[holiday], ,0,1)</f>
        <v>0</v>
      </c>
      <c r="E27" s="2">
        <f>_xlfn.XLOOKUP(Table3[[#This Row],[instant]],Table1[instant],Table1[weekday], ,0,1)</f>
        <v>0</v>
      </c>
      <c r="F27" s="2">
        <f>_xlfn.XLOOKUP(Table3[[#This Row],[instant]],Table1[instant],Table1[weathersit], ,0,1)</f>
        <v>2</v>
      </c>
      <c r="G27" s="2">
        <f>_xlfn.XLOOKUP(Table3[[#This Row],[instant]],Table1[instant],Table1[temp], ,0,1)</f>
        <v>0.44</v>
      </c>
      <c r="H27" s="24">
        <f>_xlfn.XLOOKUP(Table3[[#This Row],[instant]],Table2[instant],Table2[atemp], ,0,1)</f>
        <v>0.43940000000000001</v>
      </c>
      <c r="I27" s="1">
        <f>_xlfn.XLOOKUP(Table3[[#This Row],[instant]],Table2[instant],Table2[hum], ,0,1)</f>
        <v>0.94</v>
      </c>
      <c r="J27" s="1">
        <f>_xlfn.XLOOKUP(Table3[[#This Row],[instant]],Table2[instant],Table2[windspeed], ,0,1)</f>
        <v>0.25369999999999998</v>
      </c>
      <c r="K27" s="1">
        <f>_xlfn.XLOOKUP(Table3[[#This Row],[instant]],Table2[instant],Table2[casual], ,0,1)</f>
        <v>1</v>
      </c>
      <c r="L27" s="1">
        <f>_xlfn.XLOOKUP(Table3[[#This Row],[instant]],Table2[instant],Table2[registered], ,0,1)</f>
        <v>16</v>
      </c>
      <c r="M27" s="6">
        <f>_xlfn.XLOOKUP(Table3[[#This Row],[instant]],Table2[instant],Table2[cnt], ,0,1)</f>
        <v>17</v>
      </c>
      <c r="N27" s="1" t="str">
        <f>IF(OR(Table3[[#This Row],[weekday]]=0,Table3[[#This Row],[weekday]]=6),"Weekend","Weekday")</f>
        <v>Weekend</v>
      </c>
    </row>
    <row r="28" spans="1:14" ht="15" thickBot="1" x14ac:dyDescent="0.35">
      <c r="A28" s="42">
        <v>27</v>
      </c>
      <c r="B28" s="43">
        <f>_xlfn.XLOOKUP(Table3[[#This Row],[instant]],DatSet1!A28:A637,DatSet1!B28:B637,_xlfn.XLOOKUP(Table3[[#This Row],[instant]],'Final Data'!A28:A417,'Final Data'!B28:B417, ,0,1),0,1)</f>
        <v>40545</v>
      </c>
      <c r="C28" s="42">
        <f>_xlfn.XLOOKUP(Table3[[#This Row],[instant]],Table1[instant],Table1[hr], ,0,1)</f>
        <v>2</v>
      </c>
      <c r="D28" s="44" t="b">
        <f>_xlfn.XLOOKUP(Table3[[#This Row],[instant]],Table1[instant],Table1[holiday], ,0,1)</f>
        <v>0</v>
      </c>
      <c r="E28" s="44">
        <f>_xlfn.XLOOKUP(Table3[[#This Row],[instant]],Table1[instant],Table1[weekday], ,0,1)</f>
        <v>0</v>
      </c>
      <c r="F28" s="44">
        <f>_xlfn.XLOOKUP(Table3[[#This Row],[instant]],Table1[instant],Table1[weathersit], ,0,1)</f>
        <v>2</v>
      </c>
      <c r="G28" s="44">
        <f>_xlfn.XLOOKUP(Table3[[#This Row],[instant]],Table1[instant],Table1[temp], ,0,1)</f>
        <v>0.42</v>
      </c>
      <c r="H28" s="45">
        <f>_xlfn.XLOOKUP(Table3[[#This Row],[instant]],Table2[instant],Table2[atemp], ,0,1)</f>
        <v>0.42420000000000002</v>
      </c>
      <c r="I28" s="42">
        <f>_xlfn.XLOOKUP(Table3[[#This Row],[instant]],Table2[instant],Table2[hum], ,0,1)</f>
        <v>1</v>
      </c>
      <c r="J28" s="42">
        <f>_xlfn.XLOOKUP(Table3[[#This Row],[instant]],Table2[instant],Table2[windspeed], ,0,1)</f>
        <v>0.28360000000000002</v>
      </c>
      <c r="K28" s="42">
        <f>_xlfn.XLOOKUP(Table3[[#This Row],[instant]],Table2[instant],Table2[casual], ,0,1)</f>
        <v>1</v>
      </c>
      <c r="L28" s="42">
        <f>_xlfn.XLOOKUP(Table3[[#This Row],[instant]],Table2[instant],Table2[registered], ,0,1)</f>
        <v>8</v>
      </c>
      <c r="M28" s="46">
        <f>_xlfn.XLOOKUP(Table3[[#This Row],[instant]],Table2[instant],Table2[cnt], ,0,1)</f>
        <v>9</v>
      </c>
      <c r="N28" s="42" t="str">
        <f>IF(OR(Table3[[#This Row],[weekday]]=0,Table3[[#This Row],[weekday]]=6),"Weekend","Weekday")</f>
        <v>Weekend</v>
      </c>
    </row>
    <row r="29" spans="1:14" ht="15" thickBot="1" x14ac:dyDescent="0.35">
      <c r="A29" s="1">
        <v>28</v>
      </c>
      <c r="B29" s="3">
        <f>_xlfn.XLOOKUP(Table3[[#This Row],[instant]],DatSet1!A29:A638,DatSet1!B29:B638,_xlfn.XLOOKUP(Table3[[#This Row],[instant]],'Final Data'!A29:A418,'Final Data'!B29:B418, ,0,1),0,1)</f>
        <v>40545</v>
      </c>
      <c r="C29" s="1">
        <f>_xlfn.XLOOKUP(Table3[[#This Row],[instant]],Table1[instant],Table1[hr], ,0,1)</f>
        <v>3</v>
      </c>
      <c r="D29" s="2" t="b">
        <f>_xlfn.XLOOKUP(Table3[[#This Row],[instant]],Table1[instant],Table1[holiday], ,0,1)</f>
        <v>0</v>
      </c>
      <c r="E29" s="2">
        <f>_xlfn.XLOOKUP(Table3[[#This Row],[instant]],Table1[instant],Table1[weekday], ,0,1)</f>
        <v>0</v>
      </c>
      <c r="F29" s="2">
        <f>_xlfn.XLOOKUP(Table3[[#This Row],[instant]],Table1[instant],Table1[weathersit], ,0,1)</f>
        <v>2</v>
      </c>
      <c r="G29" s="2">
        <f>_xlfn.XLOOKUP(Table3[[#This Row],[instant]],Table1[instant],Table1[temp], ,0,1)</f>
        <v>0.46</v>
      </c>
      <c r="H29" s="24">
        <f>_xlfn.XLOOKUP(Table3[[#This Row],[instant]],Table2[instant],Table2[atemp], ,0,1)</f>
        <v>0.45450000000000002</v>
      </c>
      <c r="I29" s="1">
        <f>_xlfn.XLOOKUP(Table3[[#This Row],[instant]],Table2[instant],Table2[hum], ,0,1)</f>
        <v>0.94</v>
      </c>
      <c r="J29" s="1">
        <f>_xlfn.XLOOKUP(Table3[[#This Row],[instant]],Table2[instant],Table2[windspeed], ,0,1)</f>
        <v>0.19400000000000001</v>
      </c>
      <c r="K29" s="1">
        <f>_xlfn.XLOOKUP(Table3[[#This Row],[instant]],Table2[instant],Table2[casual], ,0,1)</f>
        <v>2</v>
      </c>
      <c r="L29" s="1">
        <f>_xlfn.XLOOKUP(Table3[[#This Row],[instant]],Table2[instant],Table2[registered], ,0,1)</f>
        <v>4</v>
      </c>
      <c r="M29" s="6">
        <f>_xlfn.XLOOKUP(Table3[[#This Row],[instant]],Table2[instant],Table2[cnt], ,0,1)</f>
        <v>6</v>
      </c>
      <c r="N29" s="1" t="str">
        <f>IF(OR(Table3[[#This Row],[weekday]]=0,Table3[[#This Row],[weekday]]=6),"Weekend","Weekday")</f>
        <v>Weekend</v>
      </c>
    </row>
    <row r="30" spans="1:14" ht="15" thickBot="1" x14ac:dyDescent="0.35">
      <c r="A30" s="42">
        <v>29</v>
      </c>
      <c r="B30" s="43">
        <f>_xlfn.XLOOKUP(Table3[[#This Row],[instant]],DatSet1!A30:A639,DatSet1!B30:B639,_xlfn.XLOOKUP(Table3[[#This Row],[instant]],'Final Data'!A30:A419,'Final Data'!B30:B419, ,0,1),0,1)</f>
        <v>40545</v>
      </c>
      <c r="C30" s="42">
        <f>_xlfn.XLOOKUP(Table3[[#This Row],[instant]],Table1[instant],Table1[hr], ,0,1)</f>
        <v>4</v>
      </c>
      <c r="D30" s="44" t="b">
        <f>_xlfn.XLOOKUP(Table3[[#This Row],[instant]],Table1[instant],Table1[holiday], ,0,1)</f>
        <v>0</v>
      </c>
      <c r="E30" s="44">
        <f>_xlfn.XLOOKUP(Table3[[#This Row],[instant]],Table1[instant],Table1[weekday], ,0,1)</f>
        <v>0</v>
      </c>
      <c r="F30" s="44">
        <f>_xlfn.XLOOKUP(Table3[[#This Row],[instant]],Table1[instant],Table1[weathersit], ,0,1)</f>
        <v>2</v>
      </c>
      <c r="G30" s="44">
        <f>_xlfn.XLOOKUP(Table3[[#This Row],[instant]],Table1[instant],Table1[temp], ,0,1)</f>
        <v>0.46</v>
      </c>
      <c r="H30" s="45">
        <f>_xlfn.XLOOKUP(Table3[[#This Row],[instant]],Table2[instant],Table2[atemp], ,0,1)</f>
        <v>0.19993489148580987</v>
      </c>
      <c r="I30" s="42">
        <f>_xlfn.XLOOKUP(Table3[[#This Row],[instant]],Table2[instant],Table2[hum], ,0,1)</f>
        <v>0.94</v>
      </c>
      <c r="J30" s="42">
        <f>_xlfn.XLOOKUP(Table3[[#This Row],[instant]],Table2[instant],Table2[windspeed], ,0,1)</f>
        <v>0.19400000000000001</v>
      </c>
      <c r="K30" s="42">
        <f>_xlfn.XLOOKUP(Table3[[#This Row],[instant]],Table2[instant],Table2[casual], ,0,1)</f>
        <v>2</v>
      </c>
      <c r="L30" s="42">
        <f>_xlfn.XLOOKUP(Table3[[#This Row],[instant]],Table2[instant],Table2[registered], ,0,1)</f>
        <v>1</v>
      </c>
      <c r="M30" s="46">
        <f>_xlfn.XLOOKUP(Table3[[#This Row],[instant]],Table2[instant],Table2[cnt], ,0,1)</f>
        <v>3</v>
      </c>
      <c r="N30" s="42" t="str">
        <f>IF(OR(Table3[[#This Row],[weekday]]=0,Table3[[#This Row],[weekday]]=6),"Weekend","Weekday")</f>
        <v>Weekend</v>
      </c>
    </row>
    <row r="31" spans="1:14" ht="15" thickBot="1" x14ac:dyDescent="0.35">
      <c r="A31" s="1">
        <v>30</v>
      </c>
      <c r="B31" s="3">
        <f>_xlfn.XLOOKUP(Table3[[#This Row],[instant]],DatSet1!A31:A640,DatSet1!B31:B640,_xlfn.XLOOKUP(Table3[[#This Row],[instant]],'Final Data'!A31:A420,'Final Data'!B31:B420, ,0,1),0,1)</f>
        <v>40545</v>
      </c>
      <c r="C31" s="1">
        <f>_xlfn.XLOOKUP(Table3[[#This Row],[instant]],Table1[instant],Table1[hr], ,0,1)</f>
        <v>6</v>
      </c>
      <c r="D31" s="2" t="b">
        <f>_xlfn.XLOOKUP(Table3[[#This Row],[instant]],Table1[instant],Table1[holiday], ,0,1)</f>
        <v>0</v>
      </c>
      <c r="E31" s="2">
        <f>_xlfn.XLOOKUP(Table3[[#This Row],[instant]],Table1[instant],Table1[weekday], ,0,1)</f>
        <v>0</v>
      </c>
      <c r="F31" s="2">
        <f>_xlfn.XLOOKUP(Table3[[#This Row],[instant]],Table1[instant],Table1[weathersit], ,0,1)</f>
        <v>3</v>
      </c>
      <c r="G31" s="2">
        <f>_xlfn.XLOOKUP(Table3[[#This Row],[instant]],Table1[instant],Table1[temp], ,0,1)</f>
        <v>0.42</v>
      </c>
      <c r="H31" s="24">
        <f>_xlfn.XLOOKUP(Table3[[#This Row],[instant]],Table2[instant],Table2[atemp], ,0,1)</f>
        <v>0.42420000000000002</v>
      </c>
      <c r="I31" s="1">
        <f>_xlfn.XLOOKUP(Table3[[#This Row],[instant]],Table2[instant],Table2[hum], ,0,1)</f>
        <v>0.77</v>
      </c>
      <c r="J31" s="1">
        <f>_xlfn.XLOOKUP(Table3[[#This Row],[instant]],Table2[instant],Table2[windspeed], ,0,1)</f>
        <v>0.29849999999999999</v>
      </c>
      <c r="K31" s="1">
        <f>_xlfn.XLOOKUP(Table3[[#This Row],[instant]],Table2[instant],Table2[casual], ,0,1)</f>
        <v>0</v>
      </c>
      <c r="L31" s="1">
        <f>_xlfn.XLOOKUP(Table3[[#This Row],[instant]],Table2[instant],Table2[registered], ,0,1)</f>
        <v>2</v>
      </c>
      <c r="M31" s="6">
        <f>_xlfn.XLOOKUP(Table3[[#This Row],[instant]],Table2[instant],Table2[cnt], ,0,1)</f>
        <v>2</v>
      </c>
      <c r="N31" s="1" t="str">
        <f>IF(OR(Table3[[#This Row],[weekday]]=0,Table3[[#This Row],[weekday]]=6),"Weekend","Weekday")</f>
        <v>Weekend</v>
      </c>
    </row>
    <row r="32" spans="1:14" ht="15" thickBot="1" x14ac:dyDescent="0.35">
      <c r="A32" s="42">
        <v>31</v>
      </c>
      <c r="B32" s="43">
        <f>_xlfn.XLOOKUP(Table3[[#This Row],[instant]],DatSet1!A32:A641,DatSet1!B32:B641,_xlfn.XLOOKUP(Table3[[#This Row],[instant]],'Final Data'!A32:A421,'Final Data'!B32:B421, ,0,1),0,1)</f>
        <v>40545</v>
      </c>
      <c r="C32" s="42">
        <f>_xlfn.XLOOKUP(Table3[[#This Row],[instant]],Table1[instant],Table1[hr], ,0,1)</f>
        <v>7</v>
      </c>
      <c r="D32" s="44" t="b">
        <f>_xlfn.XLOOKUP(Table3[[#This Row],[instant]],Table1[instant],Table1[holiday], ,0,1)</f>
        <v>0</v>
      </c>
      <c r="E32" s="44">
        <f>_xlfn.XLOOKUP(Table3[[#This Row],[instant]],Table1[instant],Table1[weekday], ,0,1)</f>
        <v>0</v>
      </c>
      <c r="F32" s="44">
        <f>_xlfn.XLOOKUP(Table3[[#This Row],[instant]],Table1[instant],Table1[weathersit], ,0,1)</f>
        <v>2</v>
      </c>
      <c r="G32" s="44">
        <f>_xlfn.XLOOKUP(Table3[[#This Row],[instant]],Table1[instant],Table1[temp], ,0,1)</f>
        <v>0.4</v>
      </c>
      <c r="H32" s="45">
        <f>_xlfn.XLOOKUP(Table3[[#This Row],[instant]],Table2[instant],Table2[atemp], ,0,1)</f>
        <v>0.40910000000000002</v>
      </c>
      <c r="I32" s="42">
        <f>_xlfn.XLOOKUP(Table3[[#This Row],[instant]],Table2[instant],Table2[hum], ,0,1)</f>
        <v>0.76</v>
      </c>
      <c r="J32" s="42">
        <f>_xlfn.XLOOKUP(Table3[[#This Row],[instant]],Table2[instant],Table2[windspeed], ,0,1)</f>
        <v>0.19400000000000001</v>
      </c>
      <c r="K32" s="42">
        <f>_xlfn.XLOOKUP(Table3[[#This Row],[instant]],Table2[instant],Table2[casual], ,0,1)</f>
        <v>0</v>
      </c>
      <c r="L32" s="42">
        <f>_xlfn.XLOOKUP(Table3[[#This Row],[instant]],Table2[instant],Table2[registered], ,0,1)</f>
        <v>1</v>
      </c>
      <c r="M32" s="46">
        <f>_xlfn.XLOOKUP(Table3[[#This Row],[instant]],Table2[instant],Table2[cnt], ,0,1)</f>
        <v>1</v>
      </c>
      <c r="N32" s="42" t="str">
        <f>IF(OR(Table3[[#This Row],[weekday]]=0,Table3[[#This Row],[weekday]]=6),"Weekend","Weekday")</f>
        <v>Weekend</v>
      </c>
    </row>
    <row r="33" spans="1:14" ht="15" thickBot="1" x14ac:dyDescent="0.35">
      <c r="A33" s="1">
        <v>32</v>
      </c>
      <c r="B33" s="3">
        <f>_xlfn.XLOOKUP(Table3[[#This Row],[instant]],DatSet1!A33:A642,DatSet1!B33:B642,_xlfn.XLOOKUP(Table3[[#This Row],[instant]],'Final Data'!A33:A422,'Final Data'!B33:B422, ,0,1),0,1)</f>
        <v>40545</v>
      </c>
      <c r="C33" s="1">
        <f>_xlfn.XLOOKUP(Table3[[#This Row],[instant]],Table1[instant],Table1[hr], ,0,1)</f>
        <v>8</v>
      </c>
      <c r="D33" s="2" t="b">
        <f>_xlfn.XLOOKUP(Table3[[#This Row],[instant]],Table1[instant],Table1[holiday], ,0,1)</f>
        <v>0</v>
      </c>
      <c r="E33" s="2">
        <f>_xlfn.XLOOKUP(Table3[[#This Row],[instant]],Table1[instant],Table1[weekday], ,0,1)</f>
        <v>0</v>
      </c>
      <c r="F33" s="2">
        <f>_xlfn.XLOOKUP(Table3[[#This Row],[instant]],Table1[instant],Table1[weathersit], ,0,1)</f>
        <v>3</v>
      </c>
      <c r="G33" s="2">
        <f>_xlfn.XLOOKUP(Table3[[#This Row],[instant]],Table1[instant],Table1[temp], ,0,1)</f>
        <v>0.4</v>
      </c>
      <c r="H33" s="24">
        <f>_xlfn.XLOOKUP(Table3[[#This Row],[instant]],Table2[instant],Table2[atemp], ,0,1)</f>
        <v>0.40910000000000002</v>
      </c>
      <c r="I33" s="1">
        <f>_xlfn.XLOOKUP(Table3[[#This Row],[instant]],Table2[instant],Table2[hum], ,0,1)</f>
        <v>0.71</v>
      </c>
      <c r="J33" s="1">
        <f>_xlfn.XLOOKUP(Table3[[#This Row],[instant]],Table2[instant],Table2[windspeed], ,0,1)</f>
        <v>0.22389999999999999</v>
      </c>
      <c r="K33" s="1">
        <f>_xlfn.XLOOKUP(Table3[[#This Row],[instant]],Table2[instant],Table2[casual], ,0,1)</f>
        <v>0</v>
      </c>
      <c r="L33" s="1">
        <f>_xlfn.XLOOKUP(Table3[[#This Row],[instant]],Table2[instant],Table2[registered], ,0,1)</f>
        <v>8</v>
      </c>
      <c r="M33" s="6">
        <f>_xlfn.XLOOKUP(Table3[[#This Row],[instant]],Table2[instant],Table2[cnt], ,0,1)</f>
        <v>8</v>
      </c>
      <c r="N33" s="1" t="str">
        <f>IF(OR(Table3[[#This Row],[weekday]]=0,Table3[[#This Row],[weekday]]=6),"Weekend","Weekday")</f>
        <v>Weekend</v>
      </c>
    </row>
    <row r="34" spans="1:14" ht="15" thickBot="1" x14ac:dyDescent="0.35">
      <c r="A34" s="42">
        <v>33</v>
      </c>
      <c r="B34" s="43">
        <f>_xlfn.XLOOKUP(Table3[[#This Row],[instant]],DatSet1!A34:A643,DatSet1!B34:B643,_xlfn.XLOOKUP(Table3[[#This Row],[instant]],'Final Data'!A34:A423,'Final Data'!B34:B423, ,0,1),0,1)</f>
        <v>40545</v>
      </c>
      <c r="C34" s="42">
        <f>_xlfn.XLOOKUP(Table3[[#This Row],[instant]],Table1[instant],Table1[hr], ,0,1)</f>
        <v>9</v>
      </c>
      <c r="D34" s="44" t="b">
        <f>_xlfn.XLOOKUP(Table3[[#This Row],[instant]],Table1[instant],Table1[holiday], ,0,1)</f>
        <v>0</v>
      </c>
      <c r="E34" s="44">
        <f>_xlfn.XLOOKUP(Table3[[#This Row],[instant]],Table1[instant],Table1[weekday], ,0,1)</f>
        <v>0</v>
      </c>
      <c r="F34" s="44">
        <f>_xlfn.XLOOKUP(Table3[[#This Row],[instant]],Table1[instant],Table1[weathersit], ,0,1)</f>
        <v>2</v>
      </c>
      <c r="G34" s="44">
        <f>_xlfn.XLOOKUP(Table3[[#This Row],[instant]],Table1[instant],Table1[temp], ,0,1)</f>
        <v>0.38</v>
      </c>
      <c r="H34" s="45">
        <f>_xlfn.XLOOKUP(Table3[[#This Row],[instant]],Table2[instant],Table2[atemp], ,0,1)</f>
        <v>0.19993489148580984</v>
      </c>
      <c r="I34" s="42">
        <f>_xlfn.XLOOKUP(Table3[[#This Row],[instant]],Table2[instant],Table2[hum], ,0,1)</f>
        <v>0.76</v>
      </c>
      <c r="J34" s="42">
        <f>_xlfn.XLOOKUP(Table3[[#This Row],[instant]],Table2[instant],Table2[windspeed], ,0,1)</f>
        <v>0.22389999999999999</v>
      </c>
      <c r="K34" s="42">
        <f>_xlfn.XLOOKUP(Table3[[#This Row],[instant]],Table2[instant],Table2[casual], ,0,1)</f>
        <v>1</v>
      </c>
      <c r="L34" s="42">
        <f>_xlfn.XLOOKUP(Table3[[#This Row],[instant]],Table2[instant],Table2[registered], ,0,1)</f>
        <v>19</v>
      </c>
      <c r="M34" s="46">
        <f>_xlfn.XLOOKUP(Table3[[#This Row],[instant]],Table2[instant],Table2[cnt], ,0,1)</f>
        <v>20</v>
      </c>
      <c r="N34" s="42" t="str">
        <f>IF(OR(Table3[[#This Row],[weekday]]=0,Table3[[#This Row],[weekday]]=6),"Weekend","Weekday")</f>
        <v>Weekend</v>
      </c>
    </row>
    <row r="35" spans="1:14" ht="15" thickBot="1" x14ac:dyDescent="0.35">
      <c r="A35" s="1">
        <v>34</v>
      </c>
      <c r="B35" s="3">
        <f>_xlfn.XLOOKUP(Table3[[#This Row],[instant]],DatSet1!A35:A644,DatSet1!B35:B644,_xlfn.XLOOKUP(Table3[[#This Row],[instant]],'Final Data'!A35:A424,'Final Data'!B35:B424, ,0,1),0,1)</f>
        <v>40545</v>
      </c>
      <c r="C35" s="1">
        <f>_xlfn.XLOOKUP(Table3[[#This Row],[instant]],Table1[instant],Table1[hr], ,0,1)</f>
        <v>10</v>
      </c>
      <c r="D35" s="2" t="b">
        <f>_xlfn.XLOOKUP(Table3[[#This Row],[instant]],Table1[instant],Table1[holiday], ,0,1)</f>
        <v>0</v>
      </c>
      <c r="E35" s="2">
        <f>_xlfn.XLOOKUP(Table3[[#This Row],[instant]],Table1[instant],Table1[weekday], ,0,1)</f>
        <v>0</v>
      </c>
      <c r="F35" s="2">
        <f>_xlfn.XLOOKUP(Table3[[#This Row],[instant]],Table1[instant],Table1[weathersit], ,0,1)</f>
        <v>2</v>
      </c>
      <c r="G35" s="2">
        <f>_xlfn.XLOOKUP(Table3[[#This Row],[instant]],Table1[instant],Table1[temp], ,0,1)</f>
        <v>0.36</v>
      </c>
      <c r="H35" s="24">
        <f>_xlfn.XLOOKUP(Table3[[#This Row],[instant]],Table2[instant],Table2[atemp], ,0,1)</f>
        <v>0.34849999999999998</v>
      </c>
      <c r="I35" s="1">
        <f>_xlfn.XLOOKUP(Table3[[#This Row],[instant]],Table2[instant],Table2[hum], ,0,1)</f>
        <v>0.81</v>
      </c>
      <c r="J35" s="1">
        <f>_xlfn.XLOOKUP(Table3[[#This Row],[instant]],Table2[instant],Table2[windspeed], ,0,1)</f>
        <v>0.22389999999999999</v>
      </c>
      <c r="K35" s="1">
        <f>_xlfn.XLOOKUP(Table3[[#This Row],[instant]],Table2[instant],Table2[casual], ,0,1)</f>
        <v>7</v>
      </c>
      <c r="L35" s="1">
        <f>_xlfn.XLOOKUP(Table3[[#This Row],[instant]],Table2[instant],Table2[registered], ,0,1)</f>
        <v>46</v>
      </c>
      <c r="M35" s="6">
        <f>_xlfn.XLOOKUP(Table3[[#This Row],[instant]],Table2[instant],Table2[cnt], ,0,1)</f>
        <v>53</v>
      </c>
      <c r="N35" s="1" t="str">
        <f>IF(OR(Table3[[#This Row],[weekday]]=0,Table3[[#This Row],[weekday]]=6),"Weekend","Weekday")</f>
        <v>Weekend</v>
      </c>
    </row>
    <row r="36" spans="1:14" ht="15" thickBot="1" x14ac:dyDescent="0.35">
      <c r="A36" s="42">
        <v>35</v>
      </c>
      <c r="B36" s="43">
        <f>_xlfn.XLOOKUP(Table3[[#This Row],[instant]],DatSet1!A36:A645,DatSet1!B36:B645,_xlfn.XLOOKUP(Table3[[#This Row],[instant]],'Final Data'!A36:A425,'Final Data'!B36:B425, ,0,1),0,1)</f>
        <v>40545</v>
      </c>
      <c r="C36" s="42">
        <f>_xlfn.XLOOKUP(Table3[[#This Row],[instant]],Table1[instant],Table1[hr], ,0,1)</f>
        <v>11</v>
      </c>
      <c r="D36" s="44" t="b">
        <f>_xlfn.XLOOKUP(Table3[[#This Row],[instant]],Table1[instant],Table1[holiday], ,0,1)</f>
        <v>0</v>
      </c>
      <c r="E36" s="44">
        <f>_xlfn.XLOOKUP(Table3[[#This Row],[instant]],Table1[instant],Table1[weekday], ,0,1)</f>
        <v>0</v>
      </c>
      <c r="F36" s="44">
        <f>_xlfn.XLOOKUP(Table3[[#This Row],[instant]],Table1[instant],Table1[weathersit], ,0,1)</f>
        <v>2</v>
      </c>
      <c r="G36" s="44">
        <f>_xlfn.XLOOKUP(Table3[[#This Row],[instant]],Table1[instant],Table1[temp], ,0,1)</f>
        <v>0.36</v>
      </c>
      <c r="H36" s="45">
        <f>_xlfn.XLOOKUP(Table3[[#This Row],[instant]],Table2[instant],Table2[atemp], ,0,1)</f>
        <v>0.33329999999999999</v>
      </c>
      <c r="I36" s="42">
        <f>_xlfn.XLOOKUP(Table3[[#This Row],[instant]],Table2[instant],Table2[hum], ,0,1)</f>
        <v>0.71</v>
      </c>
      <c r="J36" s="42">
        <f>_xlfn.XLOOKUP(Table3[[#This Row],[instant]],Table2[instant],Table2[windspeed], ,0,1)</f>
        <v>0.25369999999999998</v>
      </c>
      <c r="K36" s="42">
        <f>_xlfn.XLOOKUP(Table3[[#This Row],[instant]],Table2[instant],Table2[casual], ,0,1)</f>
        <v>16</v>
      </c>
      <c r="L36" s="42">
        <f>_xlfn.XLOOKUP(Table3[[#This Row],[instant]],Table2[instant],Table2[registered], ,0,1)</f>
        <v>54</v>
      </c>
      <c r="M36" s="46">
        <f>_xlfn.XLOOKUP(Table3[[#This Row],[instant]],Table2[instant],Table2[cnt], ,0,1)</f>
        <v>70</v>
      </c>
      <c r="N36" s="42" t="str">
        <f>IF(OR(Table3[[#This Row],[weekday]]=0,Table3[[#This Row],[weekday]]=6),"Weekend","Weekday")</f>
        <v>Weekend</v>
      </c>
    </row>
    <row r="37" spans="1:14" ht="15" thickBot="1" x14ac:dyDescent="0.35">
      <c r="A37" s="1">
        <v>36</v>
      </c>
      <c r="B37" s="3">
        <f>_xlfn.XLOOKUP(Table3[[#This Row],[instant]],DatSet1!A37:A646,DatSet1!B37:B646,_xlfn.XLOOKUP(Table3[[#This Row],[instant]],'Final Data'!A37:A426,'Final Data'!B37:B426, ,0,1),0,1)</f>
        <v>40545</v>
      </c>
      <c r="C37" s="1">
        <f>_xlfn.XLOOKUP(Table3[[#This Row],[instant]],Table1[instant],Table1[hr], ,0,1)</f>
        <v>12</v>
      </c>
      <c r="D37" s="2" t="b">
        <f>_xlfn.XLOOKUP(Table3[[#This Row],[instant]],Table1[instant],Table1[holiday], ,0,1)</f>
        <v>0</v>
      </c>
      <c r="E37" s="2">
        <f>_xlfn.XLOOKUP(Table3[[#This Row],[instant]],Table1[instant],Table1[weekday], ,0,1)</f>
        <v>0</v>
      </c>
      <c r="F37" s="2">
        <f>_xlfn.XLOOKUP(Table3[[#This Row],[instant]],Table1[instant],Table1[weathersit], ,0,1)</f>
        <v>2</v>
      </c>
      <c r="G37" s="2">
        <f>_xlfn.XLOOKUP(Table3[[#This Row],[instant]],Table1[instant],Table1[temp], ,0,1)</f>
        <v>0.36</v>
      </c>
      <c r="H37" s="24">
        <f>_xlfn.XLOOKUP(Table3[[#This Row],[instant]],Table2[instant],Table2[atemp], ,0,1)</f>
        <v>0.33329999999999999</v>
      </c>
      <c r="I37" s="1">
        <f>_xlfn.XLOOKUP(Table3[[#This Row],[instant]],Table2[instant],Table2[hum], ,0,1)</f>
        <v>0.66</v>
      </c>
      <c r="J37" s="1">
        <f>_xlfn.XLOOKUP(Table3[[#This Row],[instant]],Table2[instant],Table2[windspeed], ,0,1)</f>
        <v>0.29849999999999999</v>
      </c>
      <c r="K37" s="1">
        <f>_xlfn.XLOOKUP(Table3[[#This Row],[instant]],Table2[instant],Table2[casual], ,0,1)</f>
        <v>20</v>
      </c>
      <c r="L37" s="1">
        <f>_xlfn.XLOOKUP(Table3[[#This Row],[instant]],Table2[instant],Table2[registered], ,0,1)</f>
        <v>73</v>
      </c>
      <c r="M37" s="6">
        <f>_xlfn.XLOOKUP(Table3[[#This Row],[instant]],Table2[instant],Table2[cnt], ,0,1)</f>
        <v>93</v>
      </c>
      <c r="N37" s="1" t="str">
        <f>IF(OR(Table3[[#This Row],[weekday]]=0,Table3[[#This Row],[weekday]]=6),"Weekend","Weekday")</f>
        <v>Weekend</v>
      </c>
    </row>
    <row r="38" spans="1:14" ht="15" thickBot="1" x14ac:dyDescent="0.35">
      <c r="A38" s="42">
        <v>37</v>
      </c>
      <c r="B38" s="43">
        <f>_xlfn.XLOOKUP(Table3[[#This Row],[instant]],DatSet1!A38:A647,DatSet1!B38:B647,_xlfn.XLOOKUP(Table3[[#This Row],[instant]],'Final Data'!A38:A427,'Final Data'!B38:B427, ,0,1),0,1)</f>
        <v>40545</v>
      </c>
      <c r="C38" s="42">
        <f>_xlfn.XLOOKUP(Table3[[#This Row],[instant]],Table1[instant],Table1[hr], ,0,1)</f>
        <v>13</v>
      </c>
      <c r="D38" s="44" t="b">
        <f>_xlfn.XLOOKUP(Table3[[#This Row],[instant]],Table1[instant],Table1[holiday], ,0,1)</f>
        <v>0</v>
      </c>
      <c r="E38" s="44">
        <f>_xlfn.XLOOKUP(Table3[[#This Row],[instant]],Table1[instant],Table1[weekday], ,0,1)</f>
        <v>0</v>
      </c>
      <c r="F38" s="44">
        <f>_xlfn.XLOOKUP(Table3[[#This Row],[instant]],Table1[instant],Table1[weathersit], ,0,1)</f>
        <v>2</v>
      </c>
      <c r="G38" s="44">
        <f>_xlfn.XLOOKUP(Table3[[#This Row],[instant]],Table1[instant],Table1[temp], ,0,1)</f>
        <v>0.36</v>
      </c>
      <c r="H38" s="45">
        <f>_xlfn.XLOOKUP(Table3[[#This Row],[instant]],Table2[instant],Table2[atemp], ,0,1)</f>
        <v>0.34849999999999998</v>
      </c>
      <c r="I38" s="42">
        <f>_xlfn.XLOOKUP(Table3[[#This Row],[instant]],Table2[instant],Table2[hum], ,0,1)</f>
        <v>0.66</v>
      </c>
      <c r="J38" s="42">
        <f>_xlfn.XLOOKUP(Table3[[#This Row],[instant]],Table2[instant],Table2[windspeed], ,0,1)</f>
        <v>0.1343</v>
      </c>
      <c r="K38" s="42">
        <f>_xlfn.XLOOKUP(Table3[[#This Row],[instant]],Table2[instant],Table2[casual], ,0,1)</f>
        <v>11</v>
      </c>
      <c r="L38" s="42">
        <f>_xlfn.XLOOKUP(Table3[[#This Row],[instant]],Table2[instant],Table2[registered], ,0,1)</f>
        <v>64</v>
      </c>
      <c r="M38" s="46">
        <f>_xlfn.XLOOKUP(Table3[[#This Row],[instant]],Table2[instant],Table2[cnt], ,0,1)</f>
        <v>75</v>
      </c>
      <c r="N38" s="42" t="str">
        <f>IF(OR(Table3[[#This Row],[weekday]]=0,Table3[[#This Row],[weekday]]=6),"Weekend","Weekday")</f>
        <v>Weekend</v>
      </c>
    </row>
    <row r="39" spans="1:14" ht="15" thickBot="1" x14ac:dyDescent="0.35">
      <c r="A39" s="1">
        <v>38</v>
      </c>
      <c r="B39" s="3">
        <f>_xlfn.XLOOKUP(Table3[[#This Row],[instant]],DatSet1!A39:A648,DatSet1!B39:B648,_xlfn.XLOOKUP(Table3[[#This Row],[instant]],'Final Data'!A39:A428,'Final Data'!B39:B428, ,0,1),0,1)</f>
        <v>40545</v>
      </c>
      <c r="C39" s="1">
        <f>_xlfn.XLOOKUP(Table3[[#This Row],[instant]],Table1[instant],Table1[hr], ,0,1)</f>
        <v>14</v>
      </c>
      <c r="D39" s="2" t="b">
        <f>_xlfn.XLOOKUP(Table3[[#This Row],[instant]],Table1[instant],Table1[holiday], ,0,1)</f>
        <v>0</v>
      </c>
      <c r="E39" s="2">
        <f>_xlfn.XLOOKUP(Table3[[#This Row],[instant]],Table1[instant],Table1[weekday], ,0,1)</f>
        <v>0</v>
      </c>
      <c r="F39" s="2">
        <f>_xlfn.XLOOKUP(Table3[[#This Row],[instant]],Table1[instant],Table1[weathersit], ,0,1)</f>
        <v>3</v>
      </c>
      <c r="G39" s="2">
        <f>_xlfn.XLOOKUP(Table3[[#This Row],[instant]],Table1[instant],Table1[temp], ,0,1)</f>
        <v>0.36</v>
      </c>
      <c r="H39" s="24">
        <f>_xlfn.XLOOKUP(Table3[[#This Row],[instant]],Table2[instant],Table2[atemp], ,0,1)</f>
        <v>0.19993489148580984</v>
      </c>
      <c r="I39" s="1">
        <f>_xlfn.XLOOKUP(Table3[[#This Row],[instant]],Table2[instant],Table2[hum], ,0,1)</f>
        <v>0.76</v>
      </c>
      <c r="J39" s="1">
        <f>_xlfn.XLOOKUP(Table3[[#This Row],[instant]],Table2[instant],Table2[windspeed], ,0,1)</f>
        <v>0.19400000000000001</v>
      </c>
      <c r="K39" s="1">
        <f>_xlfn.XLOOKUP(Table3[[#This Row],[instant]],Table2[instant],Table2[casual], ,0,1)</f>
        <v>4</v>
      </c>
      <c r="L39" s="1">
        <f>_xlfn.XLOOKUP(Table3[[#This Row],[instant]],Table2[instant],Table2[registered], ,0,1)</f>
        <v>55</v>
      </c>
      <c r="M39" s="6">
        <f>_xlfn.XLOOKUP(Table3[[#This Row],[instant]],Table2[instant],Table2[cnt], ,0,1)</f>
        <v>59</v>
      </c>
      <c r="N39" s="1" t="str">
        <f>IF(OR(Table3[[#This Row],[weekday]]=0,Table3[[#This Row],[weekday]]=6),"Weekend","Weekday")</f>
        <v>Weekend</v>
      </c>
    </row>
    <row r="40" spans="1:14" ht="15" thickBot="1" x14ac:dyDescent="0.35">
      <c r="A40" s="42">
        <v>39</v>
      </c>
      <c r="B40" s="43">
        <f>_xlfn.XLOOKUP(Table3[[#This Row],[instant]],DatSet1!A40:A649,DatSet1!B40:B649,_xlfn.XLOOKUP(Table3[[#This Row],[instant]],'Final Data'!A40:A429,'Final Data'!B40:B429, ,0,1),0,1)</f>
        <v>40545</v>
      </c>
      <c r="C40" s="42">
        <f>_xlfn.XLOOKUP(Table3[[#This Row],[instant]],Table1[instant],Table1[hr], ,0,1)</f>
        <v>15</v>
      </c>
      <c r="D40" s="44" t="b">
        <f>_xlfn.XLOOKUP(Table3[[#This Row],[instant]],Table1[instant],Table1[holiday], ,0,1)</f>
        <v>0</v>
      </c>
      <c r="E40" s="44">
        <f>_xlfn.XLOOKUP(Table3[[#This Row],[instant]],Table1[instant],Table1[weekday], ,0,1)</f>
        <v>0</v>
      </c>
      <c r="F40" s="44">
        <f>_xlfn.XLOOKUP(Table3[[#This Row],[instant]],Table1[instant],Table1[weathersit], ,0,1)</f>
        <v>3</v>
      </c>
      <c r="G40" s="44">
        <f>_xlfn.XLOOKUP(Table3[[#This Row],[instant]],Table1[instant],Table1[temp], ,0,1)</f>
        <v>0.34</v>
      </c>
      <c r="H40" s="45">
        <f>_xlfn.XLOOKUP(Table3[[#This Row],[instant]],Table2[instant],Table2[atemp], ,0,1)</f>
        <v>0.33329999999999999</v>
      </c>
      <c r="I40" s="42">
        <f>_xlfn.XLOOKUP(Table3[[#This Row],[instant]],Table2[instant],Table2[hum], ,0,1)</f>
        <v>0.81</v>
      </c>
      <c r="J40" s="42">
        <f>_xlfn.XLOOKUP(Table3[[#This Row],[instant]],Table2[instant],Table2[windspeed], ,0,1)</f>
        <v>0.16420000000000001</v>
      </c>
      <c r="K40" s="42">
        <f>_xlfn.XLOOKUP(Table3[[#This Row],[instant]],Table2[instant],Table2[casual], ,0,1)</f>
        <v>19</v>
      </c>
      <c r="L40" s="42">
        <f>_xlfn.XLOOKUP(Table3[[#This Row],[instant]],Table2[instant],Table2[registered], ,0,1)</f>
        <v>55</v>
      </c>
      <c r="M40" s="46">
        <f>_xlfn.XLOOKUP(Table3[[#This Row],[instant]],Table2[instant],Table2[cnt], ,0,1)</f>
        <v>74</v>
      </c>
      <c r="N40" s="42" t="str">
        <f>IF(OR(Table3[[#This Row],[weekday]]=0,Table3[[#This Row],[weekday]]=6),"Weekend","Weekday")</f>
        <v>Weekend</v>
      </c>
    </row>
    <row r="41" spans="1:14" ht="15" thickBot="1" x14ac:dyDescent="0.35">
      <c r="A41" s="1">
        <v>40</v>
      </c>
      <c r="B41" s="3">
        <f>_xlfn.XLOOKUP(Table3[[#This Row],[instant]],DatSet1!A41:A650,DatSet1!B41:B650,_xlfn.XLOOKUP(Table3[[#This Row],[instant]],'Final Data'!A41:A430,'Final Data'!B41:B430, ,0,1),0,1)</f>
        <v>40545</v>
      </c>
      <c r="C41" s="1">
        <f>_xlfn.XLOOKUP(Table3[[#This Row],[instant]],Table1[instant],Table1[hr], ,0,1)</f>
        <v>16</v>
      </c>
      <c r="D41" s="2" t="b">
        <f>_xlfn.XLOOKUP(Table3[[#This Row],[instant]],Table1[instant],Table1[holiday], ,0,1)</f>
        <v>0</v>
      </c>
      <c r="E41" s="2">
        <f>_xlfn.XLOOKUP(Table3[[#This Row],[instant]],Table1[instant],Table1[weekday], ,0,1)</f>
        <v>0</v>
      </c>
      <c r="F41" s="2">
        <f>_xlfn.XLOOKUP(Table3[[#This Row],[instant]],Table1[instant],Table1[weathersit], ,0,1)</f>
        <v>3</v>
      </c>
      <c r="G41" s="2">
        <f>_xlfn.XLOOKUP(Table3[[#This Row],[instant]],Table1[instant],Table1[temp], ,0,1)</f>
        <v>0.34</v>
      </c>
      <c r="H41" s="24">
        <f>_xlfn.XLOOKUP(Table3[[#This Row],[instant]],Table2[instant],Table2[atemp], ,0,1)</f>
        <v>0.33329999999999999</v>
      </c>
      <c r="I41" s="1">
        <f>_xlfn.XLOOKUP(Table3[[#This Row],[instant]],Table2[instant],Table2[hum], ,0,1)</f>
        <v>0.71</v>
      </c>
      <c r="J41" s="1">
        <f>_xlfn.XLOOKUP(Table3[[#This Row],[instant]],Table2[instant],Table2[windspeed], ,0,1)</f>
        <v>0.16420000000000001</v>
      </c>
      <c r="K41" s="1">
        <f>_xlfn.XLOOKUP(Table3[[#This Row],[instant]],Table2[instant],Table2[casual], ,0,1)</f>
        <v>9</v>
      </c>
      <c r="L41" s="1">
        <f>_xlfn.XLOOKUP(Table3[[#This Row],[instant]],Table2[instant],Table2[registered], ,0,1)</f>
        <v>67</v>
      </c>
      <c r="M41" s="6">
        <f>_xlfn.XLOOKUP(Table3[[#This Row],[instant]],Table2[instant],Table2[cnt], ,0,1)</f>
        <v>76</v>
      </c>
      <c r="N41" s="1" t="str">
        <f>IF(OR(Table3[[#This Row],[weekday]]=0,Table3[[#This Row],[weekday]]=6),"Weekend","Weekday")</f>
        <v>Weekend</v>
      </c>
    </row>
    <row r="42" spans="1:14" ht="15" thickBot="1" x14ac:dyDescent="0.35">
      <c r="A42" s="42">
        <v>41</v>
      </c>
      <c r="B42" s="43">
        <f>_xlfn.XLOOKUP(Table3[[#This Row],[instant]],DatSet1!A42:A651,DatSet1!B42:B651,_xlfn.XLOOKUP(Table3[[#This Row],[instant]],'Final Data'!A42:A431,'Final Data'!B42:B431, ,0,1),0,1)</f>
        <v>40545</v>
      </c>
      <c r="C42" s="42">
        <f>_xlfn.XLOOKUP(Table3[[#This Row],[instant]],Table1[instant],Table1[hr], ,0,1)</f>
        <v>17</v>
      </c>
      <c r="D42" s="44" t="b">
        <f>_xlfn.XLOOKUP(Table3[[#This Row],[instant]],Table1[instant],Table1[holiday], ,0,1)</f>
        <v>0</v>
      </c>
      <c r="E42" s="44">
        <f>_xlfn.XLOOKUP(Table3[[#This Row],[instant]],Table1[instant],Table1[weekday], ,0,1)</f>
        <v>0</v>
      </c>
      <c r="F42" s="44">
        <f>_xlfn.XLOOKUP(Table3[[#This Row],[instant]],Table1[instant],Table1[weathersit], ,0,1)</f>
        <v>1</v>
      </c>
      <c r="G42" s="44">
        <f>_xlfn.XLOOKUP(Table3[[#This Row],[instant]],Table1[instant],Table1[temp], ,0,1)</f>
        <v>0.34</v>
      </c>
      <c r="H42" s="45">
        <f>_xlfn.XLOOKUP(Table3[[#This Row],[instant]],Table2[instant],Table2[atemp], ,0,1)</f>
        <v>0.33329999999999999</v>
      </c>
      <c r="I42" s="42">
        <f>_xlfn.XLOOKUP(Table3[[#This Row],[instant]],Table2[instant],Table2[hum], ,0,1)</f>
        <v>0.56999999999999995</v>
      </c>
      <c r="J42" s="42">
        <f>_xlfn.XLOOKUP(Table3[[#This Row],[instant]],Table2[instant],Table2[windspeed], ,0,1)</f>
        <v>0.19400000000000001</v>
      </c>
      <c r="K42" s="42">
        <f>_xlfn.XLOOKUP(Table3[[#This Row],[instant]],Table2[instant],Table2[casual], ,0,1)</f>
        <v>7</v>
      </c>
      <c r="L42" s="42">
        <f>_xlfn.XLOOKUP(Table3[[#This Row],[instant]],Table2[instant],Table2[registered], ,0,1)</f>
        <v>58</v>
      </c>
      <c r="M42" s="46">
        <f>_xlfn.XLOOKUP(Table3[[#This Row],[instant]],Table2[instant],Table2[cnt], ,0,1)</f>
        <v>65</v>
      </c>
      <c r="N42" s="42" t="str">
        <f>IF(OR(Table3[[#This Row],[weekday]]=0,Table3[[#This Row],[weekday]]=6),"Weekend","Weekday")</f>
        <v>Weekend</v>
      </c>
    </row>
    <row r="43" spans="1:14" ht="15" thickBot="1" x14ac:dyDescent="0.35">
      <c r="A43" s="1">
        <v>42</v>
      </c>
      <c r="B43" s="3">
        <f>_xlfn.XLOOKUP(Table3[[#This Row],[instant]],DatSet1!A43:A652,DatSet1!B43:B652,_xlfn.XLOOKUP(Table3[[#This Row],[instant]],'Final Data'!A43:A432,'Final Data'!B43:B432, ,0,1),0,1)</f>
        <v>40545</v>
      </c>
      <c r="C43" s="1">
        <f>_xlfn.XLOOKUP(Table3[[#This Row],[instant]],Table1[instant],Table1[hr], ,0,1)</f>
        <v>18</v>
      </c>
      <c r="D43" s="2" t="b">
        <f>_xlfn.XLOOKUP(Table3[[#This Row],[instant]],Table1[instant],Table1[holiday], ,0,1)</f>
        <v>0</v>
      </c>
      <c r="E43" s="2">
        <f>_xlfn.XLOOKUP(Table3[[#This Row],[instant]],Table1[instant],Table1[weekday], ,0,1)</f>
        <v>0</v>
      </c>
      <c r="F43" s="2">
        <f>_xlfn.XLOOKUP(Table3[[#This Row],[instant]],Table1[instant],Table1[weathersit], ,0,1)</f>
        <v>2</v>
      </c>
      <c r="G43" s="2">
        <f>_xlfn.XLOOKUP(Table3[[#This Row],[instant]],Table1[instant],Table1[temp], ,0,1)</f>
        <v>0.36</v>
      </c>
      <c r="H43" s="24">
        <f>_xlfn.XLOOKUP(Table3[[#This Row],[instant]],Table2[instant],Table2[atemp], ,0,1)</f>
        <v>0.33329999999999999</v>
      </c>
      <c r="I43" s="1">
        <f>_xlfn.XLOOKUP(Table3[[#This Row],[instant]],Table2[instant],Table2[hum], ,0,1)</f>
        <v>0.46</v>
      </c>
      <c r="J43" s="1">
        <f>_xlfn.XLOOKUP(Table3[[#This Row],[instant]],Table2[instant],Table2[windspeed], ,0,1)</f>
        <v>0.32840000000000003</v>
      </c>
      <c r="K43" s="1">
        <f>_xlfn.XLOOKUP(Table3[[#This Row],[instant]],Table2[instant],Table2[casual], ,0,1)</f>
        <v>10</v>
      </c>
      <c r="L43" s="1">
        <f>_xlfn.XLOOKUP(Table3[[#This Row],[instant]],Table2[instant],Table2[registered], ,0,1)</f>
        <v>43</v>
      </c>
      <c r="M43" s="6">
        <f>_xlfn.XLOOKUP(Table3[[#This Row],[instant]],Table2[instant],Table2[cnt], ,0,1)</f>
        <v>53</v>
      </c>
      <c r="N43" s="1" t="str">
        <f>IF(OR(Table3[[#This Row],[weekday]]=0,Table3[[#This Row],[weekday]]=6),"Weekend","Weekday")</f>
        <v>Weekend</v>
      </c>
    </row>
    <row r="44" spans="1:14" ht="15" thickBot="1" x14ac:dyDescent="0.35">
      <c r="A44" s="42">
        <v>43</v>
      </c>
      <c r="B44" s="43">
        <f>_xlfn.XLOOKUP(Table3[[#This Row],[instant]],DatSet1!A44:A653,DatSet1!B44:B653,_xlfn.XLOOKUP(Table3[[#This Row],[instant]],'Final Data'!A44:A433,'Final Data'!B44:B433, ,0,1),0,1)</f>
        <v>40545</v>
      </c>
      <c r="C44" s="42">
        <f>_xlfn.XLOOKUP(Table3[[#This Row],[instant]],Table1[instant],Table1[hr], ,0,1)</f>
        <v>19</v>
      </c>
      <c r="D44" s="44" t="b">
        <f>_xlfn.XLOOKUP(Table3[[#This Row],[instant]],Table1[instant],Table1[holiday], ,0,1)</f>
        <v>0</v>
      </c>
      <c r="E44" s="44">
        <f>_xlfn.XLOOKUP(Table3[[#This Row],[instant]],Table1[instant],Table1[weekday], ,0,1)</f>
        <v>0</v>
      </c>
      <c r="F44" s="44">
        <f>_xlfn.XLOOKUP(Table3[[#This Row],[instant]],Table1[instant],Table1[weathersit], ,0,1)</f>
        <v>1</v>
      </c>
      <c r="G44" s="44">
        <f>_xlfn.XLOOKUP(Table3[[#This Row],[instant]],Table1[instant],Table1[temp], ,0,1)</f>
        <v>0.32</v>
      </c>
      <c r="H44" s="45">
        <f>_xlfn.XLOOKUP(Table3[[#This Row],[instant]],Table2[instant],Table2[atemp], ,0,1)</f>
        <v>0.28789999999999999</v>
      </c>
      <c r="I44" s="42">
        <f>_xlfn.XLOOKUP(Table3[[#This Row],[instant]],Table2[instant],Table2[hum], ,0,1)</f>
        <v>0.42</v>
      </c>
      <c r="J44" s="42">
        <f>_xlfn.XLOOKUP(Table3[[#This Row],[instant]],Table2[instant],Table2[windspeed], ,0,1)</f>
        <v>0.44779999999999998</v>
      </c>
      <c r="K44" s="42">
        <f>_xlfn.XLOOKUP(Table3[[#This Row],[instant]],Table2[instant],Table2[casual], ,0,1)</f>
        <v>1</v>
      </c>
      <c r="L44" s="42">
        <f>_xlfn.XLOOKUP(Table3[[#This Row],[instant]],Table2[instant],Table2[registered], ,0,1)</f>
        <v>29</v>
      </c>
      <c r="M44" s="46">
        <f>_xlfn.XLOOKUP(Table3[[#This Row],[instant]],Table2[instant],Table2[cnt], ,0,1)</f>
        <v>30</v>
      </c>
      <c r="N44" s="42" t="str">
        <f>IF(OR(Table3[[#This Row],[weekday]]=0,Table3[[#This Row],[weekday]]=6),"Weekend","Weekday")</f>
        <v>Weekend</v>
      </c>
    </row>
    <row r="45" spans="1:14" ht="15" thickBot="1" x14ac:dyDescent="0.35">
      <c r="A45" s="1">
        <v>44</v>
      </c>
      <c r="B45" s="3">
        <f>_xlfn.XLOOKUP(Table3[[#This Row],[instant]],DatSet1!A45:A654,DatSet1!B45:B654,_xlfn.XLOOKUP(Table3[[#This Row],[instant]],'Final Data'!A45:A434,'Final Data'!B45:B434, ,0,1),0,1)</f>
        <v>40545</v>
      </c>
      <c r="C45" s="1">
        <f>_xlfn.XLOOKUP(Table3[[#This Row],[instant]],Table1[instant],Table1[hr], ,0,1)</f>
        <v>20</v>
      </c>
      <c r="D45" s="2" t="b">
        <f>_xlfn.XLOOKUP(Table3[[#This Row],[instant]],Table1[instant],Table1[holiday], ,0,1)</f>
        <v>0</v>
      </c>
      <c r="E45" s="2">
        <f>_xlfn.XLOOKUP(Table3[[#This Row],[instant]],Table1[instant],Table1[weekday], ,0,1)</f>
        <v>0</v>
      </c>
      <c r="F45" s="2">
        <f>_xlfn.XLOOKUP(Table3[[#This Row],[instant]],Table1[instant],Table1[weathersit], ,0,1)</f>
        <v>1</v>
      </c>
      <c r="G45" s="2">
        <f>_xlfn.XLOOKUP(Table3[[#This Row],[instant]],Table1[instant],Table1[temp], ,0,1)</f>
        <v>0.3</v>
      </c>
      <c r="H45" s="24">
        <f>_xlfn.XLOOKUP(Table3[[#This Row],[instant]],Table2[instant],Table2[atemp], ,0,1)</f>
        <v>0.19993489148580984</v>
      </c>
      <c r="I45" s="1">
        <f>_xlfn.XLOOKUP(Table3[[#This Row],[instant]],Table2[instant],Table2[hum], ,0,1)</f>
        <v>0.39</v>
      </c>
      <c r="J45" s="1">
        <f>_xlfn.XLOOKUP(Table3[[#This Row],[instant]],Table2[instant],Table2[windspeed], ,0,1)</f>
        <v>0.35820000000000002</v>
      </c>
      <c r="K45" s="1">
        <f>_xlfn.XLOOKUP(Table3[[#This Row],[instant]],Table2[instant],Table2[casual], ,0,1)</f>
        <v>5</v>
      </c>
      <c r="L45" s="1">
        <f>_xlfn.XLOOKUP(Table3[[#This Row],[instant]],Table2[instant],Table2[registered], ,0,1)</f>
        <v>17</v>
      </c>
      <c r="M45" s="6">
        <f>_xlfn.XLOOKUP(Table3[[#This Row],[instant]],Table2[instant],Table2[cnt], ,0,1)</f>
        <v>22</v>
      </c>
      <c r="N45" s="1" t="str">
        <f>IF(OR(Table3[[#This Row],[weekday]]=0,Table3[[#This Row],[weekday]]=6),"Weekend","Weekday")</f>
        <v>Weekend</v>
      </c>
    </row>
    <row r="46" spans="1:14" ht="15" thickBot="1" x14ac:dyDescent="0.35">
      <c r="A46" s="42">
        <v>45</v>
      </c>
      <c r="B46" s="43">
        <f>_xlfn.XLOOKUP(Table3[[#This Row],[instant]],DatSet1!A46:A655,DatSet1!B46:B655,_xlfn.XLOOKUP(Table3[[#This Row],[instant]],'Final Data'!A46:A435,'Final Data'!B46:B435, ,0,1),0,1)</f>
        <v>40545</v>
      </c>
      <c r="C46" s="42">
        <f>_xlfn.XLOOKUP(Table3[[#This Row],[instant]],Table1[instant],Table1[hr], ,0,1)</f>
        <v>21</v>
      </c>
      <c r="D46" s="44" t="b">
        <f>_xlfn.XLOOKUP(Table3[[#This Row],[instant]],Table1[instant],Table1[holiday], ,0,1)</f>
        <v>0</v>
      </c>
      <c r="E46" s="44">
        <f>_xlfn.XLOOKUP(Table3[[#This Row],[instant]],Table1[instant],Table1[weekday], ,0,1)</f>
        <v>0</v>
      </c>
      <c r="F46" s="44">
        <f>_xlfn.XLOOKUP(Table3[[#This Row],[instant]],Table1[instant],Table1[weathersit], ,0,1)</f>
        <v>1</v>
      </c>
      <c r="G46" s="44">
        <f>_xlfn.XLOOKUP(Table3[[#This Row],[instant]],Table1[instant],Table1[temp], ,0,1)</f>
        <v>0.26</v>
      </c>
      <c r="H46" s="45">
        <f>_xlfn.XLOOKUP(Table3[[#This Row],[instant]],Table2[instant],Table2[atemp], ,0,1)</f>
        <v>0.2273</v>
      </c>
      <c r="I46" s="42">
        <f>_xlfn.XLOOKUP(Table3[[#This Row],[instant]],Table2[instant],Table2[hum], ,0,1)</f>
        <v>0.44</v>
      </c>
      <c r="J46" s="42">
        <f>_xlfn.XLOOKUP(Table3[[#This Row],[instant]],Table2[instant],Table2[windspeed], ,0,1)</f>
        <v>0.32840000000000003</v>
      </c>
      <c r="K46" s="42">
        <f>_xlfn.XLOOKUP(Table3[[#This Row],[instant]],Table2[instant],Table2[casual], ,0,1)</f>
        <v>11</v>
      </c>
      <c r="L46" s="42">
        <f>_xlfn.XLOOKUP(Table3[[#This Row],[instant]],Table2[instant],Table2[registered], ,0,1)</f>
        <v>20</v>
      </c>
      <c r="M46" s="46">
        <f>_xlfn.XLOOKUP(Table3[[#This Row],[instant]],Table2[instant],Table2[cnt], ,0,1)</f>
        <v>31</v>
      </c>
      <c r="N46" s="42" t="str">
        <f>IF(OR(Table3[[#This Row],[weekday]]=0,Table3[[#This Row],[weekday]]=6),"Weekend","Weekday")</f>
        <v>Weekend</v>
      </c>
    </row>
    <row r="47" spans="1:14" ht="15" thickBot="1" x14ac:dyDescent="0.35">
      <c r="A47" s="1">
        <v>46</v>
      </c>
      <c r="B47" s="3">
        <f>_xlfn.XLOOKUP(Table3[[#This Row],[instant]],DatSet1!A47:A656,DatSet1!B47:B656,_xlfn.XLOOKUP(Table3[[#This Row],[instant]],'Final Data'!A47:A436,'Final Data'!B47:B436, ,0,1),0,1)</f>
        <v>40545</v>
      </c>
      <c r="C47" s="1">
        <f>_xlfn.XLOOKUP(Table3[[#This Row],[instant]],Table1[instant],Table1[hr], ,0,1)</f>
        <v>22</v>
      </c>
      <c r="D47" s="2" t="b">
        <f>_xlfn.XLOOKUP(Table3[[#This Row],[instant]],Table1[instant],Table1[holiday], ,0,1)</f>
        <v>0</v>
      </c>
      <c r="E47" s="2">
        <f>_xlfn.XLOOKUP(Table3[[#This Row],[instant]],Table1[instant],Table1[weekday], ,0,1)</f>
        <v>0</v>
      </c>
      <c r="F47" s="2">
        <f>_xlfn.XLOOKUP(Table3[[#This Row],[instant]],Table1[instant],Table1[weathersit], ,0,1)</f>
        <v>1</v>
      </c>
      <c r="G47" s="2">
        <f>_xlfn.XLOOKUP(Table3[[#This Row],[instant]],Table1[instant],Table1[temp], ,0,1)</f>
        <v>0.24</v>
      </c>
      <c r="H47" s="24">
        <f>_xlfn.XLOOKUP(Table3[[#This Row],[instant]],Table2[instant],Table2[atemp], ,0,1)</f>
        <v>0.21210000000000001</v>
      </c>
      <c r="I47" s="1">
        <f>_xlfn.XLOOKUP(Table3[[#This Row],[instant]],Table2[instant],Table2[hum], ,0,1)</f>
        <v>0.44</v>
      </c>
      <c r="J47" s="1">
        <f>_xlfn.XLOOKUP(Table3[[#This Row],[instant]],Table2[instant],Table2[windspeed], ,0,1)</f>
        <v>0.29849999999999999</v>
      </c>
      <c r="K47" s="1">
        <f>_xlfn.XLOOKUP(Table3[[#This Row],[instant]],Table2[instant],Table2[casual], ,0,1)</f>
        <v>0</v>
      </c>
      <c r="L47" s="1">
        <f>_xlfn.XLOOKUP(Table3[[#This Row],[instant]],Table2[instant],Table2[registered], ,0,1)</f>
        <v>9</v>
      </c>
      <c r="M47" s="6">
        <f>_xlfn.XLOOKUP(Table3[[#This Row],[instant]],Table2[instant],Table2[cnt], ,0,1)</f>
        <v>9</v>
      </c>
      <c r="N47" s="1" t="str">
        <f>IF(OR(Table3[[#This Row],[weekday]]=0,Table3[[#This Row],[weekday]]=6),"Weekend","Weekday")</f>
        <v>Weekend</v>
      </c>
    </row>
    <row r="48" spans="1:14" ht="15" thickBot="1" x14ac:dyDescent="0.35">
      <c r="A48" s="42">
        <v>47</v>
      </c>
      <c r="B48" s="43">
        <f>_xlfn.XLOOKUP(Table3[[#This Row],[instant]],DatSet1!A48:A657,DatSet1!B48:B657,_xlfn.XLOOKUP(Table3[[#This Row],[instant]],'Final Data'!A48:A437,'Final Data'!B48:B437, ,0,1),0,1)</f>
        <v>40545</v>
      </c>
      <c r="C48" s="42">
        <f>_xlfn.XLOOKUP(Table3[[#This Row],[instant]],Table1[instant],Table1[hr], ,0,1)</f>
        <v>23</v>
      </c>
      <c r="D48" s="44" t="b">
        <f>_xlfn.XLOOKUP(Table3[[#This Row],[instant]],Table1[instant],Table1[holiday], ,0,1)</f>
        <v>0</v>
      </c>
      <c r="E48" s="44">
        <f>_xlfn.XLOOKUP(Table3[[#This Row],[instant]],Table1[instant],Table1[weekday], ,0,1)</f>
        <v>0</v>
      </c>
      <c r="F48" s="44">
        <f>_xlfn.XLOOKUP(Table3[[#This Row],[instant]],Table1[instant],Table1[weathersit], ,0,1)</f>
        <v>1</v>
      </c>
      <c r="G48" s="44">
        <f>_xlfn.XLOOKUP(Table3[[#This Row],[instant]],Table1[instant],Table1[temp], ,0,1)</f>
        <v>0.22</v>
      </c>
      <c r="H48" s="45">
        <f>_xlfn.XLOOKUP(Table3[[#This Row],[instant]],Table2[instant],Table2[atemp], ,0,1)</f>
        <v>0.2273</v>
      </c>
      <c r="I48" s="42">
        <f>_xlfn.XLOOKUP(Table3[[#This Row],[instant]],Table2[instant],Table2[hum], ,0,1)</f>
        <v>0.47</v>
      </c>
      <c r="J48" s="42">
        <f>_xlfn.XLOOKUP(Table3[[#This Row],[instant]],Table2[instant],Table2[windspeed], ,0,1)</f>
        <v>0.16420000000000001</v>
      </c>
      <c r="K48" s="42">
        <f>_xlfn.XLOOKUP(Table3[[#This Row],[instant]],Table2[instant],Table2[casual], ,0,1)</f>
        <v>0</v>
      </c>
      <c r="L48" s="42">
        <f>_xlfn.XLOOKUP(Table3[[#This Row],[instant]],Table2[instant],Table2[registered], ,0,1)</f>
        <v>8</v>
      </c>
      <c r="M48" s="46">
        <f>_xlfn.XLOOKUP(Table3[[#This Row],[instant]],Table2[instant],Table2[cnt], ,0,1)</f>
        <v>8</v>
      </c>
      <c r="N48" s="42" t="str">
        <f>IF(OR(Table3[[#This Row],[weekday]]=0,Table3[[#This Row],[weekday]]=6),"Weekend","Weekday")</f>
        <v>Weekend</v>
      </c>
    </row>
    <row r="49" spans="1:14" ht="15" thickBot="1" x14ac:dyDescent="0.35">
      <c r="A49" s="1">
        <v>48</v>
      </c>
      <c r="B49" s="3">
        <f>_xlfn.XLOOKUP(Table3[[#This Row],[instant]],DatSet1!A49:A658,DatSet1!B49:B658,_xlfn.XLOOKUP(Table3[[#This Row],[instant]],'Final Data'!A49:A438,'Final Data'!B49:B438, ,0,1),0,1)</f>
        <v>40546</v>
      </c>
      <c r="C49" s="1">
        <f>_xlfn.XLOOKUP(Table3[[#This Row],[instant]],Table1[instant],Table1[hr], ,0,1)</f>
        <v>0</v>
      </c>
      <c r="D49" s="2" t="b">
        <f>_xlfn.XLOOKUP(Table3[[#This Row],[instant]],Table1[instant],Table1[holiday], ,0,1)</f>
        <v>0</v>
      </c>
      <c r="E49" s="2">
        <f>_xlfn.XLOOKUP(Table3[[#This Row],[instant]],Table1[instant],Table1[weekday], ,0,1)</f>
        <v>1</v>
      </c>
      <c r="F49" s="2">
        <f>_xlfn.XLOOKUP(Table3[[#This Row],[instant]],Table1[instant],Table1[weathersit], ,0,1)</f>
        <v>1</v>
      </c>
      <c r="G49" s="2">
        <f>_xlfn.XLOOKUP(Table3[[#This Row],[instant]],Table1[instant],Table1[temp], ,0,1)</f>
        <v>0.22</v>
      </c>
      <c r="H49" s="24">
        <f>_xlfn.XLOOKUP(Table3[[#This Row],[instant]],Table2[instant],Table2[atemp], ,0,1)</f>
        <v>0.19700000000000001</v>
      </c>
      <c r="I49" s="1">
        <f>_xlfn.XLOOKUP(Table3[[#This Row],[instant]],Table2[instant],Table2[hum], ,0,1)</f>
        <v>0.44</v>
      </c>
      <c r="J49" s="1">
        <f>_xlfn.XLOOKUP(Table3[[#This Row],[instant]],Table2[instant],Table2[windspeed], ,0,1)</f>
        <v>0.35820000000000002</v>
      </c>
      <c r="K49" s="1">
        <f>_xlfn.XLOOKUP(Table3[[#This Row],[instant]],Table2[instant],Table2[casual], ,0,1)</f>
        <v>0</v>
      </c>
      <c r="L49" s="1">
        <f>_xlfn.XLOOKUP(Table3[[#This Row],[instant]],Table2[instant],Table2[registered], ,0,1)</f>
        <v>5</v>
      </c>
      <c r="M49" s="6">
        <f>_xlfn.XLOOKUP(Table3[[#This Row],[instant]],Table2[instant],Table2[cnt], ,0,1)</f>
        <v>5</v>
      </c>
      <c r="N49" s="1" t="str">
        <f>IF(OR(Table3[[#This Row],[weekday]]=0,Table3[[#This Row],[weekday]]=6),"Weekend","Weekday")</f>
        <v>Weekday</v>
      </c>
    </row>
    <row r="50" spans="1:14" ht="15" thickBot="1" x14ac:dyDescent="0.35">
      <c r="A50" s="42">
        <v>49</v>
      </c>
      <c r="B50" s="43">
        <f>_xlfn.XLOOKUP(Table3[[#This Row],[instant]],DatSet1!A50:A659,DatSet1!B50:B659,_xlfn.XLOOKUP(Table3[[#This Row],[instant]],'Final Data'!A50:A439,'Final Data'!B50:B439, ,0,1),0,1)</f>
        <v>40546</v>
      </c>
      <c r="C50" s="42">
        <f>_xlfn.XLOOKUP(Table3[[#This Row],[instant]],Table1[instant],Table1[hr], ,0,1)</f>
        <v>1</v>
      </c>
      <c r="D50" s="44" t="b">
        <f>_xlfn.XLOOKUP(Table3[[#This Row],[instant]],Table1[instant],Table1[holiday], ,0,1)</f>
        <v>0</v>
      </c>
      <c r="E50" s="44">
        <f>_xlfn.XLOOKUP(Table3[[#This Row],[instant]],Table1[instant],Table1[weekday], ,0,1)</f>
        <v>1</v>
      </c>
      <c r="F50" s="44">
        <f>_xlfn.XLOOKUP(Table3[[#This Row],[instant]],Table1[instant],Table1[weathersit], ,0,1)</f>
        <v>1</v>
      </c>
      <c r="G50" s="44">
        <f>_xlfn.XLOOKUP(Table3[[#This Row],[instant]],Table1[instant],Table1[temp], ,0,1)</f>
        <v>0.2</v>
      </c>
      <c r="H50" s="45">
        <f>_xlfn.XLOOKUP(Table3[[#This Row],[instant]],Table2[instant],Table2[atemp], ,0,1)</f>
        <v>0.19993489148580987</v>
      </c>
      <c r="I50" s="42">
        <f>_xlfn.XLOOKUP(Table3[[#This Row],[instant]],Table2[instant],Table2[hum], ,0,1)</f>
        <v>0.44</v>
      </c>
      <c r="J50" s="42">
        <f>_xlfn.XLOOKUP(Table3[[#This Row],[instant]],Table2[instant],Table2[windspeed], ,0,1)</f>
        <v>0.41789999999999999</v>
      </c>
      <c r="K50" s="42">
        <f>_xlfn.XLOOKUP(Table3[[#This Row],[instant]],Table2[instant],Table2[casual], ,0,1)</f>
        <v>0</v>
      </c>
      <c r="L50" s="42">
        <f>_xlfn.XLOOKUP(Table3[[#This Row],[instant]],Table2[instant],Table2[registered], ,0,1)</f>
        <v>2</v>
      </c>
      <c r="M50" s="46">
        <f>_xlfn.XLOOKUP(Table3[[#This Row],[instant]],Table2[instant],Table2[cnt], ,0,1)</f>
        <v>2</v>
      </c>
      <c r="N50" s="42" t="str">
        <f>IF(OR(Table3[[#This Row],[weekday]]=0,Table3[[#This Row],[weekday]]=6),"Weekend","Weekday")</f>
        <v>Weekday</v>
      </c>
    </row>
    <row r="51" spans="1:14" ht="15" thickBot="1" x14ac:dyDescent="0.35">
      <c r="A51" s="1">
        <v>50</v>
      </c>
      <c r="B51" s="3">
        <f>_xlfn.XLOOKUP(Table3[[#This Row],[instant]],DatSet1!A51:A660,DatSet1!B51:B660,_xlfn.XLOOKUP(Table3[[#This Row],[instant]],'Final Data'!A51:A440,'Final Data'!B51:B440, ,0,1),0,1)</f>
        <v>40546</v>
      </c>
      <c r="C51" s="1">
        <f>_xlfn.XLOOKUP(Table3[[#This Row],[instant]],Table1[instant],Table1[hr], ,0,1)</f>
        <v>4</v>
      </c>
      <c r="D51" s="2" t="b">
        <f>_xlfn.XLOOKUP(Table3[[#This Row],[instant]],Table1[instant],Table1[holiday], ,0,1)</f>
        <v>0</v>
      </c>
      <c r="E51" s="2">
        <f>_xlfn.XLOOKUP(Table3[[#This Row],[instant]],Table1[instant],Table1[weekday], ,0,1)</f>
        <v>1</v>
      </c>
      <c r="F51" s="2">
        <f>_xlfn.XLOOKUP(Table3[[#This Row],[instant]],Table1[instant],Table1[weathersit], ,0,1)</f>
        <v>1</v>
      </c>
      <c r="G51" s="2">
        <f>_xlfn.XLOOKUP(Table3[[#This Row],[instant]],Table1[instant],Table1[temp], ,0,1)</f>
        <v>0.16</v>
      </c>
      <c r="H51" s="24">
        <f>_xlfn.XLOOKUP(Table3[[#This Row],[instant]],Table2[instant],Table2[atemp], ,0,1)</f>
        <v>0.13639999999999999</v>
      </c>
      <c r="I51" s="1">
        <f>_xlfn.XLOOKUP(Table3[[#This Row],[instant]],Table2[instant],Table2[hum], ,0,1)</f>
        <v>0.47</v>
      </c>
      <c r="J51" s="1">
        <f>_xlfn.XLOOKUP(Table3[[#This Row],[instant]],Table2[instant],Table2[windspeed], ,0,1)</f>
        <v>0.3881</v>
      </c>
      <c r="K51" s="1">
        <f>_xlfn.XLOOKUP(Table3[[#This Row],[instant]],Table2[instant],Table2[casual], ,0,1)</f>
        <v>0</v>
      </c>
      <c r="L51" s="1">
        <f>_xlfn.XLOOKUP(Table3[[#This Row],[instant]],Table2[instant],Table2[registered], ,0,1)</f>
        <v>1</v>
      </c>
      <c r="M51" s="6">
        <f>_xlfn.XLOOKUP(Table3[[#This Row],[instant]],Table2[instant],Table2[cnt], ,0,1)</f>
        <v>1</v>
      </c>
      <c r="N51" s="1" t="str">
        <f>IF(OR(Table3[[#This Row],[weekday]]=0,Table3[[#This Row],[weekday]]=6),"Weekend","Weekday")</f>
        <v>Weekday</v>
      </c>
    </row>
    <row r="52" spans="1:14" ht="15" thickBot="1" x14ac:dyDescent="0.35">
      <c r="A52" s="42">
        <v>51</v>
      </c>
      <c r="B52" s="43">
        <f>_xlfn.XLOOKUP(Table3[[#This Row],[instant]],DatSet1!A52:A661,DatSet1!B52:B661,_xlfn.XLOOKUP(Table3[[#This Row],[instant]],'Final Data'!A52:A441,'Final Data'!B52:B441, ,0,1),0,1)</f>
        <v>40546</v>
      </c>
      <c r="C52" s="42">
        <f>_xlfn.XLOOKUP(Table3[[#This Row],[instant]],Table1[instant],Table1[hr], ,0,1)</f>
        <v>5</v>
      </c>
      <c r="D52" s="44" t="b">
        <f>_xlfn.XLOOKUP(Table3[[#This Row],[instant]],Table1[instant],Table1[holiday], ,0,1)</f>
        <v>0</v>
      </c>
      <c r="E52" s="44">
        <f>_xlfn.XLOOKUP(Table3[[#This Row],[instant]],Table1[instant],Table1[weekday], ,0,1)</f>
        <v>1</v>
      </c>
      <c r="F52" s="44">
        <f>_xlfn.XLOOKUP(Table3[[#This Row],[instant]],Table1[instant],Table1[weathersit], ,0,1)</f>
        <v>1</v>
      </c>
      <c r="G52" s="44">
        <f>_xlfn.XLOOKUP(Table3[[#This Row],[instant]],Table1[instant],Table1[temp], ,0,1)</f>
        <v>0.16</v>
      </c>
      <c r="H52" s="45">
        <f>_xlfn.XLOOKUP(Table3[[#This Row],[instant]],Table2[instant],Table2[atemp], ,0,1)</f>
        <v>0.13639999999999999</v>
      </c>
      <c r="I52" s="42">
        <f>_xlfn.XLOOKUP(Table3[[#This Row],[instant]],Table2[instant],Table2[hum], ,0,1)</f>
        <v>0.47</v>
      </c>
      <c r="J52" s="42">
        <f>_xlfn.XLOOKUP(Table3[[#This Row],[instant]],Table2[instant],Table2[windspeed], ,0,1)</f>
        <v>0.28360000000000002</v>
      </c>
      <c r="K52" s="42">
        <f>_xlfn.XLOOKUP(Table3[[#This Row],[instant]],Table2[instant],Table2[casual], ,0,1)</f>
        <v>0</v>
      </c>
      <c r="L52" s="42">
        <f>_xlfn.XLOOKUP(Table3[[#This Row],[instant]],Table2[instant],Table2[registered], ,0,1)</f>
        <v>3</v>
      </c>
      <c r="M52" s="46">
        <f>_xlfn.XLOOKUP(Table3[[#This Row],[instant]],Table2[instant],Table2[cnt], ,0,1)</f>
        <v>3</v>
      </c>
      <c r="N52" s="42" t="str">
        <f>IF(OR(Table3[[#This Row],[weekday]]=0,Table3[[#This Row],[weekday]]=6),"Weekend","Weekday")</f>
        <v>Weekday</v>
      </c>
    </row>
    <row r="53" spans="1:14" ht="15" thickBot="1" x14ac:dyDescent="0.35">
      <c r="A53" s="1">
        <v>52</v>
      </c>
      <c r="B53" s="3">
        <f>_xlfn.XLOOKUP(Table3[[#This Row],[instant]],DatSet1!A53:A662,DatSet1!B53:B662,_xlfn.XLOOKUP(Table3[[#This Row],[instant]],'Final Data'!A53:A442,'Final Data'!B53:B442, ,0,1),0,1)</f>
        <v>40546</v>
      </c>
      <c r="C53" s="1">
        <f>_xlfn.XLOOKUP(Table3[[#This Row],[instant]],Table1[instant],Table1[hr], ,0,1)</f>
        <v>6</v>
      </c>
      <c r="D53" s="2" t="b">
        <f>_xlfn.XLOOKUP(Table3[[#This Row],[instant]],Table1[instant],Table1[holiday], ,0,1)</f>
        <v>0</v>
      </c>
      <c r="E53" s="2">
        <f>_xlfn.XLOOKUP(Table3[[#This Row],[instant]],Table1[instant],Table1[weekday], ,0,1)</f>
        <v>1</v>
      </c>
      <c r="F53" s="2">
        <f>_xlfn.XLOOKUP(Table3[[#This Row],[instant]],Table1[instant],Table1[weathersit], ,0,1)</f>
        <v>1</v>
      </c>
      <c r="G53" s="2">
        <f>_xlfn.XLOOKUP(Table3[[#This Row],[instant]],Table1[instant],Table1[temp], ,0,1)</f>
        <v>0.14000000000000001</v>
      </c>
      <c r="H53" s="24">
        <f>_xlfn.XLOOKUP(Table3[[#This Row],[instant]],Table2[instant],Table2[atemp], ,0,1)</f>
        <v>0.1061</v>
      </c>
      <c r="I53" s="1">
        <f>_xlfn.XLOOKUP(Table3[[#This Row],[instant]],Table2[instant],Table2[hum], ,0,1)</f>
        <v>0.5</v>
      </c>
      <c r="J53" s="1">
        <f>_xlfn.XLOOKUP(Table3[[#This Row],[instant]],Table2[instant],Table2[windspeed], ,0,1)</f>
        <v>0.3881</v>
      </c>
      <c r="K53" s="1">
        <f>_xlfn.XLOOKUP(Table3[[#This Row],[instant]],Table2[instant],Table2[casual], ,0,1)</f>
        <v>0</v>
      </c>
      <c r="L53" s="1">
        <f>_xlfn.XLOOKUP(Table3[[#This Row],[instant]],Table2[instant],Table2[registered], ,0,1)</f>
        <v>30</v>
      </c>
      <c r="M53" s="6">
        <f>_xlfn.XLOOKUP(Table3[[#This Row],[instant]],Table2[instant],Table2[cnt], ,0,1)</f>
        <v>30</v>
      </c>
      <c r="N53" s="1" t="str">
        <f>IF(OR(Table3[[#This Row],[weekday]]=0,Table3[[#This Row],[weekday]]=6),"Weekend","Weekday")</f>
        <v>Weekday</v>
      </c>
    </row>
    <row r="54" spans="1:14" ht="15" thickBot="1" x14ac:dyDescent="0.35">
      <c r="A54" s="42">
        <v>53</v>
      </c>
      <c r="B54" s="43">
        <f>_xlfn.XLOOKUP(Table3[[#This Row],[instant]],DatSet1!A54:A663,DatSet1!B54:B663,_xlfn.XLOOKUP(Table3[[#This Row],[instant]],'Final Data'!A54:A443,'Final Data'!B54:B443, ,0,1),0,1)</f>
        <v>40546</v>
      </c>
      <c r="C54" s="42">
        <f>_xlfn.XLOOKUP(Table3[[#This Row],[instant]],Table1[instant],Table1[hr], ,0,1)</f>
        <v>7</v>
      </c>
      <c r="D54" s="44" t="b">
        <f>_xlfn.XLOOKUP(Table3[[#This Row],[instant]],Table1[instant],Table1[holiday], ,0,1)</f>
        <v>0</v>
      </c>
      <c r="E54" s="44">
        <f>_xlfn.XLOOKUP(Table3[[#This Row],[instant]],Table1[instant],Table1[weekday], ,0,1)</f>
        <v>1</v>
      </c>
      <c r="F54" s="44">
        <f>_xlfn.XLOOKUP(Table3[[#This Row],[instant]],Table1[instant],Table1[weathersit], ,0,1)</f>
        <v>1</v>
      </c>
      <c r="G54" s="44">
        <f>_xlfn.XLOOKUP(Table3[[#This Row],[instant]],Table1[instant],Table1[temp], ,0,1)</f>
        <v>0.14000000000000001</v>
      </c>
      <c r="H54" s="45">
        <f>_xlfn.XLOOKUP(Table3[[#This Row],[instant]],Table2[instant],Table2[atemp], ,0,1)</f>
        <v>0.13639999999999999</v>
      </c>
      <c r="I54" s="42">
        <f>_xlfn.XLOOKUP(Table3[[#This Row],[instant]],Table2[instant],Table2[hum], ,0,1)</f>
        <v>0.5</v>
      </c>
      <c r="J54" s="42">
        <f>_xlfn.XLOOKUP(Table3[[#This Row],[instant]],Table2[instant],Table2[windspeed], ,0,1)</f>
        <v>0.19400000000000001</v>
      </c>
      <c r="K54" s="42">
        <f>_xlfn.XLOOKUP(Table3[[#This Row],[instant]],Table2[instant],Table2[casual], ,0,1)</f>
        <v>1</v>
      </c>
      <c r="L54" s="42">
        <f>_xlfn.XLOOKUP(Table3[[#This Row],[instant]],Table2[instant],Table2[registered], ,0,1)</f>
        <v>63</v>
      </c>
      <c r="M54" s="46">
        <f>_xlfn.XLOOKUP(Table3[[#This Row],[instant]],Table2[instant],Table2[cnt], ,0,1)</f>
        <v>64</v>
      </c>
      <c r="N54" s="42" t="str">
        <f>IF(OR(Table3[[#This Row],[weekday]]=0,Table3[[#This Row],[weekday]]=6),"Weekend","Weekday")</f>
        <v>Weekday</v>
      </c>
    </row>
    <row r="55" spans="1:14" ht="15" thickBot="1" x14ac:dyDescent="0.35">
      <c r="A55" s="1">
        <v>54</v>
      </c>
      <c r="B55" s="3">
        <f>_xlfn.XLOOKUP(Table3[[#This Row],[instant]],DatSet1!A55:A664,DatSet1!B55:B664,_xlfn.XLOOKUP(Table3[[#This Row],[instant]],'Final Data'!A55:A444,'Final Data'!B55:B444, ,0,1),0,1)</f>
        <v>40546</v>
      </c>
      <c r="C55" s="1">
        <f>_xlfn.XLOOKUP(Table3[[#This Row],[instant]],Table1[instant],Table1[hr], ,0,1)</f>
        <v>8</v>
      </c>
      <c r="D55" s="2" t="b">
        <f>_xlfn.XLOOKUP(Table3[[#This Row],[instant]],Table1[instant],Table1[holiday], ,0,1)</f>
        <v>0</v>
      </c>
      <c r="E55" s="2">
        <f>_xlfn.XLOOKUP(Table3[[#This Row],[instant]],Table1[instant],Table1[weekday], ,0,1)</f>
        <v>1</v>
      </c>
      <c r="F55" s="2">
        <f>_xlfn.XLOOKUP(Table3[[#This Row],[instant]],Table1[instant],Table1[weathersit], ,0,1)</f>
        <v>1</v>
      </c>
      <c r="G55" s="2">
        <f>_xlfn.XLOOKUP(Table3[[#This Row],[instant]],Table1[instant],Table1[temp], ,0,1)</f>
        <v>0.14000000000000001</v>
      </c>
      <c r="H55" s="24">
        <f>_xlfn.XLOOKUP(Table3[[#This Row],[instant]],Table2[instant],Table2[atemp], ,0,1)</f>
        <v>0.1212</v>
      </c>
      <c r="I55" s="1">
        <f>_xlfn.XLOOKUP(Table3[[#This Row],[instant]],Table2[instant],Table2[hum], ,0,1)</f>
        <v>0.5</v>
      </c>
      <c r="J55" s="1">
        <f>_xlfn.XLOOKUP(Table3[[#This Row],[instant]],Table2[instant],Table2[windspeed], ,0,1)</f>
        <v>0.28360000000000002</v>
      </c>
      <c r="K55" s="1">
        <f>_xlfn.XLOOKUP(Table3[[#This Row],[instant]],Table2[instant],Table2[casual], ,0,1)</f>
        <v>1</v>
      </c>
      <c r="L55" s="1">
        <f>_xlfn.XLOOKUP(Table3[[#This Row],[instant]],Table2[instant],Table2[registered], ,0,1)</f>
        <v>153</v>
      </c>
      <c r="M55" s="6">
        <f>_xlfn.XLOOKUP(Table3[[#This Row],[instant]],Table2[instant],Table2[cnt], ,0,1)</f>
        <v>154</v>
      </c>
      <c r="N55" s="1" t="str">
        <f>IF(OR(Table3[[#This Row],[weekday]]=0,Table3[[#This Row],[weekday]]=6),"Weekend","Weekday")</f>
        <v>Weekday</v>
      </c>
    </row>
    <row r="56" spans="1:14" ht="15" thickBot="1" x14ac:dyDescent="0.35">
      <c r="A56" s="42">
        <v>55</v>
      </c>
      <c r="B56" s="43">
        <f>_xlfn.XLOOKUP(Table3[[#This Row],[instant]],DatSet1!A56:A665,DatSet1!B56:B665,_xlfn.XLOOKUP(Table3[[#This Row],[instant]],'Final Data'!A56:A445,'Final Data'!B56:B445, ,0,1),0,1)</f>
        <v>40546</v>
      </c>
      <c r="C56" s="42">
        <f>_xlfn.XLOOKUP(Table3[[#This Row],[instant]],Table1[instant],Table1[hr], ,0,1)</f>
        <v>9</v>
      </c>
      <c r="D56" s="44" t="b">
        <f>_xlfn.XLOOKUP(Table3[[#This Row],[instant]],Table1[instant],Table1[holiday], ,0,1)</f>
        <v>0</v>
      </c>
      <c r="E56" s="44">
        <f>_xlfn.XLOOKUP(Table3[[#This Row],[instant]],Table1[instant],Table1[weekday], ,0,1)</f>
        <v>1</v>
      </c>
      <c r="F56" s="44">
        <f>_xlfn.XLOOKUP(Table3[[#This Row],[instant]],Table1[instant],Table1[weathersit], ,0,1)</f>
        <v>1</v>
      </c>
      <c r="G56" s="44">
        <f>_xlfn.XLOOKUP(Table3[[#This Row],[instant]],Table1[instant],Table1[temp], ,0,1)</f>
        <v>0.16</v>
      </c>
      <c r="H56" s="45">
        <f>_xlfn.XLOOKUP(Table3[[#This Row],[instant]],Table2[instant],Table2[atemp], ,0,1)</f>
        <v>0.13639999999999999</v>
      </c>
      <c r="I56" s="42">
        <f>_xlfn.XLOOKUP(Table3[[#This Row],[instant]],Table2[instant],Table2[hum], ,0,1)</f>
        <v>0.43</v>
      </c>
      <c r="J56" s="42">
        <f>_xlfn.XLOOKUP(Table3[[#This Row],[instant]],Table2[instant],Table2[windspeed], ,0,1)</f>
        <v>0.3881</v>
      </c>
      <c r="K56" s="42">
        <f>_xlfn.XLOOKUP(Table3[[#This Row],[instant]],Table2[instant],Table2[casual], ,0,1)</f>
        <v>7</v>
      </c>
      <c r="L56" s="42">
        <f>_xlfn.XLOOKUP(Table3[[#This Row],[instant]],Table2[instant],Table2[registered], ,0,1)</f>
        <v>81</v>
      </c>
      <c r="M56" s="46">
        <f>_xlfn.XLOOKUP(Table3[[#This Row],[instant]],Table2[instant],Table2[cnt], ,0,1)</f>
        <v>88</v>
      </c>
      <c r="N56" s="42" t="str">
        <f>IF(OR(Table3[[#This Row],[weekday]]=0,Table3[[#This Row],[weekday]]=6),"Weekend","Weekday")</f>
        <v>Weekday</v>
      </c>
    </row>
    <row r="57" spans="1:14" ht="15" thickBot="1" x14ac:dyDescent="0.35">
      <c r="A57" s="1">
        <v>56</v>
      </c>
      <c r="B57" s="3">
        <f>_xlfn.XLOOKUP(Table3[[#This Row],[instant]],DatSet1!A57:A666,DatSet1!B57:B666,_xlfn.XLOOKUP(Table3[[#This Row],[instant]],'Final Data'!A57:A446,'Final Data'!B57:B446, ,0,1),0,1)</f>
        <v>40546</v>
      </c>
      <c r="C57" s="1">
        <f>_xlfn.XLOOKUP(Table3[[#This Row],[instant]],Table1[instant],Table1[hr], ,0,1)</f>
        <v>10</v>
      </c>
      <c r="D57" s="2" t="b">
        <f>_xlfn.XLOOKUP(Table3[[#This Row],[instant]],Table1[instant],Table1[holiday], ,0,1)</f>
        <v>0</v>
      </c>
      <c r="E57" s="2">
        <f>_xlfn.XLOOKUP(Table3[[#This Row],[instant]],Table1[instant],Table1[weekday], ,0,1)</f>
        <v>1</v>
      </c>
      <c r="F57" s="2">
        <f>_xlfn.XLOOKUP(Table3[[#This Row],[instant]],Table1[instant],Table1[weathersit], ,0,1)</f>
        <v>1</v>
      </c>
      <c r="G57" s="2">
        <f>_xlfn.XLOOKUP(Table3[[#This Row],[instant]],Table1[instant],Table1[temp], ,0,1)</f>
        <v>0.18</v>
      </c>
      <c r="H57" s="24">
        <f>_xlfn.XLOOKUP(Table3[[#This Row],[instant]],Table2[instant],Table2[atemp], ,0,1)</f>
        <v>0.16669999999999999</v>
      </c>
      <c r="I57" s="1">
        <f>_xlfn.XLOOKUP(Table3[[#This Row],[instant]],Table2[instant],Table2[hum], ,0,1)</f>
        <v>0.43</v>
      </c>
      <c r="J57" s="1">
        <f>_xlfn.XLOOKUP(Table3[[#This Row],[instant]],Table2[instant],Table2[windspeed], ,0,1)</f>
        <v>0.25369999999999998</v>
      </c>
      <c r="K57" s="1">
        <f>_xlfn.XLOOKUP(Table3[[#This Row],[instant]],Table2[instant],Table2[casual], ,0,1)</f>
        <v>11</v>
      </c>
      <c r="L57" s="1">
        <f>_xlfn.XLOOKUP(Table3[[#This Row],[instant]],Table2[instant],Table2[registered], ,0,1)</f>
        <v>33</v>
      </c>
      <c r="M57" s="6">
        <f>_xlfn.XLOOKUP(Table3[[#This Row],[instant]],Table2[instant],Table2[cnt], ,0,1)</f>
        <v>44</v>
      </c>
      <c r="N57" s="1" t="str">
        <f>IF(OR(Table3[[#This Row],[weekday]]=0,Table3[[#This Row],[weekday]]=6),"Weekend","Weekday")</f>
        <v>Weekday</v>
      </c>
    </row>
    <row r="58" spans="1:14" ht="15" thickBot="1" x14ac:dyDescent="0.35">
      <c r="A58" s="42">
        <v>57</v>
      </c>
      <c r="B58" s="43">
        <f>_xlfn.XLOOKUP(Table3[[#This Row],[instant]],DatSet1!A58:A667,DatSet1!B58:B667,_xlfn.XLOOKUP(Table3[[#This Row],[instant]],'Final Data'!A58:A447,'Final Data'!B58:B447, ,0,1),0,1)</f>
        <v>40546</v>
      </c>
      <c r="C58" s="42">
        <f>_xlfn.XLOOKUP(Table3[[#This Row],[instant]],Table1[instant],Table1[hr], ,0,1)</f>
        <v>11</v>
      </c>
      <c r="D58" s="44" t="b">
        <f>_xlfn.XLOOKUP(Table3[[#This Row],[instant]],Table1[instant],Table1[holiday], ,0,1)</f>
        <v>0</v>
      </c>
      <c r="E58" s="44">
        <f>_xlfn.XLOOKUP(Table3[[#This Row],[instant]],Table1[instant],Table1[weekday], ,0,1)</f>
        <v>1</v>
      </c>
      <c r="F58" s="44">
        <f>_xlfn.XLOOKUP(Table3[[#This Row],[instant]],Table1[instant],Table1[weathersit], ,0,1)</f>
        <v>1</v>
      </c>
      <c r="G58" s="44">
        <f>_xlfn.XLOOKUP(Table3[[#This Row],[instant]],Table1[instant],Table1[temp], ,0,1)</f>
        <v>0.2</v>
      </c>
      <c r="H58" s="45">
        <f>_xlfn.XLOOKUP(Table3[[#This Row],[instant]],Table2[instant],Table2[atemp], ,0,1)</f>
        <v>0.18179999999999999</v>
      </c>
      <c r="I58" s="42">
        <f>_xlfn.XLOOKUP(Table3[[#This Row],[instant]],Table2[instant],Table2[hum], ,0,1)</f>
        <v>0.4</v>
      </c>
      <c r="J58" s="42">
        <f>_xlfn.XLOOKUP(Table3[[#This Row],[instant]],Table2[instant],Table2[windspeed], ,0,1)</f>
        <v>0.32840000000000003</v>
      </c>
      <c r="K58" s="42">
        <f>_xlfn.XLOOKUP(Table3[[#This Row],[instant]],Table2[instant],Table2[casual], ,0,1)</f>
        <v>10</v>
      </c>
      <c r="L58" s="42">
        <f>_xlfn.XLOOKUP(Table3[[#This Row],[instant]],Table2[instant],Table2[registered], ,0,1)</f>
        <v>41</v>
      </c>
      <c r="M58" s="46">
        <f>_xlfn.XLOOKUP(Table3[[#This Row],[instant]],Table2[instant],Table2[cnt], ,0,1)</f>
        <v>51</v>
      </c>
      <c r="N58" s="42" t="str">
        <f>IF(OR(Table3[[#This Row],[weekday]]=0,Table3[[#This Row],[weekday]]=6),"Weekend","Weekday")</f>
        <v>Weekday</v>
      </c>
    </row>
    <row r="59" spans="1:14" ht="15" thickBot="1" x14ac:dyDescent="0.35">
      <c r="A59" s="1">
        <v>58</v>
      </c>
      <c r="B59" s="3">
        <f>_xlfn.XLOOKUP(Table3[[#This Row],[instant]],DatSet1!A59:A668,DatSet1!B59:B668,_xlfn.XLOOKUP(Table3[[#This Row],[instant]],'Final Data'!A59:A448,'Final Data'!B59:B448, ,0,1),0,1)</f>
        <v>40546</v>
      </c>
      <c r="C59" s="1">
        <f>_xlfn.XLOOKUP(Table3[[#This Row],[instant]],Table1[instant],Table1[hr], ,0,1)</f>
        <v>12</v>
      </c>
      <c r="D59" s="2" t="b">
        <f>_xlfn.XLOOKUP(Table3[[#This Row],[instant]],Table1[instant],Table1[holiday], ,0,1)</f>
        <v>0</v>
      </c>
      <c r="E59" s="2">
        <f>_xlfn.XLOOKUP(Table3[[#This Row],[instant]],Table1[instant],Table1[weekday], ,0,1)</f>
        <v>1</v>
      </c>
      <c r="F59" s="2">
        <f>_xlfn.XLOOKUP(Table3[[#This Row],[instant]],Table1[instant],Table1[weathersit], ,0,1)</f>
        <v>1</v>
      </c>
      <c r="G59" s="2">
        <f>_xlfn.XLOOKUP(Table3[[#This Row],[instant]],Table1[instant],Table1[temp], ,0,1)</f>
        <v>0.22</v>
      </c>
      <c r="H59" s="24">
        <f>_xlfn.XLOOKUP(Table3[[#This Row],[instant]],Table2[instant],Table2[atemp], ,0,1)</f>
        <v>0.21210000000000001</v>
      </c>
      <c r="I59" s="1">
        <f>_xlfn.XLOOKUP(Table3[[#This Row],[instant]],Table2[instant],Table2[hum], ,0,1)</f>
        <v>0.35</v>
      </c>
      <c r="J59" s="1">
        <f>_xlfn.XLOOKUP(Table3[[#This Row],[instant]],Table2[instant],Table2[windspeed], ,0,1)</f>
        <v>0.29849999999999999</v>
      </c>
      <c r="K59" s="1">
        <f>_xlfn.XLOOKUP(Table3[[#This Row],[instant]],Table2[instant],Table2[casual], ,0,1)</f>
        <v>13</v>
      </c>
      <c r="L59" s="1">
        <f>_xlfn.XLOOKUP(Table3[[#This Row],[instant]],Table2[instant],Table2[registered], ,0,1)</f>
        <v>48</v>
      </c>
      <c r="M59" s="6">
        <f>_xlfn.XLOOKUP(Table3[[#This Row],[instant]],Table2[instant],Table2[cnt], ,0,1)</f>
        <v>61</v>
      </c>
      <c r="N59" s="1" t="str">
        <f>IF(OR(Table3[[#This Row],[weekday]]=0,Table3[[#This Row],[weekday]]=6),"Weekend","Weekday")</f>
        <v>Weekday</v>
      </c>
    </row>
    <row r="60" spans="1:14" ht="15" thickBot="1" x14ac:dyDescent="0.35">
      <c r="A60" s="42">
        <v>59</v>
      </c>
      <c r="B60" s="43">
        <f>_xlfn.XLOOKUP(Table3[[#This Row],[instant]],DatSet1!A60:A669,DatSet1!B60:B669,_xlfn.XLOOKUP(Table3[[#This Row],[instant]],'Final Data'!A60:A449,'Final Data'!B60:B449, ,0,1),0,1)</f>
        <v>40546</v>
      </c>
      <c r="C60" s="42">
        <f>_xlfn.XLOOKUP(Table3[[#This Row],[instant]],Table1[instant],Table1[hr], ,0,1)</f>
        <v>13</v>
      </c>
      <c r="D60" s="44" t="b">
        <f>_xlfn.XLOOKUP(Table3[[#This Row],[instant]],Table1[instant],Table1[holiday], ,0,1)</f>
        <v>0</v>
      </c>
      <c r="E60" s="44">
        <f>_xlfn.XLOOKUP(Table3[[#This Row],[instant]],Table1[instant],Table1[weekday], ,0,1)</f>
        <v>1</v>
      </c>
      <c r="F60" s="44">
        <f>_xlfn.XLOOKUP(Table3[[#This Row],[instant]],Table1[instant],Table1[weathersit], ,0,1)</f>
        <v>1</v>
      </c>
      <c r="G60" s="44">
        <f>_xlfn.XLOOKUP(Table3[[#This Row],[instant]],Table1[instant],Table1[temp], ,0,1)</f>
        <v>0.24</v>
      </c>
      <c r="H60" s="45">
        <f>_xlfn.XLOOKUP(Table3[[#This Row],[instant]],Table2[instant],Table2[atemp], ,0,1)</f>
        <v>0.19993489148580987</v>
      </c>
      <c r="I60" s="42">
        <f>_xlfn.XLOOKUP(Table3[[#This Row],[instant]],Table2[instant],Table2[hum], ,0,1)</f>
        <v>0.35</v>
      </c>
      <c r="J60" s="42">
        <f>_xlfn.XLOOKUP(Table3[[#This Row],[instant]],Table2[instant],Table2[windspeed], ,0,1)</f>
        <v>0.28360000000000002</v>
      </c>
      <c r="K60" s="42">
        <f>_xlfn.XLOOKUP(Table3[[#This Row],[instant]],Table2[instant],Table2[casual], ,0,1)</f>
        <v>8</v>
      </c>
      <c r="L60" s="42">
        <f>_xlfn.XLOOKUP(Table3[[#This Row],[instant]],Table2[instant],Table2[registered], ,0,1)</f>
        <v>53</v>
      </c>
      <c r="M60" s="46">
        <f>_xlfn.XLOOKUP(Table3[[#This Row],[instant]],Table2[instant],Table2[cnt], ,0,1)</f>
        <v>61</v>
      </c>
      <c r="N60" s="42" t="str">
        <f>IF(OR(Table3[[#This Row],[weekday]]=0,Table3[[#This Row],[weekday]]=6),"Weekend","Weekday")</f>
        <v>Weekday</v>
      </c>
    </row>
    <row r="61" spans="1:14" ht="15" thickBot="1" x14ac:dyDescent="0.35">
      <c r="A61" s="1">
        <v>60</v>
      </c>
      <c r="B61" s="3">
        <f>_xlfn.XLOOKUP(Table3[[#This Row],[instant]],DatSet1!A61:A670,DatSet1!B61:B670,_xlfn.XLOOKUP(Table3[[#This Row],[instant]],'Final Data'!A61:A450,'Final Data'!B61:B450, ,0,1),0,1)</f>
        <v>40546</v>
      </c>
      <c r="C61" s="1">
        <f>_xlfn.XLOOKUP(Table3[[#This Row],[instant]],Table1[instant],Table1[hr], ,0,1)</f>
        <v>14</v>
      </c>
      <c r="D61" s="2" t="b">
        <f>_xlfn.XLOOKUP(Table3[[#This Row],[instant]],Table1[instant],Table1[holiday], ,0,1)</f>
        <v>0</v>
      </c>
      <c r="E61" s="2">
        <f>_xlfn.XLOOKUP(Table3[[#This Row],[instant]],Table1[instant],Table1[weekday], ,0,1)</f>
        <v>1</v>
      </c>
      <c r="F61" s="2">
        <f>_xlfn.XLOOKUP(Table3[[#This Row],[instant]],Table1[instant],Table1[weathersit], ,0,1)</f>
        <v>1</v>
      </c>
      <c r="G61" s="2">
        <f>_xlfn.XLOOKUP(Table3[[#This Row],[instant]],Table1[instant],Table1[temp], ,0,1)</f>
        <v>0.26</v>
      </c>
      <c r="H61" s="24">
        <f>_xlfn.XLOOKUP(Table3[[#This Row],[instant]],Table2[instant],Table2[atemp], ,0,1)</f>
        <v>0.2424</v>
      </c>
      <c r="I61" s="1">
        <f>_xlfn.XLOOKUP(Table3[[#This Row],[instant]],Table2[instant],Table2[hum], ,0,1)</f>
        <v>0.3</v>
      </c>
      <c r="J61" s="1">
        <f>_xlfn.XLOOKUP(Table3[[#This Row],[instant]],Table2[instant],Table2[windspeed], ,0,1)</f>
        <v>0.28360000000000002</v>
      </c>
      <c r="K61" s="1">
        <f>_xlfn.XLOOKUP(Table3[[#This Row],[instant]],Table2[instant],Table2[casual], ,0,1)</f>
        <v>11</v>
      </c>
      <c r="L61" s="1">
        <f>_xlfn.XLOOKUP(Table3[[#This Row],[instant]],Table2[instant],Table2[registered], ,0,1)</f>
        <v>66</v>
      </c>
      <c r="M61" s="6">
        <f>_xlfn.XLOOKUP(Table3[[#This Row],[instant]],Table2[instant],Table2[cnt], ,0,1)</f>
        <v>77</v>
      </c>
      <c r="N61" s="1" t="str">
        <f>IF(OR(Table3[[#This Row],[weekday]]=0,Table3[[#This Row],[weekday]]=6),"Weekend","Weekday")</f>
        <v>Weekday</v>
      </c>
    </row>
    <row r="62" spans="1:14" ht="15" thickBot="1" x14ac:dyDescent="0.35">
      <c r="A62" s="42">
        <v>61</v>
      </c>
      <c r="B62" s="43">
        <f>_xlfn.XLOOKUP(Table3[[#This Row],[instant]],DatSet1!A62:A671,DatSet1!B62:B671,_xlfn.XLOOKUP(Table3[[#This Row],[instant]],'Final Data'!A62:A451,'Final Data'!B62:B451, ,0,1),0,1)</f>
        <v>40546</v>
      </c>
      <c r="C62" s="42">
        <f>_xlfn.XLOOKUP(Table3[[#This Row],[instant]],Table1[instant],Table1[hr], ,0,1)</f>
        <v>15</v>
      </c>
      <c r="D62" s="44" t="b">
        <f>_xlfn.XLOOKUP(Table3[[#This Row],[instant]],Table1[instant],Table1[holiday], ,0,1)</f>
        <v>0</v>
      </c>
      <c r="E62" s="44">
        <f>_xlfn.XLOOKUP(Table3[[#This Row],[instant]],Table1[instant],Table1[weekday], ,0,1)</f>
        <v>1</v>
      </c>
      <c r="F62" s="44">
        <f>_xlfn.XLOOKUP(Table3[[#This Row],[instant]],Table1[instant],Table1[weathersit], ,0,1)</f>
        <v>1</v>
      </c>
      <c r="G62" s="44">
        <f>_xlfn.XLOOKUP(Table3[[#This Row],[instant]],Table1[instant],Table1[temp], ,0,1)</f>
        <v>0.26</v>
      </c>
      <c r="H62" s="45">
        <f>_xlfn.XLOOKUP(Table3[[#This Row],[instant]],Table2[instant],Table2[atemp], ,0,1)</f>
        <v>0.2424</v>
      </c>
      <c r="I62" s="42">
        <f>_xlfn.XLOOKUP(Table3[[#This Row],[instant]],Table2[instant],Table2[hum], ,0,1)</f>
        <v>0.3</v>
      </c>
      <c r="J62" s="42">
        <f>_xlfn.XLOOKUP(Table3[[#This Row],[instant]],Table2[instant],Table2[windspeed], ,0,1)</f>
        <v>0.25369999999999998</v>
      </c>
      <c r="K62" s="42">
        <f>_xlfn.XLOOKUP(Table3[[#This Row],[instant]],Table2[instant],Table2[casual], ,0,1)</f>
        <v>14</v>
      </c>
      <c r="L62" s="42">
        <f>_xlfn.XLOOKUP(Table3[[#This Row],[instant]],Table2[instant],Table2[registered], ,0,1)</f>
        <v>58</v>
      </c>
      <c r="M62" s="46">
        <f>_xlfn.XLOOKUP(Table3[[#This Row],[instant]],Table2[instant],Table2[cnt], ,0,1)</f>
        <v>72</v>
      </c>
      <c r="N62" s="42" t="str">
        <f>IF(OR(Table3[[#This Row],[weekday]]=0,Table3[[#This Row],[weekday]]=6),"Weekend","Weekday")</f>
        <v>Weekday</v>
      </c>
    </row>
    <row r="63" spans="1:14" ht="15" thickBot="1" x14ac:dyDescent="0.35">
      <c r="A63" s="1">
        <v>62</v>
      </c>
      <c r="B63" s="3">
        <f>_xlfn.XLOOKUP(Table3[[#This Row],[instant]],DatSet1!A63:A672,DatSet1!B63:B672,_xlfn.XLOOKUP(Table3[[#This Row],[instant]],'Final Data'!A63:A452,'Final Data'!B63:B452, ,0,1),0,1)</f>
        <v>40546</v>
      </c>
      <c r="C63" s="1">
        <f>_xlfn.XLOOKUP(Table3[[#This Row],[instant]],Table1[instant],Table1[hr], ,0,1)</f>
        <v>16</v>
      </c>
      <c r="D63" s="2" t="b">
        <f>_xlfn.XLOOKUP(Table3[[#This Row],[instant]],Table1[instant],Table1[holiday], ,0,1)</f>
        <v>0</v>
      </c>
      <c r="E63" s="2">
        <f>_xlfn.XLOOKUP(Table3[[#This Row],[instant]],Table1[instant],Table1[weekday], ,0,1)</f>
        <v>1</v>
      </c>
      <c r="F63" s="2">
        <f>_xlfn.XLOOKUP(Table3[[#This Row],[instant]],Table1[instant],Table1[weathersit], ,0,1)</f>
        <v>1</v>
      </c>
      <c r="G63" s="2">
        <f>_xlfn.XLOOKUP(Table3[[#This Row],[instant]],Table1[instant],Table1[temp], ,0,1)</f>
        <v>0.26</v>
      </c>
      <c r="H63" s="24">
        <f>_xlfn.XLOOKUP(Table3[[#This Row],[instant]],Table2[instant],Table2[atemp], ,0,1)</f>
        <v>0.2424</v>
      </c>
      <c r="I63" s="1">
        <f>_xlfn.XLOOKUP(Table3[[#This Row],[instant]],Table2[instant],Table2[hum], ,0,1)</f>
        <v>0.3</v>
      </c>
      <c r="J63" s="1">
        <f>_xlfn.XLOOKUP(Table3[[#This Row],[instant]],Table2[instant],Table2[windspeed], ,0,1)</f>
        <v>0.25369999999999998</v>
      </c>
      <c r="K63" s="1">
        <f>_xlfn.XLOOKUP(Table3[[#This Row],[instant]],Table2[instant],Table2[casual], ,0,1)</f>
        <v>9</v>
      </c>
      <c r="L63" s="1">
        <f>_xlfn.XLOOKUP(Table3[[#This Row],[instant]],Table2[instant],Table2[registered], ,0,1)</f>
        <v>67</v>
      </c>
      <c r="M63" s="6">
        <f>_xlfn.XLOOKUP(Table3[[#This Row],[instant]],Table2[instant],Table2[cnt], ,0,1)</f>
        <v>76</v>
      </c>
      <c r="N63" s="1" t="str">
        <f>IF(OR(Table3[[#This Row],[weekday]]=0,Table3[[#This Row],[weekday]]=6),"Weekend","Weekday")</f>
        <v>Weekday</v>
      </c>
    </row>
    <row r="64" spans="1:14" ht="15" thickBot="1" x14ac:dyDescent="0.35">
      <c r="A64" s="42">
        <v>63</v>
      </c>
      <c r="B64" s="43">
        <f>_xlfn.XLOOKUP(Table3[[#This Row],[instant]],DatSet1!A64:A673,DatSet1!B64:B673,_xlfn.XLOOKUP(Table3[[#This Row],[instant]],'Final Data'!A64:A453,'Final Data'!B64:B453, ,0,1),0,1)</f>
        <v>40546</v>
      </c>
      <c r="C64" s="42">
        <f>_xlfn.XLOOKUP(Table3[[#This Row],[instant]],Table1[instant],Table1[hr], ,0,1)</f>
        <v>17</v>
      </c>
      <c r="D64" s="44" t="b">
        <f>_xlfn.XLOOKUP(Table3[[#This Row],[instant]],Table1[instant],Table1[holiday], ,0,1)</f>
        <v>0</v>
      </c>
      <c r="E64" s="44">
        <f>_xlfn.XLOOKUP(Table3[[#This Row],[instant]],Table1[instant],Table1[weekday], ,0,1)</f>
        <v>1</v>
      </c>
      <c r="F64" s="44">
        <f>_xlfn.XLOOKUP(Table3[[#This Row],[instant]],Table1[instant],Table1[weathersit], ,0,1)</f>
        <v>1</v>
      </c>
      <c r="G64" s="44">
        <f>_xlfn.XLOOKUP(Table3[[#This Row],[instant]],Table1[instant],Table1[temp], ,0,1)</f>
        <v>0.24</v>
      </c>
      <c r="H64" s="45">
        <f>_xlfn.XLOOKUP(Table3[[#This Row],[instant]],Table2[instant],Table2[atemp], ,0,1)</f>
        <v>0.2273</v>
      </c>
      <c r="I64" s="42">
        <f>_xlfn.XLOOKUP(Table3[[#This Row],[instant]],Table2[instant],Table2[hum], ,0,1)</f>
        <v>0.3</v>
      </c>
      <c r="J64" s="42">
        <f>_xlfn.XLOOKUP(Table3[[#This Row],[instant]],Table2[instant],Table2[windspeed], ,0,1)</f>
        <v>0.22389999999999999</v>
      </c>
      <c r="K64" s="42">
        <f>_xlfn.XLOOKUP(Table3[[#This Row],[instant]],Table2[instant],Table2[casual], ,0,1)</f>
        <v>11</v>
      </c>
      <c r="L64" s="42">
        <f>_xlfn.XLOOKUP(Table3[[#This Row],[instant]],Table2[instant],Table2[registered], ,0,1)</f>
        <v>146</v>
      </c>
      <c r="M64" s="46">
        <f>_xlfn.XLOOKUP(Table3[[#This Row],[instant]],Table2[instant],Table2[cnt], ,0,1)</f>
        <v>157</v>
      </c>
      <c r="N64" s="42" t="str">
        <f>IF(OR(Table3[[#This Row],[weekday]]=0,Table3[[#This Row],[weekday]]=6),"Weekend","Weekday")</f>
        <v>Weekday</v>
      </c>
    </row>
    <row r="65" spans="1:14" ht="15" thickBot="1" x14ac:dyDescent="0.35">
      <c r="A65" s="1">
        <v>64</v>
      </c>
      <c r="B65" s="3">
        <f>_xlfn.XLOOKUP(Table3[[#This Row],[instant]],DatSet1!A65:A674,DatSet1!B65:B674,_xlfn.XLOOKUP(Table3[[#This Row],[instant]],'Final Data'!A65:A454,'Final Data'!B65:B454, ,0,1),0,1)</f>
        <v>40546</v>
      </c>
      <c r="C65" s="1">
        <f>_xlfn.XLOOKUP(Table3[[#This Row],[instant]],Table1[instant],Table1[hr], ,0,1)</f>
        <v>18</v>
      </c>
      <c r="D65" s="2" t="b">
        <f>_xlfn.XLOOKUP(Table3[[#This Row],[instant]],Table1[instant],Table1[holiday], ,0,1)</f>
        <v>0</v>
      </c>
      <c r="E65" s="2">
        <f>_xlfn.XLOOKUP(Table3[[#This Row],[instant]],Table1[instant],Table1[weekday], ,0,1)</f>
        <v>1</v>
      </c>
      <c r="F65" s="2">
        <f>_xlfn.XLOOKUP(Table3[[#This Row],[instant]],Table1[instant],Table1[weathersit], ,0,1)</f>
        <v>1</v>
      </c>
      <c r="G65" s="2">
        <f>_xlfn.XLOOKUP(Table3[[#This Row],[instant]],Table1[instant],Table1[temp], ,0,1)</f>
        <v>0.24</v>
      </c>
      <c r="H65" s="24">
        <f>_xlfn.XLOOKUP(Table3[[#This Row],[instant]],Table2[instant],Table2[atemp], ,0,1)</f>
        <v>0.2576</v>
      </c>
      <c r="I65" s="1">
        <f>_xlfn.XLOOKUP(Table3[[#This Row],[instant]],Table2[instant],Table2[hum], ,0,1)</f>
        <v>0.32</v>
      </c>
      <c r="J65" s="1">
        <f>_xlfn.XLOOKUP(Table3[[#This Row],[instant]],Table2[instant],Table2[windspeed], ,0,1)</f>
        <v>0.1045</v>
      </c>
      <c r="K65" s="1">
        <f>_xlfn.XLOOKUP(Table3[[#This Row],[instant]],Table2[instant],Table2[casual], ,0,1)</f>
        <v>9</v>
      </c>
      <c r="L65" s="1">
        <f>_xlfn.XLOOKUP(Table3[[#This Row],[instant]],Table2[instant],Table2[registered], ,0,1)</f>
        <v>148</v>
      </c>
      <c r="M65" s="6">
        <f>_xlfn.XLOOKUP(Table3[[#This Row],[instant]],Table2[instant],Table2[cnt], ,0,1)</f>
        <v>157</v>
      </c>
      <c r="N65" s="1" t="str">
        <f>IF(OR(Table3[[#This Row],[weekday]]=0,Table3[[#This Row],[weekday]]=6),"Weekend","Weekday")</f>
        <v>Weekday</v>
      </c>
    </row>
    <row r="66" spans="1:14" ht="15" thickBot="1" x14ac:dyDescent="0.35">
      <c r="A66" s="42">
        <v>65</v>
      </c>
      <c r="B66" s="43">
        <f>_xlfn.XLOOKUP(Table3[[#This Row],[instant]],DatSet1!A66:A675,DatSet1!B66:B675,_xlfn.XLOOKUP(Table3[[#This Row],[instant]],'Final Data'!A66:A455,'Final Data'!B66:B455, ,0,1),0,1)</f>
        <v>40546</v>
      </c>
      <c r="C66" s="42">
        <f>_xlfn.XLOOKUP(Table3[[#This Row],[instant]],Table1[instant],Table1[hr], ,0,1)</f>
        <v>19</v>
      </c>
      <c r="D66" s="44" t="b">
        <f>_xlfn.XLOOKUP(Table3[[#This Row],[instant]],Table1[instant],Table1[holiday], ,0,1)</f>
        <v>0</v>
      </c>
      <c r="E66" s="44">
        <f>_xlfn.XLOOKUP(Table3[[#This Row],[instant]],Table1[instant],Table1[weekday], ,0,1)</f>
        <v>1</v>
      </c>
      <c r="F66" s="44">
        <f>_xlfn.XLOOKUP(Table3[[#This Row],[instant]],Table1[instant],Table1[weathersit], ,0,1)</f>
        <v>1</v>
      </c>
      <c r="G66" s="44">
        <f>_xlfn.XLOOKUP(Table3[[#This Row],[instant]],Table1[instant],Table1[temp], ,0,1)</f>
        <v>0.2</v>
      </c>
      <c r="H66" s="45">
        <f>_xlfn.XLOOKUP(Table3[[#This Row],[instant]],Table2[instant],Table2[atemp], ,0,1)</f>
        <v>0.2576</v>
      </c>
      <c r="I66" s="42">
        <f>_xlfn.XLOOKUP(Table3[[#This Row],[instant]],Table2[instant],Table2[hum], ,0,1)</f>
        <v>0.47</v>
      </c>
      <c r="J66" s="42">
        <f>_xlfn.XLOOKUP(Table3[[#This Row],[instant]],Table2[instant],Table2[windspeed], ,0,1)</f>
        <v>0</v>
      </c>
      <c r="K66" s="42">
        <f>_xlfn.XLOOKUP(Table3[[#This Row],[instant]],Table2[instant],Table2[casual], ,0,1)</f>
        <v>8</v>
      </c>
      <c r="L66" s="42">
        <f>_xlfn.XLOOKUP(Table3[[#This Row],[instant]],Table2[instant],Table2[registered], ,0,1)</f>
        <v>102</v>
      </c>
      <c r="M66" s="46">
        <f>_xlfn.XLOOKUP(Table3[[#This Row],[instant]],Table2[instant],Table2[cnt], ,0,1)</f>
        <v>110</v>
      </c>
      <c r="N66" s="42" t="str">
        <f>IF(OR(Table3[[#This Row],[weekday]]=0,Table3[[#This Row],[weekday]]=6),"Weekend","Weekday")</f>
        <v>Weekday</v>
      </c>
    </row>
    <row r="67" spans="1:14" ht="15" thickBot="1" x14ac:dyDescent="0.35">
      <c r="A67" s="1">
        <v>66</v>
      </c>
      <c r="B67" s="3">
        <f>_xlfn.XLOOKUP(Table3[[#This Row],[instant]],DatSet1!A67:A676,DatSet1!B67:B676,_xlfn.XLOOKUP(Table3[[#This Row],[instant]],'Final Data'!A67:A456,'Final Data'!B67:B456, ,0,1),0,1)</f>
        <v>40546</v>
      </c>
      <c r="C67" s="1">
        <f>_xlfn.XLOOKUP(Table3[[#This Row],[instant]],Table1[instant],Table1[hr], ,0,1)</f>
        <v>20</v>
      </c>
      <c r="D67" s="2" t="b">
        <f>_xlfn.XLOOKUP(Table3[[#This Row],[instant]],Table1[instant],Table1[holiday], ,0,1)</f>
        <v>0</v>
      </c>
      <c r="E67" s="2">
        <f>_xlfn.XLOOKUP(Table3[[#This Row],[instant]],Table1[instant],Table1[weekday], ,0,1)</f>
        <v>1</v>
      </c>
      <c r="F67" s="2">
        <f>_xlfn.XLOOKUP(Table3[[#This Row],[instant]],Table1[instant],Table1[weathersit], ,0,1)</f>
        <v>1</v>
      </c>
      <c r="G67" s="2">
        <f>_xlfn.XLOOKUP(Table3[[#This Row],[instant]],Table1[instant],Table1[temp], ,0,1)</f>
        <v>0.2</v>
      </c>
      <c r="H67" s="24">
        <f>_xlfn.XLOOKUP(Table3[[#This Row],[instant]],Table2[instant],Table2[atemp], ,0,1)</f>
        <v>0.19993489148580984</v>
      </c>
      <c r="I67" s="1">
        <f>_xlfn.XLOOKUP(Table3[[#This Row],[instant]],Table2[instant],Table2[hum], ,0,1)</f>
        <v>0.47</v>
      </c>
      <c r="J67" s="1">
        <f>_xlfn.XLOOKUP(Table3[[#This Row],[instant]],Table2[instant],Table2[windspeed], ,0,1)</f>
        <v>0.1045</v>
      </c>
      <c r="K67" s="1">
        <f>_xlfn.XLOOKUP(Table3[[#This Row],[instant]],Table2[instant],Table2[casual], ,0,1)</f>
        <v>3</v>
      </c>
      <c r="L67" s="1">
        <f>_xlfn.XLOOKUP(Table3[[#This Row],[instant]],Table2[instant],Table2[registered], ,0,1)</f>
        <v>49</v>
      </c>
      <c r="M67" s="6">
        <f>_xlfn.XLOOKUP(Table3[[#This Row],[instant]],Table2[instant],Table2[cnt], ,0,1)</f>
        <v>52</v>
      </c>
      <c r="N67" s="1" t="str">
        <f>IF(OR(Table3[[#This Row],[weekday]]=0,Table3[[#This Row],[weekday]]=6),"Weekend","Weekday")</f>
        <v>Weekday</v>
      </c>
    </row>
    <row r="68" spans="1:14" ht="15" thickBot="1" x14ac:dyDescent="0.35">
      <c r="A68" s="42">
        <v>67</v>
      </c>
      <c r="B68" s="43">
        <f>_xlfn.XLOOKUP(Table3[[#This Row],[instant]],DatSet1!A68:A677,DatSet1!B68:B677,_xlfn.XLOOKUP(Table3[[#This Row],[instant]],'Final Data'!A68:A457,'Final Data'!B68:B457, ,0,1),0,1)</f>
        <v>40546</v>
      </c>
      <c r="C68" s="42">
        <f>_xlfn.XLOOKUP(Table3[[#This Row],[instant]],Table1[instant],Table1[hr], ,0,1)</f>
        <v>21</v>
      </c>
      <c r="D68" s="44" t="b">
        <f>_xlfn.XLOOKUP(Table3[[#This Row],[instant]],Table1[instant],Table1[holiday], ,0,1)</f>
        <v>0</v>
      </c>
      <c r="E68" s="44">
        <f>_xlfn.XLOOKUP(Table3[[#This Row],[instant]],Table1[instant],Table1[weekday], ,0,1)</f>
        <v>1</v>
      </c>
      <c r="F68" s="44">
        <f>_xlfn.XLOOKUP(Table3[[#This Row],[instant]],Table1[instant],Table1[weathersit], ,0,1)</f>
        <v>1</v>
      </c>
      <c r="G68" s="44">
        <f>_xlfn.XLOOKUP(Table3[[#This Row],[instant]],Table1[instant],Table1[temp], ,0,1)</f>
        <v>0.18</v>
      </c>
      <c r="H68" s="45">
        <f>_xlfn.XLOOKUP(Table3[[#This Row],[instant]],Table2[instant],Table2[atemp], ,0,1)</f>
        <v>0.19700000000000001</v>
      </c>
      <c r="I68" s="42">
        <f>_xlfn.XLOOKUP(Table3[[#This Row],[instant]],Table2[instant],Table2[hum], ,0,1)</f>
        <v>0.64</v>
      </c>
      <c r="J68" s="42">
        <f>_xlfn.XLOOKUP(Table3[[#This Row],[instant]],Table2[instant],Table2[windspeed], ,0,1)</f>
        <v>0.1343</v>
      </c>
      <c r="K68" s="42">
        <f>_xlfn.XLOOKUP(Table3[[#This Row],[instant]],Table2[instant],Table2[casual], ,0,1)</f>
        <v>3</v>
      </c>
      <c r="L68" s="42">
        <f>_xlfn.XLOOKUP(Table3[[#This Row],[instant]],Table2[instant],Table2[registered], ,0,1)</f>
        <v>49</v>
      </c>
      <c r="M68" s="46">
        <f>_xlfn.XLOOKUP(Table3[[#This Row],[instant]],Table2[instant],Table2[cnt], ,0,1)</f>
        <v>52</v>
      </c>
      <c r="N68" s="42" t="str">
        <f>IF(OR(Table3[[#This Row],[weekday]]=0,Table3[[#This Row],[weekday]]=6),"Weekend","Weekday")</f>
        <v>Weekday</v>
      </c>
    </row>
    <row r="69" spans="1:14" ht="15" thickBot="1" x14ac:dyDescent="0.35">
      <c r="A69" s="1">
        <v>68</v>
      </c>
      <c r="B69" s="3">
        <f>_xlfn.XLOOKUP(Table3[[#This Row],[instant]],DatSet1!A69:A678,DatSet1!B69:B678,_xlfn.XLOOKUP(Table3[[#This Row],[instant]],'Final Data'!A69:A458,'Final Data'!B69:B458, ,0,1),0,1)</f>
        <v>40546</v>
      </c>
      <c r="C69" s="1">
        <f>_xlfn.XLOOKUP(Table3[[#This Row],[instant]],Table1[instant],Table1[hr], ,0,1)</f>
        <v>22</v>
      </c>
      <c r="D69" s="2" t="b">
        <f>_xlfn.XLOOKUP(Table3[[#This Row],[instant]],Table1[instant],Table1[holiday], ,0,1)</f>
        <v>0</v>
      </c>
      <c r="E69" s="2">
        <f>_xlfn.XLOOKUP(Table3[[#This Row],[instant]],Table1[instant],Table1[weekday], ,0,1)</f>
        <v>1</v>
      </c>
      <c r="F69" s="2">
        <f>_xlfn.XLOOKUP(Table3[[#This Row],[instant]],Table1[instant],Table1[weathersit], ,0,1)</f>
        <v>1</v>
      </c>
      <c r="G69" s="2">
        <f>_xlfn.XLOOKUP(Table3[[#This Row],[instant]],Table1[instant],Table1[temp], ,0,1)</f>
        <v>0.14000000000000001</v>
      </c>
      <c r="H69" s="24">
        <f>_xlfn.XLOOKUP(Table3[[#This Row],[instant]],Table2[instant],Table2[atemp], ,0,1)</f>
        <v>0.1515</v>
      </c>
      <c r="I69" s="1">
        <f>_xlfn.XLOOKUP(Table3[[#This Row],[instant]],Table2[instant],Table2[hum], ,0,1)</f>
        <v>0.69</v>
      </c>
      <c r="J69" s="1">
        <f>_xlfn.XLOOKUP(Table3[[#This Row],[instant]],Table2[instant],Table2[windspeed], ,0,1)</f>
        <v>0.1343</v>
      </c>
      <c r="K69" s="1">
        <f>_xlfn.XLOOKUP(Table3[[#This Row],[instant]],Table2[instant],Table2[casual], ,0,1)</f>
        <v>0</v>
      </c>
      <c r="L69" s="1">
        <f>_xlfn.XLOOKUP(Table3[[#This Row],[instant]],Table2[instant],Table2[registered], ,0,1)</f>
        <v>20</v>
      </c>
      <c r="M69" s="6">
        <f>_xlfn.XLOOKUP(Table3[[#This Row],[instant]],Table2[instant],Table2[cnt], ,0,1)</f>
        <v>20</v>
      </c>
      <c r="N69" s="1" t="str">
        <f>IF(OR(Table3[[#This Row],[weekday]]=0,Table3[[#This Row],[weekday]]=6),"Weekend","Weekday")</f>
        <v>Weekday</v>
      </c>
    </row>
    <row r="70" spans="1:14" ht="15" thickBot="1" x14ac:dyDescent="0.35">
      <c r="A70" s="42">
        <v>69</v>
      </c>
      <c r="B70" s="43">
        <f>_xlfn.XLOOKUP(Table3[[#This Row],[instant]],DatSet1!A70:A679,DatSet1!B70:B679,_xlfn.XLOOKUP(Table3[[#This Row],[instant]],'Final Data'!A70:A459,'Final Data'!B70:B459, ,0,1),0,1)</f>
        <v>40546</v>
      </c>
      <c r="C70" s="42">
        <f>_xlfn.XLOOKUP(Table3[[#This Row],[instant]],Table1[instant],Table1[hr], ,0,1)</f>
        <v>23</v>
      </c>
      <c r="D70" s="44" t="b">
        <f>_xlfn.XLOOKUP(Table3[[#This Row],[instant]],Table1[instant],Table1[holiday], ,0,1)</f>
        <v>0</v>
      </c>
      <c r="E70" s="44">
        <f>_xlfn.XLOOKUP(Table3[[#This Row],[instant]],Table1[instant],Table1[weekday], ,0,1)</f>
        <v>1</v>
      </c>
      <c r="F70" s="44">
        <f>_xlfn.XLOOKUP(Table3[[#This Row],[instant]],Table1[instant],Table1[weathersit], ,0,1)</f>
        <v>1</v>
      </c>
      <c r="G70" s="44">
        <f>_xlfn.XLOOKUP(Table3[[#This Row],[instant]],Table1[instant],Table1[temp], ,0,1)</f>
        <v>0.18</v>
      </c>
      <c r="H70" s="45">
        <f>_xlfn.XLOOKUP(Table3[[#This Row],[instant]],Table2[instant],Table2[atemp], ,0,1)</f>
        <v>0.21210000000000001</v>
      </c>
      <c r="I70" s="42">
        <f>_xlfn.XLOOKUP(Table3[[#This Row],[instant]],Table2[instant],Table2[hum], ,0,1)</f>
        <v>0.55000000000000004</v>
      </c>
      <c r="J70" s="42">
        <f>_xlfn.XLOOKUP(Table3[[#This Row],[instant]],Table2[instant],Table2[windspeed], ,0,1)</f>
        <v>0.1045</v>
      </c>
      <c r="K70" s="42">
        <f>_xlfn.XLOOKUP(Table3[[#This Row],[instant]],Table2[instant],Table2[casual], ,0,1)</f>
        <v>1</v>
      </c>
      <c r="L70" s="42">
        <f>_xlfn.XLOOKUP(Table3[[#This Row],[instant]],Table2[instant],Table2[registered], ,0,1)</f>
        <v>11</v>
      </c>
      <c r="M70" s="46">
        <f>_xlfn.XLOOKUP(Table3[[#This Row],[instant]],Table2[instant],Table2[cnt], ,0,1)</f>
        <v>12</v>
      </c>
      <c r="N70" s="42" t="str">
        <f>IF(OR(Table3[[#This Row],[weekday]]=0,Table3[[#This Row],[weekday]]=6),"Weekend","Weekday")</f>
        <v>Weekday</v>
      </c>
    </row>
    <row r="71" spans="1:14" ht="15" thickBot="1" x14ac:dyDescent="0.35">
      <c r="A71" s="1">
        <v>70</v>
      </c>
      <c r="B71" s="3">
        <f>_xlfn.XLOOKUP(Table3[[#This Row],[instant]],DatSet1!A71:A680,DatSet1!B71:B680,_xlfn.XLOOKUP(Table3[[#This Row],[instant]],'Final Data'!A71:A460,'Final Data'!B71:B460, ,0,1),0,1)</f>
        <v>40547</v>
      </c>
      <c r="C71" s="1">
        <f>_xlfn.XLOOKUP(Table3[[#This Row],[instant]],Table1[instant],Table1[hr], ,0,1)</f>
        <v>0</v>
      </c>
      <c r="D71" s="2" t="b">
        <f>_xlfn.XLOOKUP(Table3[[#This Row],[instant]],Table1[instant],Table1[holiday], ,0,1)</f>
        <v>0</v>
      </c>
      <c r="E71" s="2">
        <f>_xlfn.XLOOKUP(Table3[[#This Row],[instant]],Table1[instant],Table1[weekday], ,0,1)</f>
        <v>2</v>
      </c>
      <c r="F71" s="2">
        <f>_xlfn.XLOOKUP(Table3[[#This Row],[instant]],Table1[instant],Table1[weathersit], ,0,1)</f>
        <v>1</v>
      </c>
      <c r="G71" s="2">
        <f>_xlfn.XLOOKUP(Table3[[#This Row],[instant]],Table1[instant],Table1[temp], ,0,1)</f>
        <v>0.16</v>
      </c>
      <c r="H71" s="24">
        <f>_xlfn.XLOOKUP(Table3[[#This Row],[instant]],Table2[instant],Table2[atemp], ,0,1)</f>
        <v>0.19993489148580984</v>
      </c>
      <c r="I71" s="1">
        <f>_xlfn.XLOOKUP(Table3[[#This Row],[instant]],Table2[instant],Table2[hum], ,0,1)</f>
        <v>0.55000000000000004</v>
      </c>
      <c r="J71" s="1">
        <f>_xlfn.XLOOKUP(Table3[[#This Row],[instant]],Table2[instant],Table2[windspeed], ,0,1)</f>
        <v>0.1045</v>
      </c>
      <c r="K71" s="1">
        <f>_xlfn.XLOOKUP(Table3[[#This Row],[instant]],Table2[instant],Table2[casual], ,0,1)</f>
        <v>0</v>
      </c>
      <c r="L71" s="1">
        <f>_xlfn.XLOOKUP(Table3[[#This Row],[instant]],Table2[instant],Table2[registered], ,0,1)</f>
        <v>5</v>
      </c>
      <c r="M71" s="6">
        <f>_xlfn.XLOOKUP(Table3[[#This Row],[instant]],Table2[instant],Table2[cnt], ,0,1)</f>
        <v>5</v>
      </c>
      <c r="N71" s="1" t="str">
        <f>IF(OR(Table3[[#This Row],[weekday]]=0,Table3[[#This Row],[weekday]]=6),"Weekend","Weekday")</f>
        <v>Weekday</v>
      </c>
    </row>
    <row r="72" spans="1:14" ht="15" thickBot="1" x14ac:dyDescent="0.35">
      <c r="A72" s="42">
        <v>71</v>
      </c>
      <c r="B72" s="43">
        <f>_xlfn.XLOOKUP(Table3[[#This Row],[instant]],DatSet1!A72:A681,DatSet1!B72:B681,_xlfn.XLOOKUP(Table3[[#This Row],[instant]],'Final Data'!A72:A461,'Final Data'!B72:B461, ,0,1),0,1)</f>
        <v>40547</v>
      </c>
      <c r="C72" s="42">
        <f>_xlfn.XLOOKUP(Table3[[#This Row],[instant]],Table1[instant],Table1[hr], ,0,1)</f>
        <v>1</v>
      </c>
      <c r="D72" s="44" t="b">
        <f>_xlfn.XLOOKUP(Table3[[#This Row],[instant]],Table1[instant],Table1[holiday], ,0,1)</f>
        <v>0</v>
      </c>
      <c r="E72" s="44">
        <f>_xlfn.XLOOKUP(Table3[[#This Row],[instant]],Table1[instant],Table1[weekday], ,0,1)</f>
        <v>2</v>
      </c>
      <c r="F72" s="44">
        <f>_xlfn.XLOOKUP(Table3[[#This Row],[instant]],Table1[instant],Table1[weathersit], ,0,1)</f>
        <v>1</v>
      </c>
      <c r="G72" s="44">
        <f>_xlfn.XLOOKUP(Table3[[#This Row],[instant]],Table1[instant],Table1[temp], ,0,1)</f>
        <v>0.16</v>
      </c>
      <c r="H72" s="45">
        <f>_xlfn.XLOOKUP(Table3[[#This Row],[instant]],Table2[instant],Table2[atemp], ,0,1)</f>
        <v>0.18179999999999999</v>
      </c>
      <c r="I72" s="42">
        <f>_xlfn.XLOOKUP(Table3[[#This Row],[instant]],Table2[instant],Table2[hum], ,0,1)</f>
        <v>0.59</v>
      </c>
      <c r="J72" s="42">
        <f>_xlfn.XLOOKUP(Table3[[#This Row],[instant]],Table2[instant],Table2[windspeed], ,0,1)</f>
        <v>0.1045</v>
      </c>
      <c r="K72" s="42">
        <f>_xlfn.XLOOKUP(Table3[[#This Row],[instant]],Table2[instant],Table2[casual], ,0,1)</f>
        <v>0</v>
      </c>
      <c r="L72" s="42">
        <f>_xlfn.XLOOKUP(Table3[[#This Row],[instant]],Table2[instant],Table2[registered], ,0,1)</f>
        <v>2</v>
      </c>
      <c r="M72" s="46">
        <f>_xlfn.XLOOKUP(Table3[[#This Row],[instant]],Table2[instant],Table2[cnt], ,0,1)</f>
        <v>2</v>
      </c>
      <c r="N72" s="42" t="str">
        <f>IF(OR(Table3[[#This Row],[weekday]]=0,Table3[[#This Row],[weekday]]=6),"Weekend","Weekday")</f>
        <v>Weekday</v>
      </c>
    </row>
    <row r="73" spans="1:14" ht="15" thickBot="1" x14ac:dyDescent="0.35">
      <c r="A73" s="1">
        <v>72</v>
      </c>
      <c r="B73" s="3">
        <f>_xlfn.XLOOKUP(Table3[[#This Row],[instant]],DatSet1!A73:A682,DatSet1!B73:B682,_xlfn.XLOOKUP(Table3[[#This Row],[instant]],'Final Data'!A73:A462,'Final Data'!B73:B462, ,0,1),0,1)</f>
        <v>40547</v>
      </c>
      <c r="C73" s="1">
        <f>_xlfn.XLOOKUP(Table3[[#This Row],[instant]],Table1[instant],Table1[hr], ,0,1)</f>
        <v>2</v>
      </c>
      <c r="D73" s="2" t="b">
        <f>_xlfn.XLOOKUP(Table3[[#This Row],[instant]],Table1[instant],Table1[holiday], ,0,1)</f>
        <v>0</v>
      </c>
      <c r="E73" s="2">
        <f>_xlfn.XLOOKUP(Table3[[#This Row],[instant]],Table1[instant],Table1[weekday], ,0,1)</f>
        <v>2</v>
      </c>
      <c r="F73" s="2">
        <f>_xlfn.XLOOKUP(Table3[[#This Row],[instant]],Table1[instant],Table1[weathersit], ,0,1)</f>
        <v>1</v>
      </c>
      <c r="G73" s="2">
        <f>_xlfn.XLOOKUP(Table3[[#This Row],[instant]],Table1[instant],Table1[temp], ,0,1)</f>
        <v>0.14000000000000001</v>
      </c>
      <c r="H73" s="24">
        <f>_xlfn.XLOOKUP(Table3[[#This Row],[instant]],Table2[instant],Table2[atemp], ,0,1)</f>
        <v>0.1515</v>
      </c>
      <c r="I73" s="1">
        <f>_xlfn.XLOOKUP(Table3[[#This Row],[instant]],Table2[instant],Table2[hum], ,0,1)</f>
        <v>0.63</v>
      </c>
      <c r="J73" s="1">
        <f>_xlfn.XLOOKUP(Table3[[#This Row],[instant]],Table2[instant],Table2[windspeed], ,0,1)</f>
        <v>0.1343</v>
      </c>
      <c r="K73" s="1">
        <f>_xlfn.XLOOKUP(Table3[[#This Row],[instant]],Table2[instant],Table2[casual], ,0,1)</f>
        <v>0</v>
      </c>
      <c r="L73" s="1">
        <f>_xlfn.XLOOKUP(Table3[[#This Row],[instant]],Table2[instant],Table2[registered], ,0,1)</f>
        <v>1</v>
      </c>
      <c r="M73" s="6">
        <f>_xlfn.XLOOKUP(Table3[[#This Row],[instant]],Table2[instant],Table2[cnt], ,0,1)</f>
        <v>1</v>
      </c>
      <c r="N73" s="1" t="str">
        <f>IF(OR(Table3[[#This Row],[weekday]]=0,Table3[[#This Row],[weekday]]=6),"Weekend","Weekday")</f>
        <v>Weekday</v>
      </c>
    </row>
    <row r="74" spans="1:14" ht="15" thickBot="1" x14ac:dyDescent="0.35">
      <c r="A74" s="42">
        <v>73</v>
      </c>
      <c r="B74" s="43">
        <f>_xlfn.XLOOKUP(Table3[[#This Row],[instant]],DatSet1!A74:A683,DatSet1!B74:B683,_xlfn.XLOOKUP(Table3[[#This Row],[instant]],'Final Data'!A74:A463,'Final Data'!B74:B463, ,0,1),0,1)</f>
        <v>40547</v>
      </c>
      <c r="C74" s="42">
        <f>_xlfn.XLOOKUP(Table3[[#This Row],[instant]],Table1[instant],Table1[hr], ,0,1)</f>
        <v>4</v>
      </c>
      <c r="D74" s="44" t="b">
        <f>_xlfn.XLOOKUP(Table3[[#This Row],[instant]],Table1[instant],Table1[holiday], ,0,1)</f>
        <v>0</v>
      </c>
      <c r="E74" s="44">
        <f>_xlfn.XLOOKUP(Table3[[#This Row],[instant]],Table1[instant],Table1[weekday], ,0,1)</f>
        <v>2</v>
      </c>
      <c r="F74" s="44">
        <f>_xlfn.XLOOKUP(Table3[[#This Row],[instant]],Table1[instant],Table1[weathersit], ,0,1)</f>
        <v>1</v>
      </c>
      <c r="G74" s="44">
        <f>_xlfn.XLOOKUP(Table3[[#This Row],[instant]],Table1[instant],Table1[temp], ,0,1)</f>
        <v>0.14000000000000001</v>
      </c>
      <c r="H74" s="45">
        <f>_xlfn.XLOOKUP(Table3[[#This Row],[instant]],Table2[instant],Table2[atemp], ,0,1)</f>
        <v>0.18179999999999999</v>
      </c>
      <c r="I74" s="42">
        <f>_xlfn.XLOOKUP(Table3[[#This Row],[instant]],Table2[instant],Table2[hum], ,0,1)</f>
        <v>0.63</v>
      </c>
      <c r="J74" s="42">
        <f>_xlfn.XLOOKUP(Table3[[#This Row],[instant]],Table2[instant],Table2[windspeed], ,0,1)</f>
        <v>8.9599999999999999E-2</v>
      </c>
      <c r="K74" s="42">
        <f>_xlfn.XLOOKUP(Table3[[#This Row],[instant]],Table2[instant],Table2[casual], ,0,1)</f>
        <v>0</v>
      </c>
      <c r="L74" s="42">
        <f>_xlfn.XLOOKUP(Table3[[#This Row],[instant]],Table2[instant],Table2[registered], ,0,1)</f>
        <v>2</v>
      </c>
      <c r="M74" s="46">
        <f>_xlfn.XLOOKUP(Table3[[#This Row],[instant]],Table2[instant],Table2[cnt], ,0,1)</f>
        <v>2</v>
      </c>
      <c r="N74" s="42" t="str">
        <f>IF(OR(Table3[[#This Row],[weekday]]=0,Table3[[#This Row],[weekday]]=6),"Weekend","Weekday")</f>
        <v>Weekday</v>
      </c>
    </row>
    <row r="75" spans="1:14" ht="15" thickBot="1" x14ac:dyDescent="0.35">
      <c r="A75" s="1">
        <v>74</v>
      </c>
      <c r="B75" s="3">
        <f>_xlfn.XLOOKUP(Table3[[#This Row],[instant]],DatSet1!A75:A684,DatSet1!B75:B684,_xlfn.XLOOKUP(Table3[[#This Row],[instant]],'Final Data'!A75:A464,'Final Data'!B75:B464, ,0,1),0,1)</f>
        <v>40547</v>
      </c>
      <c r="C75" s="1">
        <f>_xlfn.XLOOKUP(Table3[[#This Row],[instant]],Table1[instant],Table1[hr], ,0,1)</f>
        <v>5</v>
      </c>
      <c r="D75" s="2" t="b">
        <f>_xlfn.XLOOKUP(Table3[[#This Row],[instant]],Table1[instant],Table1[holiday], ,0,1)</f>
        <v>0</v>
      </c>
      <c r="E75" s="2">
        <f>_xlfn.XLOOKUP(Table3[[#This Row],[instant]],Table1[instant],Table1[weekday], ,0,1)</f>
        <v>2</v>
      </c>
      <c r="F75" s="2">
        <f>_xlfn.XLOOKUP(Table3[[#This Row],[instant]],Table1[instant],Table1[weathersit], ,0,1)</f>
        <v>1</v>
      </c>
      <c r="G75" s="2">
        <f>_xlfn.XLOOKUP(Table3[[#This Row],[instant]],Table1[instant],Table1[temp], ,0,1)</f>
        <v>0.12</v>
      </c>
      <c r="H75" s="24">
        <f>_xlfn.XLOOKUP(Table3[[#This Row],[instant]],Table2[instant],Table2[atemp], ,0,1)</f>
        <v>0.1515</v>
      </c>
      <c r="I75" s="1">
        <f>_xlfn.XLOOKUP(Table3[[#This Row],[instant]],Table2[instant],Table2[hum], ,0,1)</f>
        <v>0.68</v>
      </c>
      <c r="J75" s="1">
        <f>_xlfn.XLOOKUP(Table3[[#This Row],[instant]],Table2[instant],Table2[windspeed], ,0,1)</f>
        <v>0.1045</v>
      </c>
      <c r="K75" s="1">
        <f>_xlfn.XLOOKUP(Table3[[#This Row],[instant]],Table2[instant],Table2[casual], ,0,1)</f>
        <v>0</v>
      </c>
      <c r="L75" s="1">
        <f>_xlfn.XLOOKUP(Table3[[#This Row],[instant]],Table2[instant],Table2[registered], ,0,1)</f>
        <v>4</v>
      </c>
      <c r="M75" s="6">
        <f>_xlfn.XLOOKUP(Table3[[#This Row],[instant]],Table2[instant],Table2[cnt], ,0,1)</f>
        <v>4</v>
      </c>
      <c r="N75" s="1" t="str">
        <f>IF(OR(Table3[[#This Row],[weekday]]=0,Table3[[#This Row],[weekday]]=6),"Weekend","Weekday")</f>
        <v>Weekday</v>
      </c>
    </row>
    <row r="76" spans="1:14" ht="15" thickBot="1" x14ac:dyDescent="0.35">
      <c r="A76" s="42">
        <v>75</v>
      </c>
      <c r="B76" s="43">
        <f>_xlfn.XLOOKUP(Table3[[#This Row],[instant]],DatSet1!A76:A685,DatSet1!B76:B685,_xlfn.XLOOKUP(Table3[[#This Row],[instant]],'Final Data'!A76:A465,'Final Data'!B76:B465, ,0,1),0,1)</f>
        <v>40547</v>
      </c>
      <c r="C76" s="42">
        <f>_xlfn.XLOOKUP(Table3[[#This Row],[instant]],Table1[instant],Table1[hr], ,0,1)</f>
        <v>6</v>
      </c>
      <c r="D76" s="44" t="b">
        <f>_xlfn.XLOOKUP(Table3[[#This Row],[instant]],Table1[instant],Table1[holiday], ,0,1)</f>
        <v>0</v>
      </c>
      <c r="E76" s="44">
        <f>_xlfn.XLOOKUP(Table3[[#This Row],[instant]],Table1[instant],Table1[weekday], ,0,1)</f>
        <v>2</v>
      </c>
      <c r="F76" s="44">
        <f>_xlfn.XLOOKUP(Table3[[#This Row],[instant]],Table1[instant],Table1[weathersit], ,0,1)</f>
        <v>1</v>
      </c>
      <c r="G76" s="44">
        <f>_xlfn.XLOOKUP(Table3[[#This Row],[instant]],Table1[instant],Table1[temp], ,0,1)</f>
        <v>0.12</v>
      </c>
      <c r="H76" s="45">
        <f>_xlfn.XLOOKUP(Table3[[#This Row],[instant]],Table2[instant],Table2[atemp], ,0,1)</f>
        <v>0.1515</v>
      </c>
      <c r="I76" s="42">
        <f>_xlfn.XLOOKUP(Table3[[#This Row],[instant]],Table2[instant],Table2[hum], ,0,1)</f>
        <v>0.74</v>
      </c>
      <c r="J76" s="42">
        <f>_xlfn.XLOOKUP(Table3[[#This Row],[instant]],Table2[instant],Table2[windspeed], ,0,1)</f>
        <v>0.1045</v>
      </c>
      <c r="K76" s="42">
        <f>_xlfn.XLOOKUP(Table3[[#This Row],[instant]],Table2[instant],Table2[casual], ,0,1)</f>
        <v>0</v>
      </c>
      <c r="L76" s="42">
        <f>_xlfn.XLOOKUP(Table3[[#This Row],[instant]],Table2[instant],Table2[registered], ,0,1)</f>
        <v>36</v>
      </c>
      <c r="M76" s="46">
        <f>_xlfn.XLOOKUP(Table3[[#This Row],[instant]],Table2[instant],Table2[cnt], ,0,1)</f>
        <v>36</v>
      </c>
      <c r="N76" s="42" t="str">
        <f>IF(OR(Table3[[#This Row],[weekday]]=0,Table3[[#This Row],[weekday]]=6),"Weekend","Weekday")</f>
        <v>Weekday</v>
      </c>
    </row>
    <row r="77" spans="1:14" ht="15" thickBot="1" x14ac:dyDescent="0.35">
      <c r="A77" s="1">
        <v>76</v>
      </c>
      <c r="B77" s="3">
        <f>_xlfn.XLOOKUP(Table3[[#This Row],[instant]],DatSet1!A77:A686,DatSet1!B77:B686,_xlfn.XLOOKUP(Table3[[#This Row],[instant]],'Final Data'!A77:A466,'Final Data'!B77:B466, ,0,1),0,1)</f>
        <v>40547</v>
      </c>
      <c r="C77" s="1">
        <f>_xlfn.XLOOKUP(Table3[[#This Row],[instant]],Table1[instant],Table1[hr], ,0,1)</f>
        <v>7</v>
      </c>
      <c r="D77" s="2" t="b">
        <f>_xlfn.XLOOKUP(Table3[[#This Row],[instant]],Table1[instant],Table1[holiday], ,0,1)</f>
        <v>0</v>
      </c>
      <c r="E77" s="2">
        <f>_xlfn.XLOOKUP(Table3[[#This Row],[instant]],Table1[instant],Table1[weekday], ,0,1)</f>
        <v>2</v>
      </c>
      <c r="F77" s="2">
        <f>_xlfn.XLOOKUP(Table3[[#This Row],[instant]],Table1[instant],Table1[weathersit], ,0,1)</f>
        <v>1</v>
      </c>
      <c r="G77" s="2">
        <f>_xlfn.XLOOKUP(Table3[[#This Row],[instant]],Table1[instant],Table1[temp], ,0,1)</f>
        <v>0.12</v>
      </c>
      <c r="H77" s="24">
        <f>_xlfn.XLOOKUP(Table3[[#This Row],[instant]],Table2[instant],Table2[atemp], ,0,1)</f>
        <v>0.1515</v>
      </c>
      <c r="I77" s="1">
        <f>_xlfn.XLOOKUP(Table3[[#This Row],[instant]],Table2[instant],Table2[hum], ,0,1)</f>
        <v>0.74</v>
      </c>
      <c r="J77" s="1">
        <f>_xlfn.XLOOKUP(Table3[[#This Row],[instant]],Table2[instant],Table2[windspeed], ,0,1)</f>
        <v>0.1343</v>
      </c>
      <c r="K77" s="1">
        <f>_xlfn.XLOOKUP(Table3[[#This Row],[instant]],Table2[instant],Table2[casual], ,0,1)</f>
        <v>2</v>
      </c>
      <c r="L77" s="1">
        <f>_xlfn.XLOOKUP(Table3[[#This Row],[instant]],Table2[instant],Table2[registered], ,0,1)</f>
        <v>92</v>
      </c>
      <c r="M77" s="6">
        <f>_xlfn.XLOOKUP(Table3[[#This Row],[instant]],Table2[instant],Table2[cnt], ,0,1)</f>
        <v>94</v>
      </c>
      <c r="N77" s="1" t="str">
        <f>IF(OR(Table3[[#This Row],[weekday]]=0,Table3[[#This Row],[weekday]]=6),"Weekend","Weekday")</f>
        <v>Weekday</v>
      </c>
    </row>
    <row r="78" spans="1:14" ht="15" thickBot="1" x14ac:dyDescent="0.35">
      <c r="A78" s="42">
        <v>77</v>
      </c>
      <c r="B78" s="43">
        <f>_xlfn.XLOOKUP(Table3[[#This Row],[instant]],DatSet1!A78:A687,DatSet1!B78:B687,_xlfn.XLOOKUP(Table3[[#This Row],[instant]],'Final Data'!A78:A467,'Final Data'!B78:B467, ,0,1),0,1)</f>
        <v>40547</v>
      </c>
      <c r="C78" s="42">
        <f>_xlfn.XLOOKUP(Table3[[#This Row],[instant]],Table1[instant],Table1[hr], ,0,1)</f>
        <v>8</v>
      </c>
      <c r="D78" s="44" t="b">
        <f>_xlfn.XLOOKUP(Table3[[#This Row],[instant]],Table1[instant],Table1[holiday], ,0,1)</f>
        <v>0</v>
      </c>
      <c r="E78" s="44">
        <f>_xlfn.XLOOKUP(Table3[[#This Row],[instant]],Table1[instant],Table1[weekday], ,0,1)</f>
        <v>2</v>
      </c>
      <c r="F78" s="44">
        <f>_xlfn.XLOOKUP(Table3[[#This Row],[instant]],Table1[instant],Table1[weathersit], ,0,1)</f>
        <v>1</v>
      </c>
      <c r="G78" s="44">
        <f>_xlfn.XLOOKUP(Table3[[#This Row],[instant]],Table1[instant],Table1[temp], ,0,1)</f>
        <v>0.14000000000000001</v>
      </c>
      <c r="H78" s="45">
        <f>_xlfn.XLOOKUP(Table3[[#This Row],[instant]],Table2[instant],Table2[atemp], ,0,1)</f>
        <v>0.1515</v>
      </c>
      <c r="I78" s="42">
        <f>_xlfn.XLOOKUP(Table3[[#This Row],[instant]],Table2[instant],Table2[hum], ,0,1)</f>
        <v>0.69</v>
      </c>
      <c r="J78" s="42">
        <f>_xlfn.XLOOKUP(Table3[[#This Row],[instant]],Table2[instant],Table2[windspeed], ,0,1)</f>
        <v>0.16420000000000001</v>
      </c>
      <c r="K78" s="42">
        <f>_xlfn.XLOOKUP(Table3[[#This Row],[instant]],Table2[instant],Table2[casual], ,0,1)</f>
        <v>2</v>
      </c>
      <c r="L78" s="42">
        <f>_xlfn.XLOOKUP(Table3[[#This Row],[instant]],Table2[instant],Table2[registered], ,0,1)</f>
        <v>177</v>
      </c>
      <c r="M78" s="46">
        <f>_xlfn.XLOOKUP(Table3[[#This Row],[instant]],Table2[instant],Table2[cnt], ,0,1)</f>
        <v>179</v>
      </c>
      <c r="N78" s="42" t="str">
        <f>IF(OR(Table3[[#This Row],[weekday]]=0,Table3[[#This Row],[weekday]]=6),"Weekend","Weekday")</f>
        <v>Weekday</v>
      </c>
    </row>
    <row r="79" spans="1:14" ht="15" thickBot="1" x14ac:dyDescent="0.35">
      <c r="A79" s="1">
        <v>78</v>
      </c>
      <c r="B79" s="3">
        <f>_xlfn.XLOOKUP(Table3[[#This Row],[instant]],DatSet1!A79:A688,DatSet1!B79:B688,_xlfn.XLOOKUP(Table3[[#This Row],[instant]],'Final Data'!A79:A468,'Final Data'!B79:B468, ,0,1),0,1)</f>
        <v>40547</v>
      </c>
      <c r="C79" s="1">
        <f>_xlfn.XLOOKUP(Table3[[#This Row],[instant]],Table1[instant],Table1[hr], ,0,1)</f>
        <v>9</v>
      </c>
      <c r="D79" s="2" t="b">
        <f>_xlfn.XLOOKUP(Table3[[#This Row],[instant]],Table1[instant],Table1[holiday], ,0,1)</f>
        <v>0</v>
      </c>
      <c r="E79" s="2">
        <f>_xlfn.XLOOKUP(Table3[[#This Row],[instant]],Table1[instant],Table1[weekday], ,0,1)</f>
        <v>2</v>
      </c>
      <c r="F79" s="2">
        <f>_xlfn.XLOOKUP(Table3[[#This Row],[instant]],Table1[instant],Table1[weathersit], ,0,1)</f>
        <v>1</v>
      </c>
      <c r="G79" s="2">
        <f>_xlfn.XLOOKUP(Table3[[#This Row],[instant]],Table1[instant],Table1[temp], ,0,1)</f>
        <v>0.16</v>
      </c>
      <c r="H79" s="24">
        <f>_xlfn.XLOOKUP(Table3[[#This Row],[instant]],Table2[instant],Table2[atemp], ,0,1)</f>
        <v>0.1515</v>
      </c>
      <c r="I79" s="1">
        <f>_xlfn.XLOOKUP(Table3[[#This Row],[instant]],Table2[instant],Table2[hum], ,0,1)</f>
        <v>0.64</v>
      </c>
      <c r="J79" s="1">
        <f>_xlfn.XLOOKUP(Table3[[#This Row],[instant]],Table2[instant],Table2[windspeed], ,0,1)</f>
        <v>0.22389999999999999</v>
      </c>
      <c r="K79" s="1">
        <f>_xlfn.XLOOKUP(Table3[[#This Row],[instant]],Table2[instant],Table2[casual], ,0,1)</f>
        <v>2</v>
      </c>
      <c r="L79" s="1">
        <f>_xlfn.XLOOKUP(Table3[[#This Row],[instant]],Table2[instant],Table2[registered], ,0,1)</f>
        <v>98</v>
      </c>
      <c r="M79" s="6">
        <f>_xlfn.XLOOKUP(Table3[[#This Row],[instant]],Table2[instant],Table2[cnt], ,0,1)</f>
        <v>100</v>
      </c>
      <c r="N79" s="1" t="str">
        <f>IF(OR(Table3[[#This Row],[weekday]]=0,Table3[[#This Row],[weekday]]=6),"Weekend","Weekday")</f>
        <v>Weekday</v>
      </c>
    </row>
    <row r="80" spans="1:14" ht="15" thickBot="1" x14ac:dyDescent="0.35">
      <c r="A80" s="42">
        <v>79</v>
      </c>
      <c r="B80" s="43">
        <f>_xlfn.XLOOKUP(Table3[[#This Row],[instant]],DatSet1!A80:A689,DatSet1!B80:B689,_xlfn.XLOOKUP(Table3[[#This Row],[instant]],'Final Data'!A80:A469,'Final Data'!B80:B469, ,0,1),0,1)</f>
        <v>40547</v>
      </c>
      <c r="C80" s="42">
        <f>_xlfn.XLOOKUP(Table3[[#This Row],[instant]],Table1[instant],Table1[hr], ,0,1)</f>
        <v>10</v>
      </c>
      <c r="D80" s="44" t="b">
        <f>_xlfn.XLOOKUP(Table3[[#This Row],[instant]],Table1[instant],Table1[holiday], ,0,1)</f>
        <v>0</v>
      </c>
      <c r="E80" s="44">
        <f>_xlfn.XLOOKUP(Table3[[#This Row],[instant]],Table1[instant],Table1[weekday], ,0,1)</f>
        <v>2</v>
      </c>
      <c r="F80" s="44">
        <f>_xlfn.XLOOKUP(Table3[[#This Row],[instant]],Table1[instant],Table1[weathersit], ,0,1)</f>
        <v>2</v>
      </c>
      <c r="G80" s="44">
        <f>_xlfn.XLOOKUP(Table3[[#This Row],[instant]],Table1[instant],Table1[temp], ,0,1)</f>
        <v>0.16</v>
      </c>
      <c r="H80" s="45">
        <f>_xlfn.XLOOKUP(Table3[[#This Row],[instant]],Table2[instant],Table2[atemp], ,0,1)</f>
        <v>0.13639999999999999</v>
      </c>
      <c r="I80" s="42">
        <f>_xlfn.XLOOKUP(Table3[[#This Row],[instant]],Table2[instant],Table2[hum], ,0,1)</f>
        <v>0.69</v>
      </c>
      <c r="J80" s="42">
        <f>_xlfn.XLOOKUP(Table3[[#This Row],[instant]],Table2[instant],Table2[windspeed], ,0,1)</f>
        <v>0.32840000000000003</v>
      </c>
      <c r="K80" s="42">
        <f>_xlfn.XLOOKUP(Table3[[#This Row],[instant]],Table2[instant],Table2[casual], ,0,1)</f>
        <v>5</v>
      </c>
      <c r="L80" s="42">
        <f>_xlfn.XLOOKUP(Table3[[#This Row],[instant]],Table2[instant],Table2[registered], ,0,1)</f>
        <v>37</v>
      </c>
      <c r="M80" s="46">
        <f>_xlfn.XLOOKUP(Table3[[#This Row],[instant]],Table2[instant],Table2[cnt], ,0,1)</f>
        <v>42</v>
      </c>
      <c r="N80" s="42" t="str">
        <f>IF(OR(Table3[[#This Row],[weekday]]=0,Table3[[#This Row],[weekday]]=6),"Weekend","Weekday")</f>
        <v>Weekday</v>
      </c>
    </row>
    <row r="81" spans="1:14" ht="15" thickBot="1" x14ac:dyDescent="0.35">
      <c r="A81" s="1">
        <v>80</v>
      </c>
      <c r="B81" s="3">
        <f>_xlfn.XLOOKUP(Table3[[#This Row],[instant]],DatSet1!A81:A690,DatSet1!B81:B690,_xlfn.XLOOKUP(Table3[[#This Row],[instant]],'Final Data'!A81:A470,'Final Data'!B81:B470, ,0,1),0,1)</f>
        <v>40547</v>
      </c>
      <c r="C81" s="1">
        <f>_xlfn.XLOOKUP(Table3[[#This Row],[instant]],Table1[instant],Table1[hr], ,0,1)</f>
        <v>11</v>
      </c>
      <c r="D81" s="2" t="b">
        <f>_xlfn.XLOOKUP(Table3[[#This Row],[instant]],Table1[instant],Table1[holiday], ,0,1)</f>
        <v>0</v>
      </c>
      <c r="E81" s="2">
        <f>_xlfn.XLOOKUP(Table3[[#This Row],[instant]],Table1[instant],Table1[weekday], ,0,1)</f>
        <v>2</v>
      </c>
      <c r="F81" s="2">
        <f>_xlfn.XLOOKUP(Table3[[#This Row],[instant]],Table1[instant],Table1[weathersit], ,0,1)</f>
        <v>1</v>
      </c>
      <c r="G81" s="2">
        <f>_xlfn.XLOOKUP(Table3[[#This Row],[instant]],Table1[instant],Table1[temp], ,0,1)</f>
        <v>0.22</v>
      </c>
      <c r="H81" s="24">
        <f>_xlfn.XLOOKUP(Table3[[#This Row],[instant]],Table2[instant],Table2[atemp], ,0,1)</f>
        <v>0.21210000000000001</v>
      </c>
      <c r="I81" s="1">
        <f>_xlfn.XLOOKUP(Table3[[#This Row],[instant]],Table2[instant],Table2[hum], ,0,1)</f>
        <v>0.51</v>
      </c>
      <c r="J81" s="1">
        <f>_xlfn.XLOOKUP(Table3[[#This Row],[instant]],Table2[instant],Table2[windspeed], ,0,1)</f>
        <v>0.29849999999999999</v>
      </c>
      <c r="K81" s="1">
        <f>_xlfn.XLOOKUP(Table3[[#This Row],[instant]],Table2[instant],Table2[casual], ,0,1)</f>
        <v>7</v>
      </c>
      <c r="L81" s="1">
        <f>_xlfn.XLOOKUP(Table3[[#This Row],[instant]],Table2[instant],Table2[registered], ,0,1)</f>
        <v>50</v>
      </c>
      <c r="M81" s="6">
        <f>_xlfn.XLOOKUP(Table3[[#This Row],[instant]],Table2[instant],Table2[cnt], ,0,1)</f>
        <v>57</v>
      </c>
      <c r="N81" s="1" t="str">
        <f>IF(OR(Table3[[#This Row],[weekday]]=0,Table3[[#This Row],[weekday]]=6),"Weekend","Weekday")</f>
        <v>Weekday</v>
      </c>
    </row>
    <row r="82" spans="1:14" ht="15" thickBot="1" x14ac:dyDescent="0.35">
      <c r="A82" s="42">
        <v>81</v>
      </c>
      <c r="B82" s="43">
        <f>_xlfn.XLOOKUP(Table3[[#This Row],[instant]],DatSet1!A82:A691,DatSet1!B82:B691,_xlfn.XLOOKUP(Table3[[#This Row],[instant]],'Final Data'!A82:A471,'Final Data'!B82:B471, ,0,1),0,1)</f>
        <v>40547</v>
      </c>
      <c r="C82" s="42">
        <f>_xlfn.XLOOKUP(Table3[[#This Row],[instant]],Table1[instant],Table1[hr], ,0,1)</f>
        <v>12</v>
      </c>
      <c r="D82" s="44" t="b">
        <f>_xlfn.XLOOKUP(Table3[[#This Row],[instant]],Table1[instant],Table1[holiday], ,0,1)</f>
        <v>0</v>
      </c>
      <c r="E82" s="44">
        <f>_xlfn.XLOOKUP(Table3[[#This Row],[instant]],Table1[instant],Table1[weekday], ,0,1)</f>
        <v>2</v>
      </c>
      <c r="F82" s="44">
        <f>_xlfn.XLOOKUP(Table3[[#This Row],[instant]],Table1[instant],Table1[weathersit], ,0,1)</f>
        <v>1</v>
      </c>
      <c r="G82" s="44">
        <f>_xlfn.XLOOKUP(Table3[[#This Row],[instant]],Table1[instant],Table1[temp], ,0,1)</f>
        <v>0.22</v>
      </c>
      <c r="H82" s="45">
        <f>_xlfn.XLOOKUP(Table3[[#This Row],[instant]],Table2[instant],Table2[atemp], ,0,1)</f>
        <v>0.2273</v>
      </c>
      <c r="I82" s="42">
        <f>_xlfn.XLOOKUP(Table3[[#This Row],[instant]],Table2[instant],Table2[hum], ,0,1)</f>
        <v>0.51</v>
      </c>
      <c r="J82" s="42">
        <f>_xlfn.XLOOKUP(Table3[[#This Row],[instant]],Table2[instant],Table2[windspeed], ,0,1)</f>
        <v>0.16420000000000001</v>
      </c>
      <c r="K82" s="42">
        <f>_xlfn.XLOOKUP(Table3[[#This Row],[instant]],Table2[instant],Table2[casual], ,0,1)</f>
        <v>12</v>
      </c>
      <c r="L82" s="42">
        <f>_xlfn.XLOOKUP(Table3[[#This Row],[instant]],Table2[instant],Table2[registered], ,0,1)</f>
        <v>66</v>
      </c>
      <c r="M82" s="46">
        <f>_xlfn.XLOOKUP(Table3[[#This Row],[instant]],Table2[instant],Table2[cnt], ,0,1)</f>
        <v>78</v>
      </c>
      <c r="N82" s="42" t="str">
        <f>IF(OR(Table3[[#This Row],[weekday]]=0,Table3[[#This Row],[weekday]]=6),"Weekend","Weekday")</f>
        <v>Weekday</v>
      </c>
    </row>
    <row r="83" spans="1:14" ht="15" thickBot="1" x14ac:dyDescent="0.35">
      <c r="A83" s="1">
        <v>82</v>
      </c>
      <c r="B83" s="3">
        <f>_xlfn.XLOOKUP(Table3[[#This Row],[instant]],DatSet1!A83:A692,DatSet1!B83:B692,_xlfn.XLOOKUP(Table3[[#This Row],[instant]],'Final Data'!A83:A472,'Final Data'!B83:B472, ,0,1),0,1)</f>
        <v>40547</v>
      </c>
      <c r="C83" s="1">
        <f>_xlfn.XLOOKUP(Table3[[#This Row],[instant]],Table1[instant],Table1[hr], ,0,1)</f>
        <v>13</v>
      </c>
      <c r="D83" s="2" t="b">
        <f>_xlfn.XLOOKUP(Table3[[#This Row],[instant]],Table1[instant],Table1[holiday], ,0,1)</f>
        <v>0</v>
      </c>
      <c r="E83" s="2">
        <f>_xlfn.XLOOKUP(Table3[[#This Row],[instant]],Table1[instant],Table1[weekday], ,0,1)</f>
        <v>2</v>
      </c>
      <c r="F83" s="2">
        <f>_xlfn.XLOOKUP(Table3[[#This Row],[instant]],Table1[instant],Table1[weathersit], ,0,1)</f>
        <v>1</v>
      </c>
      <c r="G83" s="2">
        <f>_xlfn.XLOOKUP(Table3[[#This Row],[instant]],Table1[instant],Table1[temp], ,0,1)</f>
        <v>0.24</v>
      </c>
      <c r="H83" s="24">
        <f>_xlfn.XLOOKUP(Table3[[#This Row],[instant]],Table2[instant],Table2[atemp], ,0,1)</f>
        <v>0.2273</v>
      </c>
      <c r="I83" s="1">
        <f>_xlfn.XLOOKUP(Table3[[#This Row],[instant]],Table2[instant],Table2[hum], ,0,1)</f>
        <v>0.56000000000000005</v>
      </c>
      <c r="J83" s="1">
        <f>_xlfn.XLOOKUP(Table3[[#This Row],[instant]],Table2[instant],Table2[windspeed], ,0,1)</f>
        <v>0.19400000000000001</v>
      </c>
      <c r="K83" s="1">
        <f>_xlfn.XLOOKUP(Table3[[#This Row],[instant]],Table2[instant],Table2[casual], ,0,1)</f>
        <v>18</v>
      </c>
      <c r="L83" s="1">
        <f>_xlfn.XLOOKUP(Table3[[#This Row],[instant]],Table2[instant],Table2[registered], ,0,1)</f>
        <v>79</v>
      </c>
      <c r="M83" s="6">
        <f>_xlfn.XLOOKUP(Table3[[#This Row],[instant]],Table2[instant],Table2[cnt], ,0,1)</f>
        <v>97</v>
      </c>
      <c r="N83" s="1" t="str">
        <f>IF(OR(Table3[[#This Row],[weekday]]=0,Table3[[#This Row],[weekday]]=6),"Weekend","Weekday")</f>
        <v>Weekday</v>
      </c>
    </row>
    <row r="84" spans="1:14" ht="15" thickBot="1" x14ac:dyDescent="0.35">
      <c r="A84" s="42">
        <v>83</v>
      </c>
      <c r="B84" s="43">
        <f>_xlfn.XLOOKUP(Table3[[#This Row],[instant]],DatSet1!A84:A693,DatSet1!B84:B693,_xlfn.XLOOKUP(Table3[[#This Row],[instant]],'Final Data'!A84:A473,'Final Data'!B84:B473, ,0,1),0,1)</f>
        <v>40547</v>
      </c>
      <c r="C84" s="42">
        <f>_xlfn.XLOOKUP(Table3[[#This Row],[instant]],Table1[instant],Table1[hr], ,0,1)</f>
        <v>14</v>
      </c>
      <c r="D84" s="44" t="b">
        <f>_xlfn.XLOOKUP(Table3[[#This Row],[instant]],Table1[instant],Table1[holiday], ,0,1)</f>
        <v>0</v>
      </c>
      <c r="E84" s="44">
        <f>_xlfn.XLOOKUP(Table3[[#This Row],[instant]],Table1[instant],Table1[weekday], ,0,1)</f>
        <v>2</v>
      </c>
      <c r="F84" s="44">
        <f>_xlfn.XLOOKUP(Table3[[#This Row],[instant]],Table1[instant],Table1[weathersit], ,0,1)</f>
        <v>1</v>
      </c>
      <c r="G84" s="44">
        <f>_xlfn.XLOOKUP(Table3[[#This Row],[instant]],Table1[instant],Table1[temp], ,0,1)</f>
        <v>0.26</v>
      </c>
      <c r="H84" s="45">
        <f>_xlfn.XLOOKUP(Table3[[#This Row],[instant]],Table2[instant],Table2[atemp], ,0,1)</f>
        <v>0.2576</v>
      </c>
      <c r="I84" s="42">
        <f>_xlfn.XLOOKUP(Table3[[#This Row],[instant]],Table2[instant],Table2[hum], ,0,1)</f>
        <v>0.52</v>
      </c>
      <c r="J84" s="42">
        <f>_xlfn.XLOOKUP(Table3[[#This Row],[instant]],Table2[instant],Table2[windspeed], ,0,1)</f>
        <v>0.22389999999999999</v>
      </c>
      <c r="K84" s="42">
        <f>_xlfn.XLOOKUP(Table3[[#This Row],[instant]],Table2[instant],Table2[casual], ,0,1)</f>
        <v>9</v>
      </c>
      <c r="L84" s="42">
        <f>_xlfn.XLOOKUP(Table3[[#This Row],[instant]],Table2[instant],Table2[registered], ,0,1)</f>
        <v>54</v>
      </c>
      <c r="M84" s="46">
        <f>_xlfn.XLOOKUP(Table3[[#This Row],[instant]],Table2[instant],Table2[cnt], ,0,1)</f>
        <v>63</v>
      </c>
      <c r="N84" s="42" t="str">
        <f>IF(OR(Table3[[#This Row],[weekday]]=0,Table3[[#This Row],[weekday]]=6),"Weekend","Weekday")</f>
        <v>Weekday</v>
      </c>
    </row>
    <row r="85" spans="1:14" ht="15" thickBot="1" x14ac:dyDescent="0.35">
      <c r="A85" s="1">
        <v>84</v>
      </c>
      <c r="B85" s="3">
        <f>_xlfn.XLOOKUP(Table3[[#This Row],[instant]],DatSet1!A85:A694,DatSet1!B85:B694,_xlfn.XLOOKUP(Table3[[#This Row],[instant]],'Final Data'!A85:A474,'Final Data'!B85:B474, ,0,1),0,1)</f>
        <v>40547</v>
      </c>
      <c r="C85" s="1">
        <f>_xlfn.XLOOKUP(Table3[[#This Row],[instant]],Table1[instant],Table1[hr], ,0,1)</f>
        <v>15</v>
      </c>
      <c r="D85" s="2" t="b">
        <f>_xlfn.XLOOKUP(Table3[[#This Row],[instant]],Table1[instant],Table1[holiday], ,0,1)</f>
        <v>0</v>
      </c>
      <c r="E85" s="2">
        <f>_xlfn.XLOOKUP(Table3[[#This Row],[instant]],Table1[instant],Table1[weekday], ,0,1)</f>
        <v>2</v>
      </c>
      <c r="F85" s="2">
        <f>_xlfn.XLOOKUP(Table3[[#This Row],[instant]],Table1[instant],Table1[weathersit], ,0,1)</f>
        <v>1</v>
      </c>
      <c r="G85" s="2">
        <f>_xlfn.XLOOKUP(Table3[[#This Row],[instant]],Table1[instant],Table1[temp], ,0,1)</f>
        <v>0.28000000000000003</v>
      </c>
      <c r="H85" s="24">
        <f>_xlfn.XLOOKUP(Table3[[#This Row],[instant]],Table2[instant],Table2[atemp], ,0,1)</f>
        <v>0.2727</v>
      </c>
      <c r="I85" s="1">
        <f>_xlfn.XLOOKUP(Table3[[#This Row],[instant]],Table2[instant],Table2[hum], ,0,1)</f>
        <v>0.52</v>
      </c>
      <c r="J85" s="1">
        <f>_xlfn.XLOOKUP(Table3[[#This Row],[instant]],Table2[instant],Table2[windspeed], ,0,1)</f>
        <v>0.25369999999999998</v>
      </c>
      <c r="K85" s="1">
        <f>_xlfn.XLOOKUP(Table3[[#This Row],[instant]],Table2[instant],Table2[casual], ,0,1)</f>
        <v>17</v>
      </c>
      <c r="L85" s="1">
        <f>_xlfn.XLOOKUP(Table3[[#This Row],[instant]],Table2[instant],Table2[registered], ,0,1)</f>
        <v>48</v>
      </c>
      <c r="M85" s="6">
        <f>_xlfn.XLOOKUP(Table3[[#This Row],[instant]],Table2[instant],Table2[cnt], ,0,1)</f>
        <v>65</v>
      </c>
      <c r="N85" s="1" t="str">
        <f>IF(OR(Table3[[#This Row],[weekday]]=0,Table3[[#This Row],[weekday]]=6),"Weekend","Weekday")</f>
        <v>Weekday</v>
      </c>
    </row>
    <row r="86" spans="1:14" ht="15" thickBot="1" x14ac:dyDescent="0.35">
      <c r="A86" s="42">
        <v>85</v>
      </c>
      <c r="B86" s="43">
        <f>_xlfn.XLOOKUP(Table3[[#This Row],[instant]],DatSet1!A86:A695,DatSet1!B86:B695,_xlfn.XLOOKUP(Table3[[#This Row],[instant]],'Final Data'!A86:A475,'Final Data'!B86:B475, ,0,1),0,1)</f>
        <v>40547</v>
      </c>
      <c r="C86" s="42">
        <f>_xlfn.XLOOKUP(Table3[[#This Row],[instant]],Table1[instant],Table1[hr], ,0,1)</f>
        <v>16</v>
      </c>
      <c r="D86" s="44" t="b">
        <f>_xlfn.XLOOKUP(Table3[[#This Row],[instant]],Table1[instant],Table1[holiday], ,0,1)</f>
        <v>0</v>
      </c>
      <c r="E86" s="44">
        <f>_xlfn.XLOOKUP(Table3[[#This Row],[instant]],Table1[instant],Table1[weekday], ,0,1)</f>
        <v>2</v>
      </c>
      <c r="F86" s="44">
        <f>_xlfn.XLOOKUP(Table3[[#This Row],[instant]],Table1[instant],Table1[weathersit], ,0,1)</f>
        <v>1</v>
      </c>
      <c r="G86" s="44">
        <f>_xlfn.XLOOKUP(Table3[[#This Row],[instant]],Table1[instant],Table1[temp], ,0,1)</f>
        <v>0.3</v>
      </c>
      <c r="H86" s="45">
        <f>_xlfn.XLOOKUP(Table3[[#This Row],[instant]],Table2[instant],Table2[atemp], ,0,1)</f>
        <v>0.28789999999999999</v>
      </c>
      <c r="I86" s="42">
        <f>_xlfn.XLOOKUP(Table3[[#This Row],[instant]],Table2[instant],Table2[hum], ,0,1)</f>
        <v>0.49</v>
      </c>
      <c r="J86" s="42">
        <f>_xlfn.XLOOKUP(Table3[[#This Row],[instant]],Table2[instant],Table2[windspeed], ,0,1)</f>
        <v>0.25369999999999998</v>
      </c>
      <c r="K86" s="42">
        <f>_xlfn.XLOOKUP(Table3[[#This Row],[instant]],Table2[instant],Table2[casual], ,0,1)</f>
        <v>15</v>
      </c>
      <c r="L86" s="42">
        <f>_xlfn.XLOOKUP(Table3[[#This Row],[instant]],Table2[instant],Table2[registered], ,0,1)</f>
        <v>68</v>
      </c>
      <c r="M86" s="46">
        <f>_xlfn.XLOOKUP(Table3[[#This Row],[instant]],Table2[instant],Table2[cnt], ,0,1)</f>
        <v>83</v>
      </c>
      <c r="N86" s="42" t="str">
        <f>IF(OR(Table3[[#This Row],[weekday]]=0,Table3[[#This Row],[weekday]]=6),"Weekend","Weekday")</f>
        <v>Weekday</v>
      </c>
    </row>
    <row r="87" spans="1:14" ht="15" thickBot="1" x14ac:dyDescent="0.35">
      <c r="A87" s="1">
        <v>86</v>
      </c>
      <c r="B87" s="3">
        <f>_xlfn.XLOOKUP(Table3[[#This Row],[instant]],DatSet1!A87:A696,DatSet1!B87:B696,_xlfn.XLOOKUP(Table3[[#This Row],[instant]],'Final Data'!A87:A476,'Final Data'!B87:B476, ,0,1),0,1)</f>
        <v>40547</v>
      </c>
      <c r="C87" s="1">
        <f>_xlfn.XLOOKUP(Table3[[#This Row],[instant]],Table1[instant],Table1[hr], ,0,1)</f>
        <v>17</v>
      </c>
      <c r="D87" s="2" t="b">
        <f>_xlfn.XLOOKUP(Table3[[#This Row],[instant]],Table1[instant],Table1[holiday], ,0,1)</f>
        <v>0</v>
      </c>
      <c r="E87" s="2">
        <f>_xlfn.XLOOKUP(Table3[[#This Row],[instant]],Table1[instant],Table1[weekday], ,0,1)</f>
        <v>2</v>
      </c>
      <c r="F87" s="2">
        <f>_xlfn.XLOOKUP(Table3[[#This Row],[instant]],Table1[instant],Table1[weathersit], ,0,1)</f>
        <v>1</v>
      </c>
      <c r="G87" s="2">
        <f>_xlfn.XLOOKUP(Table3[[#This Row],[instant]],Table1[instant],Table1[temp], ,0,1)</f>
        <v>0.28000000000000003</v>
      </c>
      <c r="H87" s="24">
        <f>_xlfn.XLOOKUP(Table3[[#This Row],[instant]],Table2[instant],Table2[atemp], ,0,1)</f>
        <v>0.2727</v>
      </c>
      <c r="I87" s="1">
        <f>_xlfn.XLOOKUP(Table3[[#This Row],[instant]],Table2[instant],Table2[hum], ,0,1)</f>
        <v>0.48</v>
      </c>
      <c r="J87" s="1">
        <f>_xlfn.XLOOKUP(Table3[[#This Row],[instant]],Table2[instant],Table2[windspeed], ,0,1)</f>
        <v>0.22389999999999999</v>
      </c>
      <c r="K87" s="1">
        <f>_xlfn.XLOOKUP(Table3[[#This Row],[instant]],Table2[instant],Table2[casual], ,0,1)</f>
        <v>10</v>
      </c>
      <c r="L87" s="1">
        <f>_xlfn.XLOOKUP(Table3[[#This Row],[instant]],Table2[instant],Table2[registered], ,0,1)</f>
        <v>202</v>
      </c>
      <c r="M87" s="6">
        <f>_xlfn.XLOOKUP(Table3[[#This Row],[instant]],Table2[instant],Table2[cnt], ,0,1)</f>
        <v>212</v>
      </c>
      <c r="N87" s="1" t="str">
        <f>IF(OR(Table3[[#This Row],[weekday]]=0,Table3[[#This Row],[weekday]]=6),"Weekend","Weekday")</f>
        <v>Weekday</v>
      </c>
    </row>
    <row r="88" spans="1:14" ht="15" thickBot="1" x14ac:dyDescent="0.35">
      <c r="A88" s="42">
        <v>87</v>
      </c>
      <c r="B88" s="43">
        <f>_xlfn.XLOOKUP(Table3[[#This Row],[instant]],DatSet1!A88:A697,DatSet1!B88:B697,_xlfn.XLOOKUP(Table3[[#This Row],[instant]],'Final Data'!A88:A477,'Final Data'!B88:B477, ,0,1),0,1)</f>
        <v>40547</v>
      </c>
      <c r="C88" s="42">
        <f>_xlfn.XLOOKUP(Table3[[#This Row],[instant]],Table1[instant],Table1[hr], ,0,1)</f>
        <v>18</v>
      </c>
      <c r="D88" s="44" t="b">
        <f>_xlfn.XLOOKUP(Table3[[#This Row],[instant]],Table1[instant],Table1[holiday], ,0,1)</f>
        <v>0</v>
      </c>
      <c r="E88" s="44">
        <f>_xlfn.XLOOKUP(Table3[[#This Row],[instant]],Table1[instant],Table1[weekday], ,0,1)</f>
        <v>2</v>
      </c>
      <c r="F88" s="44">
        <f>_xlfn.XLOOKUP(Table3[[#This Row],[instant]],Table1[instant],Table1[weathersit], ,0,1)</f>
        <v>1</v>
      </c>
      <c r="G88" s="44">
        <f>_xlfn.XLOOKUP(Table3[[#This Row],[instant]],Table1[instant],Table1[temp], ,0,1)</f>
        <v>0.26</v>
      </c>
      <c r="H88" s="45">
        <f>_xlfn.XLOOKUP(Table3[[#This Row],[instant]],Table2[instant],Table2[atemp], ,0,1)</f>
        <v>0.2576</v>
      </c>
      <c r="I88" s="42">
        <f>_xlfn.XLOOKUP(Table3[[#This Row],[instant]],Table2[instant],Table2[hum], ,0,1)</f>
        <v>0.48</v>
      </c>
      <c r="J88" s="42">
        <f>_xlfn.XLOOKUP(Table3[[#This Row],[instant]],Table2[instant],Table2[windspeed], ,0,1)</f>
        <v>0.19400000000000001</v>
      </c>
      <c r="K88" s="42">
        <f>_xlfn.XLOOKUP(Table3[[#This Row],[instant]],Table2[instant],Table2[casual], ,0,1)</f>
        <v>3</v>
      </c>
      <c r="L88" s="42">
        <f>_xlfn.XLOOKUP(Table3[[#This Row],[instant]],Table2[instant],Table2[registered], ,0,1)</f>
        <v>179</v>
      </c>
      <c r="M88" s="46">
        <f>_xlfn.XLOOKUP(Table3[[#This Row],[instant]],Table2[instant],Table2[cnt], ,0,1)</f>
        <v>182</v>
      </c>
      <c r="N88" s="42" t="str">
        <f>IF(OR(Table3[[#This Row],[weekday]]=0,Table3[[#This Row],[weekday]]=6),"Weekend","Weekday")</f>
        <v>Weekday</v>
      </c>
    </row>
    <row r="89" spans="1:14" ht="15" thickBot="1" x14ac:dyDescent="0.35">
      <c r="A89" s="1">
        <v>88</v>
      </c>
      <c r="B89" s="3">
        <f>_xlfn.XLOOKUP(Table3[[#This Row],[instant]],DatSet1!A89:A698,DatSet1!B89:B698,_xlfn.XLOOKUP(Table3[[#This Row],[instant]],'Final Data'!A89:A478,'Final Data'!B89:B478, ,0,1),0,1)</f>
        <v>40547</v>
      </c>
      <c r="C89" s="1">
        <f>_xlfn.XLOOKUP(Table3[[#This Row],[instant]],Table1[instant],Table1[hr], ,0,1)</f>
        <v>19</v>
      </c>
      <c r="D89" s="2" t="b">
        <f>_xlfn.XLOOKUP(Table3[[#This Row],[instant]],Table1[instant],Table1[holiday], ,0,1)</f>
        <v>0</v>
      </c>
      <c r="E89" s="2">
        <f>_xlfn.XLOOKUP(Table3[[#This Row],[instant]],Table1[instant],Table1[weekday], ,0,1)</f>
        <v>2</v>
      </c>
      <c r="F89" s="2">
        <f>_xlfn.XLOOKUP(Table3[[#This Row],[instant]],Table1[instant],Table1[weathersit], ,0,1)</f>
        <v>1</v>
      </c>
      <c r="G89" s="2">
        <f>_xlfn.XLOOKUP(Table3[[#This Row],[instant]],Table1[instant],Table1[temp], ,0,1)</f>
        <v>0.24</v>
      </c>
      <c r="H89" s="24">
        <f>_xlfn.XLOOKUP(Table3[[#This Row],[instant]],Table2[instant],Table2[atemp], ,0,1)</f>
        <v>0.2576</v>
      </c>
      <c r="I89" s="1">
        <f>_xlfn.XLOOKUP(Table3[[#This Row],[instant]],Table2[instant],Table2[hum], ,0,1)</f>
        <v>0.48</v>
      </c>
      <c r="J89" s="1">
        <f>_xlfn.XLOOKUP(Table3[[#This Row],[instant]],Table2[instant],Table2[windspeed], ,0,1)</f>
        <v>0.1045</v>
      </c>
      <c r="K89" s="1">
        <f>_xlfn.XLOOKUP(Table3[[#This Row],[instant]],Table2[instant],Table2[casual], ,0,1)</f>
        <v>2</v>
      </c>
      <c r="L89" s="1">
        <f>_xlfn.XLOOKUP(Table3[[#This Row],[instant]],Table2[instant],Table2[registered], ,0,1)</f>
        <v>110</v>
      </c>
      <c r="M89" s="6">
        <f>_xlfn.XLOOKUP(Table3[[#This Row],[instant]],Table2[instant],Table2[cnt], ,0,1)</f>
        <v>112</v>
      </c>
      <c r="N89" s="1" t="str">
        <f>IF(OR(Table3[[#This Row],[weekday]]=0,Table3[[#This Row],[weekday]]=6),"Weekend","Weekday")</f>
        <v>Weekday</v>
      </c>
    </row>
    <row r="90" spans="1:14" ht="15" thickBot="1" x14ac:dyDescent="0.35">
      <c r="A90" s="42">
        <v>89</v>
      </c>
      <c r="B90" s="43">
        <f>_xlfn.XLOOKUP(Table3[[#This Row],[instant]],DatSet1!A90:A699,DatSet1!B90:B699,_xlfn.XLOOKUP(Table3[[#This Row],[instant]],'Final Data'!A90:A479,'Final Data'!B90:B479, ,0,1),0,1)</f>
        <v>40547</v>
      </c>
      <c r="C90" s="42">
        <f>_xlfn.XLOOKUP(Table3[[#This Row],[instant]],Table1[instant],Table1[hr], ,0,1)</f>
        <v>20</v>
      </c>
      <c r="D90" s="44" t="b">
        <f>_xlfn.XLOOKUP(Table3[[#This Row],[instant]],Table1[instant],Table1[holiday], ,0,1)</f>
        <v>0</v>
      </c>
      <c r="E90" s="44">
        <f>_xlfn.XLOOKUP(Table3[[#This Row],[instant]],Table1[instant],Table1[weekday], ,0,1)</f>
        <v>2</v>
      </c>
      <c r="F90" s="44">
        <f>_xlfn.XLOOKUP(Table3[[#This Row],[instant]],Table1[instant],Table1[weathersit], ,0,1)</f>
        <v>1</v>
      </c>
      <c r="G90" s="44">
        <f>_xlfn.XLOOKUP(Table3[[#This Row],[instant]],Table1[instant],Table1[temp], ,0,1)</f>
        <v>0.24</v>
      </c>
      <c r="H90" s="45">
        <f>_xlfn.XLOOKUP(Table3[[#This Row],[instant]],Table2[instant],Table2[atemp], ,0,1)</f>
        <v>0.2576</v>
      </c>
      <c r="I90" s="42">
        <f>_xlfn.XLOOKUP(Table3[[#This Row],[instant]],Table2[instant],Table2[hum], ,0,1)</f>
        <v>0.48</v>
      </c>
      <c r="J90" s="42">
        <f>_xlfn.XLOOKUP(Table3[[#This Row],[instant]],Table2[instant],Table2[windspeed], ,0,1)</f>
        <v>0.1045</v>
      </c>
      <c r="K90" s="42">
        <f>_xlfn.XLOOKUP(Table3[[#This Row],[instant]],Table2[instant],Table2[casual], ,0,1)</f>
        <v>1</v>
      </c>
      <c r="L90" s="42">
        <f>_xlfn.XLOOKUP(Table3[[#This Row],[instant]],Table2[instant],Table2[registered], ,0,1)</f>
        <v>53</v>
      </c>
      <c r="M90" s="46">
        <f>_xlfn.XLOOKUP(Table3[[#This Row],[instant]],Table2[instant],Table2[cnt], ,0,1)</f>
        <v>54</v>
      </c>
      <c r="N90" s="42" t="str">
        <f>IF(OR(Table3[[#This Row],[weekday]]=0,Table3[[#This Row],[weekday]]=6),"Weekend","Weekday")</f>
        <v>Weekday</v>
      </c>
    </row>
    <row r="91" spans="1:14" ht="15" thickBot="1" x14ac:dyDescent="0.35">
      <c r="A91" s="1">
        <v>90</v>
      </c>
      <c r="B91" s="3">
        <f>_xlfn.XLOOKUP(Table3[[#This Row],[instant]],DatSet1!A91:A700,DatSet1!B91:B700,_xlfn.XLOOKUP(Table3[[#This Row],[instant]],'Final Data'!A91:A480,'Final Data'!B91:B480, ,0,1),0,1)</f>
        <v>40547</v>
      </c>
      <c r="C91" s="1">
        <f>_xlfn.XLOOKUP(Table3[[#This Row],[instant]],Table1[instant],Table1[hr], ,0,1)</f>
        <v>21</v>
      </c>
      <c r="D91" s="2" t="b">
        <f>_xlfn.XLOOKUP(Table3[[#This Row],[instant]],Table1[instant],Table1[holiday], ,0,1)</f>
        <v>0</v>
      </c>
      <c r="E91" s="2">
        <f>_xlfn.XLOOKUP(Table3[[#This Row],[instant]],Table1[instant],Table1[weekday], ,0,1)</f>
        <v>2</v>
      </c>
      <c r="F91" s="2">
        <f>_xlfn.XLOOKUP(Table3[[#This Row],[instant]],Table1[instant],Table1[weathersit], ,0,1)</f>
        <v>1</v>
      </c>
      <c r="G91" s="2">
        <f>_xlfn.XLOOKUP(Table3[[#This Row],[instant]],Table1[instant],Table1[temp], ,0,1)</f>
        <v>0.22</v>
      </c>
      <c r="H91" s="24">
        <f>_xlfn.XLOOKUP(Table3[[#This Row],[instant]],Table2[instant],Table2[atemp], ,0,1)</f>
        <v>0.2727</v>
      </c>
      <c r="I91" s="1">
        <f>_xlfn.XLOOKUP(Table3[[#This Row],[instant]],Table2[instant],Table2[hum], ,0,1)</f>
        <v>0.64</v>
      </c>
      <c r="J91" s="1">
        <f>_xlfn.XLOOKUP(Table3[[#This Row],[instant]],Table2[instant],Table2[windspeed], ,0,1)</f>
        <v>0</v>
      </c>
      <c r="K91" s="1">
        <f>_xlfn.XLOOKUP(Table3[[#This Row],[instant]],Table2[instant],Table2[casual], ,0,1)</f>
        <v>0</v>
      </c>
      <c r="L91" s="1">
        <f>_xlfn.XLOOKUP(Table3[[#This Row],[instant]],Table2[instant],Table2[registered], ,0,1)</f>
        <v>48</v>
      </c>
      <c r="M91" s="6">
        <f>_xlfn.XLOOKUP(Table3[[#This Row],[instant]],Table2[instant],Table2[cnt], ,0,1)</f>
        <v>48</v>
      </c>
      <c r="N91" s="1" t="str">
        <f>IF(OR(Table3[[#This Row],[weekday]]=0,Table3[[#This Row],[weekday]]=6),"Weekend","Weekday")</f>
        <v>Weekday</v>
      </c>
    </row>
    <row r="92" spans="1:14" ht="15" thickBot="1" x14ac:dyDescent="0.35">
      <c r="A92" s="42">
        <v>91</v>
      </c>
      <c r="B92" s="43">
        <f>_xlfn.XLOOKUP(Table3[[#This Row],[instant]],DatSet1!A92:A701,DatSet1!B92:B701,_xlfn.XLOOKUP(Table3[[#This Row],[instant]],'Final Data'!A92:A481,'Final Data'!B92:B481, ,0,1),0,1)</f>
        <v>40547</v>
      </c>
      <c r="C92" s="42">
        <f>_xlfn.XLOOKUP(Table3[[#This Row],[instant]],Table1[instant],Table1[hr], ,0,1)</f>
        <v>22</v>
      </c>
      <c r="D92" s="44" t="b">
        <f>_xlfn.XLOOKUP(Table3[[#This Row],[instant]],Table1[instant],Table1[holiday], ,0,1)</f>
        <v>0</v>
      </c>
      <c r="E92" s="44">
        <f>_xlfn.XLOOKUP(Table3[[#This Row],[instant]],Table1[instant],Table1[weekday], ,0,1)</f>
        <v>2</v>
      </c>
      <c r="F92" s="44">
        <f>_xlfn.XLOOKUP(Table3[[#This Row],[instant]],Table1[instant],Table1[weathersit], ,0,1)</f>
        <v>1</v>
      </c>
      <c r="G92" s="44">
        <f>_xlfn.XLOOKUP(Table3[[#This Row],[instant]],Table1[instant],Table1[temp], ,0,1)</f>
        <v>0.22</v>
      </c>
      <c r="H92" s="45">
        <f>_xlfn.XLOOKUP(Table3[[#This Row],[instant]],Table2[instant],Table2[atemp], ,0,1)</f>
        <v>0.2576</v>
      </c>
      <c r="I92" s="42">
        <f>_xlfn.XLOOKUP(Table3[[#This Row],[instant]],Table2[instant],Table2[hum], ,0,1)</f>
        <v>0.64</v>
      </c>
      <c r="J92" s="42">
        <f>_xlfn.XLOOKUP(Table3[[#This Row],[instant]],Table2[instant],Table2[windspeed], ,0,1)</f>
        <v>8.9599999999999999E-2</v>
      </c>
      <c r="K92" s="42">
        <f>_xlfn.XLOOKUP(Table3[[#This Row],[instant]],Table2[instant],Table2[casual], ,0,1)</f>
        <v>1</v>
      </c>
      <c r="L92" s="42">
        <f>_xlfn.XLOOKUP(Table3[[#This Row],[instant]],Table2[instant],Table2[registered], ,0,1)</f>
        <v>34</v>
      </c>
      <c r="M92" s="46">
        <f>_xlfn.XLOOKUP(Table3[[#This Row],[instant]],Table2[instant],Table2[cnt], ,0,1)</f>
        <v>35</v>
      </c>
      <c r="N92" s="42" t="str">
        <f>IF(OR(Table3[[#This Row],[weekday]]=0,Table3[[#This Row],[weekday]]=6),"Weekend","Weekday")</f>
        <v>Weekday</v>
      </c>
    </row>
    <row r="93" spans="1:14" ht="15" thickBot="1" x14ac:dyDescent="0.35">
      <c r="A93" s="1">
        <v>92</v>
      </c>
      <c r="B93" s="3">
        <f>_xlfn.XLOOKUP(Table3[[#This Row],[instant]],DatSet1!A93:A702,DatSet1!B93:B702,_xlfn.XLOOKUP(Table3[[#This Row],[instant]],'Final Data'!A93:A482,'Final Data'!B93:B482, ,0,1),0,1)</f>
        <v>40547</v>
      </c>
      <c r="C93" s="1">
        <f>_xlfn.XLOOKUP(Table3[[#This Row],[instant]],Table1[instant],Table1[hr], ,0,1)</f>
        <v>23</v>
      </c>
      <c r="D93" s="2" t="b">
        <f>_xlfn.XLOOKUP(Table3[[#This Row],[instant]],Table1[instant],Table1[holiday], ,0,1)</f>
        <v>0</v>
      </c>
      <c r="E93" s="2">
        <f>_xlfn.XLOOKUP(Table3[[#This Row],[instant]],Table1[instant],Table1[weekday], ,0,1)</f>
        <v>2</v>
      </c>
      <c r="F93" s="2">
        <f>_xlfn.XLOOKUP(Table3[[#This Row],[instant]],Table1[instant],Table1[weathersit], ,0,1)</f>
        <v>1</v>
      </c>
      <c r="G93" s="2">
        <f>_xlfn.XLOOKUP(Table3[[#This Row],[instant]],Table1[instant],Table1[temp], ,0,1)</f>
        <v>0.2</v>
      </c>
      <c r="H93" s="24">
        <f>_xlfn.XLOOKUP(Table3[[#This Row],[instant]],Table2[instant],Table2[atemp], ,0,1)</f>
        <v>0.2273</v>
      </c>
      <c r="I93" s="1">
        <f>_xlfn.XLOOKUP(Table3[[#This Row],[instant]],Table2[instant],Table2[hum], ,0,1)</f>
        <v>0.69</v>
      </c>
      <c r="J93" s="1">
        <f>_xlfn.XLOOKUP(Table3[[#This Row],[instant]],Table2[instant],Table2[windspeed], ,0,1)</f>
        <v>8.9599999999999999E-2</v>
      </c>
      <c r="K93" s="1">
        <f>_xlfn.XLOOKUP(Table3[[#This Row],[instant]],Table2[instant],Table2[casual], ,0,1)</f>
        <v>2</v>
      </c>
      <c r="L93" s="1">
        <f>_xlfn.XLOOKUP(Table3[[#This Row],[instant]],Table2[instant],Table2[registered], ,0,1)</f>
        <v>9</v>
      </c>
      <c r="M93" s="6">
        <f>_xlfn.XLOOKUP(Table3[[#This Row],[instant]],Table2[instant],Table2[cnt], ,0,1)</f>
        <v>11</v>
      </c>
      <c r="N93" s="1" t="str">
        <f>IF(OR(Table3[[#This Row],[weekday]]=0,Table3[[#This Row],[weekday]]=6),"Weekend","Weekday")</f>
        <v>Weekday</v>
      </c>
    </row>
    <row r="94" spans="1:14" ht="15" thickBot="1" x14ac:dyDescent="0.35">
      <c r="A94" s="42">
        <v>93</v>
      </c>
      <c r="B94" s="43">
        <f>_xlfn.XLOOKUP(Table3[[#This Row],[instant]],DatSet1!A94:A703,DatSet1!B94:B703,_xlfn.XLOOKUP(Table3[[#This Row],[instant]],'Final Data'!A94:A483,'Final Data'!B94:B483, ,0,1),0,1)</f>
        <v>40548</v>
      </c>
      <c r="C94" s="42">
        <f>_xlfn.XLOOKUP(Table3[[#This Row],[instant]],Table1[instant],Table1[hr], ,0,1)</f>
        <v>0</v>
      </c>
      <c r="D94" s="44" t="b">
        <f>_xlfn.XLOOKUP(Table3[[#This Row],[instant]],Table1[instant],Table1[holiday], ,0,1)</f>
        <v>0</v>
      </c>
      <c r="E94" s="44">
        <f>_xlfn.XLOOKUP(Table3[[#This Row],[instant]],Table1[instant],Table1[weekday], ,0,1)</f>
        <v>3</v>
      </c>
      <c r="F94" s="44">
        <f>_xlfn.XLOOKUP(Table3[[#This Row],[instant]],Table1[instant],Table1[weathersit], ,0,1)</f>
        <v>1</v>
      </c>
      <c r="G94" s="44">
        <f>_xlfn.XLOOKUP(Table3[[#This Row],[instant]],Table1[instant],Table1[temp], ,0,1)</f>
        <v>0.2</v>
      </c>
      <c r="H94" s="45">
        <f>_xlfn.XLOOKUP(Table3[[#This Row],[instant]],Table2[instant],Table2[atemp], ,0,1)</f>
        <v>0.2576</v>
      </c>
      <c r="I94" s="42">
        <f>_xlfn.XLOOKUP(Table3[[#This Row],[instant]],Table2[instant],Table2[hum], ,0,1)</f>
        <v>0.64</v>
      </c>
      <c r="J94" s="42">
        <f>_xlfn.XLOOKUP(Table3[[#This Row],[instant]],Table2[instant],Table2[windspeed], ,0,1)</f>
        <v>0</v>
      </c>
      <c r="K94" s="42">
        <f>_xlfn.XLOOKUP(Table3[[#This Row],[instant]],Table2[instant],Table2[casual], ,0,1)</f>
        <v>0</v>
      </c>
      <c r="L94" s="42">
        <f>_xlfn.XLOOKUP(Table3[[#This Row],[instant]],Table2[instant],Table2[registered], ,0,1)</f>
        <v>6</v>
      </c>
      <c r="M94" s="46">
        <f>_xlfn.XLOOKUP(Table3[[#This Row],[instant]],Table2[instant],Table2[cnt], ,0,1)</f>
        <v>6</v>
      </c>
      <c r="N94" s="42" t="str">
        <f>IF(OR(Table3[[#This Row],[weekday]]=0,Table3[[#This Row],[weekday]]=6),"Weekend","Weekday")</f>
        <v>Weekday</v>
      </c>
    </row>
    <row r="95" spans="1:14" ht="15" thickBot="1" x14ac:dyDescent="0.35">
      <c r="A95" s="1">
        <v>94</v>
      </c>
      <c r="B95" s="3">
        <f>_xlfn.XLOOKUP(Table3[[#This Row],[instant]],DatSet1!A95:A704,DatSet1!B95:B704,_xlfn.XLOOKUP(Table3[[#This Row],[instant]],'Final Data'!A95:A484,'Final Data'!B95:B484, ,0,1),0,1)</f>
        <v>40548</v>
      </c>
      <c r="C95" s="1">
        <f>_xlfn.XLOOKUP(Table3[[#This Row],[instant]],Table1[instant],Table1[hr], ,0,1)</f>
        <v>1</v>
      </c>
      <c r="D95" s="2" t="b">
        <f>_xlfn.XLOOKUP(Table3[[#This Row],[instant]],Table1[instant],Table1[holiday], ,0,1)</f>
        <v>0</v>
      </c>
      <c r="E95" s="2">
        <f>_xlfn.XLOOKUP(Table3[[#This Row],[instant]],Table1[instant],Table1[weekday], ,0,1)</f>
        <v>3</v>
      </c>
      <c r="F95" s="2">
        <f>_xlfn.XLOOKUP(Table3[[#This Row],[instant]],Table1[instant],Table1[weathersit], ,0,1)</f>
        <v>1</v>
      </c>
      <c r="G95" s="2">
        <f>_xlfn.XLOOKUP(Table3[[#This Row],[instant]],Table1[instant],Table1[temp], ,0,1)</f>
        <v>0.16</v>
      </c>
      <c r="H95" s="24">
        <f>_xlfn.XLOOKUP(Table3[[#This Row],[instant]],Table2[instant],Table2[atemp], ,0,1)</f>
        <v>0.19700000000000001</v>
      </c>
      <c r="I95" s="1">
        <f>_xlfn.XLOOKUP(Table3[[#This Row],[instant]],Table2[instant],Table2[hum], ,0,1)</f>
        <v>0.74</v>
      </c>
      <c r="J95" s="1">
        <f>_xlfn.XLOOKUP(Table3[[#This Row],[instant]],Table2[instant],Table2[windspeed], ,0,1)</f>
        <v>8.9599999999999999E-2</v>
      </c>
      <c r="K95" s="1">
        <f>_xlfn.XLOOKUP(Table3[[#This Row],[instant]],Table2[instant],Table2[casual], ,0,1)</f>
        <v>0</v>
      </c>
      <c r="L95" s="1">
        <f>_xlfn.XLOOKUP(Table3[[#This Row],[instant]],Table2[instant],Table2[registered], ,0,1)</f>
        <v>6</v>
      </c>
      <c r="M95" s="6">
        <f>_xlfn.XLOOKUP(Table3[[#This Row],[instant]],Table2[instant],Table2[cnt], ,0,1)</f>
        <v>6</v>
      </c>
      <c r="N95" s="1" t="str">
        <f>IF(OR(Table3[[#This Row],[weekday]]=0,Table3[[#This Row],[weekday]]=6),"Weekend","Weekday")</f>
        <v>Weekday</v>
      </c>
    </row>
    <row r="96" spans="1:14" ht="15" thickBot="1" x14ac:dyDescent="0.35">
      <c r="A96" s="42">
        <v>95</v>
      </c>
      <c r="B96" s="43">
        <f>_xlfn.XLOOKUP(Table3[[#This Row],[instant]],DatSet1!A96:A705,DatSet1!B96:B705,_xlfn.XLOOKUP(Table3[[#This Row],[instant]],'Final Data'!A96:A485,'Final Data'!B96:B485, ,0,1),0,1)</f>
        <v>40548</v>
      </c>
      <c r="C96" s="42">
        <f>_xlfn.XLOOKUP(Table3[[#This Row],[instant]],Table1[instant],Table1[hr], ,0,1)</f>
        <v>2</v>
      </c>
      <c r="D96" s="44" t="b">
        <f>_xlfn.XLOOKUP(Table3[[#This Row],[instant]],Table1[instant],Table1[holiday], ,0,1)</f>
        <v>0</v>
      </c>
      <c r="E96" s="44">
        <f>_xlfn.XLOOKUP(Table3[[#This Row],[instant]],Table1[instant],Table1[weekday], ,0,1)</f>
        <v>3</v>
      </c>
      <c r="F96" s="44">
        <f>_xlfn.XLOOKUP(Table3[[#This Row],[instant]],Table1[instant],Table1[weathersit], ,0,1)</f>
        <v>1</v>
      </c>
      <c r="G96" s="44">
        <f>_xlfn.XLOOKUP(Table3[[#This Row],[instant]],Table1[instant],Table1[temp], ,0,1)</f>
        <v>0.16</v>
      </c>
      <c r="H96" s="45">
        <f>_xlfn.XLOOKUP(Table3[[#This Row],[instant]],Table2[instant],Table2[atemp], ,0,1)</f>
        <v>0.19700000000000001</v>
      </c>
      <c r="I96" s="42">
        <f>_xlfn.XLOOKUP(Table3[[#This Row],[instant]],Table2[instant],Table2[hum], ,0,1)</f>
        <v>0.74</v>
      </c>
      <c r="J96" s="42">
        <f>_xlfn.XLOOKUP(Table3[[#This Row],[instant]],Table2[instant],Table2[windspeed], ,0,1)</f>
        <v>8.9599999999999999E-2</v>
      </c>
      <c r="K96" s="42">
        <f>_xlfn.XLOOKUP(Table3[[#This Row],[instant]],Table2[instant],Table2[casual], ,0,1)</f>
        <v>0</v>
      </c>
      <c r="L96" s="42">
        <f>_xlfn.XLOOKUP(Table3[[#This Row],[instant]],Table2[instant],Table2[registered], ,0,1)</f>
        <v>2</v>
      </c>
      <c r="M96" s="46">
        <f>_xlfn.XLOOKUP(Table3[[#This Row],[instant]],Table2[instant],Table2[cnt], ,0,1)</f>
        <v>2</v>
      </c>
      <c r="N96" s="42" t="str">
        <f>IF(OR(Table3[[#This Row],[weekday]]=0,Table3[[#This Row],[weekday]]=6),"Weekend","Weekday")</f>
        <v>Weekday</v>
      </c>
    </row>
    <row r="97" spans="1:14" ht="15" thickBot="1" x14ac:dyDescent="0.35">
      <c r="A97" s="1">
        <v>96</v>
      </c>
      <c r="B97" s="3">
        <f>_xlfn.XLOOKUP(Table3[[#This Row],[instant]],DatSet1!A97:A706,DatSet1!B97:B706,_xlfn.XLOOKUP(Table3[[#This Row],[instant]],'Final Data'!A97:A486,'Final Data'!B97:B486, ,0,1),0,1)</f>
        <v>40548</v>
      </c>
      <c r="C97" s="1">
        <f>_xlfn.XLOOKUP(Table3[[#This Row],[instant]],Table1[instant],Table1[hr], ,0,1)</f>
        <v>4</v>
      </c>
      <c r="D97" s="2" t="b">
        <f>_xlfn.XLOOKUP(Table3[[#This Row],[instant]],Table1[instant],Table1[holiday], ,0,1)</f>
        <v>0</v>
      </c>
      <c r="E97" s="2">
        <f>_xlfn.XLOOKUP(Table3[[#This Row],[instant]],Table1[instant],Table1[weekday], ,0,1)</f>
        <v>3</v>
      </c>
      <c r="F97" s="2">
        <f>_xlfn.XLOOKUP(Table3[[#This Row],[instant]],Table1[instant],Table1[weathersit], ,0,1)</f>
        <v>1</v>
      </c>
      <c r="G97" s="2">
        <f>_xlfn.XLOOKUP(Table3[[#This Row],[instant]],Table1[instant],Table1[temp], ,0,1)</f>
        <v>0.24</v>
      </c>
      <c r="H97" s="24">
        <f>_xlfn.XLOOKUP(Table3[[#This Row],[instant]],Table2[instant],Table2[atemp], ,0,1)</f>
        <v>0.2273</v>
      </c>
      <c r="I97" s="1">
        <f>_xlfn.XLOOKUP(Table3[[#This Row],[instant]],Table2[instant],Table2[hum], ,0,1)</f>
        <v>0.48</v>
      </c>
      <c r="J97" s="1">
        <f>_xlfn.XLOOKUP(Table3[[#This Row],[instant]],Table2[instant],Table2[windspeed], ,0,1)</f>
        <v>0.22389999999999999</v>
      </c>
      <c r="K97" s="1">
        <f>_xlfn.XLOOKUP(Table3[[#This Row],[instant]],Table2[instant],Table2[casual], ,0,1)</f>
        <v>0</v>
      </c>
      <c r="L97" s="1">
        <f>_xlfn.XLOOKUP(Table3[[#This Row],[instant]],Table2[instant],Table2[registered], ,0,1)</f>
        <v>2</v>
      </c>
      <c r="M97" s="6">
        <f>_xlfn.XLOOKUP(Table3[[#This Row],[instant]],Table2[instant],Table2[cnt], ,0,1)</f>
        <v>2</v>
      </c>
      <c r="N97" s="1" t="str">
        <f>IF(OR(Table3[[#This Row],[weekday]]=0,Table3[[#This Row],[weekday]]=6),"Weekend","Weekday")</f>
        <v>Weekday</v>
      </c>
    </row>
    <row r="98" spans="1:14" ht="15" thickBot="1" x14ac:dyDescent="0.35">
      <c r="A98" s="42">
        <v>97</v>
      </c>
      <c r="B98" s="43">
        <f>_xlfn.XLOOKUP(Table3[[#This Row],[instant]],DatSet1!A98:A707,DatSet1!B98:B707,_xlfn.XLOOKUP(Table3[[#This Row],[instant]],'Final Data'!A98:A487,'Final Data'!B98:B487, ,0,1),0,1)</f>
        <v>40548</v>
      </c>
      <c r="C98" s="42">
        <f>_xlfn.XLOOKUP(Table3[[#This Row],[instant]],Table1[instant],Table1[hr], ,0,1)</f>
        <v>5</v>
      </c>
      <c r="D98" s="44" t="b">
        <f>_xlfn.XLOOKUP(Table3[[#This Row],[instant]],Table1[instant],Table1[holiday], ,0,1)</f>
        <v>0</v>
      </c>
      <c r="E98" s="44">
        <f>_xlfn.XLOOKUP(Table3[[#This Row],[instant]],Table1[instant],Table1[weekday], ,0,1)</f>
        <v>3</v>
      </c>
      <c r="F98" s="44">
        <f>_xlfn.XLOOKUP(Table3[[#This Row],[instant]],Table1[instant],Table1[weathersit], ,0,1)</f>
        <v>1</v>
      </c>
      <c r="G98" s="44">
        <f>_xlfn.XLOOKUP(Table3[[#This Row],[instant]],Table1[instant],Table1[temp], ,0,1)</f>
        <v>0.22</v>
      </c>
      <c r="H98" s="45">
        <f>_xlfn.XLOOKUP(Table3[[#This Row],[instant]],Table2[instant],Table2[atemp], ,0,1)</f>
        <v>0.2273</v>
      </c>
      <c r="I98" s="42">
        <f>_xlfn.XLOOKUP(Table3[[#This Row],[instant]],Table2[instant],Table2[hum], ,0,1)</f>
        <v>0.47</v>
      </c>
      <c r="J98" s="42">
        <f>_xlfn.XLOOKUP(Table3[[#This Row],[instant]],Table2[instant],Table2[windspeed], ,0,1)</f>
        <v>0.16420000000000001</v>
      </c>
      <c r="K98" s="42">
        <f>_xlfn.XLOOKUP(Table3[[#This Row],[instant]],Table2[instant],Table2[casual], ,0,1)</f>
        <v>0</v>
      </c>
      <c r="L98" s="42">
        <f>_xlfn.XLOOKUP(Table3[[#This Row],[instant]],Table2[instant],Table2[registered], ,0,1)</f>
        <v>3</v>
      </c>
      <c r="M98" s="46">
        <f>_xlfn.XLOOKUP(Table3[[#This Row],[instant]],Table2[instant],Table2[cnt], ,0,1)</f>
        <v>3</v>
      </c>
      <c r="N98" s="42" t="str">
        <f>IF(OR(Table3[[#This Row],[weekday]]=0,Table3[[#This Row],[weekday]]=6),"Weekend","Weekday")</f>
        <v>Weekday</v>
      </c>
    </row>
    <row r="99" spans="1:14" ht="15" thickBot="1" x14ac:dyDescent="0.35">
      <c r="A99" s="1">
        <v>98</v>
      </c>
      <c r="B99" s="3">
        <f>_xlfn.XLOOKUP(Table3[[#This Row],[instant]],DatSet1!A99:A708,DatSet1!B99:B708,_xlfn.XLOOKUP(Table3[[#This Row],[instant]],'Final Data'!A99:A488,'Final Data'!B99:B488, ,0,1),0,1)</f>
        <v>40548</v>
      </c>
      <c r="C99" s="1">
        <f>_xlfn.XLOOKUP(Table3[[#This Row],[instant]],Table1[instant],Table1[hr], ,0,1)</f>
        <v>6</v>
      </c>
      <c r="D99" s="2" t="b">
        <f>_xlfn.XLOOKUP(Table3[[#This Row],[instant]],Table1[instant],Table1[holiday], ,0,1)</f>
        <v>0</v>
      </c>
      <c r="E99" s="2">
        <f>_xlfn.XLOOKUP(Table3[[#This Row],[instant]],Table1[instant],Table1[weekday], ,0,1)</f>
        <v>3</v>
      </c>
      <c r="F99" s="2">
        <f>_xlfn.XLOOKUP(Table3[[#This Row],[instant]],Table1[instant],Table1[weathersit], ,0,1)</f>
        <v>1</v>
      </c>
      <c r="G99" s="2">
        <f>_xlfn.XLOOKUP(Table3[[#This Row],[instant]],Table1[instant],Table1[temp], ,0,1)</f>
        <v>0.2</v>
      </c>
      <c r="H99" s="24">
        <f>_xlfn.XLOOKUP(Table3[[#This Row],[instant]],Table2[instant],Table2[atemp], ,0,1)</f>
        <v>0.19700000000000001</v>
      </c>
      <c r="I99" s="1">
        <f>_xlfn.XLOOKUP(Table3[[#This Row],[instant]],Table2[instant],Table2[hum], ,0,1)</f>
        <v>0.47</v>
      </c>
      <c r="J99" s="1">
        <f>_xlfn.XLOOKUP(Table3[[#This Row],[instant]],Table2[instant],Table2[windspeed], ,0,1)</f>
        <v>0.22389999999999999</v>
      </c>
      <c r="K99" s="1">
        <f>_xlfn.XLOOKUP(Table3[[#This Row],[instant]],Table2[instant],Table2[casual], ,0,1)</f>
        <v>0</v>
      </c>
      <c r="L99" s="1">
        <f>_xlfn.XLOOKUP(Table3[[#This Row],[instant]],Table2[instant],Table2[registered], ,0,1)</f>
        <v>33</v>
      </c>
      <c r="M99" s="6">
        <f>_xlfn.XLOOKUP(Table3[[#This Row],[instant]],Table2[instant],Table2[cnt], ,0,1)</f>
        <v>33</v>
      </c>
      <c r="N99" s="1" t="str">
        <f>IF(OR(Table3[[#This Row],[weekday]]=0,Table3[[#This Row],[weekday]]=6),"Weekend","Weekday")</f>
        <v>Weekday</v>
      </c>
    </row>
    <row r="100" spans="1:14" ht="15" thickBot="1" x14ac:dyDescent="0.35">
      <c r="A100" s="42">
        <v>99</v>
      </c>
      <c r="B100" s="43">
        <f>_xlfn.XLOOKUP(Table3[[#This Row],[instant]],DatSet1!A100:A709,DatSet1!B100:B709,_xlfn.XLOOKUP(Table3[[#This Row],[instant]],'Final Data'!A100:A489,'Final Data'!B100:B489, ,0,1),0,1)</f>
        <v>40548</v>
      </c>
      <c r="C100" s="42">
        <f>_xlfn.XLOOKUP(Table3[[#This Row],[instant]],Table1[instant],Table1[hr], ,0,1)</f>
        <v>7</v>
      </c>
      <c r="D100" s="44" t="b">
        <f>_xlfn.XLOOKUP(Table3[[#This Row],[instant]],Table1[instant],Table1[holiday], ,0,1)</f>
        <v>0</v>
      </c>
      <c r="E100" s="44">
        <f>_xlfn.XLOOKUP(Table3[[#This Row],[instant]],Table1[instant],Table1[weekday], ,0,1)</f>
        <v>3</v>
      </c>
      <c r="F100" s="44">
        <f>_xlfn.XLOOKUP(Table3[[#This Row],[instant]],Table1[instant],Table1[weathersit], ,0,1)</f>
        <v>1</v>
      </c>
      <c r="G100" s="44">
        <f>_xlfn.XLOOKUP(Table3[[#This Row],[instant]],Table1[instant],Table1[temp], ,0,1)</f>
        <v>0.18</v>
      </c>
      <c r="H100" s="45">
        <f>_xlfn.XLOOKUP(Table3[[#This Row],[instant]],Table2[instant],Table2[atemp], ,0,1)</f>
        <v>0.18179999999999999</v>
      </c>
      <c r="I100" s="42">
        <f>_xlfn.XLOOKUP(Table3[[#This Row],[instant]],Table2[instant],Table2[hum], ,0,1)</f>
        <v>0.43</v>
      </c>
      <c r="J100" s="42">
        <f>_xlfn.XLOOKUP(Table3[[#This Row],[instant]],Table2[instant],Table2[windspeed], ,0,1)</f>
        <v>0.19400000000000001</v>
      </c>
      <c r="K100" s="42">
        <f>_xlfn.XLOOKUP(Table3[[#This Row],[instant]],Table2[instant],Table2[casual], ,0,1)</f>
        <v>1</v>
      </c>
      <c r="L100" s="42">
        <f>_xlfn.XLOOKUP(Table3[[#This Row],[instant]],Table2[instant],Table2[registered], ,0,1)</f>
        <v>87</v>
      </c>
      <c r="M100" s="46">
        <f>_xlfn.XLOOKUP(Table3[[#This Row],[instant]],Table2[instant],Table2[cnt], ,0,1)</f>
        <v>88</v>
      </c>
      <c r="N100" s="42" t="str">
        <f>IF(OR(Table3[[#This Row],[weekday]]=0,Table3[[#This Row],[weekday]]=6),"Weekend","Weekday")</f>
        <v>Weekday</v>
      </c>
    </row>
    <row r="101" spans="1:14" ht="15" thickBot="1" x14ac:dyDescent="0.35">
      <c r="A101" s="1">
        <v>100</v>
      </c>
      <c r="B101" s="3">
        <f>_xlfn.XLOOKUP(Table3[[#This Row],[instant]],DatSet1!A101:A710,DatSet1!B101:B710,_xlfn.XLOOKUP(Table3[[#This Row],[instant]],'Final Data'!A101:A490,'Final Data'!B101:B490, ,0,1),0,1)</f>
        <v>40548</v>
      </c>
      <c r="C101" s="1">
        <f>_xlfn.XLOOKUP(Table3[[#This Row],[instant]],Table1[instant],Table1[hr], ,0,1)</f>
        <v>8</v>
      </c>
      <c r="D101" s="2" t="b">
        <f>_xlfn.XLOOKUP(Table3[[#This Row],[instant]],Table1[instant],Table1[holiday], ,0,1)</f>
        <v>0</v>
      </c>
      <c r="E101" s="2">
        <f>_xlfn.XLOOKUP(Table3[[#This Row],[instant]],Table1[instant],Table1[weekday], ,0,1)</f>
        <v>3</v>
      </c>
      <c r="F101" s="2">
        <f>_xlfn.XLOOKUP(Table3[[#This Row],[instant]],Table1[instant],Table1[weathersit], ,0,1)</f>
        <v>1</v>
      </c>
      <c r="G101" s="2">
        <f>_xlfn.XLOOKUP(Table3[[#This Row],[instant]],Table1[instant],Table1[temp], ,0,1)</f>
        <v>0.2</v>
      </c>
      <c r="H101" s="24">
        <f>_xlfn.XLOOKUP(Table3[[#This Row],[instant]],Table2[instant],Table2[atemp], ,0,1)</f>
        <v>0.18179999999999999</v>
      </c>
      <c r="I101" s="1">
        <f>_xlfn.XLOOKUP(Table3[[#This Row],[instant]],Table2[instant],Table2[hum], ,0,1)</f>
        <v>0.4</v>
      </c>
      <c r="J101" s="1">
        <f>_xlfn.XLOOKUP(Table3[[#This Row],[instant]],Table2[instant],Table2[windspeed], ,0,1)</f>
        <v>0.29849999999999999</v>
      </c>
      <c r="K101" s="1">
        <f>_xlfn.XLOOKUP(Table3[[#This Row],[instant]],Table2[instant],Table2[casual], ,0,1)</f>
        <v>3</v>
      </c>
      <c r="L101" s="1">
        <f>_xlfn.XLOOKUP(Table3[[#This Row],[instant]],Table2[instant],Table2[registered], ,0,1)</f>
        <v>192</v>
      </c>
      <c r="M101" s="6">
        <f>_xlfn.XLOOKUP(Table3[[#This Row],[instant]],Table2[instant],Table2[cnt], ,0,1)</f>
        <v>195</v>
      </c>
      <c r="N101" s="1" t="str">
        <f>IF(OR(Table3[[#This Row],[weekday]]=0,Table3[[#This Row],[weekday]]=6),"Weekend","Weekday")</f>
        <v>Weekday</v>
      </c>
    </row>
    <row r="102" spans="1:14" ht="15" thickBot="1" x14ac:dyDescent="0.35">
      <c r="A102" s="42">
        <v>101</v>
      </c>
      <c r="B102" s="43">
        <f>_xlfn.XLOOKUP(Table3[[#This Row],[instant]],DatSet1!A102:A711,DatSet1!B102:B711,_xlfn.XLOOKUP(Table3[[#This Row],[instant]],'Final Data'!A102:A491,'Final Data'!B102:B491, ,0,1),0,1)</f>
        <v>40548</v>
      </c>
      <c r="C102" s="42">
        <f>_xlfn.XLOOKUP(Table3[[#This Row],[instant]],Table1[instant],Table1[hr], ,0,1)</f>
        <v>9</v>
      </c>
      <c r="D102" s="44" t="b">
        <f>_xlfn.XLOOKUP(Table3[[#This Row],[instant]],Table1[instant],Table1[holiday], ,0,1)</f>
        <v>0</v>
      </c>
      <c r="E102" s="44">
        <f>_xlfn.XLOOKUP(Table3[[#This Row],[instant]],Table1[instant],Table1[weekday], ,0,1)</f>
        <v>3</v>
      </c>
      <c r="F102" s="44">
        <f>_xlfn.XLOOKUP(Table3[[#This Row],[instant]],Table1[instant],Table1[weathersit], ,0,1)</f>
        <v>1</v>
      </c>
      <c r="G102" s="44">
        <f>_xlfn.XLOOKUP(Table3[[#This Row],[instant]],Table1[instant],Table1[temp], ,0,1)</f>
        <v>0.22</v>
      </c>
      <c r="H102" s="45">
        <f>_xlfn.XLOOKUP(Table3[[#This Row],[instant]],Table2[instant],Table2[atemp], ,0,1)</f>
        <v>0.19700000000000001</v>
      </c>
      <c r="I102" s="42">
        <f>_xlfn.XLOOKUP(Table3[[#This Row],[instant]],Table2[instant],Table2[hum], ,0,1)</f>
        <v>0.37</v>
      </c>
      <c r="J102" s="42">
        <f>_xlfn.XLOOKUP(Table3[[#This Row],[instant]],Table2[instant],Table2[windspeed], ,0,1)</f>
        <v>0.32840000000000003</v>
      </c>
      <c r="K102" s="42">
        <f>_xlfn.XLOOKUP(Table3[[#This Row],[instant]],Table2[instant],Table2[casual], ,0,1)</f>
        <v>6</v>
      </c>
      <c r="L102" s="42">
        <f>_xlfn.XLOOKUP(Table3[[#This Row],[instant]],Table2[instant],Table2[registered], ,0,1)</f>
        <v>109</v>
      </c>
      <c r="M102" s="46">
        <f>_xlfn.XLOOKUP(Table3[[#This Row],[instant]],Table2[instant],Table2[cnt], ,0,1)</f>
        <v>115</v>
      </c>
      <c r="N102" s="42" t="str">
        <f>IF(OR(Table3[[#This Row],[weekday]]=0,Table3[[#This Row],[weekday]]=6),"Weekend","Weekday")</f>
        <v>Weekday</v>
      </c>
    </row>
    <row r="103" spans="1:14" ht="15" thickBot="1" x14ac:dyDescent="0.35">
      <c r="A103" s="1">
        <v>102</v>
      </c>
      <c r="B103" s="3">
        <f>_xlfn.XLOOKUP(Table3[[#This Row],[instant]],DatSet1!A103:A712,DatSet1!B103:B712,_xlfn.XLOOKUP(Table3[[#This Row],[instant]],'Final Data'!A103:A492,'Final Data'!B103:B492, ,0,1),0,1)</f>
        <v>40548</v>
      </c>
      <c r="C103" s="1">
        <f>_xlfn.XLOOKUP(Table3[[#This Row],[instant]],Table1[instant],Table1[hr], ,0,1)</f>
        <v>10</v>
      </c>
      <c r="D103" s="2" t="b">
        <f>_xlfn.XLOOKUP(Table3[[#This Row],[instant]],Table1[instant],Table1[holiday], ,0,1)</f>
        <v>0</v>
      </c>
      <c r="E103" s="2">
        <f>_xlfn.XLOOKUP(Table3[[#This Row],[instant]],Table1[instant],Table1[weekday], ,0,1)</f>
        <v>3</v>
      </c>
      <c r="F103" s="2">
        <f>_xlfn.XLOOKUP(Table3[[#This Row],[instant]],Table1[instant],Table1[weathersit], ,0,1)</f>
        <v>1</v>
      </c>
      <c r="G103" s="2">
        <f>_xlfn.XLOOKUP(Table3[[#This Row],[instant]],Table1[instant],Table1[temp], ,0,1)</f>
        <v>0.22</v>
      </c>
      <c r="H103" s="24">
        <f>_xlfn.XLOOKUP(Table3[[#This Row],[instant]],Table2[instant],Table2[atemp], ,0,1)</f>
        <v>0.19700000000000001</v>
      </c>
      <c r="I103" s="1">
        <f>_xlfn.XLOOKUP(Table3[[#This Row],[instant]],Table2[instant],Table2[hum], ,0,1)</f>
        <v>0.37</v>
      </c>
      <c r="J103" s="1">
        <f>_xlfn.XLOOKUP(Table3[[#This Row],[instant]],Table2[instant],Table2[windspeed], ,0,1)</f>
        <v>0.32840000000000003</v>
      </c>
      <c r="K103" s="1">
        <f>_xlfn.XLOOKUP(Table3[[#This Row],[instant]],Table2[instant],Table2[casual], ,0,1)</f>
        <v>4</v>
      </c>
      <c r="L103" s="1">
        <f>_xlfn.XLOOKUP(Table3[[#This Row],[instant]],Table2[instant],Table2[registered], ,0,1)</f>
        <v>53</v>
      </c>
      <c r="M103" s="6">
        <f>_xlfn.XLOOKUP(Table3[[#This Row],[instant]],Table2[instant],Table2[cnt], ,0,1)</f>
        <v>57</v>
      </c>
      <c r="N103" s="1" t="str">
        <f>IF(OR(Table3[[#This Row],[weekday]]=0,Table3[[#This Row],[weekday]]=6),"Weekend","Weekday")</f>
        <v>Weekday</v>
      </c>
    </row>
    <row r="104" spans="1:14" ht="15" thickBot="1" x14ac:dyDescent="0.35">
      <c r="A104" s="42">
        <v>103</v>
      </c>
      <c r="B104" s="43">
        <f>_xlfn.XLOOKUP(Table3[[#This Row],[instant]],DatSet1!A104:A713,DatSet1!B104:B713,_xlfn.XLOOKUP(Table3[[#This Row],[instant]],'Final Data'!A104:A493,'Final Data'!B104:B493, ,0,1),0,1)</f>
        <v>40548</v>
      </c>
      <c r="C104" s="42">
        <f>_xlfn.XLOOKUP(Table3[[#This Row],[instant]],Table1[instant],Table1[hr], ,0,1)</f>
        <v>11</v>
      </c>
      <c r="D104" s="44" t="b">
        <f>_xlfn.XLOOKUP(Table3[[#This Row],[instant]],Table1[instant],Table1[holiday], ,0,1)</f>
        <v>0</v>
      </c>
      <c r="E104" s="44">
        <f>_xlfn.XLOOKUP(Table3[[#This Row],[instant]],Table1[instant],Table1[weekday], ,0,1)</f>
        <v>3</v>
      </c>
      <c r="F104" s="44">
        <f>_xlfn.XLOOKUP(Table3[[#This Row],[instant]],Table1[instant],Table1[weathersit], ,0,1)</f>
        <v>1</v>
      </c>
      <c r="G104" s="44">
        <f>_xlfn.XLOOKUP(Table3[[#This Row],[instant]],Table1[instant],Table1[temp], ,0,1)</f>
        <v>0.26</v>
      </c>
      <c r="H104" s="45">
        <f>_xlfn.XLOOKUP(Table3[[#This Row],[instant]],Table2[instant],Table2[atemp], ,0,1)</f>
        <v>0.2273</v>
      </c>
      <c r="I104" s="42">
        <f>_xlfn.XLOOKUP(Table3[[#This Row],[instant]],Table2[instant],Table2[hum], ,0,1)</f>
        <v>0.33</v>
      </c>
      <c r="J104" s="42">
        <f>_xlfn.XLOOKUP(Table3[[#This Row],[instant]],Table2[instant],Table2[windspeed], ,0,1)</f>
        <v>0.32840000000000003</v>
      </c>
      <c r="K104" s="42">
        <f>_xlfn.XLOOKUP(Table3[[#This Row],[instant]],Table2[instant],Table2[casual], ,0,1)</f>
        <v>12</v>
      </c>
      <c r="L104" s="42">
        <f>_xlfn.XLOOKUP(Table3[[#This Row],[instant]],Table2[instant],Table2[registered], ,0,1)</f>
        <v>34</v>
      </c>
      <c r="M104" s="46">
        <f>_xlfn.XLOOKUP(Table3[[#This Row],[instant]],Table2[instant],Table2[cnt], ,0,1)</f>
        <v>46</v>
      </c>
      <c r="N104" s="42" t="str">
        <f>IF(OR(Table3[[#This Row],[weekday]]=0,Table3[[#This Row],[weekday]]=6),"Weekend","Weekday")</f>
        <v>Weekday</v>
      </c>
    </row>
    <row r="105" spans="1:14" ht="15" thickBot="1" x14ac:dyDescent="0.35">
      <c r="A105" s="1">
        <v>104</v>
      </c>
      <c r="B105" s="3">
        <f>_xlfn.XLOOKUP(Table3[[#This Row],[instant]],DatSet1!A105:A714,DatSet1!B105:B714,_xlfn.XLOOKUP(Table3[[#This Row],[instant]],'Final Data'!A105:A494,'Final Data'!B105:B494, ,0,1),0,1)</f>
        <v>40548</v>
      </c>
      <c r="C105" s="1">
        <f>_xlfn.XLOOKUP(Table3[[#This Row],[instant]],Table1[instant],Table1[hr], ,0,1)</f>
        <v>12</v>
      </c>
      <c r="D105" s="2" t="b">
        <f>_xlfn.XLOOKUP(Table3[[#This Row],[instant]],Table1[instant],Table1[holiday], ,0,1)</f>
        <v>0</v>
      </c>
      <c r="E105" s="2">
        <f>_xlfn.XLOOKUP(Table3[[#This Row],[instant]],Table1[instant],Table1[weekday], ,0,1)</f>
        <v>3</v>
      </c>
      <c r="F105" s="2">
        <f>_xlfn.XLOOKUP(Table3[[#This Row],[instant]],Table1[instant],Table1[weathersit], ,0,1)</f>
        <v>1</v>
      </c>
      <c r="G105" s="2">
        <f>_xlfn.XLOOKUP(Table3[[#This Row],[instant]],Table1[instant],Table1[temp], ,0,1)</f>
        <v>0.26</v>
      </c>
      <c r="H105" s="24">
        <f>_xlfn.XLOOKUP(Table3[[#This Row],[instant]],Table2[instant],Table2[atemp], ,0,1)</f>
        <v>0.2273</v>
      </c>
      <c r="I105" s="1">
        <f>_xlfn.XLOOKUP(Table3[[#This Row],[instant]],Table2[instant],Table2[hum], ,0,1)</f>
        <v>0.33</v>
      </c>
      <c r="J105" s="1">
        <f>_xlfn.XLOOKUP(Table3[[#This Row],[instant]],Table2[instant],Table2[windspeed], ,0,1)</f>
        <v>0.32840000000000003</v>
      </c>
      <c r="K105" s="1">
        <f>_xlfn.XLOOKUP(Table3[[#This Row],[instant]],Table2[instant],Table2[casual], ,0,1)</f>
        <v>5</v>
      </c>
      <c r="L105" s="1">
        <f>_xlfn.XLOOKUP(Table3[[#This Row],[instant]],Table2[instant],Table2[registered], ,0,1)</f>
        <v>74</v>
      </c>
      <c r="M105" s="6">
        <f>_xlfn.XLOOKUP(Table3[[#This Row],[instant]],Table2[instant],Table2[cnt], ,0,1)</f>
        <v>79</v>
      </c>
      <c r="N105" s="1" t="str">
        <f>IF(OR(Table3[[#This Row],[weekday]]=0,Table3[[#This Row],[weekday]]=6),"Weekend","Weekday")</f>
        <v>Weekday</v>
      </c>
    </row>
    <row r="106" spans="1:14" ht="15" thickBot="1" x14ac:dyDescent="0.35">
      <c r="A106" s="42">
        <v>105</v>
      </c>
      <c r="B106" s="43">
        <f>_xlfn.XLOOKUP(Table3[[#This Row],[instant]],DatSet1!A106:A715,DatSet1!B106:B715,_xlfn.XLOOKUP(Table3[[#This Row],[instant]],'Final Data'!A106:A495,'Final Data'!B106:B495, ,0,1),0,1)</f>
        <v>40548</v>
      </c>
      <c r="C106" s="42">
        <f>_xlfn.XLOOKUP(Table3[[#This Row],[instant]],Table1[instant],Table1[hr], ,0,1)</f>
        <v>13</v>
      </c>
      <c r="D106" s="44" t="b">
        <f>_xlfn.XLOOKUP(Table3[[#This Row],[instant]],Table1[instant],Table1[holiday], ,0,1)</f>
        <v>0</v>
      </c>
      <c r="E106" s="44">
        <f>_xlfn.XLOOKUP(Table3[[#This Row],[instant]],Table1[instant],Table1[weekday], ,0,1)</f>
        <v>3</v>
      </c>
      <c r="F106" s="44">
        <f>_xlfn.XLOOKUP(Table3[[#This Row],[instant]],Table1[instant],Table1[weathersit], ,0,1)</f>
        <v>1</v>
      </c>
      <c r="G106" s="44">
        <f>_xlfn.XLOOKUP(Table3[[#This Row],[instant]],Table1[instant],Table1[temp], ,0,1)</f>
        <v>0.28000000000000003</v>
      </c>
      <c r="H106" s="45">
        <f>_xlfn.XLOOKUP(Table3[[#This Row],[instant]],Table2[instant],Table2[atemp], ,0,1)</f>
        <v>0.2576</v>
      </c>
      <c r="I106" s="42">
        <f>_xlfn.XLOOKUP(Table3[[#This Row],[instant]],Table2[instant],Table2[hum], ,0,1)</f>
        <v>0.3</v>
      </c>
      <c r="J106" s="42">
        <f>_xlfn.XLOOKUP(Table3[[#This Row],[instant]],Table2[instant],Table2[windspeed], ,0,1)</f>
        <v>0.29849999999999999</v>
      </c>
      <c r="K106" s="42">
        <f>_xlfn.XLOOKUP(Table3[[#This Row],[instant]],Table2[instant],Table2[casual], ,0,1)</f>
        <v>6</v>
      </c>
      <c r="L106" s="42">
        <f>_xlfn.XLOOKUP(Table3[[#This Row],[instant]],Table2[instant],Table2[registered], ,0,1)</f>
        <v>65</v>
      </c>
      <c r="M106" s="46">
        <f>_xlfn.XLOOKUP(Table3[[#This Row],[instant]],Table2[instant],Table2[cnt], ,0,1)</f>
        <v>71</v>
      </c>
      <c r="N106" s="42" t="str">
        <f>IF(OR(Table3[[#This Row],[weekday]]=0,Table3[[#This Row],[weekday]]=6),"Weekend","Weekday")</f>
        <v>Weekday</v>
      </c>
    </row>
    <row r="107" spans="1:14" ht="15" thickBot="1" x14ac:dyDescent="0.35">
      <c r="A107" s="1">
        <v>106</v>
      </c>
      <c r="B107" s="3">
        <f>_xlfn.XLOOKUP(Table3[[#This Row],[instant]],DatSet1!A107:A716,DatSet1!B107:B716,_xlfn.XLOOKUP(Table3[[#This Row],[instant]],'Final Data'!A107:A496,'Final Data'!B107:B496, ,0,1),0,1)</f>
        <v>40548</v>
      </c>
      <c r="C107" s="1">
        <f>_xlfn.XLOOKUP(Table3[[#This Row],[instant]],Table1[instant],Table1[hr], ,0,1)</f>
        <v>14</v>
      </c>
      <c r="D107" s="2" t="b">
        <f>_xlfn.XLOOKUP(Table3[[#This Row],[instant]],Table1[instant],Table1[holiday], ,0,1)</f>
        <v>0</v>
      </c>
      <c r="E107" s="2">
        <f>_xlfn.XLOOKUP(Table3[[#This Row],[instant]],Table1[instant],Table1[weekday], ,0,1)</f>
        <v>3</v>
      </c>
      <c r="F107" s="2">
        <f>_xlfn.XLOOKUP(Table3[[#This Row],[instant]],Table1[instant],Table1[weathersit], ,0,1)</f>
        <v>1</v>
      </c>
      <c r="G107" s="2">
        <f>_xlfn.XLOOKUP(Table3[[#This Row],[instant]],Table1[instant],Table1[temp], ,0,1)</f>
        <v>0.3</v>
      </c>
      <c r="H107" s="24">
        <f>_xlfn.XLOOKUP(Table3[[#This Row],[instant]],Table2[instant],Table2[atemp], ,0,1)</f>
        <v>0.28789999999999999</v>
      </c>
      <c r="I107" s="1">
        <f>_xlfn.XLOOKUP(Table3[[#This Row],[instant]],Table2[instant],Table2[hum], ,0,1)</f>
        <v>0.28000000000000003</v>
      </c>
      <c r="J107" s="1">
        <f>_xlfn.XLOOKUP(Table3[[#This Row],[instant]],Table2[instant],Table2[windspeed], ,0,1)</f>
        <v>0.19400000000000001</v>
      </c>
      <c r="K107" s="1">
        <f>_xlfn.XLOOKUP(Table3[[#This Row],[instant]],Table2[instant],Table2[casual], ,0,1)</f>
        <v>10</v>
      </c>
      <c r="L107" s="1">
        <f>_xlfn.XLOOKUP(Table3[[#This Row],[instant]],Table2[instant],Table2[registered], ,0,1)</f>
        <v>52</v>
      </c>
      <c r="M107" s="6">
        <f>_xlfn.XLOOKUP(Table3[[#This Row],[instant]],Table2[instant],Table2[cnt], ,0,1)</f>
        <v>62</v>
      </c>
      <c r="N107" s="1" t="str">
        <f>IF(OR(Table3[[#This Row],[weekday]]=0,Table3[[#This Row],[weekday]]=6),"Weekend","Weekday")</f>
        <v>Weekday</v>
      </c>
    </row>
    <row r="108" spans="1:14" ht="15" thickBot="1" x14ac:dyDescent="0.35">
      <c r="A108" s="42">
        <v>107</v>
      </c>
      <c r="B108" s="43">
        <f>_xlfn.XLOOKUP(Table3[[#This Row],[instant]],DatSet1!A108:A717,DatSet1!B108:B717,_xlfn.XLOOKUP(Table3[[#This Row],[instant]],'Final Data'!A108:A497,'Final Data'!B108:B497, ,0,1),0,1)</f>
        <v>40548</v>
      </c>
      <c r="C108" s="42">
        <f>_xlfn.XLOOKUP(Table3[[#This Row],[instant]],Table1[instant],Table1[hr], ,0,1)</f>
        <v>15</v>
      </c>
      <c r="D108" s="44" t="b">
        <f>_xlfn.XLOOKUP(Table3[[#This Row],[instant]],Table1[instant],Table1[holiday], ,0,1)</f>
        <v>0</v>
      </c>
      <c r="E108" s="44">
        <f>_xlfn.XLOOKUP(Table3[[#This Row],[instant]],Table1[instant],Table1[weekday], ,0,1)</f>
        <v>3</v>
      </c>
      <c r="F108" s="44">
        <f>_xlfn.XLOOKUP(Table3[[#This Row],[instant]],Table1[instant],Table1[weathersit], ,0,1)</f>
        <v>1</v>
      </c>
      <c r="G108" s="44">
        <f>_xlfn.XLOOKUP(Table3[[#This Row],[instant]],Table1[instant],Table1[temp], ,0,1)</f>
        <v>0.3</v>
      </c>
      <c r="H108" s="45">
        <f>_xlfn.XLOOKUP(Table3[[#This Row],[instant]],Table2[instant],Table2[atemp], ,0,1)</f>
        <v>0.28789999999999999</v>
      </c>
      <c r="I108" s="42">
        <f>_xlfn.XLOOKUP(Table3[[#This Row],[instant]],Table2[instant],Table2[hum], ,0,1)</f>
        <v>0.28000000000000003</v>
      </c>
      <c r="J108" s="42">
        <f>_xlfn.XLOOKUP(Table3[[#This Row],[instant]],Table2[instant],Table2[windspeed], ,0,1)</f>
        <v>0.19400000000000001</v>
      </c>
      <c r="K108" s="42">
        <f>_xlfn.XLOOKUP(Table3[[#This Row],[instant]],Table2[instant],Table2[casual], ,0,1)</f>
        <v>7</v>
      </c>
      <c r="L108" s="42">
        <f>_xlfn.XLOOKUP(Table3[[#This Row],[instant]],Table2[instant],Table2[registered], ,0,1)</f>
        <v>55</v>
      </c>
      <c r="M108" s="46">
        <f>_xlfn.XLOOKUP(Table3[[#This Row],[instant]],Table2[instant],Table2[cnt], ,0,1)</f>
        <v>62</v>
      </c>
      <c r="N108" s="42" t="str">
        <f>IF(OR(Table3[[#This Row],[weekday]]=0,Table3[[#This Row],[weekday]]=6),"Weekend","Weekday")</f>
        <v>Weekday</v>
      </c>
    </row>
    <row r="109" spans="1:14" ht="15" thickBot="1" x14ac:dyDescent="0.35">
      <c r="A109" s="1">
        <v>108</v>
      </c>
      <c r="B109" s="3">
        <f>_xlfn.XLOOKUP(Table3[[#This Row],[instant]],DatSet1!A109:A718,DatSet1!B109:B718,_xlfn.XLOOKUP(Table3[[#This Row],[instant]],'Final Data'!A109:A498,'Final Data'!B109:B498, ,0,1),0,1)</f>
        <v>40548</v>
      </c>
      <c r="C109" s="1">
        <f>_xlfn.XLOOKUP(Table3[[#This Row],[instant]],Table1[instant],Table1[hr], ,0,1)</f>
        <v>16</v>
      </c>
      <c r="D109" s="2" t="b">
        <f>_xlfn.XLOOKUP(Table3[[#This Row],[instant]],Table1[instant],Table1[holiday], ,0,1)</f>
        <v>0</v>
      </c>
      <c r="E109" s="2">
        <f>_xlfn.XLOOKUP(Table3[[#This Row],[instant]],Table1[instant],Table1[weekday], ,0,1)</f>
        <v>3</v>
      </c>
      <c r="F109" s="2">
        <f>_xlfn.XLOOKUP(Table3[[#This Row],[instant]],Table1[instant],Table1[weathersit], ,0,1)</f>
        <v>1</v>
      </c>
      <c r="G109" s="2">
        <f>_xlfn.XLOOKUP(Table3[[#This Row],[instant]],Table1[instant],Table1[temp], ,0,1)</f>
        <v>0.3</v>
      </c>
      <c r="H109" s="24">
        <f>_xlfn.XLOOKUP(Table3[[#This Row],[instant]],Table2[instant],Table2[atemp], ,0,1)</f>
        <v>0.31819999999999998</v>
      </c>
      <c r="I109" s="1">
        <f>_xlfn.XLOOKUP(Table3[[#This Row],[instant]],Table2[instant],Table2[hum], ,0,1)</f>
        <v>0.28000000000000003</v>
      </c>
      <c r="J109" s="1">
        <f>_xlfn.XLOOKUP(Table3[[#This Row],[instant]],Table2[instant],Table2[windspeed], ,0,1)</f>
        <v>8.9599999999999999E-2</v>
      </c>
      <c r="K109" s="1">
        <f>_xlfn.XLOOKUP(Table3[[#This Row],[instant]],Table2[instant],Table2[casual], ,0,1)</f>
        <v>4</v>
      </c>
      <c r="L109" s="1">
        <f>_xlfn.XLOOKUP(Table3[[#This Row],[instant]],Table2[instant],Table2[registered], ,0,1)</f>
        <v>85</v>
      </c>
      <c r="M109" s="6">
        <f>_xlfn.XLOOKUP(Table3[[#This Row],[instant]],Table2[instant],Table2[cnt], ,0,1)</f>
        <v>89</v>
      </c>
      <c r="N109" s="1" t="str">
        <f>IF(OR(Table3[[#This Row],[weekday]]=0,Table3[[#This Row],[weekday]]=6),"Weekend","Weekday")</f>
        <v>Weekday</v>
      </c>
    </row>
    <row r="110" spans="1:14" ht="15" thickBot="1" x14ac:dyDescent="0.35">
      <c r="A110" s="42">
        <v>109</v>
      </c>
      <c r="B110" s="43">
        <f>_xlfn.XLOOKUP(Table3[[#This Row],[instant]],DatSet1!A110:A719,DatSet1!B110:B719,_xlfn.XLOOKUP(Table3[[#This Row],[instant]],'Final Data'!A110:A499,'Final Data'!B110:B499, ,0,1),0,1)</f>
        <v>40548</v>
      </c>
      <c r="C110" s="42">
        <f>_xlfn.XLOOKUP(Table3[[#This Row],[instant]],Table1[instant],Table1[hr], ,0,1)</f>
        <v>17</v>
      </c>
      <c r="D110" s="44" t="b">
        <f>_xlfn.XLOOKUP(Table3[[#This Row],[instant]],Table1[instant],Table1[holiday], ,0,1)</f>
        <v>0</v>
      </c>
      <c r="E110" s="44">
        <f>_xlfn.XLOOKUP(Table3[[#This Row],[instant]],Table1[instant],Table1[weekday], ,0,1)</f>
        <v>3</v>
      </c>
      <c r="F110" s="44">
        <f>_xlfn.XLOOKUP(Table3[[#This Row],[instant]],Table1[instant],Table1[weathersit], ,0,1)</f>
        <v>1</v>
      </c>
      <c r="G110" s="44">
        <f>_xlfn.XLOOKUP(Table3[[#This Row],[instant]],Table1[instant],Table1[temp], ,0,1)</f>
        <v>0.24</v>
      </c>
      <c r="H110" s="45">
        <f>_xlfn.XLOOKUP(Table3[[#This Row],[instant]],Table2[instant],Table2[atemp], ,0,1)</f>
        <v>0.2273</v>
      </c>
      <c r="I110" s="42">
        <f>_xlfn.XLOOKUP(Table3[[#This Row],[instant]],Table2[instant],Table2[hum], ,0,1)</f>
        <v>0.38</v>
      </c>
      <c r="J110" s="42">
        <f>_xlfn.XLOOKUP(Table3[[#This Row],[instant]],Table2[instant],Table2[windspeed], ,0,1)</f>
        <v>0.19400000000000001</v>
      </c>
      <c r="K110" s="42">
        <f>_xlfn.XLOOKUP(Table3[[#This Row],[instant]],Table2[instant],Table2[casual], ,0,1)</f>
        <v>4</v>
      </c>
      <c r="L110" s="42">
        <f>_xlfn.XLOOKUP(Table3[[#This Row],[instant]],Table2[instant],Table2[registered], ,0,1)</f>
        <v>186</v>
      </c>
      <c r="M110" s="46">
        <f>_xlfn.XLOOKUP(Table3[[#This Row],[instant]],Table2[instant],Table2[cnt], ,0,1)</f>
        <v>190</v>
      </c>
      <c r="N110" s="42" t="str">
        <f>IF(OR(Table3[[#This Row],[weekday]]=0,Table3[[#This Row],[weekday]]=6),"Weekend","Weekday")</f>
        <v>Weekday</v>
      </c>
    </row>
    <row r="111" spans="1:14" ht="15" thickBot="1" x14ac:dyDescent="0.35">
      <c r="A111" s="1">
        <v>110</v>
      </c>
      <c r="B111" s="3">
        <f>_xlfn.XLOOKUP(Table3[[#This Row],[instant]],DatSet1!A111:A720,DatSet1!B111:B720,_xlfn.XLOOKUP(Table3[[#This Row],[instant]],'Final Data'!A111:A500,'Final Data'!B111:B500, ,0,1),0,1)</f>
        <v>40548</v>
      </c>
      <c r="C111" s="1">
        <f>_xlfn.XLOOKUP(Table3[[#This Row],[instant]],Table1[instant],Table1[hr], ,0,1)</f>
        <v>18</v>
      </c>
      <c r="D111" s="2" t="b">
        <f>_xlfn.XLOOKUP(Table3[[#This Row],[instant]],Table1[instant],Table1[holiday], ,0,1)</f>
        <v>0</v>
      </c>
      <c r="E111" s="2">
        <f>_xlfn.XLOOKUP(Table3[[#This Row],[instant]],Table1[instant],Table1[weekday], ,0,1)</f>
        <v>3</v>
      </c>
      <c r="F111" s="2">
        <f>_xlfn.XLOOKUP(Table3[[#This Row],[instant]],Table1[instant],Table1[weathersit], ,0,1)</f>
        <v>1</v>
      </c>
      <c r="G111" s="2">
        <f>_xlfn.XLOOKUP(Table3[[#This Row],[instant]],Table1[instant],Table1[temp], ,0,1)</f>
        <v>0.24</v>
      </c>
      <c r="H111" s="24">
        <f>_xlfn.XLOOKUP(Table3[[#This Row],[instant]],Table2[instant],Table2[atemp], ,0,1)</f>
        <v>0.2424</v>
      </c>
      <c r="I111" s="1">
        <f>_xlfn.XLOOKUP(Table3[[#This Row],[instant]],Table2[instant],Table2[hum], ,0,1)</f>
        <v>0.38</v>
      </c>
      <c r="J111" s="1">
        <f>_xlfn.XLOOKUP(Table3[[#This Row],[instant]],Table2[instant],Table2[windspeed], ,0,1)</f>
        <v>0.1343</v>
      </c>
      <c r="K111" s="1">
        <f>_xlfn.XLOOKUP(Table3[[#This Row],[instant]],Table2[instant],Table2[casual], ,0,1)</f>
        <v>3</v>
      </c>
      <c r="L111" s="1">
        <f>_xlfn.XLOOKUP(Table3[[#This Row],[instant]],Table2[instant],Table2[registered], ,0,1)</f>
        <v>166</v>
      </c>
      <c r="M111" s="6">
        <f>_xlfn.XLOOKUP(Table3[[#This Row],[instant]],Table2[instant],Table2[cnt], ,0,1)</f>
        <v>169</v>
      </c>
      <c r="N111" s="1" t="str">
        <f>IF(OR(Table3[[#This Row],[weekday]]=0,Table3[[#This Row],[weekday]]=6),"Weekend","Weekday")</f>
        <v>Weekday</v>
      </c>
    </row>
    <row r="112" spans="1:14" ht="15" thickBot="1" x14ac:dyDescent="0.35">
      <c r="A112" s="42">
        <v>111</v>
      </c>
      <c r="B112" s="43">
        <f>_xlfn.XLOOKUP(Table3[[#This Row],[instant]],DatSet1!A112:A721,DatSet1!B112:B721,_xlfn.XLOOKUP(Table3[[#This Row],[instant]],'Final Data'!A112:A501,'Final Data'!B112:B501, ,0,1),0,1)</f>
        <v>40548</v>
      </c>
      <c r="C112" s="42">
        <f>_xlfn.XLOOKUP(Table3[[#This Row],[instant]],Table1[instant],Table1[hr], ,0,1)</f>
        <v>19</v>
      </c>
      <c r="D112" s="44" t="b">
        <f>_xlfn.XLOOKUP(Table3[[#This Row],[instant]],Table1[instant],Table1[holiday], ,0,1)</f>
        <v>0</v>
      </c>
      <c r="E112" s="44">
        <f>_xlfn.XLOOKUP(Table3[[#This Row],[instant]],Table1[instant],Table1[weekday], ,0,1)</f>
        <v>3</v>
      </c>
      <c r="F112" s="44">
        <f>_xlfn.XLOOKUP(Table3[[#This Row],[instant]],Table1[instant],Table1[weathersit], ,0,1)</f>
        <v>1</v>
      </c>
      <c r="G112" s="44">
        <f>_xlfn.XLOOKUP(Table3[[#This Row],[instant]],Table1[instant],Table1[temp], ,0,1)</f>
        <v>0.24</v>
      </c>
      <c r="H112" s="45">
        <f>_xlfn.XLOOKUP(Table3[[#This Row],[instant]],Table2[instant],Table2[atemp], ,0,1)</f>
        <v>0.2576</v>
      </c>
      <c r="I112" s="42">
        <f>_xlfn.XLOOKUP(Table3[[#This Row],[instant]],Table2[instant],Table2[hum], ,0,1)</f>
        <v>0.38</v>
      </c>
      <c r="J112" s="42">
        <f>_xlfn.XLOOKUP(Table3[[#This Row],[instant]],Table2[instant],Table2[windspeed], ,0,1)</f>
        <v>0.1045</v>
      </c>
      <c r="K112" s="42">
        <f>_xlfn.XLOOKUP(Table3[[#This Row],[instant]],Table2[instant],Table2[casual], ,0,1)</f>
        <v>5</v>
      </c>
      <c r="L112" s="42">
        <f>_xlfn.XLOOKUP(Table3[[#This Row],[instant]],Table2[instant],Table2[registered], ,0,1)</f>
        <v>127</v>
      </c>
      <c r="M112" s="46">
        <f>_xlfn.XLOOKUP(Table3[[#This Row],[instant]],Table2[instant],Table2[cnt], ,0,1)</f>
        <v>132</v>
      </c>
      <c r="N112" s="42" t="str">
        <f>IF(OR(Table3[[#This Row],[weekday]]=0,Table3[[#This Row],[weekday]]=6),"Weekend","Weekday")</f>
        <v>Weekday</v>
      </c>
    </row>
    <row r="113" spans="1:14" ht="15" thickBot="1" x14ac:dyDescent="0.35">
      <c r="A113" s="1">
        <v>112</v>
      </c>
      <c r="B113" s="3">
        <f>_xlfn.XLOOKUP(Table3[[#This Row],[instant]],DatSet1!A113:A722,DatSet1!B113:B722,_xlfn.XLOOKUP(Table3[[#This Row],[instant]],'Final Data'!A113:A502,'Final Data'!B113:B502, ,0,1),0,1)</f>
        <v>40548</v>
      </c>
      <c r="C113" s="1">
        <f>_xlfn.XLOOKUP(Table3[[#This Row],[instant]],Table1[instant],Table1[hr], ,0,1)</f>
        <v>20</v>
      </c>
      <c r="D113" s="2" t="b">
        <f>_xlfn.XLOOKUP(Table3[[#This Row],[instant]],Table1[instant],Table1[holiday], ,0,1)</f>
        <v>0</v>
      </c>
      <c r="E113" s="2">
        <f>_xlfn.XLOOKUP(Table3[[#This Row],[instant]],Table1[instant],Table1[weekday], ,0,1)</f>
        <v>3</v>
      </c>
      <c r="F113" s="2">
        <f>_xlfn.XLOOKUP(Table3[[#This Row],[instant]],Table1[instant],Table1[weathersit], ,0,1)</f>
        <v>1</v>
      </c>
      <c r="G113" s="2">
        <f>_xlfn.XLOOKUP(Table3[[#This Row],[instant]],Table1[instant],Table1[temp], ,0,1)</f>
        <v>0.22</v>
      </c>
      <c r="H113" s="24">
        <f>_xlfn.XLOOKUP(Table3[[#This Row],[instant]],Table2[instant],Table2[atemp], ,0,1)</f>
        <v>0.2273</v>
      </c>
      <c r="I113" s="1">
        <f>_xlfn.XLOOKUP(Table3[[#This Row],[instant]],Table2[instant],Table2[hum], ,0,1)</f>
        <v>0.47</v>
      </c>
      <c r="J113" s="1">
        <f>_xlfn.XLOOKUP(Table3[[#This Row],[instant]],Table2[instant],Table2[windspeed], ,0,1)</f>
        <v>0.16420000000000001</v>
      </c>
      <c r="K113" s="1">
        <f>_xlfn.XLOOKUP(Table3[[#This Row],[instant]],Table2[instant],Table2[casual], ,0,1)</f>
        <v>7</v>
      </c>
      <c r="L113" s="1">
        <f>_xlfn.XLOOKUP(Table3[[#This Row],[instant]],Table2[instant],Table2[registered], ,0,1)</f>
        <v>82</v>
      </c>
      <c r="M113" s="6">
        <f>_xlfn.XLOOKUP(Table3[[#This Row],[instant]],Table2[instant],Table2[cnt], ,0,1)</f>
        <v>89</v>
      </c>
      <c r="N113" s="1" t="str">
        <f>IF(OR(Table3[[#This Row],[weekday]]=0,Table3[[#This Row],[weekday]]=6),"Weekend","Weekday")</f>
        <v>Weekday</v>
      </c>
    </row>
    <row r="114" spans="1:14" ht="15" thickBot="1" x14ac:dyDescent="0.35">
      <c r="A114" s="42">
        <v>113</v>
      </c>
      <c r="B114" s="43">
        <f>_xlfn.XLOOKUP(Table3[[#This Row],[instant]],DatSet1!A114:A723,DatSet1!B114:B723,_xlfn.XLOOKUP(Table3[[#This Row],[instant]],'Final Data'!A114:A503,'Final Data'!B114:B503, ,0,1),0,1)</f>
        <v>40548</v>
      </c>
      <c r="C114" s="42">
        <f>_xlfn.XLOOKUP(Table3[[#This Row],[instant]],Table1[instant],Table1[hr], ,0,1)</f>
        <v>21</v>
      </c>
      <c r="D114" s="44" t="b">
        <f>_xlfn.XLOOKUP(Table3[[#This Row],[instant]],Table1[instant],Table1[holiday], ,0,1)</f>
        <v>0</v>
      </c>
      <c r="E114" s="44">
        <f>_xlfn.XLOOKUP(Table3[[#This Row],[instant]],Table1[instant],Table1[weekday], ,0,1)</f>
        <v>3</v>
      </c>
      <c r="F114" s="44">
        <f>_xlfn.XLOOKUP(Table3[[#This Row],[instant]],Table1[instant],Table1[weathersit], ,0,1)</f>
        <v>1</v>
      </c>
      <c r="G114" s="44">
        <f>_xlfn.XLOOKUP(Table3[[#This Row],[instant]],Table1[instant],Table1[temp], ,0,1)</f>
        <v>0.2</v>
      </c>
      <c r="H114" s="45">
        <f>_xlfn.XLOOKUP(Table3[[#This Row],[instant]],Table2[instant],Table2[atemp], ,0,1)</f>
        <v>0.19700000000000001</v>
      </c>
      <c r="I114" s="42">
        <f>_xlfn.XLOOKUP(Table3[[#This Row],[instant]],Table2[instant],Table2[hum], ,0,1)</f>
        <v>0.51</v>
      </c>
      <c r="J114" s="42">
        <f>_xlfn.XLOOKUP(Table3[[#This Row],[instant]],Table2[instant],Table2[windspeed], ,0,1)</f>
        <v>0.19400000000000001</v>
      </c>
      <c r="K114" s="42">
        <f>_xlfn.XLOOKUP(Table3[[#This Row],[instant]],Table2[instant],Table2[casual], ,0,1)</f>
        <v>3</v>
      </c>
      <c r="L114" s="42">
        <f>_xlfn.XLOOKUP(Table3[[#This Row],[instant]],Table2[instant],Table2[registered], ,0,1)</f>
        <v>40</v>
      </c>
      <c r="M114" s="46">
        <f>_xlfn.XLOOKUP(Table3[[#This Row],[instant]],Table2[instant],Table2[cnt], ,0,1)</f>
        <v>43</v>
      </c>
      <c r="N114" s="42" t="str">
        <f>IF(OR(Table3[[#This Row],[weekday]]=0,Table3[[#This Row],[weekday]]=6),"Weekend","Weekday")</f>
        <v>Weekday</v>
      </c>
    </row>
    <row r="115" spans="1:14" ht="15" thickBot="1" x14ac:dyDescent="0.35">
      <c r="A115" s="1">
        <v>114</v>
      </c>
      <c r="B115" s="3">
        <f>_xlfn.XLOOKUP(Table3[[#This Row],[instant]],DatSet1!A115:A724,DatSet1!B115:B724,_xlfn.XLOOKUP(Table3[[#This Row],[instant]],'Final Data'!A115:A504,'Final Data'!B115:B504, ,0,1),0,1)</f>
        <v>40548</v>
      </c>
      <c r="C115" s="1">
        <f>_xlfn.XLOOKUP(Table3[[#This Row],[instant]],Table1[instant],Table1[hr], ,0,1)</f>
        <v>22</v>
      </c>
      <c r="D115" s="2" t="b">
        <f>_xlfn.XLOOKUP(Table3[[#This Row],[instant]],Table1[instant],Table1[holiday], ,0,1)</f>
        <v>0</v>
      </c>
      <c r="E115" s="2">
        <f>_xlfn.XLOOKUP(Table3[[#This Row],[instant]],Table1[instant],Table1[weekday], ,0,1)</f>
        <v>3</v>
      </c>
      <c r="F115" s="2">
        <f>_xlfn.XLOOKUP(Table3[[#This Row],[instant]],Table1[instant],Table1[weathersit], ,0,1)</f>
        <v>1</v>
      </c>
      <c r="G115" s="2">
        <f>_xlfn.XLOOKUP(Table3[[#This Row],[instant]],Table1[instant],Table1[temp], ,0,1)</f>
        <v>0.18</v>
      </c>
      <c r="H115" s="24">
        <f>_xlfn.XLOOKUP(Table3[[#This Row],[instant]],Table2[instant],Table2[atemp], ,0,1)</f>
        <v>0.19700000000000001</v>
      </c>
      <c r="I115" s="1">
        <f>_xlfn.XLOOKUP(Table3[[#This Row],[instant]],Table2[instant],Table2[hum], ,0,1)</f>
        <v>0.55000000000000004</v>
      </c>
      <c r="J115" s="1">
        <f>_xlfn.XLOOKUP(Table3[[#This Row],[instant]],Table2[instant],Table2[windspeed], ,0,1)</f>
        <v>0.1343</v>
      </c>
      <c r="K115" s="1">
        <f>_xlfn.XLOOKUP(Table3[[#This Row],[instant]],Table2[instant],Table2[casual], ,0,1)</f>
        <v>1</v>
      </c>
      <c r="L115" s="1">
        <f>_xlfn.XLOOKUP(Table3[[#This Row],[instant]],Table2[instant],Table2[registered], ,0,1)</f>
        <v>41</v>
      </c>
      <c r="M115" s="6">
        <f>_xlfn.XLOOKUP(Table3[[#This Row],[instant]],Table2[instant],Table2[cnt], ,0,1)</f>
        <v>42</v>
      </c>
      <c r="N115" s="1" t="str">
        <f>IF(OR(Table3[[#This Row],[weekday]]=0,Table3[[#This Row],[weekday]]=6),"Weekend","Weekday")</f>
        <v>Weekday</v>
      </c>
    </row>
    <row r="116" spans="1:14" ht="15" thickBot="1" x14ac:dyDescent="0.35">
      <c r="A116" s="42">
        <v>115</v>
      </c>
      <c r="B116" s="43">
        <f>_xlfn.XLOOKUP(Table3[[#This Row],[instant]],DatSet1!A116:A725,DatSet1!B116:B725,_xlfn.XLOOKUP(Table3[[#This Row],[instant]],'Final Data'!A116:A505,'Final Data'!B116:B505, ,0,1),0,1)</f>
        <v>40548</v>
      </c>
      <c r="C116" s="42">
        <f>_xlfn.XLOOKUP(Table3[[#This Row],[instant]],Table1[instant],Table1[hr], ,0,1)</f>
        <v>23</v>
      </c>
      <c r="D116" s="44" t="b">
        <f>_xlfn.XLOOKUP(Table3[[#This Row],[instant]],Table1[instant],Table1[holiday], ,0,1)</f>
        <v>0</v>
      </c>
      <c r="E116" s="44">
        <f>_xlfn.XLOOKUP(Table3[[#This Row],[instant]],Table1[instant],Table1[weekday], ,0,1)</f>
        <v>3</v>
      </c>
      <c r="F116" s="44">
        <f>_xlfn.XLOOKUP(Table3[[#This Row],[instant]],Table1[instant],Table1[weathersit], ,0,1)</f>
        <v>1</v>
      </c>
      <c r="G116" s="44">
        <f>_xlfn.XLOOKUP(Table3[[#This Row],[instant]],Table1[instant],Table1[temp], ,0,1)</f>
        <v>0.2</v>
      </c>
      <c r="H116" s="45">
        <f>_xlfn.XLOOKUP(Table3[[#This Row],[instant]],Table2[instant],Table2[atemp], ,0,1)</f>
        <v>0.2576</v>
      </c>
      <c r="I116" s="42">
        <f>_xlfn.XLOOKUP(Table3[[#This Row],[instant]],Table2[instant],Table2[hum], ,0,1)</f>
        <v>0.47</v>
      </c>
      <c r="J116" s="42">
        <f>_xlfn.XLOOKUP(Table3[[#This Row],[instant]],Table2[instant],Table2[windspeed], ,0,1)</f>
        <v>0</v>
      </c>
      <c r="K116" s="42">
        <f>_xlfn.XLOOKUP(Table3[[#This Row],[instant]],Table2[instant],Table2[casual], ,0,1)</f>
        <v>1</v>
      </c>
      <c r="L116" s="42">
        <f>_xlfn.XLOOKUP(Table3[[#This Row],[instant]],Table2[instant],Table2[registered], ,0,1)</f>
        <v>18</v>
      </c>
      <c r="M116" s="46">
        <f>_xlfn.XLOOKUP(Table3[[#This Row],[instant]],Table2[instant],Table2[cnt], ,0,1)</f>
        <v>19</v>
      </c>
      <c r="N116" s="42" t="str">
        <f>IF(OR(Table3[[#This Row],[weekday]]=0,Table3[[#This Row],[weekday]]=6),"Weekend","Weekday")</f>
        <v>Weekday</v>
      </c>
    </row>
    <row r="117" spans="1:14" ht="15" thickBot="1" x14ac:dyDescent="0.35">
      <c r="A117" s="1">
        <v>116</v>
      </c>
      <c r="B117" s="3">
        <f>_xlfn.XLOOKUP(Table3[[#This Row],[instant]],DatSet1!A117:A726,DatSet1!B117:B726,_xlfn.XLOOKUP(Table3[[#This Row],[instant]],'Final Data'!A117:A506,'Final Data'!B117:B506, ,0,1),0,1)</f>
        <v>40549</v>
      </c>
      <c r="C117" s="1">
        <f>_xlfn.XLOOKUP(Table3[[#This Row],[instant]],Table1[instant],Table1[hr], ,0,1)</f>
        <v>0</v>
      </c>
      <c r="D117" s="2" t="b">
        <f>_xlfn.XLOOKUP(Table3[[#This Row],[instant]],Table1[instant],Table1[holiday], ,0,1)</f>
        <v>0</v>
      </c>
      <c r="E117" s="2">
        <f>_xlfn.XLOOKUP(Table3[[#This Row],[instant]],Table1[instant],Table1[weekday], ,0,1)</f>
        <v>4</v>
      </c>
      <c r="F117" s="2">
        <f>_xlfn.XLOOKUP(Table3[[#This Row],[instant]],Table1[instant],Table1[weathersit], ,0,1)</f>
        <v>1</v>
      </c>
      <c r="G117" s="2">
        <f>_xlfn.XLOOKUP(Table3[[#This Row],[instant]],Table1[instant],Table1[temp], ,0,1)</f>
        <v>0.18</v>
      </c>
      <c r="H117" s="24">
        <f>_xlfn.XLOOKUP(Table3[[#This Row],[instant]],Table2[instant],Table2[atemp], ,0,1)</f>
        <v>0.2424</v>
      </c>
      <c r="I117" s="1">
        <f>_xlfn.XLOOKUP(Table3[[#This Row],[instant]],Table2[instant],Table2[hum], ,0,1)</f>
        <v>0.55000000000000004</v>
      </c>
      <c r="J117" s="1">
        <f>_xlfn.XLOOKUP(Table3[[#This Row],[instant]],Table2[instant],Table2[windspeed], ,0,1)</f>
        <v>0</v>
      </c>
      <c r="K117" s="1">
        <f>_xlfn.XLOOKUP(Table3[[#This Row],[instant]],Table2[instant],Table2[casual], ,0,1)</f>
        <v>0</v>
      </c>
      <c r="L117" s="1">
        <f>_xlfn.XLOOKUP(Table3[[#This Row],[instant]],Table2[instant],Table2[registered], ,0,1)</f>
        <v>11</v>
      </c>
      <c r="M117" s="6">
        <f>_xlfn.XLOOKUP(Table3[[#This Row],[instant]],Table2[instant],Table2[cnt], ,0,1)</f>
        <v>11</v>
      </c>
      <c r="N117" s="1" t="str">
        <f>IF(OR(Table3[[#This Row],[weekday]]=0,Table3[[#This Row],[weekday]]=6),"Weekend","Weekday")</f>
        <v>Weekday</v>
      </c>
    </row>
    <row r="118" spans="1:14" ht="15" thickBot="1" x14ac:dyDescent="0.35">
      <c r="A118" s="42">
        <v>117</v>
      </c>
      <c r="B118" s="43">
        <f>_xlfn.XLOOKUP(Table3[[#This Row],[instant]],DatSet1!A118:A727,DatSet1!B118:B727,_xlfn.XLOOKUP(Table3[[#This Row],[instant]],'Final Data'!A118:A507,'Final Data'!B118:B507, ,0,1),0,1)</f>
        <v>40549</v>
      </c>
      <c r="C118" s="42">
        <f>_xlfn.XLOOKUP(Table3[[#This Row],[instant]],Table1[instant],Table1[hr], ,0,1)</f>
        <v>1</v>
      </c>
      <c r="D118" s="44" t="b">
        <f>_xlfn.XLOOKUP(Table3[[#This Row],[instant]],Table1[instant],Table1[holiday], ,0,1)</f>
        <v>0</v>
      </c>
      <c r="E118" s="44">
        <f>_xlfn.XLOOKUP(Table3[[#This Row],[instant]],Table1[instant],Table1[weekday], ,0,1)</f>
        <v>4</v>
      </c>
      <c r="F118" s="44">
        <f>_xlfn.XLOOKUP(Table3[[#This Row],[instant]],Table1[instant],Table1[weathersit], ,0,1)</f>
        <v>1</v>
      </c>
      <c r="G118" s="44">
        <f>_xlfn.XLOOKUP(Table3[[#This Row],[instant]],Table1[instant],Table1[temp], ,0,1)</f>
        <v>0.16</v>
      </c>
      <c r="H118" s="45">
        <f>_xlfn.XLOOKUP(Table3[[#This Row],[instant]],Table2[instant],Table2[atemp], ,0,1)</f>
        <v>0.2273</v>
      </c>
      <c r="I118" s="42">
        <f>_xlfn.XLOOKUP(Table3[[#This Row],[instant]],Table2[instant],Table2[hum], ,0,1)</f>
        <v>0.64</v>
      </c>
      <c r="J118" s="42">
        <f>_xlfn.XLOOKUP(Table3[[#This Row],[instant]],Table2[instant],Table2[windspeed], ,0,1)</f>
        <v>0</v>
      </c>
      <c r="K118" s="42">
        <f>_xlfn.XLOOKUP(Table3[[#This Row],[instant]],Table2[instant],Table2[casual], ,0,1)</f>
        <v>0</v>
      </c>
      <c r="L118" s="42">
        <f>_xlfn.XLOOKUP(Table3[[#This Row],[instant]],Table2[instant],Table2[registered], ,0,1)</f>
        <v>4</v>
      </c>
      <c r="M118" s="46">
        <f>_xlfn.XLOOKUP(Table3[[#This Row],[instant]],Table2[instant],Table2[cnt], ,0,1)</f>
        <v>4</v>
      </c>
      <c r="N118" s="42" t="str">
        <f>IF(OR(Table3[[#This Row],[weekday]]=0,Table3[[#This Row],[weekday]]=6),"Weekend","Weekday")</f>
        <v>Weekday</v>
      </c>
    </row>
    <row r="119" spans="1:14" ht="15" thickBot="1" x14ac:dyDescent="0.35">
      <c r="A119" s="1">
        <v>118</v>
      </c>
      <c r="B119" s="3">
        <f>_xlfn.XLOOKUP(Table3[[#This Row],[instant]],DatSet1!A119:A728,DatSet1!B119:B728,_xlfn.XLOOKUP(Table3[[#This Row],[instant]],'Final Data'!A119:A508,'Final Data'!B119:B508, ,0,1),0,1)</f>
        <v>40549</v>
      </c>
      <c r="C119" s="1">
        <f>_xlfn.XLOOKUP(Table3[[#This Row],[instant]],Table1[instant],Table1[hr], ,0,1)</f>
        <v>2</v>
      </c>
      <c r="D119" s="2" t="b">
        <f>_xlfn.XLOOKUP(Table3[[#This Row],[instant]],Table1[instant],Table1[holiday], ,0,1)</f>
        <v>0</v>
      </c>
      <c r="E119" s="2">
        <f>_xlfn.XLOOKUP(Table3[[#This Row],[instant]],Table1[instant],Table1[weekday], ,0,1)</f>
        <v>4</v>
      </c>
      <c r="F119" s="2">
        <f>_xlfn.XLOOKUP(Table3[[#This Row],[instant]],Table1[instant],Table1[weathersit], ,0,1)</f>
        <v>1</v>
      </c>
      <c r="G119" s="2">
        <f>_xlfn.XLOOKUP(Table3[[#This Row],[instant]],Table1[instant],Table1[temp], ,0,1)</f>
        <v>0.16</v>
      </c>
      <c r="H119" s="24">
        <f>_xlfn.XLOOKUP(Table3[[#This Row],[instant]],Table2[instant],Table2[atemp], ,0,1)</f>
        <v>0.2273</v>
      </c>
      <c r="I119" s="1">
        <f>_xlfn.XLOOKUP(Table3[[#This Row],[instant]],Table2[instant],Table2[hum], ,0,1)</f>
        <v>0.64</v>
      </c>
      <c r="J119" s="1">
        <f>_xlfn.XLOOKUP(Table3[[#This Row],[instant]],Table2[instant],Table2[windspeed], ,0,1)</f>
        <v>0</v>
      </c>
      <c r="K119" s="1">
        <f>_xlfn.XLOOKUP(Table3[[#This Row],[instant]],Table2[instant],Table2[casual], ,0,1)</f>
        <v>0</v>
      </c>
      <c r="L119" s="1">
        <f>_xlfn.XLOOKUP(Table3[[#This Row],[instant]],Table2[instant],Table2[registered], ,0,1)</f>
        <v>2</v>
      </c>
      <c r="M119" s="6">
        <f>_xlfn.XLOOKUP(Table3[[#This Row],[instant]],Table2[instant],Table2[cnt], ,0,1)</f>
        <v>2</v>
      </c>
      <c r="N119" s="1" t="str">
        <f>IF(OR(Table3[[#This Row],[weekday]]=0,Table3[[#This Row],[weekday]]=6),"Weekend","Weekday")</f>
        <v>Weekday</v>
      </c>
    </row>
    <row r="120" spans="1:14" ht="15" thickBot="1" x14ac:dyDescent="0.35">
      <c r="A120" s="42">
        <v>119</v>
      </c>
      <c r="B120" s="43">
        <f>_xlfn.XLOOKUP(Table3[[#This Row],[instant]],DatSet1!A120:A729,DatSet1!B120:B729,_xlfn.XLOOKUP(Table3[[#This Row],[instant]],'Final Data'!A120:A509,'Final Data'!B120:B509, ,0,1),0,1)</f>
        <v>40549</v>
      </c>
      <c r="C120" s="42">
        <f>_xlfn.XLOOKUP(Table3[[#This Row],[instant]],Table1[instant],Table1[hr], ,0,1)</f>
        <v>4</v>
      </c>
      <c r="D120" s="44" t="b">
        <f>_xlfn.XLOOKUP(Table3[[#This Row],[instant]],Table1[instant],Table1[holiday], ,0,1)</f>
        <v>0</v>
      </c>
      <c r="E120" s="44">
        <f>_xlfn.XLOOKUP(Table3[[#This Row],[instant]],Table1[instant],Table1[weekday], ,0,1)</f>
        <v>4</v>
      </c>
      <c r="F120" s="44">
        <f>_xlfn.XLOOKUP(Table3[[#This Row],[instant]],Table1[instant],Table1[weathersit], ,0,1)</f>
        <v>2</v>
      </c>
      <c r="G120" s="44">
        <f>_xlfn.XLOOKUP(Table3[[#This Row],[instant]],Table1[instant],Table1[temp], ,0,1)</f>
        <v>0.16</v>
      </c>
      <c r="H120" s="45">
        <f>_xlfn.XLOOKUP(Table3[[#This Row],[instant]],Table2[instant],Table2[atemp], ,0,1)</f>
        <v>0.19700000000000001</v>
      </c>
      <c r="I120" s="42">
        <f>_xlfn.XLOOKUP(Table3[[#This Row],[instant]],Table2[instant],Table2[hum], ,0,1)</f>
        <v>0.64</v>
      </c>
      <c r="J120" s="42">
        <f>_xlfn.XLOOKUP(Table3[[#This Row],[instant]],Table2[instant],Table2[windspeed], ,0,1)</f>
        <v>8.9599999999999999E-2</v>
      </c>
      <c r="K120" s="42">
        <f>_xlfn.XLOOKUP(Table3[[#This Row],[instant]],Table2[instant],Table2[casual], ,0,1)</f>
        <v>0</v>
      </c>
      <c r="L120" s="42">
        <f>_xlfn.XLOOKUP(Table3[[#This Row],[instant]],Table2[instant],Table2[registered], ,0,1)</f>
        <v>1</v>
      </c>
      <c r="M120" s="46">
        <f>_xlfn.XLOOKUP(Table3[[#This Row],[instant]],Table2[instant],Table2[cnt], ,0,1)</f>
        <v>1</v>
      </c>
      <c r="N120" s="42" t="str">
        <f>IF(OR(Table3[[#This Row],[weekday]]=0,Table3[[#This Row],[weekday]]=6),"Weekend","Weekday")</f>
        <v>Weekday</v>
      </c>
    </row>
    <row r="121" spans="1:14" ht="15" thickBot="1" x14ac:dyDescent="0.35">
      <c r="A121" s="1">
        <v>120</v>
      </c>
      <c r="B121" s="3">
        <f>_xlfn.XLOOKUP(Table3[[#This Row],[instant]],DatSet1!A121:A730,DatSet1!B121:B730,_xlfn.XLOOKUP(Table3[[#This Row],[instant]],'Final Data'!A121:A510,'Final Data'!B121:B510, ,0,1),0,1)</f>
        <v>40549</v>
      </c>
      <c r="C121" s="1">
        <f>_xlfn.XLOOKUP(Table3[[#This Row],[instant]],Table1[instant],Table1[hr], ,0,1)</f>
        <v>5</v>
      </c>
      <c r="D121" s="2" t="b">
        <f>_xlfn.XLOOKUP(Table3[[#This Row],[instant]],Table1[instant],Table1[holiday], ,0,1)</f>
        <v>0</v>
      </c>
      <c r="E121" s="2">
        <f>_xlfn.XLOOKUP(Table3[[#This Row],[instant]],Table1[instant],Table1[weekday], ,0,1)</f>
        <v>4</v>
      </c>
      <c r="F121" s="2">
        <f>_xlfn.XLOOKUP(Table3[[#This Row],[instant]],Table1[instant],Table1[weathersit], ,0,1)</f>
        <v>2</v>
      </c>
      <c r="G121" s="2">
        <f>_xlfn.XLOOKUP(Table3[[#This Row],[instant]],Table1[instant],Table1[temp], ,0,1)</f>
        <v>0.14000000000000001</v>
      </c>
      <c r="H121" s="24">
        <f>_xlfn.XLOOKUP(Table3[[#This Row],[instant]],Table2[instant],Table2[atemp], ,0,1)</f>
        <v>0.18179999999999999</v>
      </c>
      <c r="I121" s="1">
        <f>_xlfn.XLOOKUP(Table3[[#This Row],[instant]],Table2[instant],Table2[hum], ,0,1)</f>
        <v>0.69</v>
      </c>
      <c r="J121" s="1">
        <f>_xlfn.XLOOKUP(Table3[[#This Row],[instant]],Table2[instant],Table2[windspeed], ,0,1)</f>
        <v>8.9599999999999999E-2</v>
      </c>
      <c r="K121" s="1">
        <f>_xlfn.XLOOKUP(Table3[[#This Row],[instant]],Table2[instant],Table2[casual], ,0,1)</f>
        <v>0</v>
      </c>
      <c r="L121" s="1">
        <f>_xlfn.XLOOKUP(Table3[[#This Row],[instant]],Table2[instant],Table2[registered], ,0,1)</f>
        <v>4</v>
      </c>
      <c r="M121" s="6">
        <f>_xlfn.XLOOKUP(Table3[[#This Row],[instant]],Table2[instant],Table2[cnt], ,0,1)</f>
        <v>4</v>
      </c>
      <c r="N121" s="1" t="str">
        <f>IF(OR(Table3[[#This Row],[weekday]]=0,Table3[[#This Row],[weekday]]=6),"Weekend","Weekday")</f>
        <v>Weekday</v>
      </c>
    </row>
    <row r="122" spans="1:14" ht="15" thickBot="1" x14ac:dyDescent="0.35">
      <c r="A122" s="42">
        <v>121</v>
      </c>
      <c r="B122" s="43">
        <f>_xlfn.XLOOKUP(Table3[[#This Row],[instant]],DatSet1!A122:A731,DatSet1!B122:B731,_xlfn.XLOOKUP(Table3[[#This Row],[instant]],'Final Data'!A122:A511,'Final Data'!B122:B511, ,0,1),0,1)</f>
        <v>40549</v>
      </c>
      <c r="C122" s="42">
        <f>_xlfn.XLOOKUP(Table3[[#This Row],[instant]],Table1[instant],Table1[hr], ,0,1)</f>
        <v>6</v>
      </c>
      <c r="D122" s="44" t="b">
        <f>_xlfn.XLOOKUP(Table3[[#This Row],[instant]],Table1[instant],Table1[holiday], ,0,1)</f>
        <v>0</v>
      </c>
      <c r="E122" s="44">
        <f>_xlfn.XLOOKUP(Table3[[#This Row],[instant]],Table1[instant],Table1[weekday], ,0,1)</f>
        <v>4</v>
      </c>
      <c r="F122" s="44">
        <f>_xlfn.XLOOKUP(Table3[[#This Row],[instant]],Table1[instant],Table1[weathersit], ,0,1)</f>
        <v>2</v>
      </c>
      <c r="G122" s="44">
        <f>_xlfn.XLOOKUP(Table3[[#This Row],[instant]],Table1[instant],Table1[temp], ,0,1)</f>
        <v>0.14000000000000001</v>
      </c>
      <c r="H122" s="45">
        <f>_xlfn.XLOOKUP(Table3[[#This Row],[instant]],Table2[instant],Table2[atemp], ,0,1)</f>
        <v>0.16669999999999999</v>
      </c>
      <c r="I122" s="42">
        <f>_xlfn.XLOOKUP(Table3[[#This Row],[instant]],Table2[instant],Table2[hum], ,0,1)</f>
        <v>0.63</v>
      </c>
      <c r="J122" s="42">
        <f>_xlfn.XLOOKUP(Table3[[#This Row],[instant]],Table2[instant],Table2[windspeed], ,0,1)</f>
        <v>0.1045</v>
      </c>
      <c r="K122" s="42">
        <f>_xlfn.XLOOKUP(Table3[[#This Row],[instant]],Table2[instant],Table2[casual], ,0,1)</f>
        <v>0</v>
      </c>
      <c r="L122" s="42">
        <f>_xlfn.XLOOKUP(Table3[[#This Row],[instant]],Table2[instant],Table2[registered], ,0,1)</f>
        <v>36</v>
      </c>
      <c r="M122" s="46">
        <f>_xlfn.XLOOKUP(Table3[[#This Row],[instant]],Table2[instant],Table2[cnt], ,0,1)</f>
        <v>36</v>
      </c>
      <c r="N122" s="42" t="str">
        <f>IF(OR(Table3[[#This Row],[weekday]]=0,Table3[[#This Row],[weekday]]=6),"Weekend","Weekday")</f>
        <v>Weekday</v>
      </c>
    </row>
    <row r="123" spans="1:14" ht="15" thickBot="1" x14ac:dyDescent="0.35">
      <c r="A123" s="1">
        <v>122</v>
      </c>
      <c r="B123" s="3">
        <f>_xlfn.XLOOKUP(Table3[[#This Row],[instant]],DatSet1!A123:A732,DatSet1!B123:B732,_xlfn.XLOOKUP(Table3[[#This Row],[instant]],'Final Data'!A123:A512,'Final Data'!B123:B512, ,0,1),0,1)</f>
        <v>40549</v>
      </c>
      <c r="C123" s="1">
        <f>_xlfn.XLOOKUP(Table3[[#This Row],[instant]],Table1[instant],Table1[hr], ,0,1)</f>
        <v>7</v>
      </c>
      <c r="D123" s="2" t="b">
        <f>_xlfn.XLOOKUP(Table3[[#This Row],[instant]],Table1[instant],Table1[holiday], ,0,1)</f>
        <v>0</v>
      </c>
      <c r="E123" s="2">
        <f>_xlfn.XLOOKUP(Table3[[#This Row],[instant]],Table1[instant],Table1[weekday], ,0,1)</f>
        <v>4</v>
      </c>
      <c r="F123" s="2">
        <f>_xlfn.XLOOKUP(Table3[[#This Row],[instant]],Table1[instant],Table1[weathersit], ,0,1)</f>
        <v>2</v>
      </c>
      <c r="G123" s="2">
        <f>_xlfn.XLOOKUP(Table3[[#This Row],[instant]],Table1[instant],Table1[temp], ,0,1)</f>
        <v>0.16</v>
      </c>
      <c r="H123" s="24">
        <f>_xlfn.XLOOKUP(Table3[[#This Row],[instant]],Table2[instant],Table2[atemp], ,0,1)</f>
        <v>0.2273</v>
      </c>
      <c r="I123" s="1">
        <f>_xlfn.XLOOKUP(Table3[[#This Row],[instant]],Table2[instant],Table2[hum], ,0,1)</f>
        <v>0.59</v>
      </c>
      <c r="J123" s="1">
        <f>_xlfn.XLOOKUP(Table3[[#This Row],[instant]],Table2[instant],Table2[windspeed], ,0,1)</f>
        <v>0</v>
      </c>
      <c r="K123" s="1">
        <f>_xlfn.XLOOKUP(Table3[[#This Row],[instant]],Table2[instant],Table2[casual], ,0,1)</f>
        <v>0</v>
      </c>
      <c r="L123" s="1">
        <f>_xlfn.XLOOKUP(Table3[[#This Row],[instant]],Table2[instant],Table2[registered], ,0,1)</f>
        <v>95</v>
      </c>
      <c r="M123" s="6">
        <f>_xlfn.XLOOKUP(Table3[[#This Row],[instant]],Table2[instant],Table2[cnt], ,0,1)</f>
        <v>95</v>
      </c>
      <c r="N123" s="1" t="str">
        <f>IF(OR(Table3[[#This Row],[weekday]]=0,Table3[[#This Row],[weekday]]=6),"Weekend","Weekday")</f>
        <v>Weekday</v>
      </c>
    </row>
    <row r="124" spans="1:14" ht="15" thickBot="1" x14ac:dyDescent="0.35">
      <c r="A124" s="42">
        <v>123</v>
      </c>
      <c r="B124" s="43">
        <f>_xlfn.XLOOKUP(Table3[[#This Row],[instant]],DatSet1!A124:A733,DatSet1!B124:B733,_xlfn.XLOOKUP(Table3[[#This Row],[instant]],'Final Data'!A124:A513,'Final Data'!B124:B513, ,0,1),0,1)</f>
        <v>40549</v>
      </c>
      <c r="C124" s="42">
        <f>_xlfn.XLOOKUP(Table3[[#This Row],[instant]],Table1[instant],Table1[hr], ,0,1)</f>
        <v>8</v>
      </c>
      <c r="D124" s="44" t="b">
        <f>_xlfn.XLOOKUP(Table3[[#This Row],[instant]],Table1[instant],Table1[holiday], ,0,1)</f>
        <v>0</v>
      </c>
      <c r="E124" s="44">
        <f>_xlfn.XLOOKUP(Table3[[#This Row],[instant]],Table1[instant],Table1[weekday], ,0,1)</f>
        <v>4</v>
      </c>
      <c r="F124" s="44">
        <f>_xlfn.XLOOKUP(Table3[[#This Row],[instant]],Table1[instant],Table1[weathersit], ,0,1)</f>
        <v>1</v>
      </c>
      <c r="G124" s="44">
        <f>_xlfn.XLOOKUP(Table3[[#This Row],[instant]],Table1[instant],Table1[temp], ,0,1)</f>
        <v>0.16</v>
      </c>
      <c r="H124" s="45">
        <f>_xlfn.XLOOKUP(Table3[[#This Row],[instant]],Table2[instant],Table2[atemp], ,0,1)</f>
        <v>0.2273</v>
      </c>
      <c r="I124" s="42">
        <f>_xlfn.XLOOKUP(Table3[[#This Row],[instant]],Table2[instant],Table2[hum], ,0,1)</f>
        <v>0.59</v>
      </c>
      <c r="J124" s="42">
        <f>_xlfn.XLOOKUP(Table3[[#This Row],[instant]],Table2[instant],Table2[windspeed], ,0,1)</f>
        <v>0</v>
      </c>
      <c r="K124" s="42">
        <f>_xlfn.XLOOKUP(Table3[[#This Row],[instant]],Table2[instant],Table2[casual], ,0,1)</f>
        <v>3</v>
      </c>
      <c r="L124" s="42">
        <f>_xlfn.XLOOKUP(Table3[[#This Row],[instant]],Table2[instant],Table2[registered], ,0,1)</f>
        <v>216</v>
      </c>
      <c r="M124" s="46">
        <f>_xlfn.XLOOKUP(Table3[[#This Row],[instant]],Table2[instant],Table2[cnt], ,0,1)</f>
        <v>219</v>
      </c>
      <c r="N124" s="42" t="str">
        <f>IF(OR(Table3[[#This Row],[weekday]]=0,Table3[[#This Row],[weekday]]=6),"Weekend","Weekday")</f>
        <v>Weekday</v>
      </c>
    </row>
    <row r="125" spans="1:14" ht="15" thickBot="1" x14ac:dyDescent="0.35">
      <c r="A125" s="1">
        <v>124</v>
      </c>
      <c r="B125" s="3">
        <f>_xlfn.XLOOKUP(Table3[[#This Row],[instant]],DatSet1!A125:A734,DatSet1!B125:B734,_xlfn.XLOOKUP(Table3[[#This Row],[instant]],'Final Data'!A125:A514,'Final Data'!B125:B514, ,0,1),0,1)</f>
        <v>40549</v>
      </c>
      <c r="C125" s="1">
        <f>_xlfn.XLOOKUP(Table3[[#This Row],[instant]],Table1[instant],Table1[hr], ,0,1)</f>
        <v>9</v>
      </c>
      <c r="D125" s="2" t="b">
        <f>_xlfn.XLOOKUP(Table3[[#This Row],[instant]],Table1[instant],Table1[holiday], ,0,1)</f>
        <v>0</v>
      </c>
      <c r="E125" s="2">
        <f>_xlfn.XLOOKUP(Table3[[#This Row],[instant]],Table1[instant],Table1[weekday], ,0,1)</f>
        <v>4</v>
      </c>
      <c r="F125" s="2">
        <f>_xlfn.XLOOKUP(Table3[[#This Row],[instant]],Table1[instant],Table1[weathersit], ,0,1)</f>
        <v>2</v>
      </c>
      <c r="G125" s="2">
        <f>_xlfn.XLOOKUP(Table3[[#This Row],[instant]],Table1[instant],Table1[temp], ,0,1)</f>
        <v>0.18</v>
      </c>
      <c r="H125" s="24">
        <f>_xlfn.XLOOKUP(Table3[[#This Row],[instant]],Table2[instant],Table2[atemp], ,0,1)</f>
        <v>0.2424</v>
      </c>
      <c r="I125" s="1">
        <f>_xlfn.XLOOKUP(Table3[[#This Row],[instant]],Table2[instant],Table2[hum], ,0,1)</f>
        <v>0.51</v>
      </c>
      <c r="J125" s="1">
        <f>_xlfn.XLOOKUP(Table3[[#This Row],[instant]],Table2[instant],Table2[windspeed], ,0,1)</f>
        <v>0</v>
      </c>
      <c r="K125" s="1">
        <f>_xlfn.XLOOKUP(Table3[[#This Row],[instant]],Table2[instant],Table2[casual], ,0,1)</f>
        <v>6</v>
      </c>
      <c r="L125" s="1">
        <f>_xlfn.XLOOKUP(Table3[[#This Row],[instant]],Table2[instant],Table2[registered], ,0,1)</f>
        <v>116</v>
      </c>
      <c r="M125" s="6">
        <f>_xlfn.XLOOKUP(Table3[[#This Row],[instant]],Table2[instant],Table2[cnt], ,0,1)</f>
        <v>122</v>
      </c>
      <c r="N125" s="1" t="str">
        <f>IF(OR(Table3[[#This Row],[weekday]]=0,Table3[[#This Row],[weekday]]=6),"Weekend","Weekday")</f>
        <v>Weekday</v>
      </c>
    </row>
    <row r="126" spans="1:14" ht="15" thickBot="1" x14ac:dyDescent="0.35">
      <c r="A126" s="42">
        <v>125</v>
      </c>
      <c r="B126" s="43">
        <f>_xlfn.XLOOKUP(Table3[[#This Row],[instant]],DatSet1!A126:A735,DatSet1!B126:B735,_xlfn.XLOOKUP(Table3[[#This Row],[instant]],'Final Data'!A126:A515,'Final Data'!B126:B515, ,0,1),0,1)</f>
        <v>40549</v>
      </c>
      <c r="C126" s="42">
        <f>_xlfn.XLOOKUP(Table3[[#This Row],[instant]],Table1[instant],Table1[hr], ,0,1)</f>
        <v>10</v>
      </c>
      <c r="D126" s="44" t="b">
        <f>_xlfn.XLOOKUP(Table3[[#This Row],[instant]],Table1[instant],Table1[holiday], ,0,1)</f>
        <v>0</v>
      </c>
      <c r="E126" s="44">
        <f>_xlfn.XLOOKUP(Table3[[#This Row],[instant]],Table1[instant],Table1[weekday], ,0,1)</f>
        <v>4</v>
      </c>
      <c r="F126" s="44">
        <f>_xlfn.XLOOKUP(Table3[[#This Row],[instant]],Table1[instant],Table1[weathersit], ,0,1)</f>
        <v>1</v>
      </c>
      <c r="G126" s="44">
        <f>_xlfn.XLOOKUP(Table3[[#This Row],[instant]],Table1[instant],Table1[temp], ,0,1)</f>
        <v>0.2</v>
      </c>
      <c r="H126" s="45">
        <f>_xlfn.XLOOKUP(Table3[[#This Row],[instant]],Table2[instant],Table2[atemp], ,0,1)</f>
        <v>0.2576</v>
      </c>
      <c r="I126" s="42">
        <f>_xlfn.XLOOKUP(Table3[[#This Row],[instant]],Table2[instant],Table2[hum], ,0,1)</f>
        <v>0.47</v>
      </c>
      <c r="J126" s="42">
        <f>_xlfn.XLOOKUP(Table3[[#This Row],[instant]],Table2[instant],Table2[windspeed], ,0,1)</f>
        <v>0</v>
      </c>
      <c r="K126" s="42">
        <f>_xlfn.XLOOKUP(Table3[[#This Row],[instant]],Table2[instant],Table2[casual], ,0,1)</f>
        <v>3</v>
      </c>
      <c r="L126" s="42">
        <f>_xlfn.XLOOKUP(Table3[[#This Row],[instant]],Table2[instant],Table2[registered], ,0,1)</f>
        <v>42</v>
      </c>
      <c r="M126" s="46">
        <f>_xlfn.XLOOKUP(Table3[[#This Row],[instant]],Table2[instant],Table2[cnt], ,0,1)</f>
        <v>45</v>
      </c>
      <c r="N126" s="42" t="str">
        <f>IF(OR(Table3[[#This Row],[weekday]]=0,Table3[[#This Row],[weekday]]=6),"Weekend","Weekday")</f>
        <v>Weekday</v>
      </c>
    </row>
    <row r="127" spans="1:14" ht="15" thickBot="1" x14ac:dyDescent="0.35">
      <c r="A127" s="1">
        <v>126</v>
      </c>
      <c r="B127" s="3">
        <f>_xlfn.XLOOKUP(Table3[[#This Row],[instant]],DatSet1!A127:A736,DatSet1!B127:B736,_xlfn.XLOOKUP(Table3[[#This Row],[instant]],'Final Data'!A127:A516,'Final Data'!B127:B516, ,0,1),0,1)</f>
        <v>40549</v>
      </c>
      <c r="C127" s="1">
        <f>_xlfn.XLOOKUP(Table3[[#This Row],[instant]],Table1[instant],Table1[hr], ,0,1)</f>
        <v>11</v>
      </c>
      <c r="D127" s="2" t="b">
        <f>_xlfn.XLOOKUP(Table3[[#This Row],[instant]],Table1[instant],Table1[holiday], ,0,1)</f>
        <v>0</v>
      </c>
      <c r="E127" s="2">
        <f>_xlfn.XLOOKUP(Table3[[#This Row],[instant]],Table1[instant],Table1[weekday], ,0,1)</f>
        <v>4</v>
      </c>
      <c r="F127" s="2">
        <f>_xlfn.XLOOKUP(Table3[[#This Row],[instant]],Table1[instant],Table1[weathersit], ,0,1)</f>
        <v>1</v>
      </c>
      <c r="G127" s="2">
        <f>_xlfn.XLOOKUP(Table3[[#This Row],[instant]],Table1[instant],Table1[temp], ,0,1)</f>
        <v>0.22</v>
      </c>
      <c r="H127" s="24">
        <f>_xlfn.XLOOKUP(Table3[[#This Row],[instant]],Table2[instant],Table2[atemp], ,0,1)</f>
        <v>0.2576</v>
      </c>
      <c r="I127" s="1">
        <f>_xlfn.XLOOKUP(Table3[[#This Row],[instant]],Table2[instant],Table2[hum], ,0,1)</f>
        <v>0.44</v>
      </c>
      <c r="J127" s="1">
        <f>_xlfn.XLOOKUP(Table3[[#This Row],[instant]],Table2[instant],Table2[windspeed], ,0,1)</f>
        <v>8.9599999999999999E-2</v>
      </c>
      <c r="K127" s="1">
        <f>_xlfn.XLOOKUP(Table3[[#This Row],[instant]],Table2[instant],Table2[casual], ,0,1)</f>
        <v>2</v>
      </c>
      <c r="L127" s="1">
        <f>_xlfn.XLOOKUP(Table3[[#This Row],[instant]],Table2[instant],Table2[registered], ,0,1)</f>
        <v>57</v>
      </c>
      <c r="M127" s="6">
        <f>_xlfn.XLOOKUP(Table3[[#This Row],[instant]],Table2[instant],Table2[cnt], ,0,1)</f>
        <v>59</v>
      </c>
      <c r="N127" s="1" t="str">
        <f>IF(OR(Table3[[#This Row],[weekday]]=0,Table3[[#This Row],[weekday]]=6),"Weekend","Weekday")</f>
        <v>Weekday</v>
      </c>
    </row>
    <row r="128" spans="1:14" ht="15" thickBot="1" x14ac:dyDescent="0.35">
      <c r="A128" s="42">
        <v>127</v>
      </c>
      <c r="B128" s="43">
        <f>_xlfn.XLOOKUP(Table3[[#This Row],[instant]],DatSet1!A128:A737,DatSet1!B128:B737,_xlfn.XLOOKUP(Table3[[#This Row],[instant]],'Final Data'!A128:A517,'Final Data'!B128:B517, ,0,1),0,1)</f>
        <v>40549</v>
      </c>
      <c r="C128" s="42">
        <f>_xlfn.XLOOKUP(Table3[[#This Row],[instant]],Table1[instant],Table1[hr], ,0,1)</f>
        <v>12</v>
      </c>
      <c r="D128" s="44" t="b">
        <f>_xlfn.XLOOKUP(Table3[[#This Row],[instant]],Table1[instant],Table1[holiday], ,0,1)</f>
        <v>0</v>
      </c>
      <c r="E128" s="44">
        <f>_xlfn.XLOOKUP(Table3[[#This Row],[instant]],Table1[instant],Table1[weekday], ,0,1)</f>
        <v>4</v>
      </c>
      <c r="F128" s="44">
        <f>_xlfn.XLOOKUP(Table3[[#This Row],[instant]],Table1[instant],Table1[weathersit], ,0,1)</f>
        <v>1</v>
      </c>
      <c r="G128" s="44">
        <f>_xlfn.XLOOKUP(Table3[[#This Row],[instant]],Table1[instant],Table1[temp], ,0,1)</f>
        <v>0.26</v>
      </c>
      <c r="H128" s="45">
        <f>_xlfn.XLOOKUP(Table3[[#This Row],[instant]],Table2[instant],Table2[atemp], ,0,1)</f>
        <v>0.28789999999999999</v>
      </c>
      <c r="I128" s="42">
        <f>_xlfn.XLOOKUP(Table3[[#This Row],[instant]],Table2[instant],Table2[hum], ,0,1)</f>
        <v>0.35</v>
      </c>
      <c r="J128" s="42">
        <f>_xlfn.XLOOKUP(Table3[[#This Row],[instant]],Table2[instant],Table2[windspeed], ,0,1)</f>
        <v>0</v>
      </c>
      <c r="K128" s="42">
        <f>_xlfn.XLOOKUP(Table3[[#This Row],[instant]],Table2[instant],Table2[casual], ,0,1)</f>
        <v>6</v>
      </c>
      <c r="L128" s="42">
        <f>_xlfn.XLOOKUP(Table3[[#This Row],[instant]],Table2[instant],Table2[registered], ,0,1)</f>
        <v>78</v>
      </c>
      <c r="M128" s="46">
        <f>_xlfn.XLOOKUP(Table3[[#This Row],[instant]],Table2[instant],Table2[cnt], ,0,1)</f>
        <v>84</v>
      </c>
      <c r="N128" s="42" t="str">
        <f>IF(OR(Table3[[#This Row],[weekday]]=0,Table3[[#This Row],[weekday]]=6),"Weekend","Weekday")</f>
        <v>Weekday</v>
      </c>
    </row>
    <row r="129" spans="1:14" ht="15" thickBot="1" x14ac:dyDescent="0.35">
      <c r="A129" s="1">
        <v>128</v>
      </c>
      <c r="B129" s="3">
        <f>_xlfn.XLOOKUP(Table3[[#This Row],[instant]],DatSet1!A129:A738,DatSet1!B129:B738,_xlfn.XLOOKUP(Table3[[#This Row],[instant]],'Final Data'!A129:A518,'Final Data'!B129:B518, ,0,1),0,1)</f>
        <v>40549</v>
      </c>
      <c r="C129" s="1">
        <f>_xlfn.XLOOKUP(Table3[[#This Row],[instant]],Table1[instant],Table1[hr], ,0,1)</f>
        <v>13</v>
      </c>
      <c r="D129" s="2" t="b">
        <f>_xlfn.XLOOKUP(Table3[[#This Row],[instant]],Table1[instant],Table1[holiday], ,0,1)</f>
        <v>0</v>
      </c>
      <c r="E129" s="2">
        <f>_xlfn.XLOOKUP(Table3[[#This Row],[instant]],Table1[instant],Table1[weekday], ,0,1)</f>
        <v>4</v>
      </c>
      <c r="F129" s="2">
        <f>_xlfn.XLOOKUP(Table3[[#This Row],[instant]],Table1[instant],Table1[weathersit], ,0,1)</f>
        <v>1</v>
      </c>
      <c r="G129" s="2">
        <f>_xlfn.XLOOKUP(Table3[[#This Row],[instant]],Table1[instant],Table1[temp], ,0,1)</f>
        <v>0.26</v>
      </c>
      <c r="H129" s="24">
        <f>_xlfn.XLOOKUP(Table3[[#This Row],[instant]],Table2[instant],Table2[atemp], ,0,1)</f>
        <v>0.2727</v>
      </c>
      <c r="I129" s="1">
        <f>_xlfn.XLOOKUP(Table3[[#This Row],[instant]],Table2[instant],Table2[hum], ,0,1)</f>
        <v>0.35</v>
      </c>
      <c r="J129" s="1">
        <f>_xlfn.XLOOKUP(Table3[[#This Row],[instant]],Table2[instant],Table2[windspeed], ,0,1)</f>
        <v>0.1045</v>
      </c>
      <c r="K129" s="1">
        <f>_xlfn.XLOOKUP(Table3[[#This Row],[instant]],Table2[instant],Table2[casual], ,0,1)</f>
        <v>12</v>
      </c>
      <c r="L129" s="1">
        <f>_xlfn.XLOOKUP(Table3[[#This Row],[instant]],Table2[instant],Table2[registered], ,0,1)</f>
        <v>55</v>
      </c>
      <c r="M129" s="6">
        <f>_xlfn.XLOOKUP(Table3[[#This Row],[instant]],Table2[instant],Table2[cnt], ,0,1)</f>
        <v>67</v>
      </c>
      <c r="N129" s="1" t="str">
        <f>IF(OR(Table3[[#This Row],[weekday]]=0,Table3[[#This Row],[weekday]]=6),"Weekend","Weekday")</f>
        <v>Weekday</v>
      </c>
    </row>
    <row r="130" spans="1:14" ht="15" thickBot="1" x14ac:dyDescent="0.35">
      <c r="A130" s="42">
        <v>129</v>
      </c>
      <c r="B130" s="43">
        <f>_xlfn.XLOOKUP(Table3[[#This Row],[instant]],DatSet1!A130:A739,DatSet1!B130:B739,_xlfn.XLOOKUP(Table3[[#This Row],[instant]],'Final Data'!A130:A519,'Final Data'!B130:B519, ,0,1),0,1)</f>
        <v>40549</v>
      </c>
      <c r="C130" s="42">
        <f>_xlfn.XLOOKUP(Table3[[#This Row],[instant]],Table1[instant],Table1[hr], ,0,1)</f>
        <v>14</v>
      </c>
      <c r="D130" s="44" t="b">
        <f>_xlfn.XLOOKUP(Table3[[#This Row],[instant]],Table1[instant],Table1[holiday], ,0,1)</f>
        <v>0</v>
      </c>
      <c r="E130" s="44">
        <f>_xlfn.XLOOKUP(Table3[[#This Row],[instant]],Table1[instant],Table1[weekday], ,0,1)</f>
        <v>4</v>
      </c>
      <c r="F130" s="44">
        <f>_xlfn.XLOOKUP(Table3[[#This Row],[instant]],Table1[instant],Table1[weathersit], ,0,1)</f>
        <v>1</v>
      </c>
      <c r="G130" s="44">
        <f>_xlfn.XLOOKUP(Table3[[#This Row],[instant]],Table1[instant],Table1[temp], ,0,1)</f>
        <v>0.28000000000000003</v>
      </c>
      <c r="H130" s="45">
        <f>_xlfn.XLOOKUP(Table3[[#This Row],[instant]],Table2[instant],Table2[atemp], ,0,1)</f>
        <v>0.2727</v>
      </c>
      <c r="I130" s="42">
        <f>_xlfn.XLOOKUP(Table3[[#This Row],[instant]],Table2[instant],Table2[hum], ,0,1)</f>
        <v>0.36</v>
      </c>
      <c r="J130" s="42">
        <f>_xlfn.XLOOKUP(Table3[[#This Row],[instant]],Table2[instant],Table2[windspeed], ,0,1)</f>
        <v>0.16420000000000001</v>
      </c>
      <c r="K130" s="42">
        <f>_xlfn.XLOOKUP(Table3[[#This Row],[instant]],Table2[instant],Table2[casual], ,0,1)</f>
        <v>11</v>
      </c>
      <c r="L130" s="42">
        <f>_xlfn.XLOOKUP(Table3[[#This Row],[instant]],Table2[instant],Table2[registered], ,0,1)</f>
        <v>59</v>
      </c>
      <c r="M130" s="46">
        <f>_xlfn.XLOOKUP(Table3[[#This Row],[instant]],Table2[instant],Table2[cnt], ,0,1)</f>
        <v>70</v>
      </c>
      <c r="N130" s="42" t="str">
        <f>IF(OR(Table3[[#This Row],[weekday]]=0,Table3[[#This Row],[weekday]]=6),"Weekend","Weekday")</f>
        <v>Weekday</v>
      </c>
    </row>
    <row r="131" spans="1:14" ht="15" thickBot="1" x14ac:dyDescent="0.35">
      <c r="A131" s="1">
        <v>130</v>
      </c>
      <c r="B131" s="3">
        <f>_xlfn.XLOOKUP(Table3[[#This Row],[instant]],DatSet1!A131:A740,DatSet1!B131:B740,_xlfn.XLOOKUP(Table3[[#This Row],[instant]],'Final Data'!A131:A520,'Final Data'!B131:B520, ,0,1),0,1)</f>
        <v>40549</v>
      </c>
      <c r="C131" s="1">
        <f>_xlfn.XLOOKUP(Table3[[#This Row],[instant]],Table1[instant],Table1[hr], ,0,1)</f>
        <v>15</v>
      </c>
      <c r="D131" s="2" t="b">
        <f>_xlfn.XLOOKUP(Table3[[#This Row],[instant]],Table1[instant],Table1[holiday], ,0,1)</f>
        <v>0</v>
      </c>
      <c r="E131" s="2">
        <f>_xlfn.XLOOKUP(Table3[[#This Row],[instant]],Table1[instant],Table1[weekday], ,0,1)</f>
        <v>4</v>
      </c>
      <c r="F131" s="2">
        <f>_xlfn.XLOOKUP(Table3[[#This Row],[instant]],Table1[instant],Table1[weathersit], ,0,1)</f>
        <v>1</v>
      </c>
      <c r="G131" s="2">
        <f>_xlfn.XLOOKUP(Table3[[#This Row],[instant]],Table1[instant],Table1[temp], ,0,1)</f>
        <v>0.28000000000000003</v>
      </c>
      <c r="H131" s="24">
        <f>_xlfn.XLOOKUP(Table3[[#This Row],[instant]],Table2[instant],Table2[atemp], ,0,1)</f>
        <v>0.2727</v>
      </c>
      <c r="I131" s="1">
        <f>_xlfn.XLOOKUP(Table3[[#This Row],[instant]],Table2[instant],Table2[hum], ,0,1)</f>
        <v>0.36</v>
      </c>
      <c r="J131" s="1">
        <f>_xlfn.XLOOKUP(Table3[[#This Row],[instant]],Table2[instant],Table2[windspeed], ,0,1)</f>
        <v>0</v>
      </c>
      <c r="K131" s="1">
        <f>_xlfn.XLOOKUP(Table3[[#This Row],[instant]],Table2[instant],Table2[casual], ,0,1)</f>
        <v>8</v>
      </c>
      <c r="L131" s="1">
        <f>_xlfn.XLOOKUP(Table3[[#This Row],[instant]],Table2[instant],Table2[registered], ,0,1)</f>
        <v>54</v>
      </c>
      <c r="M131" s="6">
        <f>_xlfn.XLOOKUP(Table3[[#This Row],[instant]],Table2[instant],Table2[cnt], ,0,1)</f>
        <v>62</v>
      </c>
      <c r="N131" s="1" t="str">
        <f>IF(OR(Table3[[#This Row],[weekday]]=0,Table3[[#This Row],[weekday]]=6),"Weekend","Weekday")</f>
        <v>Weekday</v>
      </c>
    </row>
    <row r="132" spans="1:14" ht="15" thickBot="1" x14ac:dyDescent="0.35">
      <c r="A132" s="42">
        <v>131</v>
      </c>
      <c r="B132" s="43">
        <f>_xlfn.XLOOKUP(Table3[[#This Row],[instant]],DatSet1!A132:A741,DatSet1!B132:B741,_xlfn.XLOOKUP(Table3[[#This Row],[instant]],'Final Data'!A132:A521,'Final Data'!B132:B521, ,0,1),0,1)</f>
        <v>40549</v>
      </c>
      <c r="C132" s="42">
        <f>_xlfn.XLOOKUP(Table3[[#This Row],[instant]],Table1[instant],Table1[hr], ,0,1)</f>
        <v>16</v>
      </c>
      <c r="D132" s="44" t="b">
        <f>_xlfn.XLOOKUP(Table3[[#This Row],[instant]],Table1[instant],Table1[holiday], ,0,1)</f>
        <v>0</v>
      </c>
      <c r="E132" s="44">
        <f>_xlfn.XLOOKUP(Table3[[#This Row],[instant]],Table1[instant],Table1[weekday], ,0,1)</f>
        <v>4</v>
      </c>
      <c r="F132" s="44">
        <f>_xlfn.XLOOKUP(Table3[[#This Row],[instant]],Table1[instant],Table1[weathersit], ,0,1)</f>
        <v>1</v>
      </c>
      <c r="G132" s="44">
        <f>_xlfn.XLOOKUP(Table3[[#This Row],[instant]],Table1[instant],Table1[temp], ,0,1)</f>
        <v>0.26</v>
      </c>
      <c r="H132" s="45">
        <f>_xlfn.XLOOKUP(Table3[[#This Row],[instant]],Table2[instant],Table2[atemp], ,0,1)</f>
        <v>0.2576</v>
      </c>
      <c r="I132" s="42">
        <f>_xlfn.XLOOKUP(Table3[[#This Row],[instant]],Table2[instant],Table2[hum], ,0,1)</f>
        <v>0.38</v>
      </c>
      <c r="J132" s="42">
        <f>_xlfn.XLOOKUP(Table3[[#This Row],[instant]],Table2[instant],Table2[windspeed], ,0,1)</f>
        <v>0.16420000000000001</v>
      </c>
      <c r="K132" s="42">
        <f>_xlfn.XLOOKUP(Table3[[#This Row],[instant]],Table2[instant],Table2[casual], ,0,1)</f>
        <v>12</v>
      </c>
      <c r="L132" s="42">
        <f>_xlfn.XLOOKUP(Table3[[#This Row],[instant]],Table2[instant],Table2[registered], ,0,1)</f>
        <v>74</v>
      </c>
      <c r="M132" s="46">
        <f>_xlfn.XLOOKUP(Table3[[#This Row],[instant]],Table2[instant],Table2[cnt], ,0,1)</f>
        <v>86</v>
      </c>
      <c r="N132" s="42" t="str">
        <f>IF(OR(Table3[[#This Row],[weekday]]=0,Table3[[#This Row],[weekday]]=6),"Weekend","Weekday")</f>
        <v>Weekday</v>
      </c>
    </row>
    <row r="133" spans="1:14" ht="15" thickBot="1" x14ac:dyDescent="0.35">
      <c r="A133" s="1">
        <v>132</v>
      </c>
      <c r="B133" s="3">
        <f>_xlfn.XLOOKUP(Table3[[#This Row],[instant]],DatSet1!A133:A742,DatSet1!B133:B742,_xlfn.XLOOKUP(Table3[[#This Row],[instant]],'Final Data'!A133:A522,'Final Data'!B133:B522, ,0,1),0,1)</f>
        <v>40549</v>
      </c>
      <c r="C133" s="1">
        <f>_xlfn.XLOOKUP(Table3[[#This Row],[instant]],Table1[instant],Table1[hr], ,0,1)</f>
        <v>17</v>
      </c>
      <c r="D133" s="2" t="b">
        <f>_xlfn.XLOOKUP(Table3[[#This Row],[instant]],Table1[instant],Table1[holiday], ,0,1)</f>
        <v>0</v>
      </c>
      <c r="E133" s="2">
        <f>_xlfn.XLOOKUP(Table3[[#This Row],[instant]],Table1[instant],Table1[weekday], ,0,1)</f>
        <v>4</v>
      </c>
      <c r="F133" s="2">
        <f>_xlfn.XLOOKUP(Table3[[#This Row],[instant]],Table1[instant],Table1[weathersit], ,0,1)</f>
        <v>1</v>
      </c>
      <c r="G133" s="2">
        <f>_xlfn.XLOOKUP(Table3[[#This Row],[instant]],Table1[instant],Table1[temp], ,0,1)</f>
        <v>0.22</v>
      </c>
      <c r="H133" s="24">
        <f>_xlfn.XLOOKUP(Table3[[#This Row],[instant]],Table2[instant],Table2[atemp], ,0,1)</f>
        <v>0.2273</v>
      </c>
      <c r="I133" s="1">
        <f>_xlfn.XLOOKUP(Table3[[#This Row],[instant]],Table2[instant],Table2[hum], ,0,1)</f>
        <v>0.51</v>
      </c>
      <c r="J133" s="1">
        <f>_xlfn.XLOOKUP(Table3[[#This Row],[instant]],Table2[instant],Table2[windspeed], ,0,1)</f>
        <v>0.16420000000000001</v>
      </c>
      <c r="K133" s="1">
        <f>_xlfn.XLOOKUP(Table3[[#This Row],[instant]],Table2[instant],Table2[casual], ,0,1)</f>
        <v>9</v>
      </c>
      <c r="L133" s="1">
        <f>_xlfn.XLOOKUP(Table3[[#This Row],[instant]],Table2[instant],Table2[registered], ,0,1)</f>
        <v>163</v>
      </c>
      <c r="M133" s="6">
        <f>_xlfn.XLOOKUP(Table3[[#This Row],[instant]],Table2[instant],Table2[cnt], ,0,1)</f>
        <v>172</v>
      </c>
      <c r="N133" s="1" t="str">
        <f>IF(OR(Table3[[#This Row],[weekday]]=0,Table3[[#This Row],[weekday]]=6),"Weekend","Weekday")</f>
        <v>Weekday</v>
      </c>
    </row>
    <row r="134" spans="1:14" ht="15" thickBot="1" x14ac:dyDescent="0.35">
      <c r="A134" s="42">
        <v>133</v>
      </c>
      <c r="B134" s="43">
        <f>_xlfn.XLOOKUP(Table3[[#This Row],[instant]],DatSet1!A134:A743,DatSet1!B134:B743,_xlfn.XLOOKUP(Table3[[#This Row],[instant]],'Final Data'!A134:A523,'Final Data'!B134:B523, ,0,1),0,1)</f>
        <v>40549</v>
      </c>
      <c r="C134" s="42">
        <f>_xlfn.XLOOKUP(Table3[[#This Row],[instant]],Table1[instant],Table1[hr], ,0,1)</f>
        <v>18</v>
      </c>
      <c r="D134" s="44" t="b">
        <f>_xlfn.XLOOKUP(Table3[[#This Row],[instant]],Table1[instant],Table1[holiday], ,0,1)</f>
        <v>0</v>
      </c>
      <c r="E134" s="44">
        <f>_xlfn.XLOOKUP(Table3[[#This Row],[instant]],Table1[instant],Table1[weekday], ,0,1)</f>
        <v>4</v>
      </c>
      <c r="F134" s="44">
        <f>_xlfn.XLOOKUP(Table3[[#This Row],[instant]],Table1[instant],Table1[weathersit], ,0,1)</f>
        <v>1</v>
      </c>
      <c r="G134" s="44">
        <f>_xlfn.XLOOKUP(Table3[[#This Row],[instant]],Table1[instant],Table1[temp], ,0,1)</f>
        <v>0.22</v>
      </c>
      <c r="H134" s="45">
        <f>_xlfn.XLOOKUP(Table3[[#This Row],[instant]],Table2[instant],Table2[atemp], ,0,1)</f>
        <v>0.2273</v>
      </c>
      <c r="I134" s="42">
        <f>_xlfn.XLOOKUP(Table3[[#This Row],[instant]],Table2[instant],Table2[hum], ,0,1)</f>
        <v>0.51</v>
      </c>
      <c r="J134" s="42">
        <f>_xlfn.XLOOKUP(Table3[[#This Row],[instant]],Table2[instant],Table2[windspeed], ,0,1)</f>
        <v>0.1343</v>
      </c>
      <c r="K134" s="42">
        <f>_xlfn.XLOOKUP(Table3[[#This Row],[instant]],Table2[instant],Table2[casual], ,0,1)</f>
        <v>5</v>
      </c>
      <c r="L134" s="42">
        <f>_xlfn.XLOOKUP(Table3[[#This Row],[instant]],Table2[instant],Table2[registered], ,0,1)</f>
        <v>158</v>
      </c>
      <c r="M134" s="46">
        <f>_xlfn.XLOOKUP(Table3[[#This Row],[instant]],Table2[instant],Table2[cnt], ,0,1)</f>
        <v>163</v>
      </c>
      <c r="N134" s="42" t="str">
        <f>IF(OR(Table3[[#This Row],[weekday]]=0,Table3[[#This Row],[weekday]]=6),"Weekend","Weekday")</f>
        <v>Weekday</v>
      </c>
    </row>
    <row r="135" spans="1:14" ht="15" thickBot="1" x14ac:dyDescent="0.35">
      <c r="A135" s="1">
        <v>134</v>
      </c>
      <c r="B135" s="3">
        <f>_xlfn.XLOOKUP(Table3[[#This Row],[instant]],DatSet1!A135:A744,DatSet1!B135:B744,_xlfn.XLOOKUP(Table3[[#This Row],[instant]],'Final Data'!A135:A524,'Final Data'!B135:B524, ,0,1),0,1)</f>
        <v>40549</v>
      </c>
      <c r="C135" s="1">
        <f>_xlfn.XLOOKUP(Table3[[#This Row],[instant]],Table1[instant],Table1[hr], ,0,1)</f>
        <v>19</v>
      </c>
      <c r="D135" s="2" t="b">
        <f>_xlfn.XLOOKUP(Table3[[#This Row],[instant]],Table1[instant],Table1[holiday], ,0,1)</f>
        <v>0</v>
      </c>
      <c r="E135" s="2">
        <f>_xlfn.XLOOKUP(Table3[[#This Row],[instant]],Table1[instant],Table1[weekday], ,0,1)</f>
        <v>4</v>
      </c>
      <c r="F135" s="2">
        <f>_xlfn.XLOOKUP(Table3[[#This Row],[instant]],Table1[instant],Table1[weathersit], ,0,1)</f>
        <v>1</v>
      </c>
      <c r="G135" s="2">
        <f>_xlfn.XLOOKUP(Table3[[#This Row],[instant]],Table1[instant],Table1[temp], ,0,1)</f>
        <v>0.22</v>
      </c>
      <c r="H135" s="24">
        <f>_xlfn.XLOOKUP(Table3[[#This Row],[instant]],Table2[instant],Table2[atemp], ,0,1)</f>
        <v>0.2576</v>
      </c>
      <c r="I135" s="1">
        <f>_xlfn.XLOOKUP(Table3[[#This Row],[instant]],Table2[instant],Table2[hum], ,0,1)</f>
        <v>0.55000000000000004</v>
      </c>
      <c r="J135" s="1">
        <f>_xlfn.XLOOKUP(Table3[[#This Row],[instant]],Table2[instant],Table2[windspeed], ,0,1)</f>
        <v>8.9599999999999999E-2</v>
      </c>
      <c r="K135" s="1">
        <f>_xlfn.XLOOKUP(Table3[[#This Row],[instant]],Table2[instant],Table2[casual], ,0,1)</f>
        <v>3</v>
      </c>
      <c r="L135" s="1">
        <f>_xlfn.XLOOKUP(Table3[[#This Row],[instant]],Table2[instant],Table2[registered], ,0,1)</f>
        <v>109</v>
      </c>
      <c r="M135" s="6">
        <f>_xlfn.XLOOKUP(Table3[[#This Row],[instant]],Table2[instant],Table2[cnt], ,0,1)</f>
        <v>112</v>
      </c>
      <c r="N135" s="1" t="str">
        <f>IF(OR(Table3[[#This Row],[weekday]]=0,Table3[[#This Row],[weekday]]=6),"Weekend","Weekday")</f>
        <v>Weekday</v>
      </c>
    </row>
    <row r="136" spans="1:14" ht="15" thickBot="1" x14ac:dyDescent="0.35">
      <c r="A136" s="42">
        <v>135</v>
      </c>
      <c r="B136" s="43">
        <f>_xlfn.XLOOKUP(Table3[[#This Row],[instant]],DatSet1!A136:A745,DatSet1!B136:B745,_xlfn.XLOOKUP(Table3[[#This Row],[instant]],'Final Data'!A136:A525,'Final Data'!B136:B525, ,0,1),0,1)</f>
        <v>40549</v>
      </c>
      <c r="C136" s="42">
        <f>_xlfn.XLOOKUP(Table3[[#This Row],[instant]],Table1[instant],Table1[hr], ,0,1)</f>
        <v>20</v>
      </c>
      <c r="D136" s="44" t="b">
        <f>_xlfn.XLOOKUP(Table3[[#This Row],[instant]],Table1[instant],Table1[holiday], ,0,1)</f>
        <v>0</v>
      </c>
      <c r="E136" s="44">
        <f>_xlfn.XLOOKUP(Table3[[#This Row],[instant]],Table1[instant],Table1[weekday], ,0,1)</f>
        <v>4</v>
      </c>
      <c r="F136" s="44">
        <f>_xlfn.XLOOKUP(Table3[[#This Row],[instant]],Table1[instant],Table1[weathersit], ,0,1)</f>
        <v>1</v>
      </c>
      <c r="G136" s="44">
        <f>_xlfn.XLOOKUP(Table3[[#This Row],[instant]],Table1[instant],Table1[temp], ,0,1)</f>
        <v>0.2</v>
      </c>
      <c r="H136" s="45">
        <f>_xlfn.XLOOKUP(Table3[[#This Row],[instant]],Table2[instant],Table2[atemp], ,0,1)</f>
        <v>0.21210000000000001</v>
      </c>
      <c r="I136" s="42">
        <f>_xlfn.XLOOKUP(Table3[[#This Row],[instant]],Table2[instant],Table2[hum], ,0,1)</f>
        <v>0.51</v>
      </c>
      <c r="J136" s="42">
        <f>_xlfn.XLOOKUP(Table3[[#This Row],[instant]],Table2[instant],Table2[windspeed], ,0,1)</f>
        <v>0.16420000000000001</v>
      </c>
      <c r="K136" s="42">
        <f>_xlfn.XLOOKUP(Table3[[#This Row],[instant]],Table2[instant],Table2[casual], ,0,1)</f>
        <v>3</v>
      </c>
      <c r="L136" s="42">
        <f>_xlfn.XLOOKUP(Table3[[#This Row],[instant]],Table2[instant],Table2[registered], ,0,1)</f>
        <v>66</v>
      </c>
      <c r="M136" s="46">
        <f>_xlfn.XLOOKUP(Table3[[#This Row],[instant]],Table2[instant],Table2[cnt], ,0,1)</f>
        <v>69</v>
      </c>
      <c r="N136" s="42" t="str">
        <f>IF(OR(Table3[[#This Row],[weekday]]=0,Table3[[#This Row],[weekday]]=6),"Weekend","Weekday")</f>
        <v>Weekday</v>
      </c>
    </row>
    <row r="137" spans="1:14" ht="15" thickBot="1" x14ac:dyDescent="0.35">
      <c r="A137" s="1">
        <v>136</v>
      </c>
      <c r="B137" s="3">
        <f>_xlfn.XLOOKUP(Table3[[#This Row],[instant]],DatSet1!A137:A746,DatSet1!B137:B746,_xlfn.XLOOKUP(Table3[[#This Row],[instant]],'Final Data'!A137:A526,'Final Data'!B137:B526, ,0,1),0,1)</f>
        <v>40549</v>
      </c>
      <c r="C137" s="1">
        <f>_xlfn.XLOOKUP(Table3[[#This Row],[instant]],Table1[instant],Table1[hr], ,0,1)</f>
        <v>21</v>
      </c>
      <c r="D137" s="2" t="b">
        <f>_xlfn.XLOOKUP(Table3[[#This Row],[instant]],Table1[instant],Table1[holiday], ,0,1)</f>
        <v>0</v>
      </c>
      <c r="E137" s="2">
        <f>_xlfn.XLOOKUP(Table3[[#This Row],[instant]],Table1[instant],Table1[weekday], ,0,1)</f>
        <v>4</v>
      </c>
      <c r="F137" s="2">
        <f>_xlfn.XLOOKUP(Table3[[#This Row],[instant]],Table1[instant],Table1[weathersit], ,0,1)</f>
        <v>2</v>
      </c>
      <c r="G137" s="2">
        <f>_xlfn.XLOOKUP(Table3[[#This Row],[instant]],Table1[instant],Table1[temp], ,0,1)</f>
        <v>0.22</v>
      </c>
      <c r="H137" s="24">
        <f>_xlfn.XLOOKUP(Table3[[#This Row],[instant]],Table2[instant],Table2[atemp], ,0,1)</f>
        <v>0.21210000000000001</v>
      </c>
      <c r="I137" s="1">
        <f>_xlfn.XLOOKUP(Table3[[#This Row],[instant]],Table2[instant],Table2[hum], ,0,1)</f>
        <v>0.55000000000000004</v>
      </c>
      <c r="J137" s="1">
        <f>_xlfn.XLOOKUP(Table3[[#This Row],[instant]],Table2[instant],Table2[windspeed], ,0,1)</f>
        <v>0.22389999999999999</v>
      </c>
      <c r="K137" s="1">
        <f>_xlfn.XLOOKUP(Table3[[#This Row],[instant]],Table2[instant],Table2[casual], ,0,1)</f>
        <v>0</v>
      </c>
      <c r="L137" s="1">
        <f>_xlfn.XLOOKUP(Table3[[#This Row],[instant]],Table2[instant],Table2[registered], ,0,1)</f>
        <v>48</v>
      </c>
      <c r="M137" s="6">
        <f>_xlfn.XLOOKUP(Table3[[#This Row],[instant]],Table2[instant],Table2[cnt], ,0,1)</f>
        <v>48</v>
      </c>
      <c r="N137" s="1" t="str">
        <f>IF(OR(Table3[[#This Row],[weekday]]=0,Table3[[#This Row],[weekday]]=6),"Weekend","Weekday")</f>
        <v>Weekday</v>
      </c>
    </row>
    <row r="138" spans="1:14" ht="15" thickBot="1" x14ac:dyDescent="0.35">
      <c r="A138" s="42">
        <v>137</v>
      </c>
      <c r="B138" s="43">
        <f>_xlfn.XLOOKUP(Table3[[#This Row],[instant]],DatSet1!A138:A747,DatSet1!B138:B747,_xlfn.XLOOKUP(Table3[[#This Row],[instant]],'Final Data'!A138:A527,'Final Data'!B138:B527, ,0,1),0,1)</f>
        <v>40549</v>
      </c>
      <c r="C138" s="42">
        <f>_xlfn.XLOOKUP(Table3[[#This Row],[instant]],Table1[instant],Table1[hr], ,0,1)</f>
        <v>22</v>
      </c>
      <c r="D138" s="44" t="b">
        <f>_xlfn.XLOOKUP(Table3[[#This Row],[instant]],Table1[instant],Table1[holiday], ,0,1)</f>
        <v>0</v>
      </c>
      <c r="E138" s="44">
        <f>_xlfn.XLOOKUP(Table3[[#This Row],[instant]],Table1[instant],Table1[weekday], ,0,1)</f>
        <v>4</v>
      </c>
      <c r="F138" s="44">
        <f>_xlfn.XLOOKUP(Table3[[#This Row],[instant]],Table1[instant],Table1[weathersit], ,0,1)</f>
        <v>2</v>
      </c>
      <c r="G138" s="44">
        <f>_xlfn.XLOOKUP(Table3[[#This Row],[instant]],Table1[instant],Table1[temp], ,0,1)</f>
        <v>0.22</v>
      </c>
      <c r="H138" s="45">
        <f>_xlfn.XLOOKUP(Table3[[#This Row],[instant]],Table2[instant],Table2[atemp], ,0,1)</f>
        <v>0.21210000000000001</v>
      </c>
      <c r="I138" s="42">
        <f>_xlfn.XLOOKUP(Table3[[#This Row],[instant]],Table2[instant],Table2[hum], ,0,1)</f>
        <v>0.51</v>
      </c>
      <c r="J138" s="42">
        <f>_xlfn.XLOOKUP(Table3[[#This Row],[instant]],Table2[instant],Table2[windspeed], ,0,1)</f>
        <v>0.28360000000000002</v>
      </c>
      <c r="K138" s="42">
        <f>_xlfn.XLOOKUP(Table3[[#This Row],[instant]],Table2[instant],Table2[casual], ,0,1)</f>
        <v>1</v>
      </c>
      <c r="L138" s="42">
        <f>_xlfn.XLOOKUP(Table3[[#This Row],[instant]],Table2[instant],Table2[registered], ,0,1)</f>
        <v>51</v>
      </c>
      <c r="M138" s="46">
        <f>_xlfn.XLOOKUP(Table3[[#This Row],[instant]],Table2[instant],Table2[cnt], ,0,1)</f>
        <v>52</v>
      </c>
      <c r="N138" s="42" t="str">
        <f>IF(OR(Table3[[#This Row],[weekday]]=0,Table3[[#This Row],[weekday]]=6),"Weekend","Weekday")</f>
        <v>Weekday</v>
      </c>
    </row>
    <row r="139" spans="1:14" ht="15" thickBot="1" x14ac:dyDescent="0.35">
      <c r="A139" s="1">
        <v>138</v>
      </c>
      <c r="B139" s="3">
        <f>_xlfn.XLOOKUP(Table3[[#This Row],[instant]],DatSet1!A139:A748,DatSet1!B139:B748,_xlfn.XLOOKUP(Table3[[#This Row],[instant]],'Final Data'!A139:A528,'Final Data'!B139:B528, ,0,1),0,1)</f>
        <v>40549</v>
      </c>
      <c r="C139" s="1">
        <f>_xlfn.XLOOKUP(Table3[[#This Row],[instant]],Table1[instant],Table1[hr], ,0,1)</f>
        <v>23</v>
      </c>
      <c r="D139" s="2" t="b">
        <f>_xlfn.XLOOKUP(Table3[[#This Row],[instant]],Table1[instant],Table1[holiday], ,0,1)</f>
        <v>0</v>
      </c>
      <c r="E139" s="2">
        <f>_xlfn.XLOOKUP(Table3[[#This Row],[instant]],Table1[instant],Table1[weekday], ,0,1)</f>
        <v>4</v>
      </c>
      <c r="F139" s="2">
        <f>_xlfn.XLOOKUP(Table3[[#This Row],[instant]],Table1[instant],Table1[weathersit], ,0,1)</f>
        <v>2</v>
      </c>
      <c r="G139" s="2">
        <f>_xlfn.XLOOKUP(Table3[[#This Row],[instant]],Table1[instant],Table1[temp], ,0,1)</f>
        <v>0.2</v>
      </c>
      <c r="H139" s="24">
        <f>_xlfn.XLOOKUP(Table3[[#This Row],[instant]],Table2[instant],Table2[atemp], ,0,1)</f>
        <v>0.19700000000000001</v>
      </c>
      <c r="I139" s="1">
        <f>_xlfn.XLOOKUP(Table3[[#This Row],[instant]],Table2[instant],Table2[hum], ,0,1)</f>
        <v>0.59</v>
      </c>
      <c r="J139" s="1">
        <f>_xlfn.XLOOKUP(Table3[[#This Row],[instant]],Table2[instant],Table2[windspeed], ,0,1)</f>
        <v>0.19400000000000001</v>
      </c>
      <c r="K139" s="1">
        <f>_xlfn.XLOOKUP(Table3[[#This Row],[instant]],Table2[instant],Table2[casual], ,0,1)</f>
        <v>4</v>
      </c>
      <c r="L139" s="1">
        <f>_xlfn.XLOOKUP(Table3[[#This Row],[instant]],Table2[instant],Table2[registered], ,0,1)</f>
        <v>19</v>
      </c>
      <c r="M139" s="6">
        <f>_xlfn.XLOOKUP(Table3[[#This Row],[instant]],Table2[instant],Table2[cnt], ,0,1)</f>
        <v>23</v>
      </c>
      <c r="N139" s="1" t="str">
        <f>IF(OR(Table3[[#This Row],[weekday]]=0,Table3[[#This Row],[weekday]]=6),"Weekend","Weekday")</f>
        <v>Weekday</v>
      </c>
    </row>
    <row r="140" spans="1:14" ht="15" thickBot="1" x14ac:dyDescent="0.35">
      <c r="A140" s="42">
        <v>139</v>
      </c>
      <c r="B140" s="43">
        <f>_xlfn.XLOOKUP(Table3[[#This Row],[instant]],DatSet1!A140:A749,DatSet1!B140:B749,_xlfn.XLOOKUP(Table3[[#This Row],[instant]],'Final Data'!A140:A529,'Final Data'!B140:B529, ,0,1),0,1)</f>
        <v>40550</v>
      </c>
      <c r="C140" s="42">
        <f>_xlfn.XLOOKUP(Table3[[#This Row],[instant]],Table1[instant],Table1[hr], ,0,1)</f>
        <v>0</v>
      </c>
      <c r="D140" s="44" t="b">
        <f>_xlfn.XLOOKUP(Table3[[#This Row],[instant]],Table1[instant],Table1[holiday], ,0,1)</f>
        <v>0</v>
      </c>
      <c r="E140" s="44">
        <f>_xlfn.XLOOKUP(Table3[[#This Row],[instant]],Table1[instant],Table1[weekday], ,0,1)</f>
        <v>5</v>
      </c>
      <c r="F140" s="44">
        <f>_xlfn.XLOOKUP(Table3[[#This Row],[instant]],Table1[instant],Table1[weathersit], ,0,1)</f>
        <v>2</v>
      </c>
      <c r="G140" s="44">
        <f>_xlfn.XLOOKUP(Table3[[#This Row],[instant]],Table1[instant],Table1[temp], ,0,1)</f>
        <v>0.2</v>
      </c>
      <c r="H140" s="45">
        <f>_xlfn.XLOOKUP(Table3[[#This Row],[instant]],Table2[instant],Table2[atemp], ,0,1)</f>
        <v>0.19700000000000001</v>
      </c>
      <c r="I140" s="42">
        <f>_xlfn.XLOOKUP(Table3[[#This Row],[instant]],Table2[instant],Table2[hum], ,0,1)</f>
        <v>0.64</v>
      </c>
      <c r="J140" s="42">
        <f>_xlfn.XLOOKUP(Table3[[#This Row],[instant]],Table2[instant],Table2[windspeed], ,0,1)</f>
        <v>0.19400000000000001</v>
      </c>
      <c r="K140" s="42">
        <f>_xlfn.XLOOKUP(Table3[[#This Row],[instant]],Table2[instant],Table2[casual], ,0,1)</f>
        <v>4</v>
      </c>
      <c r="L140" s="42">
        <f>_xlfn.XLOOKUP(Table3[[#This Row],[instant]],Table2[instant],Table2[registered], ,0,1)</f>
        <v>13</v>
      </c>
      <c r="M140" s="46">
        <f>_xlfn.XLOOKUP(Table3[[#This Row],[instant]],Table2[instant],Table2[cnt], ,0,1)</f>
        <v>17</v>
      </c>
      <c r="N140" s="42" t="str">
        <f>IF(OR(Table3[[#This Row],[weekday]]=0,Table3[[#This Row],[weekday]]=6),"Weekend","Weekday")</f>
        <v>Weekday</v>
      </c>
    </row>
    <row r="141" spans="1:14" ht="15" thickBot="1" x14ac:dyDescent="0.35">
      <c r="A141" s="1">
        <v>140</v>
      </c>
      <c r="B141" s="3">
        <f>_xlfn.XLOOKUP(Table3[[#This Row],[instant]],DatSet1!A141:A750,DatSet1!B141:B750,_xlfn.XLOOKUP(Table3[[#This Row],[instant]],'Final Data'!A141:A530,'Final Data'!B141:B530, ,0,1),0,1)</f>
        <v>40550</v>
      </c>
      <c r="C141" s="1">
        <f>_xlfn.XLOOKUP(Table3[[#This Row],[instant]],Table1[instant],Table1[hr], ,0,1)</f>
        <v>1</v>
      </c>
      <c r="D141" s="2" t="b">
        <f>_xlfn.XLOOKUP(Table3[[#This Row],[instant]],Table1[instant],Table1[holiday], ,0,1)</f>
        <v>0</v>
      </c>
      <c r="E141" s="2">
        <f>_xlfn.XLOOKUP(Table3[[#This Row],[instant]],Table1[instant],Table1[weekday], ,0,1)</f>
        <v>5</v>
      </c>
      <c r="F141" s="2">
        <f>_xlfn.XLOOKUP(Table3[[#This Row],[instant]],Table1[instant],Table1[weathersit], ,0,1)</f>
        <v>2</v>
      </c>
      <c r="G141" s="2">
        <f>_xlfn.XLOOKUP(Table3[[#This Row],[instant]],Table1[instant],Table1[temp], ,0,1)</f>
        <v>0.2</v>
      </c>
      <c r="H141" s="24">
        <f>_xlfn.XLOOKUP(Table3[[#This Row],[instant]],Table2[instant],Table2[atemp], ,0,1)</f>
        <v>0.19700000000000001</v>
      </c>
      <c r="I141" s="1">
        <f>_xlfn.XLOOKUP(Table3[[#This Row],[instant]],Table2[instant],Table2[hum], ,0,1)</f>
        <v>0.69</v>
      </c>
      <c r="J141" s="1">
        <f>_xlfn.XLOOKUP(Table3[[#This Row],[instant]],Table2[instant],Table2[windspeed], ,0,1)</f>
        <v>0.22389999999999999</v>
      </c>
      <c r="K141" s="1">
        <f>_xlfn.XLOOKUP(Table3[[#This Row],[instant]],Table2[instant],Table2[casual], ,0,1)</f>
        <v>2</v>
      </c>
      <c r="L141" s="1">
        <f>_xlfn.XLOOKUP(Table3[[#This Row],[instant]],Table2[instant],Table2[registered], ,0,1)</f>
        <v>5</v>
      </c>
      <c r="M141" s="6">
        <f>_xlfn.XLOOKUP(Table3[[#This Row],[instant]],Table2[instant],Table2[cnt], ,0,1)</f>
        <v>7</v>
      </c>
      <c r="N141" s="1" t="str">
        <f>IF(OR(Table3[[#This Row],[weekday]]=0,Table3[[#This Row],[weekday]]=6),"Weekend","Weekday")</f>
        <v>Weekday</v>
      </c>
    </row>
    <row r="142" spans="1:14" ht="15" thickBot="1" x14ac:dyDescent="0.35">
      <c r="A142" s="42">
        <v>141</v>
      </c>
      <c r="B142" s="43">
        <f>_xlfn.XLOOKUP(Table3[[#This Row],[instant]],DatSet1!A142:A751,DatSet1!B142:B751,_xlfn.XLOOKUP(Table3[[#This Row],[instant]],'Final Data'!A142:A531,'Final Data'!B142:B531, ,0,1),0,1)</f>
        <v>40550</v>
      </c>
      <c r="C142" s="42">
        <f>_xlfn.XLOOKUP(Table3[[#This Row],[instant]],Table1[instant],Table1[hr], ,0,1)</f>
        <v>2</v>
      </c>
      <c r="D142" s="44" t="b">
        <f>_xlfn.XLOOKUP(Table3[[#This Row],[instant]],Table1[instant],Table1[holiday], ,0,1)</f>
        <v>0</v>
      </c>
      <c r="E142" s="44">
        <f>_xlfn.XLOOKUP(Table3[[#This Row],[instant]],Table1[instant],Table1[weekday], ,0,1)</f>
        <v>5</v>
      </c>
      <c r="F142" s="44">
        <f>_xlfn.XLOOKUP(Table3[[#This Row],[instant]],Table1[instant],Table1[weathersit], ,0,1)</f>
        <v>2</v>
      </c>
      <c r="G142" s="44">
        <f>_xlfn.XLOOKUP(Table3[[#This Row],[instant]],Table1[instant],Table1[temp], ,0,1)</f>
        <v>0.2</v>
      </c>
      <c r="H142" s="45">
        <f>_xlfn.XLOOKUP(Table3[[#This Row],[instant]],Table2[instant],Table2[atemp], ,0,1)</f>
        <v>0.19700000000000001</v>
      </c>
      <c r="I142" s="42">
        <f>_xlfn.XLOOKUP(Table3[[#This Row],[instant]],Table2[instant],Table2[hum], ,0,1)</f>
        <v>0.69</v>
      </c>
      <c r="J142" s="42">
        <f>_xlfn.XLOOKUP(Table3[[#This Row],[instant]],Table2[instant],Table2[windspeed], ,0,1)</f>
        <v>0.22389999999999999</v>
      </c>
      <c r="K142" s="42">
        <f>_xlfn.XLOOKUP(Table3[[#This Row],[instant]],Table2[instant],Table2[casual], ,0,1)</f>
        <v>0</v>
      </c>
      <c r="L142" s="42">
        <f>_xlfn.XLOOKUP(Table3[[#This Row],[instant]],Table2[instant],Table2[registered], ,0,1)</f>
        <v>1</v>
      </c>
      <c r="M142" s="46">
        <f>_xlfn.XLOOKUP(Table3[[#This Row],[instant]],Table2[instant],Table2[cnt], ,0,1)</f>
        <v>1</v>
      </c>
      <c r="N142" s="42" t="str">
        <f>IF(OR(Table3[[#This Row],[weekday]]=0,Table3[[#This Row],[weekday]]=6),"Weekend","Weekday")</f>
        <v>Weekday</v>
      </c>
    </row>
    <row r="143" spans="1:14" ht="15" thickBot="1" x14ac:dyDescent="0.35">
      <c r="A143" s="1">
        <v>142</v>
      </c>
      <c r="B143" s="3">
        <f>_xlfn.XLOOKUP(Table3[[#This Row],[instant]],DatSet1!A143:A752,DatSet1!B143:B752,_xlfn.XLOOKUP(Table3[[#This Row],[instant]],'Final Data'!A143:A532,'Final Data'!B143:B532, ,0,1),0,1)</f>
        <v>40550</v>
      </c>
      <c r="C143" s="1">
        <f>_xlfn.XLOOKUP(Table3[[#This Row],[instant]],Table1[instant],Table1[hr], ,0,1)</f>
        <v>4</v>
      </c>
      <c r="D143" s="2" t="b">
        <f>_xlfn.XLOOKUP(Table3[[#This Row],[instant]],Table1[instant],Table1[holiday], ,0,1)</f>
        <v>0</v>
      </c>
      <c r="E143" s="2">
        <f>_xlfn.XLOOKUP(Table3[[#This Row],[instant]],Table1[instant],Table1[weekday], ,0,1)</f>
        <v>5</v>
      </c>
      <c r="F143" s="2">
        <f>_xlfn.XLOOKUP(Table3[[#This Row],[instant]],Table1[instant],Table1[weathersit], ,0,1)</f>
        <v>2</v>
      </c>
      <c r="G143" s="2">
        <f>_xlfn.XLOOKUP(Table3[[#This Row],[instant]],Table1[instant],Table1[temp], ,0,1)</f>
        <v>0.2</v>
      </c>
      <c r="H143" s="24">
        <f>_xlfn.XLOOKUP(Table3[[#This Row],[instant]],Table2[instant],Table2[atemp], ,0,1)</f>
        <v>0.21210000000000001</v>
      </c>
      <c r="I143" s="1">
        <f>_xlfn.XLOOKUP(Table3[[#This Row],[instant]],Table2[instant],Table2[hum], ,0,1)</f>
        <v>0.69</v>
      </c>
      <c r="J143" s="1">
        <f>_xlfn.XLOOKUP(Table3[[#This Row],[instant]],Table2[instant],Table2[windspeed], ,0,1)</f>
        <v>0.1343</v>
      </c>
      <c r="K143" s="1">
        <f>_xlfn.XLOOKUP(Table3[[#This Row],[instant]],Table2[instant],Table2[casual], ,0,1)</f>
        <v>0</v>
      </c>
      <c r="L143" s="1">
        <f>_xlfn.XLOOKUP(Table3[[#This Row],[instant]],Table2[instant],Table2[registered], ,0,1)</f>
        <v>1</v>
      </c>
      <c r="M143" s="6">
        <f>_xlfn.XLOOKUP(Table3[[#This Row],[instant]],Table2[instant],Table2[cnt], ,0,1)</f>
        <v>1</v>
      </c>
      <c r="N143" s="1" t="str">
        <f>IF(OR(Table3[[#This Row],[weekday]]=0,Table3[[#This Row],[weekday]]=6),"Weekend","Weekday")</f>
        <v>Weekday</v>
      </c>
    </row>
    <row r="144" spans="1:14" ht="15" thickBot="1" x14ac:dyDescent="0.35">
      <c r="A144" s="42">
        <v>143</v>
      </c>
      <c r="B144" s="43">
        <f>_xlfn.XLOOKUP(Table3[[#This Row],[instant]],DatSet1!A144:A753,DatSet1!B144:B753,_xlfn.XLOOKUP(Table3[[#This Row],[instant]],'Final Data'!A144:A533,'Final Data'!B144:B533, ,0,1),0,1)</f>
        <v>40550</v>
      </c>
      <c r="C144" s="42">
        <f>_xlfn.XLOOKUP(Table3[[#This Row],[instant]],Table1[instant],Table1[hr], ,0,1)</f>
        <v>5</v>
      </c>
      <c r="D144" s="44" t="b">
        <f>_xlfn.XLOOKUP(Table3[[#This Row],[instant]],Table1[instant],Table1[holiday], ,0,1)</f>
        <v>0</v>
      </c>
      <c r="E144" s="44">
        <f>_xlfn.XLOOKUP(Table3[[#This Row],[instant]],Table1[instant],Table1[weekday], ,0,1)</f>
        <v>5</v>
      </c>
      <c r="F144" s="44">
        <f>_xlfn.XLOOKUP(Table3[[#This Row],[instant]],Table1[instant],Table1[weathersit], ,0,1)</f>
        <v>3</v>
      </c>
      <c r="G144" s="44">
        <f>_xlfn.XLOOKUP(Table3[[#This Row],[instant]],Table1[instant],Table1[temp], ,0,1)</f>
        <v>0.22</v>
      </c>
      <c r="H144" s="45">
        <f>_xlfn.XLOOKUP(Table3[[#This Row],[instant]],Table2[instant],Table2[atemp], ,0,1)</f>
        <v>0.2727</v>
      </c>
      <c r="I144" s="42">
        <f>_xlfn.XLOOKUP(Table3[[#This Row],[instant]],Table2[instant],Table2[hum], ,0,1)</f>
        <v>0.55000000000000004</v>
      </c>
      <c r="J144" s="42">
        <f>_xlfn.XLOOKUP(Table3[[#This Row],[instant]],Table2[instant],Table2[windspeed], ,0,1)</f>
        <v>0</v>
      </c>
      <c r="K144" s="42">
        <f>_xlfn.XLOOKUP(Table3[[#This Row],[instant]],Table2[instant],Table2[casual], ,0,1)</f>
        <v>0</v>
      </c>
      <c r="L144" s="42">
        <f>_xlfn.XLOOKUP(Table3[[#This Row],[instant]],Table2[instant],Table2[registered], ,0,1)</f>
        <v>5</v>
      </c>
      <c r="M144" s="46">
        <f>_xlfn.XLOOKUP(Table3[[#This Row],[instant]],Table2[instant],Table2[cnt], ,0,1)</f>
        <v>5</v>
      </c>
      <c r="N144" s="42" t="str">
        <f>IF(OR(Table3[[#This Row],[weekday]]=0,Table3[[#This Row],[weekday]]=6),"Weekend","Weekday")</f>
        <v>Weekday</v>
      </c>
    </row>
    <row r="145" spans="1:14" ht="15" thickBot="1" x14ac:dyDescent="0.35">
      <c r="A145" s="1">
        <v>144</v>
      </c>
      <c r="B145" s="3">
        <f>_xlfn.XLOOKUP(Table3[[#This Row],[instant]],DatSet1!A145:A754,DatSet1!B145:B754,_xlfn.XLOOKUP(Table3[[#This Row],[instant]],'Final Data'!A145:A534,'Final Data'!B145:B534, ,0,1),0,1)</f>
        <v>40550</v>
      </c>
      <c r="C145" s="1">
        <f>_xlfn.XLOOKUP(Table3[[#This Row],[instant]],Table1[instant],Table1[hr], ,0,1)</f>
        <v>6</v>
      </c>
      <c r="D145" s="2" t="b">
        <f>_xlfn.XLOOKUP(Table3[[#This Row],[instant]],Table1[instant],Table1[holiday], ,0,1)</f>
        <v>0</v>
      </c>
      <c r="E145" s="2">
        <f>_xlfn.XLOOKUP(Table3[[#This Row],[instant]],Table1[instant],Table1[weekday], ,0,1)</f>
        <v>5</v>
      </c>
      <c r="F145" s="2">
        <f>_xlfn.XLOOKUP(Table3[[#This Row],[instant]],Table1[instant],Table1[weathersit], ,0,1)</f>
        <v>2</v>
      </c>
      <c r="G145" s="2">
        <f>_xlfn.XLOOKUP(Table3[[#This Row],[instant]],Table1[instant],Table1[temp], ,0,1)</f>
        <v>0.2</v>
      </c>
      <c r="H145" s="24">
        <f>_xlfn.XLOOKUP(Table3[[#This Row],[instant]],Table2[instant],Table2[atemp], ,0,1)</f>
        <v>0.2576</v>
      </c>
      <c r="I145" s="1">
        <f>_xlfn.XLOOKUP(Table3[[#This Row],[instant]],Table2[instant],Table2[hum], ,0,1)</f>
        <v>0.69</v>
      </c>
      <c r="J145" s="1">
        <f>_xlfn.XLOOKUP(Table3[[#This Row],[instant]],Table2[instant],Table2[windspeed], ,0,1)</f>
        <v>0</v>
      </c>
      <c r="K145" s="1">
        <f>_xlfn.XLOOKUP(Table3[[#This Row],[instant]],Table2[instant],Table2[casual], ,0,1)</f>
        <v>8</v>
      </c>
      <c r="L145" s="1">
        <f>_xlfn.XLOOKUP(Table3[[#This Row],[instant]],Table2[instant],Table2[registered], ,0,1)</f>
        <v>26</v>
      </c>
      <c r="M145" s="6">
        <f>_xlfn.XLOOKUP(Table3[[#This Row],[instant]],Table2[instant],Table2[cnt], ,0,1)</f>
        <v>34</v>
      </c>
      <c r="N145" s="1" t="str">
        <f>IF(OR(Table3[[#This Row],[weekday]]=0,Table3[[#This Row],[weekday]]=6),"Weekend","Weekday")</f>
        <v>Weekday</v>
      </c>
    </row>
    <row r="146" spans="1:14" ht="15" thickBot="1" x14ac:dyDescent="0.35">
      <c r="A146" s="42">
        <v>145</v>
      </c>
      <c r="B146" s="43">
        <f>_xlfn.XLOOKUP(Table3[[#This Row],[instant]],DatSet1!A146:A755,DatSet1!B146:B755,_xlfn.XLOOKUP(Table3[[#This Row],[instant]],'Final Data'!A146:A535,'Final Data'!B146:B535, ,0,1),0,1)</f>
        <v>40550</v>
      </c>
      <c r="C146" s="42">
        <f>_xlfn.XLOOKUP(Table3[[#This Row],[instant]],Table1[instant],Table1[hr], ,0,1)</f>
        <v>7</v>
      </c>
      <c r="D146" s="44" t="b">
        <f>_xlfn.XLOOKUP(Table3[[#This Row],[instant]],Table1[instant],Table1[holiday], ,0,1)</f>
        <v>0</v>
      </c>
      <c r="E146" s="44">
        <f>_xlfn.XLOOKUP(Table3[[#This Row],[instant]],Table1[instant],Table1[weekday], ,0,1)</f>
        <v>5</v>
      </c>
      <c r="F146" s="44">
        <f>_xlfn.XLOOKUP(Table3[[#This Row],[instant]],Table1[instant],Table1[weathersit], ,0,1)</f>
        <v>1</v>
      </c>
      <c r="G146" s="44">
        <f>_xlfn.XLOOKUP(Table3[[#This Row],[instant]],Table1[instant],Table1[temp], ,0,1)</f>
        <v>0.2</v>
      </c>
      <c r="H146" s="45">
        <f>_xlfn.XLOOKUP(Table3[[#This Row],[instant]],Table2[instant],Table2[atemp], ,0,1)</f>
        <v>0.21210000000000001</v>
      </c>
      <c r="I146" s="42">
        <f>_xlfn.XLOOKUP(Table3[[#This Row],[instant]],Table2[instant],Table2[hum], ,0,1)</f>
        <v>0.69</v>
      </c>
      <c r="J146" s="42">
        <f>_xlfn.XLOOKUP(Table3[[#This Row],[instant]],Table2[instant],Table2[windspeed], ,0,1)</f>
        <v>0.1343</v>
      </c>
      <c r="K146" s="42">
        <f>_xlfn.XLOOKUP(Table3[[#This Row],[instant]],Table2[instant],Table2[casual], ,0,1)</f>
        <v>8</v>
      </c>
      <c r="L146" s="42">
        <f>_xlfn.XLOOKUP(Table3[[#This Row],[instant]],Table2[instant],Table2[registered], ,0,1)</f>
        <v>76</v>
      </c>
      <c r="M146" s="46">
        <f>_xlfn.XLOOKUP(Table3[[#This Row],[instant]],Table2[instant],Table2[cnt], ,0,1)</f>
        <v>84</v>
      </c>
      <c r="N146" s="42" t="str">
        <f>IF(OR(Table3[[#This Row],[weekday]]=0,Table3[[#This Row],[weekday]]=6),"Weekend","Weekday")</f>
        <v>Weekday</v>
      </c>
    </row>
    <row r="147" spans="1:14" ht="15" thickBot="1" x14ac:dyDescent="0.35">
      <c r="A147" s="1">
        <v>146</v>
      </c>
      <c r="B147" s="3">
        <f>_xlfn.XLOOKUP(Table3[[#This Row],[instant]],DatSet1!A147:A756,DatSet1!B147:B756,_xlfn.XLOOKUP(Table3[[#This Row],[instant]],'Final Data'!A147:A536,'Final Data'!B147:B536, ,0,1),0,1)</f>
        <v>40550</v>
      </c>
      <c r="C147" s="1">
        <f>_xlfn.XLOOKUP(Table3[[#This Row],[instant]],Table1[instant],Table1[hr], ,0,1)</f>
        <v>8</v>
      </c>
      <c r="D147" s="2" t="b">
        <f>_xlfn.XLOOKUP(Table3[[#This Row],[instant]],Table1[instant],Table1[holiday], ,0,1)</f>
        <v>0</v>
      </c>
      <c r="E147" s="2">
        <f>_xlfn.XLOOKUP(Table3[[#This Row],[instant]],Table1[instant],Table1[weekday], ,0,1)</f>
        <v>5</v>
      </c>
      <c r="F147" s="2">
        <f>_xlfn.XLOOKUP(Table3[[#This Row],[instant]],Table1[instant],Table1[weathersit], ,0,1)</f>
        <v>1</v>
      </c>
      <c r="G147" s="2">
        <f>_xlfn.XLOOKUP(Table3[[#This Row],[instant]],Table1[instant],Table1[temp], ,0,1)</f>
        <v>0.2</v>
      </c>
      <c r="H147" s="24">
        <f>_xlfn.XLOOKUP(Table3[[#This Row],[instant]],Table2[instant],Table2[atemp], ,0,1)</f>
        <v>0.19700000000000001</v>
      </c>
      <c r="I147" s="1">
        <f>_xlfn.XLOOKUP(Table3[[#This Row],[instant]],Table2[instant],Table2[hum], ,0,1)</f>
        <v>0.51</v>
      </c>
      <c r="J147" s="1">
        <f>_xlfn.XLOOKUP(Table3[[#This Row],[instant]],Table2[instant],Table2[windspeed], ,0,1)</f>
        <v>0.25369999999999998</v>
      </c>
      <c r="K147" s="1">
        <f>_xlfn.XLOOKUP(Table3[[#This Row],[instant]],Table2[instant],Table2[casual], ,0,1)</f>
        <v>20</v>
      </c>
      <c r="L147" s="1">
        <f>_xlfn.XLOOKUP(Table3[[#This Row],[instant]],Table2[instant],Table2[registered], ,0,1)</f>
        <v>190</v>
      </c>
      <c r="M147" s="6">
        <f>_xlfn.XLOOKUP(Table3[[#This Row],[instant]],Table2[instant],Table2[cnt], ,0,1)</f>
        <v>210</v>
      </c>
      <c r="N147" s="1" t="str">
        <f>IF(OR(Table3[[#This Row],[weekday]]=0,Table3[[#This Row],[weekday]]=6),"Weekend","Weekday")</f>
        <v>Weekday</v>
      </c>
    </row>
    <row r="148" spans="1:14" ht="15" thickBot="1" x14ac:dyDescent="0.35">
      <c r="A148" s="42">
        <v>147</v>
      </c>
      <c r="B148" s="43">
        <f>_xlfn.XLOOKUP(Table3[[#This Row],[instant]],DatSet1!A148:A757,DatSet1!B148:B757,_xlfn.XLOOKUP(Table3[[#This Row],[instant]],'Final Data'!A148:A537,'Final Data'!B148:B537, ,0,1),0,1)</f>
        <v>40550</v>
      </c>
      <c r="C148" s="42">
        <f>_xlfn.XLOOKUP(Table3[[#This Row],[instant]],Table1[instant],Table1[hr], ,0,1)</f>
        <v>9</v>
      </c>
      <c r="D148" s="44" t="b">
        <f>_xlfn.XLOOKUP(Table3[[#This Row],[instant]],Table1[instant],Table1[holiday], ,0,1)</f>
        <v>0</v>
      </c>
      <c r="E148" s="44">
        <f>_xlfn.XLOOKUP(Table3[[#This Row],[instant]],Table1[instant],Table1[weekday], ,0,1)</f>
        <v>5</v>
      </c>
      <c r="F148" s="44">
        <f>_xlfn.XLOOKUP(Table3[[#This Row],[instant]],Table1[instant],Table1[weathersit], ,0,1)</f>
        <v>1</v>
      </c>
      <c r="G148" s="44">
        <f>_xlfn.XLOOKUP(Table3[[#This Row],[instant]],Table1[instant],Table1[temp], ,0,1)</f>
        <v>0.2</v>
      </c>
      <c r="H148" s="45">
        <f>_xlfn.XLOOKUP(Table3[[#This Row],[instant]],Table2[instant],Table2[atemp], ,0,1)</f>
        <v>0.18179999999999999</v>
      </c>
      <c r="I148" s="42">
        <f>_xlfn.XLOOKUP(Table3[[#This Row],[instant]],Table2[instant],Table2[hum], ,0,1)</f>
        <v>0.47</v>
      </c>
      <c r="J148" s="42">
        <f>_xlfn.XLOOKUP(Table3[[#This Row],[instant]],Table2[instant],Table2[windspeed], ,0,1)</f>
        <v>0.29849999999999999</v>
      </c>
      <c r="K148" s="42">
        <f>_xlfn.XLOOKUP(Table3[[#This Row],[instant]],Table2[instant],Table2[casual], ,0,1)</f>
        <v>9</v>
      </c>
      <c r="L148" s="42">
        <f>_xlfn.XLOOKUP(Table3[[#This Row],[instant]],Table2[instant],Table2[registered], ,0,1)</f>
        <v>125</v>
      </c>
      <c r="M148" s="46">
        <f>_xlfn.XLOOKUP(Table3[[#This Row],[instant]],Table2[instant],Table2[cnt], ,0,1)</f>
        <v>134</v>
      </c>
      <c r="N148" s="42" t="str">
        <f>IF(OR(Table3[[#This Row],[weekday]]=0,Table3[[#This Row],[weekday]]=6),"Weekend","Weekday")</f>
        <v>Weekday</v>
      </c>
    </row>
    <row r="149" spans="1:14" ht="15" thickBot="1" x14ac:dyDescent="0.35">
      <c r="A149" s="1">
        <v>148</v>
      </c>
      <c r="B149" s="3">
        <f>_xlfn.XLOOKUP(Table3[[#This Row],[instant]],DatSet1!A149:A758,DatSet1!B149:B758,_xlfn.XLOOKUP(Table3[[#This Row],[instant]],'Final Data'!A149:A538,'Final Data'!B149:B538, ,0,1),0,1)</f>
        <v>40550</v>
      </c>
      <c r="C149" s="1">
        <f>_xlfn.XLOOKUP(Table3[[#This Row],[instant]],Table1[instant],Table1[hr], ,0,1)</f>
        <v>10</v>
      </c>
      <c r="D149" s="2" t="b">
        <f>_xlfn.XLOOKUP(Table3[[#This Row],[instant]],Table1[instant],Table1[holiday], ,0,1)</f>
        <v>0</v>
      </c>
      <c r="E149" s="2">
        <f>_xlfn.XLOOKUP(Table3[[#This Row],[instant]],Table1[instant],Table1[weekday], ,0,1)</f>
        <v>5</v>
      </c>
      <c r="F149" s="2">
        <f>_xlfn.XLOOKUP(Table3[[#This Row],[instant]],Table1[instant],Table1[weathersit], ,0,1)</f>
        <v>1</v>
      </c>
      <c r="G149" s="2">
        <f>_xlfn.XLOOKUP(Table3[[#This Row],[instant]],Table1[instant],Table1[temp], ,0,1)</f>
        <v>0.22</v>
      </c>
      <c r="H149" s="24">
        <f>_xlfn.XLOOKUP(Table3[[#This Row],[instant]],Table2[instant],Table2[atemp], ,0,1)</f>
        <v>0.19700000000000001</v>
      </c>
      <c r="I149" s="1">
        <f>_xlfn.XLOOKUP(Table3[[#This Row],[instant]],Table2[instant],Table2[hum], ,0,1)</f>
        <v>0.37</v>
      </c>
      <c r="J149" s="1">
        <f>_xlfn.XLOOKUP(Table3[[#This Row],[instant]],Table2[instant],Table2[windspeed], ,0,1)</f>
        <v>0.32840000000000003</v>
      </c>
      <c r="K149" s="1">
        <f>_xlfn.XLOOKUP(Table3[[#This Row],[instant]],Table2[instant],Table2[casual], ,0,1)</f>
        <v>16</v>
      </c>
      <c r="L149" s="1">
        <f>_xlfn.XLOOKUP(Table3[[#This Row],[instant]],Table2[instant],Table2[registered], ,0,1)</f>
        <v>47</v>
      </c>
      <c r="M149" s="6">
        <f>_xlfn.XLOOKUP(Table3[[#This Row],[instant]],Table2[instant],Table2[cnt], ,0,1)</f>
        <v>63</v>
      </c>
      <c r="N149" s="1" t="str">
        <f>IF(OR(Table3[[#This Row],[weekday]]=0,Table3[[#This Row],[weekday]]=6),"Weekend","Weekday")</f>
        <v>Weekday</v>
      </c>
    </row>
    <row r="150" spans="1:14" ht="15" thickBot="1" x14ac:dyDescent="0.35">
      <c r="A150" s="42">
        <v>149</v>
      </c>
      <c r="B150" s="43">
        <f>_xlfn.XLOOKUP(Table3[[#This Row],[instant]],DatSet1!A150:A759,DatSet1!B150:B759,_xlfn.XLOOKUP(Table3[[#This Row],[instant]],'Final Data'!A150:A539,'Final Data'!B150:B539, ,0,1),0,1)</f>
        <v>40550</v>
      </c>
      <c r="C150" s="42">
        <f>_xlfn.XLOOKUP(Table3[[#This Row],[instant]],Table1[instant],Table1[hr], ,0,1)</f>
        <v>11</v>
      </c>
      <c r="D150" s="44" t="b">
        <f>_xlfn.XLOOKUP(Table3[[#This Row],[instant]],Table1[instant],Table1[holiday], ,0,1)</f>
        <v>0</v>
      </c>
      <c r="E150" s="44">
        <f>_xlfn.XLOOKUP(Table3[[#This Row],[instant]],Table1[instant],Table1[weekday], ,0,1)</f>
        <v>5</v>
      </c>
      <c r="F150" s="44">
        <f>_xlfn.XLOOKUP(Table3[[#This Row],[instant]],Table1[instant],Table1[weathersit], ,0,1)</f>
        <v>2</v>
      </c>
      <c r="G150" s="44">
        <f>_xlfn.XLOOKUP(Table3[[#This Row],[instant]],Table1[instant],Table1[temp], ,0,1)</f>
        <v>0.2</v>
      </c>
      <c r="H150" s="45">
        <f>_xlfn.XLOOKUP(Table3[[#This Row],[instant]],Table2[instant],Table2[atemp], ,0,1)</f>
        <v>0.19700000000000001</v>
      </c>
      <c r="I150" s="42">
        <f>_xlfn.XLOOKUP(Table3[[#This Row],[instant]],Table2[instant],Table2[hum], ,0,1)</f>
        <v>0.4</v>
      </c>
      <c r="J150" s="42">
        <f>_xlfn.XLOOKUP(Table3[[#This Row],[instant]],Table2[instant],Table2[windspeed], ,0,1)</f>
        <v>0.22389999999999999</v>
      </c>
      <c r="K150" s="42">
        <f>_xlfn.XLOOKUP(Table3[[#This Row],[instant]],Table2[instant],Table2[casual], ,0,1)</f>
        <v>19</v>
      </c>
      <c r="L150" s="42">
        <f>_xlfn.XLOOKUP(Table3[[#This Row],[instant]],Table2[instant],Table2[registered], ,0,1)</f>
        <v>48</v>
      </c>
      <c r="M150" s="46">
        <f>_xlfn.XLOOKUP(Table3[[#This Row],[instant]],Table2[instant],Table2[cnt], ,0,1)</f>
        <v>67</v>
      </c>
      <c r="N150" s="42" t="str">
        <f>IF(OR(Table3[[#This Row],[weekday]]=0,Table3[[#This Row],[weekday]]=6),"Weekend","Weekday")</f>
        <v>Weekday</v>
      </c>
    </row>
    <row r="151" spans="1:14" ht="15" thickBot="1" x14ac:dyDescent="0.35">
      <c r="A151" s="1">
        <v>150</v>
      </c>
      <c r="B151" s="3">
        <f>_xlfn.XLOOKUP(Table3[[#This Row],[instant]],DatSet1!A151:A760,DatSet1!B151:B760,_xlfn.XLOOKUP(Table3[[#This Row],[instant]],'Final Data'!A151:A540,'Final Data'!B151:B540, ,0,1),0,1)</f>
        <v>40550</v>
      </c>
      <c r="C151" s="1">
        <f>_xlfn.XLOOKUP(Table3[[#This Row],[instant]],Table1[instant],Table1[hr], ,0,1)</f>
        <v>12</v>
      </c>
      <c r="D151" s="2" t="b">
        <f>_xlfn.XLOOKUP(Table3[[#This Row],[instant]],Table1[instant],Table1[holiday], ,0,1)</f>
        <v>0</v>
      </c>
      <c r="E151" s="2">
        <f>_xlfn.XLOOKUP(Table3[[#This Row],[instant]],Table1[instant],Table1[weekday], ,0,1)</f>
        <v>5</v>
      </c>
      <c r="F151" s="2">
        <f>_xlfn.XLOOKUP(Table3[[#This Row],[instant]],Table1[instant],Table1[weathersit], ,0,1)</f>
        <v>2</v>
      </c>
      <c r="G151" s="2">
        <f>_xlfn.XLOOKUP(Table3[[#This Row],[instant]],Table1[instant],Table1[temp], ,0,1)</f>
        <v>0.2</v>
      </c>
      <c r="H151" s="24">
        <f>_xlfn.XLOOKUP(Table3[[#This Row],[instant]],Table2[instant],Table2[atemp], ,0,1)</f>
        <v>0.19700000000000001</v>
      </c>
      <c r="I151" s="1">
        <f>_xlfn.XLOOKUP(Table3[[#This Row],[instant]],Table2[instant],Table2[hum], ,0,1)</f>
        <v>0.37</v>
      </c>
      <c r="J151" s="1">
        <f>_xlfn.XLOOKUP(Table3[[#This Row],[instant]],Table2[instant],Table2[windspeed], ,0,1)</f>
        <v>0.25369999999999998</v>
      </c>
      <c r="K151" s="1">
        <f>_xlfn.XLOOKUP(Table3[[#This Row],[instant]],Table2[instant],Table2[casual], ,0,1)</f>
        <v>9</v>
      </c>
      <c r="L151" s="1">
        <f>_xlfn.XLOOKUP(Table3[[#This Row],[instant]],Table2[instant],Table2[registered], ,0,1)</f>
        <v>50</v>
      </c>
      <c r="M151" s="6">
        <f>_xlfn.XLOOKUP(Table3[[#This Row],[instant]],Table2[instant],Table2[cnt], ,0,1)</f>
        <v>59</v>
      </c>
      <c r="N151" s="1" t="str">
        <f>IF(OR(Table3[[#This Row],[weekday]]=0,Table3[[#This Row],[weekday]]=6),"Weekend","Weekday")</f>
        <v>Weekday</v>
      </c>
    </row>
    <row r="152" spans="1:14" ht="15" thickBot="1" x14ac:dyDescent="0.35">
      <c r="A152" s="42">
        <v>151</v>
      </c>
      <c r="B152" s="43">
        <f>_xlfn.XLOOKUP(Table3[[#This Row],[instant]],DatSet1!A152:A761,DatSet1!B152:B761,_xlfn.XLOOKUP(Table3[[#This Row],[instant]],'Final Data'!A152:A541,'Final Data'!B152:B541, ,0,1),0,1)</f>
        <v>40550</v>
      </c>
      <c r="C152" s="42">
        <f>_xlfn.XLOOKUP(Table3[[#This Row],[instant]],Table1[instant],Table1[hr], ,0,1)</f>
        <v>13</v>
      </c>
      <c r="D152" s="44" t="b">
        <f>_xlfn.XLOOKUP(Table3[[#This Row],[instant]],Table1[instant],Table1[holiday], ,0,1)</f>
        <v>0</v>
      </c>
      <c r="E152" s="44">
        <f>_xlfn.XLOOKUP(Table3[[#This Row],[instant]],Table1[instant],Table1[weekday], ,0,1)</f>
        <v>5</v>
      </c>
      <c r="F152" s="44">
        <f>_xlfn.XLOOKUP(Table3[[#This Row],[instant]],Table1[instant],Table1[weathersit], ,0,1)</f>
        <v>2</v>
      </c>
      <c r="G152" s="44">
        <f>_xlfn.XLOOKUP(Table3[[#This Row],[instant]],Table1[instant],Table1[temp], ,0,1)</f>
        <v>0.2</v>
      </c>
      <c r="H152" s="45">
        <f>_xlfn.XLOOKUP(Table3[[#This Row],[instant]],Table2[instant],Table2[atemp], ,0,1)</f>
        <v>0.18179999999999999</v>
      </c>
      <c r="I152" s="42">
        <f>_xlfn.XLOOKUP(Table3[[#This Row],[instant]],Table2[instant],Table2[hum], ,0,1)</f>
        <v>0.37</v>
      </c>
      <c r="J152" s="42">
        <f>_xlfn.XLOOKUP(Table3[[#This Row],[instant]],Table2[instant],Table2[windspeed], ,0,1)</f>
        <v>0.28360000000000002</v>
      </c>
      <c r="K152" s="42">
        <f>_xlfn.XLOOKUP(Table3[[#This Row],[instant]],Table2[instant],Table2[casual], ,0,1)</f>
        <v>9</v>
      </c>
      <c r="L152" s="42">
        <f>_xlfn.XLOOKUP(Table3[[#This Row],[instant]],Table2[instant],Table2[registered], ,0,1)</f>
        <v>64</v>
      </c>
      <c r="M152" s="46">
        <f>_xlfn.XLOOKUP(Table3[[#This Row],[instant]],Table2[instant],Table2[cnt], ,0,1)</f>
        <v>73</v>
      </c>
      <c r="N152" s="42" t="str">
        <f>IF(OR(Table3[[#This Row],[weekday]]=0,Table3[[#This Row],[weekday]]=6),"Weekend","Weekday")</f>
        <v>Weekday</v>
      </c>
    </row>
    <row r="153" spans="1:14" ht="15" thickBot="1" x14ac:dyDescent="0.35">
      <c r="A153" s="1">
        <v>152</v>
      </c>
      <c r="B153" s="3">
        <f>_xlfn.XLOOKUP(Table3[[#This Row],[instant]],DatSet1!A153:A762,DatSet1!B153:B762,_xlfn.XLOOKUP(Table3[[#This Row],[instant]],'Final Data'!A153:A542,'Final Data'!B153:B542, ,0,1),0,1)</f>
        <v>40550</v>
      </c>
      <c r="C153" s="1">
        <f>_xlfn.XLOOKUP(Table3[[#This Row],[instant]],Table1[instant],Table1[hr], ,0,1)</f>
        <v>14</v>
      </c>
      <c r="D153" s="2" t="b">
        <f>_xlfn.XLOOKUP(Table3[[#This Row],[instant]],Table1[instant],Table1[holiday], ,0,1)</f>
        <v>0</v>
      </c>
      <c r="E153" s="2">
        <f>_xlfn.XLOOKUP(Table3[[#This Row],[instant]],Table1[instant],Table1[weekday], ,0,1)</f>
        <v>5</v>
      </c>
      <c r="F153" s="2">
        <f>_xlfn.XLOOKUP(Table3[[#This Row],[instant]],Table1[instant],Table1[weathersit], ,0,1)</f>
        <v>2</v>
      </c>
      <c r="G153" s="2">
        <f>_xlfn.XLOOKUP(Table3[[#This Row],[instant]],Table1[instant],Table1[temp], ,0,1)</f>
        <v>0.2</v>
      </c>
      <c r="H153" s="24">
        <f>_xlfn.XLOOKUP(Table3[[#This Row],[instant]],Table2[instant],Table2[atemp], ,0,1)</f>
        <v>0.19700000000000001</v>
      </c>
      <c r="I153" s="1">
        <f>_xlfn.XLOOKUP(Table3[[#This Row],[instant]],Table2[instant],Table2[hum], ,0,1)</f>
        <v>0.4</v>
      </c>
      <c r="J153" s="1">
        <f>_xlfn.XLOOKUP(Table3[[#This Row],[instant]],Table2[instant],Table2[windspeed], ,0,1)</f>
        <v>0.25369999999999998</v>
      </c>
      <c r="K153" s="1">
        <f>_xlfn.XLOOKUP(Table3[[#This Row],[instant]],Table2[instant],Table2[casual], ,0,1)</f>
        <v>7</v>
      </c>
      <c r="L153" s="1">
        <f>_xlfn.XLOOKUP(Table3[[#This Row],[instant]],Table2[instant],Table2[registered], ,0,1)</f>
        <v>43</v>
      </c>
      <c r="M153" s="6">
        <f>_xlfn.XLOOKUP(Table3[[#This Row],[instant]],Table2[instant],Table2[cnt], ,0,1)</f>
        <v>50</v>
      </c>
      <c r="N153" s="1" t="str">
        <f>IF(OR(Table3[[#This Row],[weekday]]=0,Table3[[#This Row],[weekday]]=6),"Weekend","Weekday")</f>
        <v>Weekday</v>
      </c>
    </row>
    <row r="154" spans="1:14" ht="15" thickBot="1" x14ac:dyDescent="0.35">
      <c r="A154" s="42">
        <v>153</v>
      </c>
      <c r="B154" s="43">
        <f>_xlfn.XLOOKUP(Table3[[#This Row],[instant]],DatSet1!A154:A763,DatSet1!B154:B763,_xlfn.XLOOKUP(Table3[[#This Row],[instant]],'Final Data'!A154:A543,'Final Data'!B154:B543, ,0,1),0,1)</f>
        <v>40550</v>
      </c>
      <c r="C154" s="42">
        <f>_xlfn.XLOOKUP(Table3[[#This Row],[instant]],Table1[instant],Table1[hr], ,0,1)</f>
        <v>15</v>
      </c>
      <c r="D154" s="44" t="b">
        <f>_xlfn.XLOOKUP(Table3[[#This Row],[instant]],Table1[instant],Table1[holiday], ,0,1)</f>
        <v>0</v>
      </c>
      <c r="E154" s="44">
        <f>_xlfn.XLOOKUP(Table3[[#This Row],[instant]],Table1[instant],Table1[weekday], ,0,1)</f>
        <v>5</v>
      </c>
      <c r="F154" s="44">
        <f>_xlfn.XLOOKUP(Table3[[#This Row],[instant]],Table1[instant],Table1[weathersit], ,0,1)</f>
        <v>2</v>
      </c>
      <c r="G154" s="44">
        <f>_xlfn.XLOOKUP(Table3[[#This Row],[instant]],Table1[instant],Table1[temp], ,0,1)</f>
        <v>0.2</v>
      </c>
      <c r="H154" s="45">
        <f>_xlfn.XLOOKUP(Table3[[#This Row],[instant]],Table2[instant],Table2[atemp], ,0,1)</f>
        <v>0.21210000000000001</v>
      </c>
      <c r="I154" s="42">
        <f>_xlfn.XLOOKUP(Table3[[#This Row],[instant]],Table2[instant],Table2[hum], ,0,1)</f>
        <v>0.37</v>
      </c>
      <c r="J154" s="42">
        <f>_xlfn.XLOOKUP(Table3[[#This Row],[instant]],Table2[instant],Table2[windspeed], ,0,1)</f>
        <v>0.16420000000000001</v>
      </c>
      <c r="K154" s="42">
        <f>_xlfn.XLOOKUP(Table3[[#This Row],[instant]],Table2[instant],Table2[casual], ,0,1)</f>
        <v>9</v>
      </c>
      <c r="L154" s="42">
        <f>_xlfn.XLOOKUP(Table3[[#This Row],[instant]],Table2[instant],Table2[registered], ,0,1)</f>
        <v>63</v>
      </c>
      <c r="M154" s="46">
        <f>_xlfn.XLOOKUP(Table3[[#This Row],[instant]],Table2[instant],Table2[cnt], ,0,1)</f>
        <v>72</v>
      </c>
      <c r="N154" s="42" t="str">
        <f>IF(OR(Table3[[#This Row],[weekday]]=0,Table3[[#This Row],[weekday]]=6),"Weekend","Weekday")</f>
        <v>Weekday</v>
      </c>
    </row>
    <row r="155" spans="1:14" ht="15" thickBot="1" x14ac:dyDescent="0.35">
      <c r="A155" s="1">
        <v>154</v>
      </c>
      <c r="B155" s="3">
        <f>_xlfn.XLOOKUP(Table3[[#This Row],[instant]],DatSet1!A155:A764,DatSet1!B155:B764,_xlfn.XLOOKUP(Table3[[#This Row],[instant]],'Final Data'!A155:A544,'Final Data'!B155:B544, ,0,1),0,1)</f>
        <v>40550</v>
      </c>
      <c r="C155" s="1">
        <f>_xlfn.XLOOKUP(Table3[[#This Row],[instant]],Table1[instant],Table1[hr], ,0,1)</f>
        <v>16</v>
      </c>
      <c r="D155" s="2" t="b">
        <f>_xlfn.XLOOKUP(Table3[[#This Row],[instant]],Table1[instant],Table1[holiday], ,0,1)</f>
        <v>0</v>
      </c>
      <c r="E155" s="2">
        <f>_xlfn.XLOOKUP(Table3[[#This Row],[instant]],Table1[instant],Table1[weekday], ,0,1)</f>
        <v>5</v>
      </c>
      <c r="F155" s="2">
        <f>_xlfn.XLOOKUP(Table3[[#This Row],[instant]],Table1[instant],Table1[weathersit], ,0,1)</f>
        <v>2</v>
      </c>
      <c r="G155" s="2">
        <f>_xlfn.XLOOKUP(Table3[[#This Row],[instant]],Table1[instant],Table1[temp], ,0,1)</f>
        <v>0.2</v>
      </c>
      <c r="H155" s="24">
        <f>_xlfn.XLOOKUP(Table3[[#This Row],[instant]],Table2[instant],Table2[atemp], ,0,1)</f>
        <v>0.21210000000000001</v>
      </c>
      <c r="I155" s="1">
        <f>_xlfn.XLOOKUP(Table3[[#This Row],[instant]],Table2[instant],Table2[hum], ,0,1)</f>
        <v>0.37</v>
      </c>
      <c r="J155" s="1">
        <f>_xlfn.XLOOKUP(Table3[[#This Row],[instant]],Table2[instant],Table2[windspeed], ,0,1)</f>
        <v>0.16420000000000001</v>
      </c>
      <c r="K155" s="1">
        <f>_xlfn.XLOOKUP(Table3[[#This Row],[instant]],Table2[instant],Table2[casual], ,0,1)</f>
        <v>5</v>
      </c>
      <c r="L155" s="1">
        <f>_xlfn.XLOOKUP(Table3[[#This Row],[instant]],Table2[instant],Table2[registered], ,0,1)</f>
        <v>82</v>
      </c>
      <c r="M155" s="6">
        <f>_xlfn.XLOOKUP(Table3[[#This Row],[instant]],Table2[instant],Table2[cnt], ,0,1)</f>
        <v>87</v>
      </c>
      <c r="N155" s="1" t="str">
        <f>IF(OR(Table3[[#This Row],[weekday]]=0,Table3[[#This Row],[weekday]]=6),"Weekend","Weekday")</f>
        <v>Weekday</v>
      </c>
    </row>
    <row r="156" spans="1:14" ht="15" thickBot="1" x14ac:dyDescent="0.35">
      <c r="A156" s="42">
        <v>155</v>
      </c>
      <c r="B156" s="43">
        <f>_xlfn.XLOOKUP(Table3[[#This Row],[instant]],DatSet1!A156:A765,DatSet1!B156:B765,_xlfn.XLOOKUP(Table3[[#This Row],[instant]],'Final Data'!A156:A545,'Final Data'!B156:B545, ,0,1),0,1)</f>
        <v>40550</v>
      </c>
      <c r="C156" s="42">
        <f>_xlfn.XLOOKUP(Table3[[#This Row],[instant]],Table1[instant],Table1[hr], ,0,1)</f>
        <v>17</v>
      </c>
      <c r="D156" s="44" t="b">
        <f>_xlfn.XLOOKUP(Table3[[#This Row],[instant]],Table1[instant],Table1[holiday], ,0,1)</f>
        <v>0</v>
      </c>
      <c r="E156" s="44">
        <f>_xlfn.XLOOKUP(Table3[[#This Row],[instant]],Table1[instant],Table1[weekday], ,0,1)</f>
        <v>5</v>
      </c>
      <c r="F156" s="44">
        <f>_xlfn.XLOOKUP(Table3[[#This Row],[instant]],Table1[instant],Table1[weathersit], ,0,1)</f>
        <v>2</v>
      </c>
      <c r="G156" s="44">
        <f>_xlfn.XLOOKUP(Table3[[#This Row],[instant]],Table1[instant],Table1[temp], ,0,1)</f>
        <v>0.2</v>
      </c>
      <c r="H156" s="45">
        <f>_xlfn.XLOOKUP(Table3[[#This Row],[instant]],Table2[instant],Table2[atemp], ,0,1)</f>
        <v>0.2576</v>
      </c>
      <c r="I156" s="42">
        <f>_xlfn.XLOOKUP(Table3[[#This Row],[instant]],Table2[instant],Table2[hum], ,0,1)</f>
        <v>0.37</v>
      </c>
      <c r="J156" s="42">
        <f>_xlfn.XLOOKUP(Table3[[#This Row],[instant]],Table2[instant],Table2[windspeed], ,0,1)</f>
        <v>0</v>
      </c>
      <c r="K156" s="42">
        <f>_xlfn.XLOOKUP(Table3[[#This Row],[instant]],Table2[instant],Table2[casual], ,0,1)</f>
        <v>9</v>
      </c>
      <c r="L156" s="42">
        <f>_xlfn.XLOOKUP(Table3[[#This Row],[instant]],Table2[instant],Table2[registered], ,0,1)</f>
        <v>178</v>
      </c>
      <c r="M156" s="46">
        <f>_xlfn.XLOOKUP(Table3[[#This Row],[instant]],Table2[instant],Table2[cnt], ,0,1)</f>
        <v>187</v>
      </c>
      <c r="N156" s="42" t="str">
        <f>IF(OR(Table3[[#This Row],[weekday]]=0,Table3[[#This Row],[weekday]]=6),"Weekend","Weekday")</f>
        <v>Weekday</v>
      </c>
    </row>
    <row r="157" spans="1:14" ht="15" thickBot="1" x14ac:dyDescent="0.35">
      <c r="A157" s="1">
        <v>156</v>
      </c>
      <c r="B157" s="3">
        <f>_xlfn.XLOOKUP(Table3[[#This Row],[instant]],DatSet1!A157:A766,DatSet1!B157:B766,_xlfn.XLOOKUP(Table3[[#This Row],[instant]],'Final Data'!A157:A546,'Final Data'!B157:B546, ,0,1),0,1)</f>
        <v>40550</v>
      </c>
      <c r="C157" s="1">
        <f>_xlfn.XLOOKUP(Table3[[#This Row],[instant]],Table1[instant],Table1[hr], ,0,1)</f>
        <v>18</v>
      </c>
      <c r="D157" s="2" t="b">
        <f>_xlfn.XLOOKUP(Table3[[#This Row],[instant]],Table1[instant],Table1[holiday], ,0,1)</f>
        <v>0</v>
      </c>
      <c r="E157" s="2">
        <f>_xlfn.XLOOKUP(Table3[[#This Row],[instant]],Table1[instant],Table1[weekday], ,0,1)</f>
        <v>5</v>
      </c>
      <c r="F157" s="2">
        <f>_xlfn.XLOOKUP(Table3[[#This Row],[instant]],Table1[instant],Table1[weathersit], ,0,1)</f>
        <v>1</v>
      </c>
      <c r="G157" s="2">
        <f>_xlfn.XLOOKUP(Table3[[#This Row],[instant]],Table1[instant],Table1[temp], ,0,1)</f>
        <v>0.2</v>
      </c>
      <c r="H157" s="24">
        <f>_xlfn.XLOOKUP(Table3[[#This Row],[instant]],Table2[instant],Table2[atemp], ,0,1)</f>
        <v>0.2273</v>
      </c>
      <c r="I157" s="1">
        <f>_xlfn.XLOOKUP(Table3[[#This Row],[instant]],Table2[instant],Table2[hum], ,0,1)</f>
        <v>0.4</v>
      </c>
      <c r="J157" s="1">
        <f>_xlfn.XLOOKUP(Table3[[#This Row],[instant]],Table2[instant],Table2[windspeed], ,0,1)</f>
        <v>8.9599999999999999E-2</v>
      </c>
      <c r="K157" s="1">
        <f>_xlfn.XLOOKUP(Table3[[#This Row],[instant]],Table2[instant],Table2[casual], ,0,1)</f>
        <v>7</v>
      </c>
      <c r="L157" s="1">
        <f>_xlfn.XLOOKUP(Table3[[#This Row],[instant]],Table2[instant],Table2[registered], ,0,1)</f>
        <v>116</v>
      </c>
      <c r="M157" s="6">
        <f>_xlfn.XLOOKUP(Table3[[#This Row],[instant]],Table2[instant],Table2[cnt], ,0,1)</f>
        <v>123</v>
      </c>
      <c r="N157" s="1" t="str">
        <f>IF(OR(Table3[[#This Row],[weekday]]=0,Table3[[#This Row],[weekday]]=6),"Weekend","Weekday")</f>
        <v>Weekday</v>
      </c>
    </row>
    <row r="158" spans="1:14" ht="15" thickBot="1" x14ac:dyDescent="0.35">
      <c r="A158" s="42">
        <v>157</v>
      </c>
      <c r="B158" s="43">
        <f>_xlfn.XLOOKUP(Table3[[#This Row],[instant]],DatSet1!A158:A767,DatSet1!B158:B767,_xlfn.XLOOKUP(Table3[[#This Row],[instant]],'Final Data'!A158:A547,'Final Data'!B158:B547, ,0,1),0,1)</f>
        <v>40550</v>
      </c>
      <c r="C158" s="42">
        <f>_xlfn.XLOOKUP(Table3[[#This Row],[instant]],Table1[instant],Table1[hr], ,0,1)</f>
        <v>19</v>
      </c>
      <c r="D158" s="44" t="b">
        <f>_xlfn.XLOOKUP(Table3[[#This Row],[instant]],Table1[instant],Table1[holiday], ,0,1)</f>
        <v>0</v>
      </c>
      <c r="E158" s="44">
        <f>_xlfn.XLOOKUP(Table3[[#This Row],[instant]],Table1[instant],Table1[weekday], ,0,1)</f>
        <v>5</v>
      </c>
      <c r="F158" s="44">
        <f>_xlfn.XLOOKUP(Table3[[#This Row],[instant]],Table1[instant],Table1[weathersit], ,0,1)</f>
        <v>1</v>
      </c>
      <c r="G158" s="44">
        <f>_xlfn.XLOOKUP(Table3[[#This Row],[instant]],Table1[instant],Table1[temp], ,0,1)</f>
        <v>0.16</v>
      </c>
      <c r="H158" s="45">
        <f>_xlfn.XLOOKUP(Table3[[#This Row],[instant]],Table2[instant],Table2[atemp], ,0,1)</f>
        <v>0.19700000000000001</v>
      </c>
      <c r="I158" s="42">
        <f>_xlfn.XLOOKUP(Table3[[#This Row],[instant]],Table2[instant],Table2[hum], ,0,1)</f>
        <v>0.55000000000000004</v>
      </c>
      <c r="J158" s="42">
        <f>_xlfn.XLOOKUP(Table3[[#This Row],[instant]],Table2[instant],Table2[windspeed], ,0,1)</f>
        <v>8.9599999999999999E-2</v>
      </c>
      <c r="K158" s="42">
        <f>_xlfn.XLOOKUP(Table3[[#This Row],[instant]],Table2[instant],Table2[casual], ,0,1)</f>
        <v>3</v>
      </c>
      <c r="L158" s="42">
        <f>_xlfn.XLOOKUP(Table3[[#This Row],[instant]],Table2[instant],Table2[registered], ,0,1)</f>
        <v>92</v>
      </c>
      <c r="M158" s="46">
        <f>_xlfn.XLOOKUP(Table3[[#This Row],[instant]],Table2[instant],Table2[cnt], ,0,1)</f>
        <v>95</v>
      </c>
      <c r="N158" s="42" t="str">
        <f>IF(OR(Table3[[#This Row],[weekday]]=0,Table3[[#This Row],[weekday]]=6),"Weekend","Weekday")</f>
        <v>Weekday</v>
      </c>
    </row>
    <row r="159" spans="1:14" ht="15" thickBot="1" x14ac:dyDescent="0.35">
      <c r="A159" s="1">
        <v>158</v>
      </c>
      <c r="B159" s="3">
        <f>_xlfn.XLOOKUP(Table3[[#This Row],[instant]],DatSet1!A159:A768,DatSet1!B159:B768,_xlfn.XLOOKUP(Table3[[#This Row],[instant]],'Final Data'!A159:A548,'Final Data'!B159:B548, ,0,1),0,1)</f>
        <v>40550</v>
      </c>
      <c r="C159" s="1">
        <f>_xlfn.XLOOKUP(Table3[[#This Row],[instant]],Table1[instant],Table1[hr], ,0,1)</f>
        <v>20</v>
      </c>
      <c r="D159" s="2" t="b">
        <f>_xlfn.XLOOKUP(Table3[[#This Row],[instant]],Table1[instant],Table1[holiday], ,0,1)</f>
        <v>0</v>
      </c>
      <c r="E159" s="2">
        <f>_xlfn.XLOOKUP(Table3[[#This Row],[instant]],Table1[instant],Table1[weekday], ,0,1)</f>
        <v>5</v>
      </c>
      <c r="F159" s="2">
        <f>_xlfn.XLOOKUP(Table3[[#This Row],[instant]],Table1[instant],Table1[weathersit], ,0,1)</f>
        <v>1</v>
      </c>
      <c r="G159" s="2">
        <f>_xlfn.XLOOKUP(Table3[[#This Row],[instant]],Table1[instant],Table1[temp], ,0,1)</f>
        <v>0.18</v>
      </c>
      <c r="H159" s="24">
        <f>_xlfn.XLOOKUP(Table3[[#This Row],[instant]],Table2[instant],Table2[atemp], ,0,1)</f>
        <v>0.21210000000000001</v>
      </c>
      <c r="I159" s="1">
        <f>_xlfn.XLOOKUP(Table3[[#This Row],[instant]],Table2[instant],Table2[hum], ,0,1)</f>
        <v>0.47</v>
      </c>
      <c r="J159" s="1">
        <f>_xlfn.XLOOKUP(Table3[[#This Row],[instant]],Table2[instant],Table2[windspeed], ,0,1)</f>
        <v>0.1045</v>
      </c>
      <c r="K159" s="1">
        <f>_xlfn.XLOOKUP(Table3[[#This Row],[instant]],Table2[instant],Table2[casual], ,0,1)</f>
        <v>1</v>
      </c>
      <c r="L159" s="1">
        <f>_xlfn.XLOOKUP(Table3[[#This Row],[instant]],Table2[instant],Table2[registered], ,0,1)</f>
        <v>50</v>
      </c>
      <c r="M159" s="6">
        <f>_xlfn.XLOOKUP(Table3[[#This Row],[instant]],Table2[instant],Table2[cnt], ,0,1)</f>
        <v>51</v>
      </c>
      <c r="N159" s="1" t="str">
        <f>IF(OR(Table3[[#This Row],[weekday]]=0,Table3[[#This Row],[weekday]]=6),"Weekend","Weekday")</f>
        <v>Weekday</v>
      </c>
    </row>
    <row r="160" spans="1:14" ht="15" thickBot="1" x14ac:dyDescent="0.35">
      <c r="A160" s="42">
        <v>159</v>
      </c>
      <c r="B160" s="43">
        <f>_xlfn.XLOOKUP(Table3[[#This Row],[instant]],DatSet1!A160:A769,DatSet1!B160:B769,_xlfn.XLOOKUP(Table3[[#This Row],[instant]],'Final Data'!A160:A549,'Final Data'!B160:B549, ,0,1),0,1)</f>
        <v>40550</v>
      </c>
      <c r="C160" s="42">
        <f>_xlfn.XLOOKUP(Table3[[#This Row],[instant]],Table1[instant],Table1[hr], ,0,1)</f>
        <v>21</v>
      </c>
      <c r="D160" s="44" t="b">
        <f>_xlfn.XLOOKUP(Table3[[#This Row],[instant]],Table1[instant],Table1[holiday], ,0,1)</f>
        <v>0</v>
      </c>
      <c r="E160" s="44">
        <f>_xlfn.XLOOKUP(Table3[[#This Row],[instant]],Table1[instant],Table1[weekday], ,0,1)</f>
        <v>5</v>
      </c>
      <c r="F160" s="44">
        <f>_xlfn.XLOOKUP(Table3[[#This Row],[instant]],Table1[instant],Table1[weathersit], ,0,1)</f>
        <v>1</v>
      </c>
      <c r="G160" s="44">
        <f>_xlfn.XLOOKUP(Table3[[#This Row],[instant]],Table1[instant],Table1[temp], ,0,1)</f>
        <v>0.18</v>
      </c>
      <c r="H160" s="45">
        <f>_xlfn.XLOOKUP(Table3[[#This Row],[instant]],Table2[instant],Table2[atemp], ,0,1)</f>
        <v>0.19700000000000001</v>
      </c>
      <c r="I160" s="42">
        <f>_xlfn.XLOOKUP(Table3[[#This Row],[instant]],Table2[instant],Table2[hum], ,0,1)</f>
        <v>0.47</v>
      </c>
      <c r="J160" s="42">
        <f>_xlfn.XLOOKUP(Table3[[#This Row],[instant]],Table2[instant],Table2[windspeed], ,0,1)</f>
        <v>0.1343</v>
      </c>
      <c r="K160" s="42">
        <f>_xlfn.XLOOKUP(Table3[[#This Row],[instant]],Table2[instant],Table2[casual], ,0,1)</f>
        <v>0</v>
      </c>
      <c r="L160" s="42">
        <f>_xlfn.XLOOKUP(Table3[[#This Row],[instant]],Table2[instant],Table2[registered], ,0,1)</f>
        <v>39</v>
      </c>
      <c r="M160" s="46">
        <f>_xlfn.XLOOKUP(Table3[[#This Row],[instant]],Table2[instant],Table2[cnt], ,0,1)</f>
        <v>39</v>
      </c>
      <c r="N160" s="42" t="str">
        <f>IF(OR(Table3[[#This Row],[weekday]]=0,Table3[[#This Row],[weekday]]=6),"Weekend","Weekday")</f>
        <v>Weekday</v>
      </c>
    </row>
    <row r="161" spans="1:14" ht="15" thickBot="1" x14ac:dyDescent="0.35">
      <c r="A161" s="1">
        <v>160</v>
      </c>
      <c r="B161" s="3">
        <f>_xlfn.XLOOKUP(Table3[[#This Row],[instant]],DatSet1!A161:A770,DatSet1!B161:B770,_xlfn.XLOOKUP(Table3[[#This Row],[instant]],'Final Data'!A161:A550,'Final Data'!B161:B550, ,0,1),0,1)</f>
        <v>40550</v>
      </c>
      <c r="C161" s="1">
        <f>_xlfn.XLOOKUP(Table3[[#This Row],[instant]],Table1[instant],Table1[hr], ,0,1)</f>
        <v>22</v>
      </c>
      <c r="D161" s="2" t="b">
        <f>_xlfn.XLOOKUP(Table3[[#This Row],[instant]],Table1[instant],Table1[holiday], ,0,1)</f>
        <v>0</v>
      </c>
      <c r="E161" s="2">
        <f>_xlfn.XLOOKUP(Table3[[#This Row],[instant]],Table1[instant],Table1[weekday], ,0,1)</f>
        <v>5</v>
      </c>
      <c r="F161" s="2">
        <f>_xlfn.XLOOKUP(Table3[[#This Row],[instant]],Table1[instant],Table1[weathersit], ,0,1)</f>
        <v>2</v>
      </c>
      <c r="G161" s="2">
        <f>_xlfn.XLOOKUP(Table3[[#This Row],[instant]],Table1[instant],Table1[temp], ,0,1)</f>
        <v>0.18</v>
      </c>
      <c r="H161" s="24">
        <f>_xlfn.XLOOKUP(Table3[[#This Row],[instant]],Table2[instant],Table2[atemp], ,0,1)</f>
        <v>0.19700000000000001</v>
      </c>
      <c r="I161" s="1">
        <f>_xlfn.XLOOKUP(Table3[[#This Row],[instant]],Table2[instant],Table2[hum], ,0,1)</f>
        <v>0.43</v>
      </c>
      <c r="J161" s="1">
        <f>_xlfn.XLOOKUP(Table3[[#This Row],[instant]],Table2[instant],Table2[windspeed], ,0,1)</f>
        <v>0.16420000000000001</v>
      </c>
      <c r="K161" s="1">
        <f>_xlfn.XLOOKUP(Table3[[#This Row],[instant]],Table2[instant],Table2[casual], ,0,1)</f>
        <v>2</v>
      </c>
      <c r="L161" s="1">
        <f>_xlfn.XLOOKUP(Table3[[#This Row],[instant]],Table2[instant],Table2[registered], ,0,1)</f>
        <v>34</v>
      </c>
      <c r="M161" s="6">
        <f>_xlfn.XLOOKUP(Table3[[#This Row],[instant]],Table2[instant],Table2[cnt], ,0,1)</f>
        <v>36</v>
      </c>
      <c r="N161" s="1" t="str">
        <f>IF(OR(Table3[[#This Row],[weekday]]=0,Table3[[#This Row],[weekday]]=6),"Weekend","Weekday")</f>
        <v>Weekday</v>
      </c>
    </row>
    <row r="162" spans="1:14" ht="15" thickBot="1" x14ac:dyDescent="0.35">
      <c r="A162" s="42">
        <v>161</v>
      </c>
      <c r="B162" s="43">
        <f>_xlfn.XLOOKUP(Table3[[#This Row],[instant]],DatSet1!A162:A771,DatSet1!B162:B771,_xlfn.XLOOKUP(Table3[[#This Row],[instant]],'Final Data'!A162:A551,'Final Data'!B162:B551, ,0,1),0,1)</f>
        <v>40550</v>
      </c>
      <c r="C162" s="42">
        <f>_xlfn.XLOOKUP(Table3[[#This Row],[instant]],Table1[instant],Table1[hr], ,0,1)</f>
        <v>23</v>
      </c>
      <c r="D162" s="44" t="b">
        <f>_xlfn.XLOOKUP(Table3[[#This Row],[instant]],Table1[instant],Table1[holiday], ,0,1)</f>
        <v>0</v>
      </c>
      <c r="E162" s="44">
        <f>_xlfn.XLOOKUP(Table3[[#This Row],[instant]],Table1[instant],Table1[weekday], ,0,1)</f>
        <v>5</v>
      </c>
      <c r="F162" s="44">
        <f>_xlfn.XLOOKUP(Table3[[#This Row],[instant]],Table1[instant],Table1[weathersit], ,0,1)</f>
        <v>2</v>
      </c>
      <c r="G162" s="44">
        <f>_xlfn.XLOOKUP(Table3[[#This Row],[instant]],Table1[instant],Table1[temp], ,0,1)</f>
        <v>0.18</v>
      </c>
      <c r="H162" s="45">
        <f>_xlfn.XLOOKUP(Table3[[#This Row],[instant]],Table2[instant],Table2[atemp], ,0,1)</f>
        <v>0.19700000000000001</v>
      </c>
      <c r="I162" s="42">
        <f>_xlfn.XLOOKUP(Table3[[#This Row],[instant]],Table2[instant],Table2[hum], ,0,1)</f>
        <v>0.51</v>
      </c>
      <c r="J162" s="42">
        <f>_xlfn.XLOOKUP(Table3[[#This Row],[instant]],Table2[instant],Table2[windspeed], ,0,1)</f>
        <v>0.16420000000000001</v>
      </c>
      <c r="K162" s="42">
        <f>_xlfn.XLOOKUP(Table3[[#This Row],[instant]],Table2[instant],Table2[casual], ,0,1)</f>
        <v>1</v>
      </c>
      <c r="L162" s="42">
        <f>_xlfn.XLOOKUP(Table3[[#This Row],[instant]],Table2[instant],Table2[registered], ,0,1)</f>
        <v>14</v>
      </c>
      <c r="M162" s="46">
        <f>_xlfn.XLOOKUP(Table3[[#This Row],[instant]],Table2[instant],Table2[cnt], ,0,1)</f>
        <v>15</v>
      </c>
      <c r="N162" s="42" t="str">
        <f>IF(OR(Table3[[#This Row],[weekday]]=0,Table3[[#This Row],[weekday]]=6),"Weekend","Weekday")</f>
        <v>Weekday</v>
      </c>
    </row>
    <row r="163" spans="1:14" ht="15" thickBot="1" x14ac:dyDescent="0.35">
      <c r="A163" s="1">
        <v>162</v>
      </c>
      <c r="B163" s="3">
        <f>_xlfn.XLOOKUP(Table3[[#This Row],[instant]],DatSet1!A163:A772,DatSet1!B163:B772,_xlfn.XLOOKUP(Table3[[#This Row],[instant]],'Final Data'!A163:A552,'Final Data'!B163:B552, ,0,1),0,1)</f>
        <v>40551</v>
      </c>
      <c r="C163" s="1">
        <f>_xlfn.XLOOKUP(Table3[[#This Row],[instant]],Table1[instant],Table1[hr], ,0,1)</f>
        <v>0</v>
      </c>
      <c r="D163" s="2" t="b">
        <f>_xlfn.XLOOKUP(Table3[[#This Row],[instant]],Table1[instant],Table1[holiday], ,0,1)</f>
        <v>0</v>
      </c>
      <c r="E163" s="2">
        <f>_xlfn.XLOOKUP(Table3[[#This Row],[instant]],Table1[instant],Table1[weekday], ,0,1)</f>
        <v>6</v>
      </c>
      <c r="F163" s="2">
        <f>_xlfn.XLOOKUP(Table3[[#This Row],[instant]],Table1[instant],Table1[weathersit], ,0,1)</f>
        <v>2</v>
      </c>
      <c r="G163" s="2">
        <f>_xlfn.XLOOKUP(Table3[[#This Row],[instant]],Table1[instant],Table1[temp], ,0,1)</f>
        <v>0.18</v>
      </c>
      <c r="H163" s="24">
        <f>_xlfn.XLOOKUP(Table3[[#This Row],[instant]],Table2[instant],Table2[atemp], ,0,1)</f>
        <v>0.19700000000000001</v>
      </c>
      <c r="I163" s="1">
        <f>_xlfn.XLOOKUP(Table3[[#This Row],[instant]],Table2[instant],Table2[hum], ,0,1)</f>
        <v>0.51</v>
      </c>
      <c r="J163" s="1">
        <f>_xlfn.XLOOKUP(Table3[[#This Row],[instant]],Table2[instant],Table2[windspeed], ,0,1)</f>
        <v>0.16420000000000001</v>
      </c>
      <c r="K163" s="1">
        <f>_xlfn.XLOOKUP(Table3[[#This Row],[instant]],Table2[instant],Table2[casual], ,0,1)</f>
        <v>1</v>
      </c>
      <c r="L163" s="1">
        <f>_xlfn.XLOOKUP(Table3[[#This Row],[instant]],Table2[instant],Table2[registered], ,0,1)</f>
        <v>24</v>
      </c>
      <c r="M163" s="6">
        <f>_xlfn.XLOOKUP(Table3[[#This Row],[instant]],Table2[instant],Table2[cnt], ,0,1)</f>
        <v>25</v>
      </c>
      <c r="N163" s="1" t="str">
        <f>IF(OR(Table3[[#This Row],[weekday]]=0,Table3[[#This Row],[weekday]]=6),"Weekend","Weekday")</f>
        <v>Weekend</v>
      </c>
    </row>
    <row r="164" spans="1:14" ht="15" thickBot="1" x14ac:dyDescent="0.35">
      <c r="A164" s="42">
        <v>163</v>
      </c>
      <c r="B164" s="43">
        <f>_xlfn.XLOOKUP(Table3[[#This Row],[instant]],DatSet1!A164:A773,DatSet1!B164:B773,_xlfn.XLOOKUP(Table3[[#This Row],[instant]],'Final Data'!A164:A553,'Final Data'!B164:B553, ,0,1),0,1)</f>
        <v>40551</v>
      </c>
      <c r="C164" s="42">
        <f>_xlfn.XLOOKUP(Table3[[#This Row],[instant]],Table1[instant],Table1[hr], ,0,1)</f>
        <v>1</v>
      </c>
      <c r="D164" s="44" t="b">
        <f>_xlfn.XLOOKUP(Table3[[#This Row],[instant]],Table1[instant],Table1[holiday], ,0,1)</f>
        <v>0</v>
      </c>
      <c r="E164" s="44">
        <f>_xlfn.XLOOKUP(Table3[[#This Row],[instant]],Table1[instant],Table1[weekday], ,0,1)</f>
        <v>6</v>
      </c>
      <c r="F164" s="44">
        <f>_xlfn.XLOOKUP(Table3[[#This Row],[instant]],Table1[instant],Table1[weathersit], ,0,1)</f>
        <v>2</v>
      </c>
      <c r="G164" s="44">
        <f>_xlfn.XLOOKUP(Table3[[#This Row],[instant]],Table1[instant],Table1[temp], ,0,1)</f>
        <v>0.18</v>
      </c>
      <c r="H164" s="45">
        <f>_xlfn.XLOOKUP(Table3[[#This Row],[instant]],Table2[instant],Table2[atemp], ,0,1)</f>
        <v>0.21210000000000001</v>
      </c>
      <c r="I164" s="42">
        <f>_xlfn.XLOOKUP(Table3[[#This Row],[instant]],Table2[instant],Table2[hum], ,0,1)</f>
        <v>0.55000000000000004</v>
      </c>
      <c r="J164" s="42">
        <f>_xlfn.XLOOKUP(Table3[[#This Row],[instant]],Table2[instant],Table2[windspeed], ,0,1)</f>
        <v>8.9599999999999999E-2</v>
      </c>
      <c r="K164" s="42">
        <f>_xlfn.XLOOKUP(Table3[[#This Row],[instant]],Table2[instant],Table2[casual], ,0,1)</f>
        <v>1</v>
      </c>
      <c r="L164" s="42">
        <f>_xlfn.XLOOKUP(Table3[[#This Row],[instant]],Table2[instant],Table2[registered], ,0,1)</f>
        <v>15</v>
      </c>
      <c r="M164" s="46">
        <f>_xlfn.XLOOKUP(Table3[[#This Row],[instant]],Table2[instant],Table2[cnt], ,0,1)</f>
        <v>16</v>
      </c>
      <c r="N164" s="42" t="str">
        <f>IF(OR(Table3[[#This Row],[weekday]]=0,Table3[[#This Row],[weekday]]=6),"Weekend","Weekday")</f>
        <v>Weekend</v>
      </c>
    </row>
    <row r="165" spans="1:14" ht="15" thickBot="1" x14ac:dyDescent="0.35">
      <c r="A165" s="1">
        <v>164</v>
      </c>
      <c r="B165" s="3">
        <f>_xlfn.XLOOKUP(Table3[[#This Row],[instant]],DatSet1!A165:A774,DatSet1!B165:B774,_xlfn.XLOOKUP(Table3[[#This Row],[instant]],'Final Data'!A165:A554,'Final Data'!B165:B554, ,0,1),0,1)</f>
        <v>40551</v>
      </c>
      <c r="C165" s="1">
        <f>_xlfn.XLOOKUP(Table3[[#This Row],[instant]],Table1[instant],Table1[hr], ,0,1)</f>
        <v>2</v>
      </c>
      <c r="D165" s="2" t="b">
        <f>_xlfn.XLOOKUP(Table3[[#This Row],[instant]],Table1[instant],Table1[holiday], ,0,1)</f>
        <v>0</v>
      </c>
      <c r="E165" s="2">
        <f>_xlfn.XLOOKUP(Table3[[#This Row],[instant]],Table1[instant],Table1[weekday], ,0,1)</f>
        <v>6</v>
      </c>
      <c r="F165" s="2">
        <f>_xlfn.XLOOKUP(Table3[[#This Row],[instant]],Table1[instant],Table1[weathersit], ,0,1)</f>
        <v>2</v>
      </c>
      <c r="G165" s="2">
        <f>_xlfn.XLOOKUP(Table3[[#This Row],[instant]],Table1[instant],Table1[temp], ,0,1)</f>
        <v>0.18</v>
      </c>
      <c r="H165" s="24">
        <f>_xlfn.XLOOKUP(Table3[[#This Row],[instant]],Table2[instant],Table2[atemp], ,0,1)</f>
        <v>0.2424</v>
      </c>
      <c r="I165" s="1">
        <f>_xlfn.XLOOKUP(Table3[[#This Row],[instant]],Table2[instant],Table2[hum], ,0,1)</f>
        <v>0.55000000000000004</v>
      </c>
      <c r="J165" s="1">
        <f>_xlfn.XLOOKUP(Table3[[#This Row],[instant]],Table2[instant],Table2[windspeed], ,0,1)</f>
        <v>0</v>
      </c>
      <c r="K165" s="1">
        <f>_xlfn.XLOOKUP(Table3[[#This Row],[instant]],Table2[instant],Table2[casual], ,0,1)</f>
        <v>3</v>
      </c>
      <c r="L165" s="1">
        <f>_xlfn.XLOOKUP(Table3[[#This Row],[instant]],Table2[instant],Table2[registered], ,0,1)</f>
        <v>13</v>
      </c>
      <c r="M165" s="6">
        <f>_xlfn.XLOOKUP(Table3[[#This Row],[instant]],Table2[instant],Table2[cnt], ,0,1)</f>
        <v>16</v>
      </c>
      <c r="N165" s="1" t="str">
        <f>IF(OR(Table3[[#This Row],[weekday]]=0,Table3[[#This Row],[weekday]]=6),"Weekend","Weekday")</f>
        <v>Weekend</v>
      </c>
    </row>
    <row r="166" spans="1:14" ht="15" thickBot="1" x14ac:dyDescent="0.35">
      <c r="A166" s="42">
        <v>165</v>
      </c>
      <c r="B166" s="43">
        <f>_xlfn.XLOOKUP(Table3[[#This Row],[instant]],DatSet1!A166:A775,DatSet1!B166:B775,_xlfn.XLOOKUP(Table3[[#This Row],[instant]],'Final Data'!A166:A555,'Final Data'!B166:B555, ,0,1),0,1)</f>
        <v>40551</v>
      </c>
      <c r="C166" s="42">
        <f>_xlfn.XLOOKUP(Table3[[#This Row],[instant]],Table1[instant],Table1[hr], ,0,1)</f>
        <v>3</v>
      </c>
      <c r="D166" s="44" t="b">
        <f>_xlfn.XLOOKUP(Table3[[#This Row],[instant]],Table1[instant],Table1[holiday], ,0,1)</f>
        <v>0</v>
      </c>
      <c r="E166" s="44">
        <f>_xlfn.XLOOKUP(Table3[[#This Row],[instant]],Table1[instant],Table1[weekday], ,0,1)</f>
        <v>6</v>
      </c>
      <c r="F166" s="44">
        <f>_xlfn.XLOOKUP(Table3[[#This Row],[instant]],Table1[instant],Table1[weathersit], ,0,1)</f>
        <v>3</v>
      </c>
      <c r="G166" s="44">
        <f>_xlfn.XLOOKUP(Table3[[#This Row],[instant]],Table1[instant],Table1[temp], ,0,1)</f>
        <v>0.18</v>
      </c>
      <c r="H166" s="45">
        <f>_xlfn.XLOOKUP(Table3[[#This Row],[instant]],Table2[instant],Table2[atemp], ,0,1)</f>
        <v>0.19700000000000001</v>
      </c>
      <c r="I166" s="42">
        <f>_xlfn.XLOOKUP(Table3[[#This Row],[instant]],Table2[instant],Table2[hum], ,0,1)</f>
        <v>0.55000000000000004</v>
      </c>
      <c r="J166" s="42">
        <f>_xlfn.XLOOKUP(Table3[[#This Row],[instant]],Table2[instant],Table2[windspeed], ,0,1)</f>
        <v>0.16420000000000001</v>
      </c>
      <c r="K166" s="42">
        <f>_xlfn.XLOOKUP(Table3[[#This Row],[instant]],Table2[instant],Table2[casual], ,0,1)</f>
        <v>0</v>
      </c>
      <c r="L166" s="42">
        <f>_xlfn.XLOOKUP(Table3[[#This Row],[instant]],Table2[instant],Table2[registered], ,0,1)</f>
        <v>7</v>
      </c>
      <c r="M166" s="46">
        <f>_xlfn.XLOOKUP(Table3[[#This Row],[instant]],Table2[instant],Table2[cnt], ,0,1)</f>
        <v>7</v>
      </c>
      <c r="N166" s="42" t="str">
        <f>IF(OR(Table3[[#This Row],[weekday]]=0,Table3[[#This Row],[weekday]]=6),"Weekend","Weekday")</f>
        <v>Weekend</v>
      </c>
    </row>
    <row r="167" spans="1:14" ht="15" thickBot="1" x14ac:dyDescent="0.35">
      <c r="A167" s="1">
        <v>166</v>
      </c>
      <c r="B167" s="3">
        <f>_xlfn.XLOOKUP(Table3[[#This Row],[instant]],DatSet1!A167:A776,DatSet1!B167:B776,_xlfn.XLOOKUP(Table3[[#This Row],[instant]],'Final Data'!A167:A556,'Final Data'!B167:B556, ,0,1),0,1)</f>
        <v>40551</v>
      </c>
      <c r="C167" s="1">
        <f>_xlfn.XLOOKUP(Table3[[#This Row],[instant]],Table1[instant],Table1[hr], ,0,1)</f>
        <v>4</v>
      </c>
      <c r="D167" s="2" t="b">
        <f>_xlfn.XLOOKUP(Table3[[#This Row],[instant]],Table1[instant],Table1[holiday], ,0,1)</f>
        <v>0</v>
      </c>
      <c r="E167" s="2">
        <f>_xlfn.XLOOKUP(Table3[[#This Row],[instant]],Table1[instant],Table1[weekday], ,0,1)</f>
        <v>6</v>
      </c>
      <c r="F167" s="2">
        <f>_xlfn.XLOOKUP(Table3[[#This Row],[instant]],Table1[instant],Table1[weathersit], ,0,1)</f>
        <v>3</v>
      </c>
      <c r="G167" s="2">
        <f>_xlfn.XLOOKUP(Table3[[#This Row],[instant]],Table1[instant],Table1[temp], ,0,1)</f>
        <v>0.18</v>
      </c>
      <c r="H167" s="24">
        <f>_xlfn.XLOOKUP(Table3[[#This Row],[instant]],Table2[instant],Table2[atemp], ,0,1)</f>
        <v>0.19700000000000001</v>
      </c>
      <c r="I167" s="1">
        <f>_xlfn.XLOOKUP(Table3[[#This Row],[instant]],Table2[instant],Table2[hum], ,0,1)</f>
        <v>0.55000000000000004</v>
      </c>
      <c r="J167" s="1">
        <f>_xlfn.XLOOKUP(Table3[[#This Row],[instant]],Table2[instant],Table2[windspeed], ,0,1)</f>
        <v>0.16420000000000001</v>
      </c>
      <c r="K167" s="1">
        <f>_xlfn.XLOOKUP(Table3[[#This Row],[instant]],Table2[instant],Table2[casual], ,0,1)</f>
        <v>0</v>
      </c>
      <c r="L167" s="1">
        <f>_xlfn.XLOOKUP(Table3[[#This Row],[instant]],Table2[instant],Table2[registered], ,0,1)</f>
        <v>1</v>
      </c>
      <c r="M167" s="6">
        <f>_xlfn.XLOOKUP(Table3[[#This Row],[instant]],Table2[instant],Table2[cnt], ,0,1)</f>
        <v>1</v>
      </c>
      <c r="N167" s="1" t="str">
        <f>IF(OR(Table3[[#This Row],[weekday]]=0,Table3[[#This Row],[weekday]]=6),"Weekend","Weekday")</f>
        <v>Weekend</v>
      </c>
    </row>
    <row r="168" spans="1:14" ht="15" thickBot="1" x14ac:dyDescent="0.35">
      <c r="A168" s="42">
        <v>167</v>
      </c>
      <c r="B168" s="43">
        <f>_xlfn.XLOOKUP(Table3[[#This Row],[instant]],DatSet1!A168:A777,DatSet1!B168:B777,_xlfn.XLOOKUP(Table3[[#This Row],[instant]],'Final Data'!A168:A557,'Final Data'!B168:B557, ,0,1),0,1)</f>
        <v>40551</v>
      </c>
      <c r="C168" s="42">
        <f>_xlfn.XLOOKUP(Table3[[#This Row],[instant]],Table1[instant],Table1[hr], ,0,1)</f>
        <v>5</v>
      </c>
      <c r="D168" s="44" t="b">
        <f>_xlfn.XLOOKUP(Table3[[#This Row],[instant]],Table1[instant],Table1[holiday], ,0,1)</f>
        <v>0</v>
      </c>
      <c r="E168" s="44">
        <f>_xlfn.XLOOKUP(Table3[[#This Row],[instant]],Table1[instant],Table1[weekday], ,0,1)</f>
        <v>6</v>
      </c>
      <c r="F168" s="44">
        <f>_xlfn.XLOOKUP(Table3[[#This Row],[instant]],Table1[instant],Table1[weathersit], ,0,1)</f>
        <v>2</v>
      </c>
      <c r="G168" s="44">
        <f>_xlfn.XLOOKUP(Table3[[#This Row],[instant]],Table1[instant],Table1[temp], ,0,1)</f>
        <v>0.16</v>
      </c>
      <c r="H168" s="45">
        <f>_xlfn.XLOOKUP(Table3[[#This Row],[instant]],Table2[instant],Table2[atemp], ,0,1)</f>
        <v>0.16669999999999999</v>
      </c>
      <c r="I168" s="42">
        <f>_xlfn.XLOOKUP(Table3[[#This Row],[instant]],Table2[instant],Table2[hum], ,0,1)</f>
        <v>0.74</v>
      </c>
      <c r="J168" s="42">
        <f>_xlfn.XLOOKUP(Table3[[#This Row],[instant]],Table2[instant],Table2[windspeed], ,0,1)</f>
        <v>0.16420000000000001</v>
      </c>
      <c r="K168" s="42">
        <f>_xlfn.XLOOKUP(Table3[[#This Row],[instant]],Table2[instant],Table2[casual], ,0,1)</f>
        <v>0</v>
      </c>
      <c r="L168" s="42">
        <f>_xlfn.XLOOKUP(Table3[[#This Row],[instant]],Table2[instant],Table2[registered], ,0,1)</f>
        <v>5</v>
      </c>
      <c r="M168" s="46">
        <f>_xlfn.XLOOKUP(Table3[[#This Row],[instant]],Table2[instant],Table2[cnt], ,0,1)</f>
        <v>5</v>
      </c>
      <c r="N168" s="42" t="str">
        <f>IF(OR(Table3[[#This Row],[weekday]]=0,Table3[[#This Row],[weekday]]=6),"Weekend","Weekday")</f>
        <v>Weekend</v>
      </c>
    </row>
    <row r="169" spans="1:14" ht="15" thickBot="1" x14ac:dyDescent="0.35">
      <c r="A169" s="1">
        <v>168</v>
      </c>
      <c r="B169" s="3">
        <f>_xlfn.XLOOKUP(Table3[[#This Row],[instant]],DatSet1!A169:A778,DatSet1!B169:B778,_xlfn.XLOOKUP(Table3[[#This Row],[instant]],'Final Data'!A169:A558,'Final Data'!B169:B558, ,0,1),0,1)</f>
        <v>40551</v>
      </c>
      <c r="C169" s="1">
        <f>_xlfn.XLOOKUP(Table3[[#This Row],[instant]],Table1[instant],Table1[hr], ,0,1)</f>
        <v>6</v>
      </c>
      <c r="D169" s="2" t="b">
        <f>_xlfn.XLOOKUP(Table3[[#This Row],[instant]],Table1[instant],Table1[holiday], ,0,1)</f>
        <v>0</v>
      </c>
      <c r="E169" s="2">
        <f>_xlfn.XLOOKUP(Table3[[#This Row],[instant]],Table1[instant],Table1[weekday], ,0,1)</f>
        <v>6</v>
      </c>
      <c r="F169" s="2">
        <f>_xlfn.XLOOKUP(Table3[[#This Row],[instant]],Table1[instant],Table1[weathersit], ,0,1)</f>
        <v>2</v>
      </c>
      <c r="G169" s="2">
        <f>_xlfn.XLOOKUP(Table3[[#This Row],[instant]],Table1[instant],Table1[temp], ,0,1)</f>
        <v>0.16</v>
      </c>
      <c r="H169" s="24">
        <f>_xlfn.XLOOKUP(Table3[[#This Row],[instant]],Table2[instant],Table2[atemp], ,0,1)</f>
        <v>0.16669999999999999</v>
      </c>
      <c r="I169" s="1">
        <f>_xlfn.XLOOKUP(Table3[[#This Row],[instant]],Table2[instant],Table2[hum], ,0,1)</f>
        <v>0.74</v>
      </c>
      <c r="J169" s="1">
        <f>_xlfn.XLOOKUP(Table3[[#This Row],[instant]],Table2[instant],Table2[windspeed], ,0,1)</f>
        <v>0.16420000000000001</v>
      </c>
      <c r="K169" s="1">
        <f>_xlfn.XLOOKUP(Table3[[#This Row],[instant]],Table2[instant],Table2[casual], ,0,1)</f>
        <v>0</v>
      </c>
      <c r="L169" s="1">
        <f>_xlfn.XLOOKUP(Table3[[#This Row],[instant]],Table2[instant],Table2[registered], ,0,1)</f>
        <v>2</v>
      </c>
      <c r="M169" s="6">
        <f>_xlfn.XLOOKUP(Table3[[#This Row],[instant]],Table2[instant],Table2[cnt], ,0,1)</f>
        <v>2</v>
      </c>
      <c r="N169" s="1" t="str">
        <f>IF(OR(Table3[[#This Row],[weekday]]=0,Table3[[#This Row],[weekday]]=6),"Weekend","Weekday")</f>
        <v>Weekend</v>
      </c>
    </row>
    <row r="170" spans="1:14" ht="15" thickBot="1" x14ac:dyDescent="0.35">
      <c r="A170" s="42">
        <v>169</v>
      </c>
      <c r="B170" s="43">
        <f>_xlfn.XLOOKUP(Table3[[#This Row],[instant]],DatSet1!A170:A779,DatSet1!B170:B779,_xlfn.XLOOKUP(Table3[[#This Row],[instant]],'Final Data'!A170:A559,'Final Data'!B170:B559, ,0,1),0,1)</f>
        <v>40551</v>
      </c>
      <c r="C170" s="42">
        <f>_xlfn.XLOOKUP(Table3[[#This Row],[instant]],Table1[instant],Table1[hr], ,0,1)</f>
        <v>7</v>
      </c>
      <c r="D170" s="44" t="b">
        <f>_xlfn.XLOOKUP(Table3[[#This Row],[instant]],Table1[instant],Table1[holiday], ,0,1)</f>
        <v>0</v>
      </c>
      <c r="E170" s="44">
        <f>_xlfn.XLOOKUP(Table3[[#This Row],[instant]],Table1[instant],Table1[weekday], ,0,1)</f>
        <v>6</v>
      </c>
      <c r="F170" s="44">
        <f>_xlfn.XLOOKUP(Table3[[#This Row],[instant]],Table1[instant],Table1[weathersit], ,0,1)</f>
        <v>2</v>
      </c>
      <c r="G170" s="44">
        <f>_xlfn.XLOOKUP(Table3[[#This Row],[instant]],Table1[instant],Table1[temp], ,0,1)</f>
        <v>0.16</v>
      </c>
      <c r="H170" s="45">
        <f>_xlfn.XLOOKUP(Table3[[#This Row],[instant]],Table2[instant],Table2[atemp], ,0,1)</f>
        <v>0.18179999999999999</v>
      </c>
      <c r="I170" s="42">
        <f>_xlfn.XLOOKUP(Table3[[#This Row],[instant]],Table2[instant],Table2[hum], ,0,1)</f>
        <v>0.74</v>
      </c>
      <c r="J170" s="42">
        <f>_xlfn.XLOOKUP(Table3[[#This Row],[instant]],Table2[instant],Table2[windspeed], ,0,1)</f>
        <v>0.1045</v>
      </c>
      <c r="K170" s="42">
        <f>_xlfn.XLOOKUP(Table3[[#This Row],[instant]],Table2[instant],Table2[casual], ,0,1)</f>
        <v>1</v>
      </c>
      <c r="L170" s="42">
        <f>_xlfn.XLOOKUP(Table3[[#This Row],[instant]],Table2[instant],Table2[registered], ,0,1)</f>
        <v>8</v>
      </c>
      <c r="M170" s="46">
        <f>_xlfn.XLOOKUP(Table3[[#This Row],[instant]],Table2[instant],Table2[cnt], ,0,1)</f>
        <v>9</v>
      </c>
      <c r="N170" s="42" t="str">
        <f>IF(OR(Table3[[#This Row],[weekday]]=0,Table3[[#This Row],[weekday]]=6),"Weekend","Weekday")</f>
        <v>Weekend</v>
      </c>
    </row>
    <row r="171" spans="1:14" ht="15" thickBot="1" x14ac:dyDescent="0.35">
      <c r="A171" s="1">
        <v>170</v>
      </c>
      <c r="B171" s="3">
        <f>_xlfn.XLOOKUP(Table3[[#This Row],[instant]],DatSet1!A171:A780,DatSet1!B171:B780,_xlfn.XLOOKUP(Table3[[#This Row],[instant]],'Final Data'!A171:A560,'Final Data'!B171:B560, ,0,1),0,1)</f>
        <v>40551</v>
      </c>
      <c r="C171" s="1">
        <f>_xlfn.XLOOKUP(Table3[[#This Row],[instant]],Table1[instant],Table1[hr], ,0,1)</f>
        <v>8</v>
      </c>
      <c r="D171" s="2" t="b">
        <f>_xlfn.XLOOKUP(Table3[[#This Row],[instant]],Table1[instant],Table1[holiday], ,0,1)</f>
        <v>0</v>
      </c>
      <c r="E171" s="2">
        <f>_xlfn.XLOOKUP(Table3[[#This Row],[instant]],Table1[instant],Table1[weekday], ,0,1)</f>
        <v>6</v>
      </c>
      <c r="F171" s="2">
        <f>_xlfn.XLOOKUP(Table3[[#This Row],[instant]],Table1[instant],Table1[weathersit], ,0,1)</f>
        <v>3</v>
      </c>
      <c r="G171" s="2">
        <f>_xlfn.XLOOKUP(Table3[[#This Row],[instant]],Table1[instant],Table1[temp], ,0,1)</f>
        <v>0.16</v>
      </c>
      <c r="H171" s="24">
        <f>_xlfn.XLOOKUP(Table3[[#This Row],[instant]],Table2[instant],Table2[atemp], ,0,1)</f>
        <v>0.18179999999999999</v>
      </c>
      <c r="I171" s="1">
        <f>_xlfn.XLOOKUP(Table3[[#This Row],[instant]],Table2[instant],Table2[hum], ,0,1)</f>
        <v>0.93</v>
      </c>
      <c r="J171" s="1">
        <f>_xlfn.XLOOKUP(Table3[[#This Row],[instant]],Table2[instant],Table2[windspeed], ,0,1)</f>
        <v>0.1045</v>
      </c>
      <c r="K171" s="1">
        <f>_xlfn.XLOOKUP(Table3[[#This Row],[instant]],Table2[instant],Table2[casual], ,0,1)</f>
        <v>0</v>
      </c>
      <c r="L171" s="1">
        <f>_xlfn.XLOOKUP(Table3[[#This Row],[instant]],Table2[instant],Table2[registered], ,0,1)</f>
        <v>15</v>
      </c>
      <c r="M171" s="6">
        <f>_xlfn.XLOOKUP(Table3[[#This Row],[instant]],Table2[instant],Table2[cnt], ,0,1)</f>
        <v>15</v>
      </c>
      <c r="N171" s="1" t="str">
        <f>IF(OR(Table3[[#This Row],[weekday]]=0,Table3[[#This Row],[weekday]]=6),"Weekend","Weekday")</f>
        <v>Weekend</v>
      </c>
    </row>
    <row r="172" spans="1:14" ht="15" thickBot="1" x14ac:dyDescent="0.35">
      <c r="A172" s="42">
        <v>171</v>
      </c>
      <c r="B172" s="43">
        <f>_xlfn.XLOOKUP(Table3[[#This Row],[instant]],DatSet1!A172:A781,DatSet1!B172:B781,_xlfn.XLOOKUP(Table3[[#This Row],[instant]],'Final Data'!A172:A561,'Final Data'!B172:B561, ,0,1),0,1)</f>
        <v>40551</v>
      </c>
      <c r="C172" s="42">
        <f>_xlfn.XLOOKUP(Table3[[#This Row],[instant]],Table1[instant],Table1[hr], ,0,1)</f>
        <v>9</v>
      </c>
      <c r="D172" s="44" t="b">
        <f>_xlfn.XLOOKUP(Table3[[#This Row],[instant]],Table1[instant],Table1[holiday], ,0,1)</f>
        <v>0</v>
      </c>
      <c r="E172" s="44">
        <f>_xlfn.XLOOKUP(Table3[[#This Row],[instant]],Table1[instant],Table1[weekday], ,0,1)</f>
        <v>6</v>
      </c>
      <c r="F172" s="44">
        <f>_xlfn.XLOOKUP(Table3[[#This Row],[instant]],Table1[instant],Table1[weathersit], ,0,1)</f>
        <v>3</v>
      </c>
      <c r="G172" s="44">
        <f>_xlfn.XLOOKUP(Table3[[#This Row],[instant]],Table1[instant],Table1[temp], ,0,1)</f>
        <v>0.16</v>
      </c>
      <c r="H172" s="45">
        <f>_xlfn.XLOOKUP(Table3[[#This Row],[instant]],Table2[instant],Table2[atemp], ,0,1)</f>
        <v>0.18179999999999999</v>
      </c>
      <c r="I172" s="42">
        <f>_xlfn.XLOOKUP(Table3[[#This Row],[instant]],Table2[instant],Table2[hum], ,0,1)</f>
        <v>0.93</v>
      </c>
      <c r="J172" s="42">
        <f>_xlfn.XLOOKUP(Table3[[#This Row],[instant]],Table2[instant],Table2[windspeed], ,0,1)</f>
        <v>0.1045</v>
      </c>
      <c r="K172" s="42">
        <f>_xlfn.XLOOKUP(Table3[[#This Row],[instant]],Table2[instant],Table2[casual], ,0,1)</f>
        <v>0</v>
      </c>
      <c r="L172" s="42">
        <f>_xlfn.XLOOKUP(Table3[[#This Row],[instant]],Table2[instant],Table2[registered], ,0,1)</f>
        <v>20</v>
      </c>
      <c r="M172" s="46">
        <f>_xlfn.XLOOKUP(Table3[[#This Row],[instant]],Table2[instant],Table2[cnt], ,0,1)</f>
        <v>20</v>
      </c>
      <c r="N172" s="42" t="str">
        <f>IF(OR(Table3[[#This Row],[weekday]]=0,Table3[[#This Row],[weekday]]=6),"Weekend","Weekday")</f>
        <v>Weekend</v>
      </c>
    </row>
    <row r="173" spans="1:14" ht="15" thickBot="1" x14ac:dyDescent="0.35">
      <c r="A173" s="1">
        <v>172</v>
      </c>
      <c r="B173" s="3">
        <f>_xlfn.XLOOKUP(Table3[[#This Row],[instant]],DatSet1!A173:A782,DatSet1!B173:B782,_xlfn.XLOOKUP(Table3[[#This Row],[instant]],'Final Data'!A173:A562,'Final Data'!B173:B562, ,0,1),0,1)</f>
        <v>40551</v>
      </c>
      <c r="C173" s="1">
        <f>_xlfn.XLOOKUP(Table3[[#This Row],[instant]],Table1[instant],Table1[hr], ,0,1)</f>
        <v>10</v>
      </c>
      <c r="D173" s="2" t="b">
        <f>_xlfn.XLOOKUP(Table3[[#This Row],[instant]],Table1[instant],Table1[holiday], ,0,1)</f>
        <v>0</v>
      </c>
      <c r="E173" s="2">
        <f>_xlfn.XLOOKUP(Table3[[#This Row],[instant]],Table1[instant],Table1[weekday], ,0,1)</f>
        <v>6</v>
      </c>
      <c r="F173" s="2">
        <f>_xlfn.XLOOKUP(Table3[[#This Row],[instant]],Table1[instant],Table1[weathersit], ,0,1)</f>
        <v>2</v>
      </c>
      <c r="G173" s="2">
        <f>_xlfn.XLOOKUP(Table3[[#This Row],[instant]],Table1[instant],Table1[temp], ,0,1)</f>
        <v>0.18</v>
      </c>
      <c r="H173" s="24">
        <f>_xlfn.XLOOKUP(Table3[[#This Row],[instant]],Table2[instant],Table2[atemp], ,0,1)</f>
        <v>0.19700000000000001</v>
      </c>
      <c r="I173" s="1">
        <f>_xlfn.XLOOKUP(Table3[[#This Row],[instant]],Table2[instant],Table2[hum], ,0,1)</f>
        <v>0.8</v>
      </c>
      <c r="J173" s="1">
        <f>_xlfn.XLOOKUP(Table3[[#This Row],[instant]],Table2[instant],Table2[windspeed], ,0,1)</f>
        <v>0.16420000000000001</v>
      </c>
      <c r="K173" s="1">
        <f>_xlfn.XLOOKUP(Table3[[#This Row],[instant]],Table2[instant],Table2[casual], ,0,1)</f>
        <v>5</v>
      </c>
      <c r="L173" s="1">
        <f>_xlfn.XLOOKUP(Table3[[#This Row],[instant]],Table2[instant],Table2[registered], ,0,1)</f>
        <v>56</v>
      </c>
      <c r="M173" s="6">
        <f>_xlfn.XLOOKUP(Table3[[#This Row],[instant]],Table2[instant],Table2[cnt], ,0,1)</f>
        <v>61</v>
      </c>
      <c r="N173" s="1" t="str">
        <f>IF(OR(Table3[[#This Row],[weekday]]=0,Table3[[#This Row],[weekday]]=6),"Weekend","Weekday")</f>
        <v>Weekend</v>
      </c>
    </row>
    <row r="174" spans="1:14" ht="15" thickBot="1" x14ac:dyDescent="0.35">
      <c r="A174" s="42">
        <v>173</v>
      </c>
      <c r="B174" s="43">
        <f>_xlfn.XLOOKUP(Table3[[#This Row],[instant]],DatSet1!A174:A783,DatSet1!B174:B783,_xlfn.XLOOKUP(Table3[[#This Row],[instant]],'Final Data'!A174:A563,'Final Data'!B174:B563, ,0,1),0,1)</f>
        <v>40551</v>
      </c>
      <c r="C174" s="42">
        <f>_xlfn.XLOOKUP(Table3[[#This Row],[instant]],Table1[instant],Table1[hr], ,0,1)</f>
        <v>11</v>
      </c>
      <c r="D174" s="44" t="b">
        <f>_xlfn.XLOOKUP(Table3[[#This Row],[instant]],Table1[instant],Table1[holiday], ,0,1)</f>
        <v>0</v>
      </c>
      <c r="E174" s="44">
        <f>_xlfn.XLOOKUP(Table3[[#This Row],[instant]],Table1[instant],Table1[weekday], ,0,1)</f>
        <v>6</v>
      </c>
      <c r="F174" s="44">
        <f>_xlfn.XLOOKUP(Table3[[#This Row],[instant]],Table1[instant],Table1[weathersit], ,0,1)</f>
        <v>2</v>
      </c>
      <c r="G174" s="44">
        <f>_xlfn.XLOOKUP(Table3[[#This Row],[instant]],Table1[instant],Table1[temp], ,0,1)</f>
        <v>0.2</v>
      </c>
      <c r="H174" s="45">
        <f>_xlfn.XLOOKUP(Table3[[#This Row],[instant]],Table2[instant],Table2[atemp], ,0,1)</f>
        <v>0.18179999999999999</v>
      </c>
      <c r="I174" s="42">
        <f>_xlfn.XLOOKUP(Table3[[#This Row],[instant]],Table2[instant],Table2[hum], ,0,1)</f>
        <v>0.69</v>
      </c>
      <c r="J174" s="42">
        <f>_xlfn.XLOOKUP(Table3[[#This Row],[instant]],Table2[instant],Table2[windspeed], ,0,1)</f>
        <v>0.3881</v>
      </c>
      <c r="K174" s="42">
        <f>_xlfn.XLOOKUP(Table3[[#This Row],[instant]],Table2[instant],Table2[casual], ,0,1)</f>
        <v>2</v>
      </c>
      <c r="L174" s="42">
        <f>_xlfn.XLOOKUP(Table3[[#This Row],[instant]],Table2[instant],Table2[registered], ,0,1)</f>
        <v>60</v>
      </c>
      <c r="M174" s="46">
        <f>_xlfn.XLOOKUP(Table3[[#This Row],[instant]],Table2[instant],Table2[cnt], ,0,1)</f>
        <v>62</v>
      </c>
      <c r="N174" s="42" t="str">
        <f>IF(OR(Table3[[#This Row],[weekday]]=0,Table3[[#This Row],[weekday]]=6),"Weekend","Weekday")</f>
        <v>Weekend</v>
      </c>
    </row>
    <row r="175" spans="1:14" ht="15" thickBot="1" x14ac:dyDescent="0.35">
      <c r="A175" s="1">
        <v>174</v>
      </c>
      <c r="B175" s="3">
        <f>_xlfn.XLOOKUP(Table3[[#This Row],[instant]],DatSet1!A175:A784,DatSet1!B175:B784,_xlfn.XLOOKUP(Table3[[#This Row],[instant]],'Final Data'!A175:A564,'Final Data'!B175:B564, ,0,1),0,1)</f>
        <v>40551</v>
      </c>
      <c r="C175" s="1">
        <f>_xlfn.XLOOKUP(Table3[[#This Row],[instant]],Table1[instant],Table1[hr], ,0,1)</f>
        <v>12</v>
      </c>
      <c r="D175" s="2" t="b">
        <f>_xlfn.XLOOKUP(Table3[[#This Row],[instant]],Table1[instant],Table1[holiday], ,0,1)</f>
        <v>0</v>
      </c>
      <c r="E175" s="2">
        <f>_xlfn.XLOOKUP(Table3[[#This Row],[instant]],Table1[instant],Table1[weekday], ,0,1)</f>
        <v>6</v>
      </c>
      <c r="F175" s="2">
        <f>_xlfn.XLOOKUP(Table3[[#This Row],[instant]],Table1[instant],Table1[weathersit], ,0,1)</f>
        <v>2</v>
      </c>
      <c r="G175" s="2">
        <f>_xlfn.XLOOKUP(Table3[[#This Row],[instant]],Table1[instant],Table1[temp], ,0,1)</f>
        <v>0.2</v>
      </c>
      <c r="H175" s="24">
        <f>_xlfn.XLOOKUP(Table3[[#This Row],[instant]],Table2[instant],Table2[atemp], ,0,1)</f>
        <v>0.18179999999999999</v>
      </c>
      <c r="I175" s="1">
        <f>_xlfn.XLOOKUP(Table3[[#This Row],[instant]],Table2[instant],Table2[hum], ,0,1)</f>
        <v>0.59</v>
      </c>
      <c r="J175" s="1">
        <f>_xlfn.XLOOKUP(Table3[[#This Row],[instant]],Table2[instant],Table2[windspeed], ,0,1)</f>
        <v>0.35820000000000002</v>
      </c>
      <c r="K175" s="1">
        <f>_xlfn.XLOOKUP(Table3[[#This Row],[instant]],Table2[instant],Table2[casual], ,0,1)</f>
        <v>8</v>
      </c>
      <c r="L175" s="1">
        <f>_xlfn.XLOOKUP(Table3[[#This Row],[instant]],Table2[instant],Table2[registered], ,0,1)</f>
        <v>90</v>
      </c>
      <c r="M175" s="6">
        <f>_xlfn.XLOOKUP(Table3[[#This Row],[instant]],Table2[instant],Table2[cnt], ,0,1)</f>
        <v>98</v>
      </c>
      <c r="N175" s="1" t="str">
        <f>IF(OR(Table3[[#This Row],[weekday]]=0,Table3[[#This Row],[weekday]]=6),"Weekend","Weekday")</f>
        <v>Weekend</v>
      </c>
    </row>
    <row r="176" spans="1:14" ht="15" thickBot="1" x14ac:dyDescent="0.35">
      <c r="A176" s="42">
        <v>175</v>
      </c>
      <c r="B176" s="43">
        <f>_xlfn.XLOOKUP(Table3[[#This Row],[instant]],DatSet1!A176:A785,DatSet1!B176:B785,_xlfn.XLOOKUP(Table3[[#This Row],[instant]],'Final Data'!A176:A565,'Final Data'!B176:B565, ,0,1),0,1)</f>
        <v>40551</v>
      </c>
      <c r="C176" s="42">
        <f>_xlfn.XLOOKUP(Table3[[#This Row],[instant]],Table1[instant],Table1[hr], ,0,1)</f>
        <v>13</v>
      </c>
      <c r="D176" s="44" t="b">
        <f>_xlfn.XLOOKUP(Table3[[#This Row],[instant]],Table1[instant],Table1[holiday], ,0,1)</f>
        <v>0</v>
      </c>
      <c r="E176" s="44">
        <f>_xlfn.XLOOKUP(Table3[[#This Row],[instant]],Table1[instant],Table1[weekday], ,0,1)</f>
        <v>6</v>
      </c>
      <c r="F176" s="44">
        <f>_xlfn.XLOOKUP(Table3[[#This Row],[instant]],Table1[instant],Table1[weathersit], ,0,1)</f>
        <v>1</v>
      </c>
      <c r="G176" s="44">
        <f>_xlfn.XLOOKUP(Table3[[#This Row],[instant]],Table1[instant],Table1[temp], ,0,1)</f>
        <v>0.2</v>
      </c>
      <c r="H176" s="45">
        <f>_xlfn.XLOOKUP(Table3[[#This Row],[instant]],Table2[instant],Table2[atemp], ,0,1)</f>
        <v>0.18179999999999999</v>
      </c>
      <c r="I176" s="42">
        <f>_xlfn.XLOOKUP(Table3[[#This Row],[instant]],Table2[instant],Table2[hum], ,0,1)</f>
        <v>0.44</v>
      </c>
      <c r="J176" s="42">
        <f>_xlfn.XLOOKUP(Table3[[#This Row],[instant]],Table2[instant],Table2[windspeed], ,0,1)</f>
        <v>0.32840000000000003</v>
      </c>
      <c r="K176" s="42">
        <f>_xlfn.XLOOKUP(Table3[[#This Row],[instant]],Table2[instant],Table2[casual], ,0,1)</f>
        <v>7</v>
      </c>
      <c r="L176" s="42">
        <f>_xlfn.XLOOKUP(Table3[[#This Row],[instant]],Table2[instant],Table2[registered], ,0,1)</f>
        <v>95</v>
      </c>
      <c r="M176" s="46">
        <f>_xlfn.XLOOKUP(Table3[[#This Row],[instant]],Table2[instant],Table2[cnt], ,0,1)</f>
        <v>102</v>
      </c>
      <c r="N176" s="42" t="str">
        <f>IF(OR(Table3[[#This Row],[weekday]]=0,Table3[[#This Row],[weekday]]=6),"Weekend","Weekday")</f>
        <v>Weekend</v>
      </c>
    </row>
    <row r="177" spans="1:14" ht="15" thickBot="1" x14ac:dyDescent="0.35">
      <c r="A177" s="1">
        <v>176</v>
      </c>
      <c r="B177" s="3">
        <f>_xlfn.XLOOKUP(Table3[[#This Row],[instant]],DatSet1!A177:A786,DatSet1!B177:B786,_xlfn.XLOOKUP(Table3[[#This Row],[instant]],'Final Data'!A177:A566,'Final Data'!B177:B566, ,0,1),0,1)</f>
        <v>40551</v>
      </c>
      <c r="C177" s="1">
        <f>_xlfn.XLOOKUP(Table3[[#This Row],[instant]],Table1[instant],Table1[hr], ,0,1)</f>
        <v>14</v>
      </c>
      <c r="D177" s="2" t="b">
        <f>_xlfn.XLOOKUP(Table3[[#This Row],[instant]],Table1[instant],Table1[holiday], ,0,1)</f>
        <v>0</v>
      </c>
      <c r="E177" s="2">
        <f>_xlfn.XLOOKUP(Table3[[#This Row],[instant]],Table1[instant],Table1[weekday], ,0,1)</f>
        <v>6</v>
      </c>
      <c r="F177" s="2">
        <f>_xlfn.XLOOKUP(Table3[[#This Row],[instant]],Table1[instant],Table1[weathersit], ,0,1)</f>
        <v>1</v>
      </c>
      <c r="G177" s="2">
        <f>_xlfn.XLOOKUP(Table3[[#This Row],[instant]],Table1[instant],Table1[temp], ,0,1)</f>
        <v>0.2</v>
      </c>
      <c r="H177" s="24">
        <f>_xlfn.XLOOKUP(Table3[[#This Row],[instant]],Table2[instant],Table2[atemp], ,0,1)</f>
        <v>0.16669999999999999</v>
      </c>
      <c r="I177" s="1">
        <f>_xlfn.XLOOKUP(Table3[[#This Row],[instant]],Table2[instant],Table2[hum], ,0,1)</f>
        <v>0.32</v>
      </c>
      <c r="J177" s="1">
        <f>_xlfn.XLOOKUP(Table3[[#This Row],[instant]],Table2[instant],Table2[windspeed], ,0,1)</f>
        <v>0.49249999999999999</v>
      </c>
      <c r="K177" s="1">
        <f>_xlfn.XLOOKUP(Table3[[#This Row],[instant]],Table2[instant],Table2[casual], ,0,1)</f>
        <v>12</v>
      </c>
      <c r="L177" s="1">
        <f>_xlfn.XLOOKUP(Table3[[#This Row],[instant]],Table2[instant],Table2[registered], ,0,1)</f>
        <v>83</v>
      </c>
      <c r="M177" s="6">
        <f>_xlfn.XLOOKUP(Table3[[#This Row],[instant]],Table2[instant],Table2[cnt], ,0,1)</f>
        <v>95</v>
      </c>
      <c r="N177" s="1" t="str">
        <f>IF(OR(Table3[[#This Row],[weekday]]=0,Table3[[#This Row],[weekday]]=6),"Weekend","Weekday")</f>
        <v>Weekend</v>
      </c>
    </row>
    <row r="178" spans="1:14" ht="15" thickBot="1" x14ac:dyDescent="0.35">
      <c r="A178" s="42">
        <v>177</v>
      </c>
      <c r="B178" s="43">
        <f>_xlfn.XLOOKUP(Table3[[#This Row],[instant]],DatSet1!A178:A787,DatSet1!B178:B787,_xlfn.XLOOKUP(Table3[[#This Row],[instant]],'Final Data'!A178:A567,'Final Data'!B178:B567, ,0,1),0,1)</f>
        <v>40551</v>
      </c>
      <c r="C178" s="42">
        <f>_xlfn.XLOOKUP(Table3[[#This Row],[instant]],Table1[instant],Table1[hr], ,0,1)</f>
        <v>15</v>
      </c>
      <c r="D178" s="44" t="b">
        <f>_xlfn.XLOOKUP(Table3[[#This Row],[instant]],Table1[instant],Table1[holiday], ,0,1)</f>
        <v>0</v>
      </c>
      <c r="E178" s="44">
        <f>_xlfn.XLOOKUP(Table3[[#This Row],[instant]],Table1[instant],Table1[weekday], ,0,1)</f>
        <v>6</v>
      </c>
      <c r="F178" s="44">
        <f>_xlfn.XLOOKUP(Table3[[#This Row],[instant]],Table1[instant],Table1[weathersit], ,0,1)</f>
        <v>1</v>
      </c>
      <c r="G178" s="44">
        <f>_xlfn.XLOOKUP(Table3[[#This Row],[instant]],Table1[instant],Table1[temp], ,0,1)</f>
        <v>0.2</v>
      </c>
      <c r="H178" s="45">
        <f>_xlfn.XLOOKUP(Table3[[#This Row],[instant]],Table2[instant],Table2[atemp], ,0,1)</f>
        <v>0.16669999999999999</v>
      </c>
      <c r="I178" s="42">
        <f>_xlfn.XLOOKUP(Table3[[#This Row],[instant]],Table2[instant],Table2[hum], ,0,1)</f>
        <v>0.32</v>
      </c>
      <c r="J178" s="42">
        <f>_xlfn.XLOOKUP(Table3[[#This Row],[instant]],Table2[instant],Table2[windspeed], ,0,1)</f>
        <v>0.44779999999999998</v>
      </c>
      <c r="K178" s="42">
        <f>_xlfn.XLOOKUP(Table3[[#This Row],[instant]],Table2[instant],Table2[casual], ,0,1)</f>
        <v>5</v>
      </c>
      <c r="L178" s="42">
        <f>_xlfn.XLOOKUP(Table3[[#This Row],[instant]],Table2[instant],Table2[registered], ,0,1)</f>
        <v>69</v>
      </c>
      <c r="M178" s="46">
        <f>_xlfn.XLOOKUP(Table3[[#This Row],[instant]],Table2[instant],Table2[cnt], ,0,1)</f>
        <v>74</v>
      </c>
      <c r="N178" s="42" t="str">
        <f>IF(OR(Table3[[#This Row],[weekday]]=0,Table3[[#This Row],[weekday]]=6),"Weekend","Weekday")</f>
        <v>Weekend</v>
      </c>
    </row>
    <row r="179" spans="1:14" ht="15" thickBot="1" x14ac:dyDescent="0.35">
      <c r="A179" s="1">
        <v>178</v>
      </c>
      <c r="B179" s="3">
        <f>_xlfn.XLOOKUP(Table3[[#This Row],[instant]],DatSet1!A179:A788,DatSet1!B179:B788,_xlfn.XLOOKUP(Table3[[#This Row],[instant]],'Final Data'!A179:A568,'Final Data'!B179:B568, ,0,1),0,1)</f>
        <v>40551</v>
      </c>
      <c r="C179" s="1">
        <f>_xlfn.XLOOKUP(Table3[[#This Row],[instant]],Table1[instant],Table1[hr], ,0,1)</f>
        <v>16</v>
      </c>
      <c r="D179" s="2" t="b">
        <f>_xlfn.XLOOKUP(Table3[[#This Row],[instant]],Table1[instant],Table1[holiday], ,0,1)</f>
        <v>0</v>
      </c>
      <c r="E179" s="2">
        <f>_xlfn.XLOOKUP(Table3[[#This Row],[instant]],Table1[instant],Table1[weekday], ,0,1)</f>
        <v>6</v>
      </c>
      <c r="F179" s="2">
        <f>_xlfn.XLOOKUP(Table3[[#This Row],[instant]],Table1[instant],Table1[weathersit], ,0,1)</f>
        <v>1</v>
      </c>
      <c r="G179" s="2">
        <f>_xlfn.XLOOKUP(Table3[[#This Row],[instant]],Table1[instant],Table1[temp], ,0,1)</f>
        <v>0.18</v>
      </c>
      <c r="H179" s="24">
        <f>_xlfn.XLOOKUP(Table3[[#This Row],[instant]],Table2[instant],Table2[atemp], ,0,1)</f>
        <v>0.13639999999999999</v>
      </c>
      <c r="I179" s="1">
        <f>_xlfn.XLOOKUP(Table3[[#This Row],[instant]],Table2[instant],Table2[hum], ,0,1)</f>
        <v>0.28999999999999998</v>
      </c>
      <c r="J179" s="1">
        <f>_xlfn.XLOOKUP(Table3[[#This Row],[instant]],Table2[instant],Table2[windspeed], ,0,1)</f>
        <v>0.44779999999999998</v>
      </c>
      <c r="K179" s="1">
        <f>_xlfn.XLOOKUP(Table3[[#This Row],[instant]],Table2[instant],Table2[casual], ,0,1)</f>
        <v>8</v>
      </c>
      <c r="L179" s="1">
        <f>_xlfn.XLOOKUP(Table3[[#This Row],[instant]],Table2[instant],Table2[registered], ,0,1)</f>
        <v>68</v>
      </c>
      <c r="M179" s="6">
        <f>_xlfn.XLOOKUP(Table3[[#This Row],[instant]],Table2[instant],Table2[cnt], ,0,1)</f>
        <v>76</v>
      </c>
      <c r="N179" s="1" t="str">
        <f>IF(OR(Table3[[#This Row],[weekday]]=0,Table3[[#This Row],[weekday]]=6),"Weekend","Weekday")</f>
        <v>Weekend</v>
      </c>
    </row>
    <row r="180" spans="1:14" ht="15" thickBot="1" x14ac:dyDescent="0.35">
      <c r="A180" s="42">
        <v>179</v>
      </c>
      <c r="B180" s="43">
        <f>_xlfn.XLOOKUP(Table3[[#This Row],[instant]],DatSet1!A180:A789,DatSet1!B180:B789,_xlfn.XLOOKUP(Table3[[#This Row],[instant]],'Final Data'!A180:A569,'Final Data'!B180:B569, ,0,1),0,1)</f>
        <v>40551</v>
      </c>
      <c r="C180" s="42">
        <f>_xlfn.XLOOKUP(Table3[[#This Row],[instant]],Table1[instant],Table1[hr], ,0,1)</f>
        <v>17</v>
      </c>
      <c r="D180" s="44" t="b">
        <f>_xlfn.XLOOKUP(Table3[[#This Row],[instant]],Table1[instant],Table1[holiday], ,0,1)</f>
        <v>0</v>
      </c>
      <c r="E180" s="44">
        <f>_xlfn.XLOOKUP(Table3[[#This Row],[instant]],Table1[instant],Table1[weekday], ,0,1)</f>
        <v>6</v>
      </c>
      <c r="F180" s="44">
        <f>_xlfn.XLOOKUP(Table3[[#This Row],[instant]],Table1[instant],Table1[weathersit], ,0,1)</f>
        <v>1</v>
      </c>
      <c r="G180" s="44">
        <f>_xlfn.XLOOKUP(Table3[[#This Row],[instant]],Table1[instant],Table1[temp], ,0,1)</f>
        <v>0.16</v>
      </c>
      <c r="H180" s="45">
        <f>_xlfn.XLOOKUP(Table3[[#This Row],[instant]],Table2[instant],Table2[atemp], ,0,1)</f>
        <v>0.1212</v>
      </c>
      <c r="I180" s="42">
        <f>_xlfn.XLOOKUP(Table3[[#This Row],[instant]],Table2[instant],Table2[hum], ,0,1)</f>
        <v>0.37</v>
      </c>
      <c r="J180" s="42">
        <f>_xlfn.XLOOKUP(Table3[[#This Row],[instant]],Table2[instant],Table2[windspeed], ,0,1)</f>
        <v>0.55220000000000002</v>
      </c>
      <c r="K180" s="42">
        <f>_xlfn.XLOOKUP(Table3[[#This Row],[instant]],Table2[instant],Table2[casual], ,0,1)</f>
        <v>5</v>
      </c>
      <c r="L180" s="42">
        <f>_xlfn.XLOOKUP(Table3[[#This Row],[instant]],Table2[instant],Table2[registered], ,0,1)</f>
        <v>64</v>
      </c>
      <c r="M180" s="46">
        <f>_xlfn.XLOOKUP(Table3[[#This Row],[instant]],Table2[instant],Table2[cnt], ,0,1)</f>
        <v>69</v>
      </c>
      <c r="N180" s="42" t="str">
        <f>IF(OR(Table3[[#This Row],[weekday]]=0,Table3[[#This Row],[weekday]]=6),"Weekend","Weekday")</f>
        <v>Weekend</v>
      </c>
    </row>
    <row r="181" spans="1:14" ht="15" thickBot="1" x14ac:dyDescent="0.35">
      <c r="A181" s="1">
        <v>180</v>
      </c>
      <c r="B181" s="3">
        <f>_xlfn.XLOOKUP(Table3[[#This Row],[instant]],DatSet1!A181:A790,DatSet1!B181:B790,_xlfn.XLOOKUP(Table3[[#This Row],[instant]],'Final Data'!A181:A570,'Final Data'!B181:B570, ,0,1),0,1)</f>
        <v>40551</v>
      </c>
      <c r="C181" s="1">
        <f>_xlfn.XLOOKUP(Table3[[#This Row],[instant]],Table1[instant],Table1[hr], ,0,1)</f>
        <v>18</v>
      </c>
      <c r="D181" s="2" t="b">
        <f>_xlfn.XLOOKUP(Table3[[#This Row],[instant]],Table1[instant],Table1[holiday], ,0,1)</f>
        <v>0</v>
      </c>
      <c r="E181" s="2">
        <f>_xlfn.XLOOKUP(Table3[[#This Row],[instant]],Table1[instant],Table1[weekday], ,0,1)</f>
        <v>6</v>
      </c>
      <c r="F181" s="2">
        <f>_xlfn.XLOOKUP(Table3[[#This Row],[instant]],Table1[instant],Table1[weathersit], ,0,1)</f>
        <v>1</v>
      </c>
      <c r="G181" s="2">
        <f>_xlfn.XLOOKUP(Table3[[#This Row],[instant]],Table1[instant],Table1[temp], ,0,1)</f>
        <v>0.14000000000000001</v>
      </c>
      <c r="H181" s="24">
        <f>_xlfn.XLOOKUP(Table3[[#This Row],[instant]],Table2[instant],Table2[atemp], ,0,1)</f>
        <v>0.1212</v>
      </c>
      <c r="I181" s="1">
        <f>_xlfn.XLOOKUP(Table3[[#This Row],[instant]],Table2[instant],Table2[hum], ,0,1)</f>
        <v>0.39</v>
      </c>
      <c r="J181" s="1">
        <f>_xlfn.XLOOKUP(Table3[[#This Row],[instant]],Table2[instant],Table2[windspeed], ,0,1)</f>
        <v>0.29849999999999999</v>
      </c>
      <c r="K181" s="1">
        <f>_xlfn.XLOOKUP(Table3[[#This Row],[instant]],Table2[instant],Table2[casual], ,0,1)</f>
        <v>3</v>
      </c>
      <c r="L181" s="1">
        <f>_xlfn.XLOOKUP(Table3[[#This Row],[instant]],Table2[instant],Table2[registered], ,0,1)</f>
        <v>52</v>
      </c>
      <c r="M181" s="6">
        <f>_xlfn.XLOOKUP(Table3[[#This Row],[instant]],Table2[instant],Table2[cnt], ,0,1)</f>
        <v>55</v>
      </c>
      <c r="N181" s="1" t="str">
        <f>IF(OR(Table3[[#This Row],[weekday]]=0,Table3[[#This Row],[weekday]]=6),"Weekend","Weekday")</f>
        <v>Weekend</v>
      </c>
    </row>
    <row r="182" spans="1:14" ht="15" thickBot="1" x14ac:dyDescent="0.35">
      <c r="A182" s="42">
        <v>181</v>
      </c>
      <c r="B182" s="43">
        <f>_xlfn.XLOOKUP(Table3[[#This Row],[instant]],DatSet1!A182:A791,DatSet1!B182:B791,_xlfn.XLOOKUP(Table3[[#This Row],[instant]],'Final Data'!A182:A571,'Final Data'!B182:B571, ,0,1),0,1)</f>
        <v>40551</v>
      </c>
      <c r="C182" s="42">
        <f>_xlfn.XLOOKUP(Table3[[#This Row],[instant]],Table1[instant],Table1[hr], ,0,1)</f>
        <v>19</v>
      </c>
      <c r="D182" s="44" t="b">
        <f>_xlfn.XLOOKUP(Table3[[#This Row],[instant]],Table1[instant],Table1[holiday], ,0,1)</f>
        <v>0</v>
      </c>
      <c r="E182" s="44">
        <f>_xlfn.XLOOKUP(Table3[[#This Row],[instant]],Table1[instant],Table1[weekday], ,0,1)</f>
        <v>6</v>
      </c>
      <c r="F182" s="44">
        <f>_xlfn.XLOOKUP(Table3[[#This Row],[instant]],Table1[instant],Table1[weathersit], ,0,1)</f>
        <v>1</v>
      </c>
      <c r="G182" s="44">
        <f>_xlfn.XLOOKUP(Table3[[#This Row],[instant]],Table1[instant],Table1[temp], ,0,1)</f>
        <v>0.14000000000000001</v>
      </c>
      <c r="H182" s="45">
        <f>_xlfn.XLOOKUP(Table3[[#This Row],[instant]],Table2[instant],Table2[atemp], ,0,1)</f>
        <v>0.1212</v>
      </c>
      <c r="I182" s="42">
        <f>_xlfn.XLOOKUP(Table3[[#This Row],[instant]],Table2[instant],Table2[hum], ,0,1)</f>
        <v>0.36</v>
      </c>
      <c r="J182" s="42">
        <f>_xlfn.XLOOKUP(Table3[[#This Row],[instant]],Table2[instant],Table2[windspeed], ,0,1)</f>
        <v>0.25369999999999998</v>
      </c>
      <c r="K182" s="42">
        <f>_xlfn.XLOOKUP(Table3[[#This Row],[instant]],Table2[instant],Table2[casual], ,0,1)</f>
        <v>4</v>
      </c>
      <c r="L182" s="42">
        <f>_xlfn.XLOOKUP(Table3[[#This Row],[instant]],Table2[instant],Table2[registered], ,0,1)</f>
        <v>26</v>
      </c>
      <c r="M182" s="46">
        <f>_xlfn.XLOOKUP(Table3[[#This Row],[instant]],Table2[instant],Table2[cnt], ,0,1)</f>
        <v>30</v>
      </c>
      <c r="N182" s="42" t="str">
        <f>IF(OR(Table3[[#This Row],[weekday]]=0,Table3[[#This Row],[weekday]]=6),"Weekend","Weekday")</f>
        <v>Weekend</v>
      </c>
    </row>
    <row r="183" spans="1:14" ht="15" thickBot="1" x14ac:dyDescent="0.35">
      <c r="A183" s="1">
        <v>182</v>
      </c>
      <c r="B183" s="3">
        <f>_xlfn.XLOOKUP(Table3[[#This Row],[instant]],DatSet1!A183:A792,DatSet1!B183:B792,_xlfn.XLOOKUP(Table3[[#This Row],[instant]],'Final Data'!A183:A572,'Final Data'!B183:B572, ,0,1),0,1)</f>
        <v>40551</v>
      </c>
      <c r="C183" s="1">
        <f>_xlfn.XLOOKUP(Table3[[#This Row],[instant]],Table1[instant],Table1[hr], ,0,1)</f>
        <v>20</v>
      </c>
      <c r="D183" s="2" t="b">
        <f>_xlfn.XLOOKUP(Table3[[#This Row],[instant]],Table1[instant],Table1[holiday], ,0,1)</f>
        <v>0</v>
      </c>
      <c r="E183" s="2">
        <f>_xlfn.XLOOKUP(Table3[[#This Row],[instant]],Table1[instant],Table1[weekday], ,0,1)</f>
        <v>6</v>
      </c>
      <c r="F183" s="2">
        <f>_xlfn.XLOOKUP(Table3[[#This Row],[instant]],Table1[instant],Table1[weathersit], ,0,1)</f>
        <v>1</v>
      </c>
      <c r="G183" s="2">
        <f>_xlfn.XLOOKUP(Table3[[#This Row],[instant]],Table1[instant],Table1[temp], ,0,1)</f>
        <v>0.12</v>
      </c>
      <c r="H183" s="24">
        <f>_xlfn.XLOOKUP(Table3[[#This Row],[instant]],Table2[instant],Table2[atemp], ,0,1)</f>
        <v>0.1212</v>
      </c>
      <c r="I183" s="1">
        <f>_xlfn.XLOOKUP(Table3[[#This Row],[instant]],Table2[instant],Table2[hum], ,0,1)</f>
        <v>0.36</v>
      </c>
      <c r="J183" s="1">
        <f>_xlfn.XLOOKUP(Table3[[#This Row],[instant]],Table2[instant],Table2[windspeed], ,0,1)</f>
        <v>0.25369999999999998</v>
      </c>
      <c r="K183" s="1">
        <f>_xlfn.XLOOKUP(Table3[[#This Row],[instant]],Table2[instant],Table2[casual], ,0,1)</f>
        <v>0</v>
      </c>
      <c r="L183" s="1">
        <f>_xlfn.XLOOKUP(Table3[[#This Row],[instant]],Table2[instant],Table2[registered], ,0,1)</f>
        <v>28</v>
      </c>
      <c r="M183" s="6">
        <f>_xlfn.XLOOKUP(Table3[[#This Row],[instant]],Table2[instant],Table2[cnt], ,0,1)</f>
        <v>28</v>
      </c>
      <c r="N183" s="1" t="str">
        <f>IF(OR(Table3[[#This Row],[weekday]]=0,Table3[[#This Row],[weekday]]=6),"Weekend","Weekday")</f>
        <v>Weekend</v>
      </c>
    </row>
    <row r="184" spans="1:14" ht="15" thickBot="1" x14ac:dyDescent="0.35">
      <c r="A184" s="42">
        <v>183</v>
      </c>
      <c r="B184" s="43">
        <f>_xlfn.XLOOKUP(Table3[[#This Row],[instant]],DatSet1!A184:A793,DatSet1!B184:B793,_xlfn.XLOOKUP(Table3[[#This Row],[instant]],'Final Data'!A184:A573,'Final Data'!B184:B573, ,0,1),0,1)</f>
        <v>40551</v>
      </c>
      <c r="C184" s="42">
        <f>_xlfn.XLOOKUP(Table3[[#This Row],[instant]],Table1[instant],Table1[hr], ,0,1)</f>
        <v>21</v>
      </c>
      <c r="D184" s="44" t="b">
        <f>_xlfn.XLOOKUP(Table3[[#This Row],[instant]],Table1[instant],Table1[holiday], ,0,1)</f>
        <v>0</v>
      </c>
      <c r="E184" s="44">
        <f>_xlfn.XLOOKUP(Table3[[#This Row],[instant]],Table1[instant],Table1[weekday], ,0,1)</f>
        <v>6</v>
      </c>
      <c r="F184" s="44">
        <f>_xlfn.XLOOKUP(Table3[[#This Row],[instant]],Table1[instant],Table1[weathersit], ,0,1)</f>
        <v>1</v>
      </c>
      <c r="G184" s="44">
        <f>_xlfn.XLOOKUP(Table3[[#This Row],[instant]],Table1[instant],Table1[temp], ,0,1)</f>
        <v>0.12</v>
      </c>
      <c r="H184" s="45">
        <f>_xlfn.XLOOKUP(Table3[[#This Row],[instant]],Table2[instant],Table2[atemp], ,0,1)</f>
        <v>0.1061</v>
      </c>
      <c r="I184" s="42">
        <f>_xlfn.XLOOKUP(Table3[[#This Row],[instant]],Table2[instant],Table2[hum], ,0,1)</f>
        <v>0.39</v>
      </c>
      <c r="J184" s="42">
        <f>_xlfn.XLOOKUP(Table3[[#This Row],[instant]],Table2[instant],Table2[windspeed], ,0,1)</f>
        <v>0.35820000000000002</v>
      </c>
      <c r="K184" s="42">
        <f>_xlfn.XLOOKUP(Table3[[#This Row],[instant]],Table2[instant],Table2[casual], ,0,1)</f>
        <v>2</v>
      </c>
      <c r="L184" s="42">
        <f>_xlfn.XLOOKUP(Table3[[#This Row],[instant]],Table2[instant],Table2[registered], ,0,1)</f>
        <v>35</v>
      </c>
      <c r="M184" s="46">
        <f>_xlfn.XLOOKUP(Table3[[#This Row],[instant]],Table2[instant],Table2[cnt], ,0,1)</f>
        <v>37</v>
      </c>
      <c r="N184" s="42" t="str">
        <f>IF(OR(Table3[[#This Row],[weekday]]=0,Table3[[#This Row],[weekday]]=6),"Weekend","Weekday")</f>
        <v>Weekend</v>
      </c>
    </row>
    <row r="185" spans="1:14" ht="15" thickBot="1" x14ac:dyDescent="0.35">
      <c r="A185" s="1">
        <v>184</v>
      </c>
      <c r="B185" s="3">
        <f>_xlfn.XLOOKUP(Table3[[#This Row],[instant]],DatSet1!A185:A794,DatSet1!B185:B794,_xlfn.XLOOKUP(Table3[[#This Row],[instant]],'Final Data'!A185:A574,'Final Data'!B185:B574, ,0,1),0,1)</f>
        <v>40551</v>
      </c>
      <c r="C185" s="1">
        <f>_xlfn.XLOOKUP(Table3[[#This Row],[instant]],Table1[instant],Table1[hr], ,0,1)</f>
        <v>22</v>
      </c>
      <c r="D185" s="2" t="b">
        <f>_xlfn.XLOOKUP(Table3[[#This Row],[instant]],Table1[instant],Table1[holiday], ,0,1)</f>
        <v>0</v>
      </c>
      <c r="E185" s="2">
        <f>_xlfn.XLOOKUP(Table3[[#This Row],[instant]],Table1[instant],Table1[weekday], ,0,1)</f>
        <v>6</v>
      </c>
      <c r="F185" s="2">
        <f>_xlfn.XLOOKUP(Table3[[#This Row],[instant]],Table1[instant],Table1[weathersit], ,0,1)</f>
        <v>1</v>
      </c>
      <c r="G185" s="2">
        <f>_xlfn.XLOOKUP(Table3[[#This Row],[instant]],Table1[instant],Table1[temp], ,0,1)</f>
        <v>0.12</v>
      </c>
      <c r="H185" s="24">
        <f>_xlfn.XLOOKUP(Table3[[#This Row],[instant]],Table2[instant],Table2[atemp], ,0,1)</f>
        <v>0.1061</v>
      </c>
      <c r="I185" s="1">
        <f>_xlfn.XLOOKUP(Table3[[#This Row],[instant]],Table2[instant],Table2[hum], ,0,1)</f>
        <v>0.36</v>
      </c>
      <c r="J185" s="1">
        <f>_xlfn.XLOOKUP(Table3[[#This Row],[instant]],Table2[instant],Table2[windspeed], ,0,1)</f>
        <v>0.3881</v>
      </c>
      <c r="K185" s="1">
        <f>_xlfn.XLOOKUP(Table3[[#This Row],[instant]],Table2[instant],Table2[casual], ,0,1)</f>
        <v>1</v>
      </c>
      <c r="L185" s="1">
        <f>_xlfn.XLOOKUP(Table3[[#This Row],[instant]],Table2[instant],Table2[registered], ,0,1)</f>
        <v>33</v>
      </c>
      <c r="M185" s="6">
        <f>_xlfn.XLOOKUP(Table3[[#This Row],[instant]],Table2[instant],Table2[cnt], ,0,1)</f>
        <v>34</v>
      </c>
      <c r="N185" s="1" t="str">
        <f>IF(OR(Table3[[#This Row],[weekday]]=0,Table3[[#This Row],[weekday]]=6),"Weekend","Weekday")</f>
        <v>Weekend</v>
      </c>
    </row>
    <row r="186" spans="1:14" ht="15" thickBot="1" x14ac:dyDescent="0.35">
      <c r="A186" s="42">
        <v>185</v>
      </c>
      <c r="B186" s="43">
        <f>_xlfn.XLOOKUP(Table3[[#This Row],[instant]],DatSet1!A186:A795,DatSet1!B186:B795,_xlfn.XLOOKUP(Table3[[#This Row],[instant]],'Final Data'!A186:A575,'Final Data'!B186:B575, ,0,1),0,1)</f>
        <v>40551</v>
      </c>
      <c r="C186" s="42">
        <f>_xlfn.XLOOKUP(Table3[[#This Row],[instant]],Table1[instant],Table1[hr], ,0,1)</f>
        <v>23</v>
      </c>
      <c r="D186" s="44" t="b">
        <f>_xlfn.XLOOKUP(Table3[[#This Row],[instant]],Table1[instant],Table1[holiday], ,0,1)</f>
        <v>0</v>
      </c>
      <c r="E186" s="44">
        <f>_xlfn.XLOOKUP(Table3[[#This Row],[instant]],Table1[instant],Table1[weekday], ,0,1)</f>
        <v>6</v>
      </c>
      <c r="F186" s="44">
        <f>_xlfn.XLOOKUP(Table3[[#This Row],[instant]],Table1[instant],Table1[weathersit], ,0,1)</f>
        <v>1</v>
      </c>
      <c r="G186" s="44">
        <f>_xlfn.XLOOKUP(Table3[[#This Row],[instant]],Table1[instant],Table1[temp], ,0,1)</f>
        <v>0.1</v>
      </c>
      <c r="H186" s="45">
        <f>_xlfn.XLOOKUP(Table3[[#This Row],[instant]],Table2[instant],Table2[atemp], ,0,1)</f>
        <v>6.0600000000000001E-2</v>
      </c>
      <c r="I186" s="42">
        <f>_xlfn.XLOOKUP(Table3[[#This Row],[instant]],Table2[instant],Table2[hum], ,0,1)</f>
        <v>0.39</v>
      </c>
      <c r="J186" s="42">
        <f>_xlfn.XLOOKUP(Table3[[#This Row],[instant]],Table2[instant],Table2[windspeed], ,0,1)</f>
        <v>0.44779999999999998</v>
      </c>
      <c r="K186" s="42">
        <f>_xlfn.XLOOKUP(Table3[[#This Row],[instant]],Table2[instant],Table2[casual], ,0,1)</f>
        <v>0</v>
      </c>
      <c r="L186" s="42">
        <f>_xlfn.XLOOKUP(Table3[[#This Row],[instant]],Table2[instant],Table2[registered], ,0,1)</f>
        <v>22</v>
      </c>
      <c r="M186" s="46">
        <f>_xlfn.XLOOKUP(Table3[[#This Row],[instant]],Table2[instant],Table2[cnt], ,0,1)</f>
        <v>22</v>
      </c>
      <c r="N186" s="42" t="str">
        <f>IF(OR(Table3[[#This Row],[weekday]]=0,Table3[[#This Row],[weekday]]=6),"Weekend","Weekday")</f>
        <v>Weekend</v>
      </c>
    </row>
    <row r="187" spans="1:14" ht="15" thickBot="1" x14ac:dyDescent="0.35">
      <c r="A187" s="1">
        <v>186</v>
      </c>
      <c r="B187" s="3">
        <f>_xlfn.XLOOKUP(Table3[[#This Row],[instant]],DatSet1!A187:A796,DatSet1!B187:B796,_xlfn.XLOOKUP(Table3[[#This Row],[instant]],'Final Data'!A187:A576,'Final Data'!B187:B576, ,0,1),0,1)</f>
        <v>40552</v>
      </c>
      <c r="C187" s="1">
        <f>_xlfn.XLOOKUP(Table3[[#This Row],[instant]],Table1[instant],Table1[hr], ,0,1)</f>
        <v>0</v>
      </c>
      <c r="D187" s="2" t="b">
        <f>_xlfn.XLOOKUP(Table3[[#This Row],[instant]],Table1[instant],Table1[holiday], ,0,1)</f>
        <v>0</v>
      </c>
      <c r="E187" s="2">
        <f>_xlfn.XLOOKUP(Table3[[#This Row],[instant]],Table1[instant],Table1[weekday], ,0,1)</f>
        <v>0</v>
      </c>
      <c r="F187" s="2">
        <f>_xlfn.XLOOKUP(Table3[[#This Row],[instant]],Table1[instant],Table1[weathersit], ,0,1)</f>
        <v>1</v>
      </c>
      <c r="G187" s="2">
        <f>_xlfn.XLOOKUP(Table3[[#This Row],[instant]],Table1[instant],Table1[temp], ,0,1)</f>
        <v>0.1</v>
      </c>
      <c r="H187" s="24">
        <f>_xlfn.XLOOKUP(Table3[[#This Row],[instant]],Table2[instant],Table2[atemp], ,0,1)</f>
        <v>7.5800000000000006E-2</v>
      </c>
      <c r="I187" s="1">
        <f>_xlfn.XLOOKUP(Table3[[#This Row],[instant]],Table2[instant],Table2[hum], ,0,1)</f>
        <v>0.42</v>
      </c>
      <c r="J187" s="1">
        <f>_xlfn.XLOOKUP(Table3[[#This Row],[instant]],Table2[instant],Table2[windspeed], ,0,1)</f>
        <v>0.3881</v>
      </c>
      <c r="K187" s="1">
        <f>_xlfn.XLOOKUP(Table3[[#This Row],[instant]],Table2[instant],Table2[casual], ,0,1)</f>
        <v>1</v>
      </c>
      <c r="L187" s="1">
        <f>_xlfn.XLOOKUP(Table3[[#This Row],[instant]],Table2[instant],Table2[registered], ,0,1)</f>
        <v>24</v>
      </c>
      <c r="M187" s="6">
        <f>_xlfn.XLOOKUP(Table3[[#This Row],[instant]],Table2[instant],Table2[cnt], ,0,1)</f>
        <v>25</v>
      </c>
      <c r="N187" s="1" t="str">
        <f>IF(OR(Table3[[#This Row],[weekday]]=0,Table3[[#This Row],[weekday]]=6),"Weekend","Weekday")</f>
        <v>Weekend</v>
      </c>
    </row>
    <row r="188" spans="1:14" ht="15" thickBot="1" x14ac:dyDescent="0.35">
      <c r="A188" s="42">
        <v>187</v>
      </c>
      <c r="B188" s="43">
        <f>_xlfn.XLOOKUP(Table3[[#This Row],[instant]],DatSet1!A188:A797,DatSet1!B188:B797,_xlfn.XLOOKUP(Table3[[#This Row],[instant]],'Final Data'!A188:A577,'Final Data'!B188:B577, ,0,1),0,1)</f>
        <v>40552</v>
      </c>
      <c r="C188" s="42">
        <f>_xlfn.XLOOKUP(Table3[[#This Row],[instant]],Table1[instant],Table1[hr], ,0,1)</f>
        <v>1</v>
      </c>
      <c r="D188" s="44" t="b">
        <f>_xlfn.XLOOKUP(Table3[[#This Row],[instant]],Table1[instant],Table1[holiday], ,0,1)</f>
        <v>0</v>
      </c>
      <c r="E188" s="44">
        <f>_xlfn.XLOOKUP(Table3[[#This Row],[instant]],Table1[instant],Table1[weekday], ,0,1)</f>
        <v>0</v>
      </c>
      <c r="F188" s="44">
        <f>_xlfn.XLOOKUP(Table3[[#This Row],[instant]],Table1[instant],Table1[weathersit], ,0,1)</f>
        <v>1</v>
      </c>
      <c r="G188" s="44">
        <f>_xlfn.XLOOKUP(Table3[[#This Row],[instant]],Table1[instant],Table1[temp], ,0,1)</f>
        <v>0.1</v>
      </c>
      <c r="H188" s="45">
        <f>_xlfn.XLOOKUP(Table3[[#This Row],[instant]],Table2[instant],Table2[atemp], ,0,1)</f>
        <v>6.0600000000000001E-2</v>
      </c>
      <c r="I188" s="42">
        <f>_xlfn.XLOOKUP(Table3[[#This Row],[instant]],Table2[instant],Table2[hum], ,0,1)</f>
        <v>0.42</v>
      </c>
      <c r="J188" s="42">
        <f>_xlfn.XLOOKUP(Table3[[#This Row],[instant]],Table2[instant],Table2[windspeed], ,0,1)</f>
        <v>0.4627</v>
      </c>
      <c r="K188" s="42">
        <f>_xlfn.XLOOKUP(Table3[[#This Row],[instant]],Table2[instant],Table2[casual], ,0,1)</f>
        <v>0</v>
      </c>
      <c r="L188" s="42">
        <f>_xlfn.XLOOKUP(Table3[[#This Row],[instant]],Table2[instant],Table2[registered], ,0,1)</f>
        <v>12</v>
      </c>
      <c r="M188" s="46">
        <f>_xlfn.XLOOKUP(Table3[[#This Row],[instant]],Table2[instant],Table2[cnt], ,0,1)</f>
        <v>12</v>
      </c>
      <c r="N188" s="42" t="str">
        <f>IF(OR(Table3[[#This Row],[weekday]]=0,Table3[[#This Row],[weekday]]=6),"Weekend","Weekday")</f>
        <v>Weekend</v>
      </c>
    </row>
    <row r="189" spans="1:14" ht="15" thickBot="1" x14ac:dyDescent="0.35">
      <c r="A189" s="1">
        <v>188</v>
      </c>
      <c r="B189" s="3">
        <f>_xlfn.XLOOKUP(Table3[[#This Row],[instant]],DatSet1!A189:A798,DatSet1!B189:B798,_xlfn.XLOOKUP(Table3[[#This Row],[instant]],'Final Data'!A189:A578,'Final Data'!B189:B578, ,0,1),0,1)</f>
        <v>40552</v>
      </c>
      <c r="C189" s="1">
        <f>_xlfn.XLOOKUP(Table3[[#This Row],[instant]],Table1[instant],Table1[hr], ,0,1)</f>
        <v>2</v>
      </c>
      <c r="D189" s="2" t="b">
        <f>_xlfn.XLOOKUP(Table3[[#This Row],[instant]],Table1[instant],Table1[holiday], ,0,1)</f>
        <v>0</v>
      </c>
      <c r="E189" s="2">
        <f>_xlfn.XLOOKUP(Table3[[#This Row],[instant]],Table1[instant],Table1[weekday], ,0,1)</f>
        <v>0</v>
      </c>
      <c r="F189" s="2">
        <f>_xlfn.XLOOKUP(Table3[[#This Row],[instant]],Table1[instant],Table1[weathersit], ,0,1)</f>
        <v>1</v>
      </c>
      <c r="G189" s="2">
        <f>_xlfn.XLOOKUP(Table3[[#This Row],[instant]],Table1[instant],Table1[temp], ,0,1)</f>
        <v>0.1</v>
      </c>
      <c r="H189" s="24">
        <f>_xlfn.XLOOKUP(Table3[[#This Row],[instant]],Table2[instant],Table2[atemp], ,0,1)</f>
        <v>6.0600000000000001E-2</v>
      </c>
      <c r="I189" s="1">
        <f>_xlfn.XLOOKUP(Table3[[#This Row],[instant]],Table2[instant],Table2[hum], ,0,1)</f>
        <v>0.46</v>
      </c>
      <c r="J189" s="1">
        <f>_xlfn.XLOOKUP(Table3[[#This Row],[instant]],Table2[instant],Table2[windspeed], ,0,1)</f>
        <v>0.4627</v>
      </c>
      <c r="K189" s="1">
        <f>_xlfn.XLOOKUP(Table3[[#This Row],[instant]],Table2[instant],Table2[casual], ,0,1)</f>
        <v>0</v>
      </c>
      <c r="L189" s="1">
        <f>_xlfn.XLOOKUP(Table3[[#This Row],[instant]],Table2[instant],Table2[registered], ,0,1)</f>
        <v>11</v>
      </c>
      <c r="M189" s="6">
        <f>_xlfn.XLOOKUP(Table3[[#This Row],[instant]],Table2[instant],Table2[cnt], ,0,1)</f>
        <v>11</v>
      </c>
      <c r="N189" s="1" t="str">
        <f>IF(OR(Table3[[#This Row],[weekday]]=0,Table3[[#This Row],[weekday]]=6),"Weekend","Weekday")</f>
        <v>Weekend</v>
      </c>
    </row>
    <row r="190" spans="1:14" ht="15" thickBot="1" x14ac:dyDescent="0.35">
      <c r="A190" s="42">
        <v>189</v>
      </c>
      <c r="B190" s="43">
        <f>_xlfn.XLOOKUP(Table3[[#This Row],[instant]],DatSet1!A190:A799,DatSet1!B190:B799,_xlfn.XLOOKUP(Table3[[#This Row],[instant]],'Final Data'!A190:A579,'Final Data'!B190:B579, ,0,1),0,1)</f>
        <v>40552</v>
      </c>
      <c r="C190" s="42">
        <f>_xlfn.XLOOKUP(Table3[[#This Row],[instant]],Table1[instant],Table1[hr], ,0,1)</f>
        <v>3</v>
      </c>
      <c r="D190" s="44" t="b">
        <f>_xlfn.XLOOKUP(Table3[[#This Row],[instant]],Table1[instant],Table1[holiday], ,0,1)</f>
        <v>0</v>
      </c>
      <c r="E190" s="44">
        <f>_xlfn.XLOOKUP(Table3[[#This Row],[instant]],Table1[instant],Table1[weekday], ,0,1)</f>
        <v>0</v>
      </c>
      <c r="F190" s="44">
        <f>_xlfn.XLOOKUP(Table3[[#This Row],[instant]],Table1[instant],Table1[weathersit], ,0,1)</f>
        <v>1</v>
      </c>
      <c r="G190" s="44">
        <f>_xlfn.XLOOKUP(Table3[[#This Row],[instant]],Table1[instant],Table1[temp], ,0,1)</f>
        <v>0.1</v>
      </c>
      <c r="H190" s="45">
        <f>_xlfn.XLOOKUP(Table3[[#This Row],[instant]],Table2[instant],Table2[atemp], ,0,1)</f>
        <v>7.5800000000000006E-2</v>
      </c>
      <c r="I190" s="42">
        <f>_xlfn.XLOOKUP(Table3[[#This Row],[instant]],Table2[instant],Table2[hum], ,0,1)</f>
        <v>0.46</v>
      </c>
      <c r="J190" s="42">
        <f>_xlfn.XLOOKUP(Table3[[#This Row],[instant]],Table2[instant],Table2[windspeed], ,0,1)</f>
        <v>0.41789999999999999</v>
      </c>
      <c r="K190" s="42">
        <f>_xlfn.XLOOKUP(Table3[[#This Row],[instant]],Table2[instant],Table2[casual], ,0,1)</f>
        <v>0</v>
      </c>
      <c r="L190" s="42">
        <f>_xlfn.XLOOKUP(Table3[[#This Row],[instant]],Table2[instant],Table2[registered], ,0,1)</f>
        <v>4</v>
      </c>
      <c r="M190" s="46">
        <f>_xlfn.XLOOKUP(Table3[[#This Row],[instant]],Table2[instant],Table2[cnt], ,0,1)</f>
        <v>4</v>
      </c>
      <c r="N190" s="42" t="str">
        <f>IF(OR(Table3[[#This Row],[weekday]]=0,Table3[[#This Row],[weekday]]=6),"Weekend","Weekday")</f>
        <v>Weekend</v>
      </c>
    </row>
    <row r="191" spans="1:14" ht="15" thickBot="1" x14ac:dyDescent="0.35">
      <c r="A191" s="1">
        <v>190</v>
      </c>
      <c r="B191" s="3">
        <f>_xlfn.XLOOKUP(Table3[[#This Row],[instant]],DatSet1!A191:A800,DatSet1!B191:B800,_xlfn.XLOOKUP(Table3[[#This Row],[instant]],'Final Data'!A191:A580,'Final Data'!B191:B580, ,0,1),0,1)</f>
        <v>40552</v>
      </c>
      <c r="C191" s="1">
        <f>_xlfn.XLOOKUP(Table3[[#This Row],[instant]],Table1[instant],Table1[hr], ,0,1)</f>
        <v>4</v>
      </c>
      <c r="D191" s="2" t="b">
        <f>_xlfn.XLOOKUP(Table3[[#This Row],[instant]],Table1[instant],Table1[holiday], ,0,1)</f>
        <v>0</v>
      </c>
      <c r="E191" s="2">
        <f>_xlfn.XLOOKUP(Table3[[#This Row],[instant]],Table1[instant],Table1[weekday], ,0,1)</f>
        <v>0</v>
      </c>
      <c r="F191" s="2">
        <f>_xlfn.XLOOKUP(Table3[[#This Row],[instant]],Table1[instant],Table1[weathersit], ,0,1)</f>
        <v>1</v>
      </c>
      <c r="G191" s="2">
        <f>_xlfn.XLOOKUP(Table3[[#This Row],[instant]],Table1[instant],Table1[temp], ,0,1)</f>
        <v>0.08</v>
      </c>
      <c r="H191" s="24">
        <f>_xlfn.XLOOKUP(Table3[[#This Row],[instant]],Table2[instant],Table2[atemp], ,0,1)</f>
        <v>9.0899999999999995E-2</v>
      </c>
      <c r="I191" s="1">
        <f>_xlfn.XLOOKUP(Table3[[#This Row],[instant]],Table2[instant],Table2[hum], ,0,1)</f>
        <v>0.53</v>
      </c>
      <c r="J191" s="1">
        <f>_xlfn.XLOOKUP(Table3[[#This Row],[instant]],Table2[instant],Table2[windspeed], ,0,1)</f>
        <v>0.19400000000000001</v>
      </c>
      <c r="K191" s="1">
        <f>_xlfn.XLOOKUP(Table3[[#This Row],[instant]],Table2[instant],Table2[casual], ,0,1)</f>
        <v>0</v>
      </c>
      <c r="L191" s="1">
        <f>_xlfn.XLOOKUP(Table3[[#This Row],[instant]],Table2[instant],Table2[registered], ,0,1)</f>
        <v>1</v>
      </c>
      <c r="M191" s="6">
        <f>_xlfn.XLOOKUP(Table3[[#This Row],[instant]],Table2[instant],Table2[cnt], ,0,1)</f>
        <v>1</v>
      </c>
      <c r="N191" s="1" t="str">
        <f>IF(OR(Table3[[#This Row],[weekday]]=0,Table3[[#This Row],[weekday]]=6),"Weekend","Weekday")</f>
        <v>Weekend</v>
      </c>
    </row>
    <row r="192" spans="1:14" ht="15" thickBot="1" x14ac:dyDescent="0.35">
      <c r="A192" s="42">
        <v>191</v>
      </c>
      <c r="B192" s="43">
        <f>_xlfn.XLOOKUP(Table3[[#This Row],[instant]],DatSet1!A192:A801,DatSet1!B192:B801,_xlfn.XLOOKUP(Table3[[#This Row],[instant]],'Final Data'!A192:A581,'Final Data'!B192:B581, ,0,1),0,1)</f>
        <v>40552</v>
      </c>
      <c r="C192" s="42">
        <f>_xlfn.XLOOKUP(Table3[[#This Row],[instant]],Table1[instant],Table1[hr], ,0,1)</f>
        <v>5</v>
      </c>
      <c r="D192" s="44" t="b">
        <f>_xlfn.XLOOKUP(Table3[[#This Row],[instant]],Table1[instant],Table1[holiday], ,0,1)</f>
        <v>0</v>
      </c>
      <c r="E192" s="44">
        <f>_xlfn.XLOOKUP(Table3[[#This Row],[instant]],Table1[instant],Table1[weekday], ,0,1)</f>
        <v>0</v>
      </c>
      <c r="F192" s="44">
        <f>_xlfn.XLOOKUP(Table3[[#This Row],[instant]],Table1[instant],Table1[weathersit], ,0,1)</f>
        <v>1</v>
      </c>
      <c r="G192" s="44">
        <f>_xlfn.XLOOKUP(Table3[[#This Row],[instant]],Table1[instant],Table1[temp], ,0,1)</f>
        <v>0.08</v>
      </c>
      <c r="H192" s="45">
        <f>_xlfn.XLOOKUP(Table3[[#This Row],[instant]],Table2[instant],Table2[atemp], ,0,1)</f>
        <v>9.0899999999999995E-2</v>
      </c>
      <c r="I192" s="42">
        <f>_xlfn.XLOOKUP(Table3[[#This Row],[instant]],Table2[instant],Table2[hum], ,0,1)</f>
        <v>0.53</v>
      </c>
      <c r="J192" s="42">
        <f>_xlfn.XLOOKUP(Table3[[#This Row],[instant]],Table2[instant],Table2[windspeed], ,0,1)</f>
        <v>0.19400000000000001</v>
      </c>
      <c r="K192" s="42">
        <f>_xlfn.XLOOKUP(Table3[[#This Row],[instant]],Table2[instant],Table2[casual], ,0,1)</f>
        <v>0</v>
      </c>
      <c r="L192" s="42">
        <f>_xlfn.XLOOKUP(Table3[[#This Row],[instant]],Table2[instant],Table2[registered], ,0,1)</f>
        <v>1</v>
      </c>
      <c r="M192" s="46">
        <f>_xlfn.XLOOKUP(Table3[[#This Row],[instant]],Table2[instant],Table2[cnt], ,0,1)</f>
        <v>1</v>
      </c>
      <c r="N192" s="42" t="str">
        <f>IF(OR(Table3[[#This Row],[weekday]]=0,Table3[[#This Row],[weekday]]=6),"Weekend","Weekday")</f>
        <v>Weekend</v>
      </c>
    </row>
    <row r="193" spans="1:14" ht="15" thickBot="1" x14ac:dyDescent="0.35">
      <c r="A193" s="1">
        <v>192</v>
      </c>
      <c r="B193" s="3">
        <f>_xlfn.XLOOKUP(Table3[[#This Row],[instant]],DatSet1!A193:A802,DatSet1!B193:B802,_xlfn.XLOOKUP(Table3[[#This Row],[instant]],'Final Data'!A193:A582,'Final Data'!B193:B582, ,0,1),0,1)</f>
        <v>40552</v>
      </c>
      <c r="C193" s="1">
        <f>_xlfn.XLOOKUP(Table3[[#This Row],[instant]],Table1[instant],Table1[hr], ,0,1)</f>
        <v>6</v>
      </c>
      <c r="D193" s="2" t="b">
        <f>_xlfn.XLOOKUP(Table3[[#This Row],[instant]],Table1[instant],Table1[holiday], ,0,1)</f>
        <v>0</v>
      </c>
      <c r="E193" s="2">
        <f>_xlfn.XLOOKUP(Table3[[#This Row],[instant]],Table1[instant],Table1[weekday], ,0,1)</f>
        <v>0</v>
      </c>
      <c r="F193" s="2">
        <f>_xlfn.XLOOKUP(Table3[[#This Row],[instant]],Table1[instant],Table1[weathersit], ,0,1)</f>
        <v>1</v>
      </c>
      <c r="G193" s="2">
        <f>_xlfn.XLOOKUP(Table3[[#This Row],[instant]],Table1[instant],Table1[temp], ,0,1)</f>
        <v>0.1</v>
      </c>
      <c r="H193" s="24">
        <f>_xlfn.XLOOKUP(Table3[[#This Row],[instant]],Table2[instant],Table2[atemp], ,0,1)</f>
        <v>9.0899999999999995E-2</v>
      </c>
      <c r="I193" s="1">
        <f>_xlfn.XLOOKUP(Table3[[#This Row],[instant]],Table2[instant],Table2[hum], ,0,1)</f>
        <v>0.49</v>
      </c>
      <c r="J193" s="1">
        <f>_xlfn.XLOOKUP(Table3[[#This Row],[instant]],Table2[instant],Table2[windspeed], ,0,1)</f>
        <v>0.28360000000000002</v>
      </c>
      <c r="K193" s="1">
        <f>_xlfn.XLOOKUP(Table3[[#This Row],[instant]],Table2[instant],Table2[casual], ,0,1)</f>
        <v>0</v>
      </c>
      <c r="L193" s="1">
        <f>_xlfn.XLOOKUP(Table3[[#This Row],[instant]],Table2[instant],Table2[registered], ,0,1)</f>
        <v>1</v>
      </c>
      <c r="M193" s="6">
        <f>_xlfn.XLOOKUP(Table3[[#This Row],[instant]],Table2[instant],Table2[cnt], ,0,1)</f>
        <v>1</v>
      </c>
      <c r="N193" s="1" t="str">
        <f>IF(OR(Table3[[#This Row],[weekday]]=0,Table3[[#This Row],[weekday]]=6),"Weekend","Weekday")</f>
        <v>Weekend</v>
      </c>
    </row>
    <row r="194" spans="1:14" ht="15" thickBot="1" x14ac:dyDescent="0.35">
      <c r="A194" s="42">
        <v>193</v>
      </c>
      <c r="B194" s="43">
        <f>_xlfn.XLOOKUP(Table3[[#This Row],[instant]],DatSet1!A194:A803,DatSet1!B194:B803,_xlfn.XLOOKUP(Table3[[#This Row],[instant]],'Final Data'!A194:A583,'Final Data'!B194:B583, ,0,1),0,1)</f>
        <v>40552</v>
      </c>
      <c r="C194" s="42">
        <f>_xlfn.XLOOKUP(Table3[[#This Row],[instant]],Table1[instant],Table1[hr], ,0,1)</f>
        <v>7</v>
      </c>
      <c r="D194" s="44" t="b">
        <f>_xlfn.XLOOKUP(Table3[[#This Row],[instant]],Table1[instant],Table1[holiday], ,0,1)</f>
        <v>0</v>
      </c>
      <c r="E194" s="44">
        <f>_xlfn.XLOOKUP(Table3[[#This Row],[instant]],Table1[instant],Table1[weekday], ,0,1)</f>
        <v>0</v>
      </c>
      <c r="F194" s="44">
        <f>_xlfn.XLOOKUP(Table3[[#This Row],[instant]],Table1[instant],Table1[weathersit], ,0,1)</f>
        <v>1</v>
      </c>
      <c r="G194" s="44">
        <f>_xlfn.XLOOKUP(Table3[[#This Row],[instant]],Table1[instant],Table1[temp], ,0,1)</f>
        <v>0.08</v>
      </c>
      <c r="H194" s="45">
        <f>_xlfn.XLOOKUP(Table3[[#This Row],[instant]],Table2[instant],Table2[atemp], ,0,1)</f>
        <v>9.0899999999999995E-2</v>
      </c>
      <c r="I194" s="42">
        <f>_xlfn.XLOOKUP(Table3[[#This Row],[instant]],Table2[instant],Table2[hum], ,0,1)</f>
        <v>0.53</v>
      </c>
      <c r="J194" s="42">
        <f>_xlfn.XLOOKUP(Table3[[#This Row],[instant]],Table2[instant],Table2[windspeed], ,0,1)</f>
        <v>0.19400000000000001</v>
      </c>
      <c r="K194" s="42">
        <f>_xlfn.XLOOKUP(Table3[[#This Row],[instant]],Table2[instant],Table2[casual], ,0,1)</f>
        <v>1</v>
      </c>
      <c r="L194" s="42">
        <f>_xlfn.XLOOKUP(Table3[[#This Row],[instant]],Table2[instant],Table2[registered], ,0,1)</f>
        <v>5</v>
      </c>
      <c r="M194" s="46">
        <f>_xlfn.XLOOKUP(Table3[[#This Row],[instant]],Table2[instant],Table2[cnt], ,0,1)</f>
        <v>6</v>
      </c>
      <c r="N194" s="42" t="str">
        <f>IF(OR(Table3[[#This Row],[weekday]]=0,Table3[[#This Row],[weekday]]=6),"Weekend","Weekday")</f>
        <v>Weekend</v>
      </c>
    </row>
    <row r="195" spans="1:14" ht="15" thickBot="1" x14ac:dyDescent="0.35">
      <c r="A195" s="1">
        <v>194</v>
      </c>
      <c r="B195" s="3">
        <f>_xlfn.XLOOKUP(Table3[[#This Row],[instant]],DatSet1!A195:A804,DatSet1!B195:B804,_xlfn.XLOOKUP(Table3[[#This Row],[instant]],'Final Data'!A195:A584,'Final Data'!B195:B584, ,0,1),0,1)</f>
        <v>40552</v>
      </c>
      <c r="C195" s="1">
        <f>_xlfn.XLOOKUP(Table3[[#This Row],[instant]],Table1[instant],Table1[hr], ,0,1)</f>
        <v>8</v>
      </c>
      <c r="D195" s="2" t="b">
        <f>_xlfn.XLOOKUP(Table3[[#This Row],[instant]],Table1[instant],Table1[holiday], ,0,1)</f>
        <v>0</v>
      </c>
      <c r="E195" s="2">
        <f>_xlfn.XLOOKUP(Table3[[#This Row],[instant]],Table1[instant],Table1[weekday], ,0,1)</f>
        <v>0</v>
      </c>
      <c r="F195" s="2">
        <f>_xlfn.XLOOKUP(Table3[[#This Row],[instant]],Table1[instant],Table1[weathersit], ,0,1)</f>
        <v>1</v>
      </c>
      <c r="G195" s="2">
        <f>_xlfn.XLOOKUP(Table3[[#This Row],[instant]],Table1[instant],Table1[temp], ,0,1)</f>
        <v>0.1</v>
      </c>
      <c r="H195" s="24">
        <f>_xlfn.XLOOKUP(Table3[[#This Row],[instant]],Table2[instant],Table2[atemp], ,0,1)</f>
        <v>9.0899999999999995E-2</v>
      </c>
      <c r="I195" s="1">
        <f>_xlfn.XLOOKUP(Table3[[#This Row],[instant]],Table2[instant],Table2[hum], ,0,1)</f>
        <v>0.49</v>
      </c>
      <c r="J195" s="1">
        <f>_xlfn.XLOOKUP(Table3[[#This Row],[instant]],Table2[instant],Table2[windspeed], ,0,1)</f>
        <v>0.28360000000000002</v>
      </c>
      <c r="K195" s="1">
        <f>_xlfn.XLOOKUP(Table3[[#This Row],[instant]],Table2[instant],Table2[casual], ,0,1)</f>
        <v>0</v>
      </c>
      <c r="L195" s="1">
        <f>_xlfn.XLOOKUP(Table3[[#This Row],[instant]],Table2[instant],Table2[registered], ,0,1)</f>
        <v>10</v>
      </c>
      <c r="M195" s="6">
        <f>_xlfn.XLOOKUP(Table3[[#This Row],[instant]],Table2[instant],Table2[cnt], ,0,1)</f>
        <v>10</v>
      </c>
      <c r="N195" s="1" t="str">
        <f>IF(OR(Table3[[#This Row],[weekday]]=0,Table3[[#This Row],[weekday]]=6),"Weekend","Weekday")</f>
        <v>Weekend</v>
      </c>
    </row>
    <row r="196" spans="1:14" ht="15" thickBot="1" x14ac:dyDescent="0.35">
      <c r="A196" s="42">
        <v>195</v>
      </c>
      <c r="B196" s="43">
        <f>_xlfn.XLOOKUP(Table3[[#This Row],[instant]],DatSet1!A196:A805,DatSet1!B196:B805,_xlfn.XLOOKUP(Table3[[#This Row],[instant]],'Final Data'!A196:A585,'Final Data'!B196:B585, ,0,1),0,1)</f>
        <v>40552</v>
      </c>
      <c r="C196" s="42">
        <f>_xlfn.XLOOKUP(Table3[[#This Row],[instant]],Table1[instant],Table1[hr], ,0,1)</f>
        <v>9</v>
      </c>
      <c r="D196" s="44" t="b">
        <f>_xlfn.XLOOKUP(Table3[[#This Row],[instant]],Table1[instant],Table1[holiday], ,0,1)</f>
        <v>0</v>
      </c>
      <c r="E196" s="44">
        <f>_xlfn.XLOOKUP(Table3[[#This Row],[instant]],Table1[instant],Table1[weekday], ,0,1)</f>
        <v>0</v>
      </c>
      <c r="F196" s="44">
        <f>_xlfn.XLOOKUP(Table3[[#This Row],[instant]],Table1[instant],Table1[weathersit], ,0,1)</f>
        <v>1</v>
      </c>
      <c r="G196" s="44">
        <f>_xlfn.XLOOKUP(Table3[[#This Row],[instant]],Table1[instant],Table1[temp], ,0,1)</f>
        <v>0.12</v>
      </c>
      <c r="H196" s="45">
        <f>_xlfn.XLOOKUP(Table3[[#This Row],[instant]],Table2[instant],Table2[atemp], ,0,1)</f>
        <v>7.5800000000000006E-2</v>
      </c>
      <c r="I196" s="42">
        <f>_xlfn.XLOOKUP(Table3[[#This Row],[instant]],Table2[instant],Table2[hum], ,0,1)</f>
        <v>0.46</v>
      </c>
      <c r="J196" s="42">
        <f>_xlfn.XLOOKUP(Table3[[#This Row],[instant]],Table2[instant],Table2[windspeed], ,0,1)</f>
        <v>0.52239999999999998</v>
      </c>
      <c r="K196" s="42">
        <f>_xlfn.XLOOKUP(Table3[[#This Row],[instant]],Table2[instant],Table2[casual], ,0,1)</f>
        <v>0</v>
      </c>
      <c r="L196" s="42">
        <f>_xlfn.XLOOKUP(Table3[[#This Row],[instant]],Table2[instant],Table2[registered], ,0,1)</f>
        <v>19</v>
      </c>
      <c r="M196" s="46">
        <f>_xlfn.XLOOKUP(Table3[[#This Row],[instant]],Table2[instant],Table2[cnt], ,0,1)</f>
        <v>19</v>
      </c>
      <c r="N196" s="42" t="str">
        <f>IF(OR(Table3[[#This Row],[weekday]]=0,Table3[[#This Row],[weekday]]=6),"Weekend","Weekday")</f>
        <v>Weekend</v>
      </c>
    </row>
    <row r="197" spans="1:14" ht="15" thickBot="1" x14ac:dyDescent="0.35">
      <c r="A197" s="1">
        <v>196</v>
      </c>
      <c r="B197" s="3">
        <f>_xlfn.XLOOKUP(Table3[[#This Row],[instant]],DatSet1!A197:A806,DatSet1!B197:B806,_xlfn.XLOOKUP(Table3[[#This Row],[instant]],'Final Data'!A197:A586,'Final Data'!B197:B586, ,0,1),0,1)</f>
        <v>40552</v>
      </c>
      <c r="C197" s="1">
        <f>_xlfn.XLOOKUP(Table3[[#This Row],[instant]],Table1[instant],Table1[hr], ,0,1)</f>
        <v>10</v>
      </c>
      <c r="D197" s="2" t="b">
        <f>_xlfn.XLOOKUP(Table3[[#This Row],[instant]],Table1[instant],Table1[holiday], ,0,1)</f>
        <v>0</v>
      </c>
      <c r="E197" s="2">
        <f>_xlfn.XLOOKUP(Table3[[#This Row],[instant]],Table1[instant],Table1[weekday], ,0,1)</f>
        <v>0</v>
      </c>
      <c r="F197" s="2">
        <f>_xlfn.XLOOKUP(Table3[[#This Row],[instant]],Table1[instant],Table1[weathersit], ,0,1)</f>
        <v>1</v>
      </c>
      <c r="G197" s="2">
        <f>_xlfn.XLOOKUP(Table3[[#This Row],[instant]],Table1[instant],Table1[temp], ,0,1)</f>
        <v>0.14000000000000001</v>
      </c>
      <c r="H197" s="24">
        <f>_xlfn.XLOOKUP(Table3[[#This Row],[instant]],Table2[instant],Table2[atemp], ,0,1)</f>
        <v>0.1061</v>
      </c>
      <c r="I197" s="1">
        <f>_xlfn.XLOOKUP(Table3[[#This Row],[instant]],Table2[instant],Table2[hum], ,0,1)</f>
        <v>0.43</v>
      </c>
      <c r="J197" s="1">
        <f>_xlfn.XLOOKUP(Table3[[#This Row],[instant]],Table2[instant],Table2[windspeed], ,0,1)</f>
        <v>0.3881</v>
      </c>
      <c r="K197" s="1">
        <f>_xlfn.XLOOKUP(Table3[[#This Row],[instant]],Table2[instant],Table2[casual], ,0,1)</f>
        <v>0</v>
      </c>
      <c r="L197" s="1">
        <f>_xlfn.XLOOKUP(Table3[[#This Row],[instant]],Table2[instant],Table2[registered], ,0,1)</f>
        <v>49</v>
      </c>
      <c r="M197" s="6">
        <f>_xlfn.XLOOKUP(Table3[[#This Row],[instant]],Table2[instant],Table2[cnt], ,0,1)</f>
        <v>49</v>
      </c>
      <c r="N197" s="1" t="str">
        <f>IF(OR(Table3[[#This Row],[weekday]]=0,Table3[[#This Row],[weekday]]=6),"Weekend","Weekday")</f>
        <v>Weekend</v>
      </c>
    </row>
    <row r="198" spans="1:14" ht="15" thickBot="1" x14ac:dyDescent="0.35">
      <c r="A198" s="42">
        <v>197</v>
      </c>
      <c r="B198" s="43">
        <f>_xlfn.XLOOKUP(Table3[[#This Row],[instant]],DatSet1!A198:A807,DatSet1!B198:B807,_xlfn.XLOOKUP(Table3[[#This Row],[instant]],'Final Data'!A198:A587,'Final Data'!B198:B587, ,0,1),0,1)</f>
        <v>40552</v>
      </c>
      <c r="C198" s="42">
        <f>_xlfn.XLOOKUP(Table3[[#This Row],[instant]],Table1[instant],Table1[hr], ,0,1)</f>
        <v>11</v>
      </c>
      <c r="D198" s="44" t="b">
        <f>_xlfn.XLOOKUP(Table3[[#This Row],[instant]],Table1[instant],Table1[holiday], ,0,1)</f>
        <v>0</v>
      </c>
      <c r="E198" s="44">
        <f>_xlfn.XLOOKUP(Table3[[#This Row],[instant]],Table1[instant],Table1[weekday], ,0,1)</f>
        <v>0</v>
      </c>
      <c r="F198" s="44">
        <f>_xlfn.XLOOKUP(Table3[[#This Row],[instant]],Table1[instant],Table1[weathersit], ,0,1)</f>
        <v>1</v>
      </c>
      <c r="G198" s="44">
        <f>_xlfn.XLOOKUP(Table3[[#This Row],[instant]],Table1[instant],Table1[temp], ,0,1)</f>
        <v>0.16</v>
      </c>
      <c r="H198" s="45">
        <f>_xlfn.XLOOKUP(Table3[[#This Row],[instant]],Table2[instant],Table2[atemp], ,0,1)</f>
        <v>0.1212</v>
      </c>
      <c r="I198" s="42">
        <f>_xlfn.XLOOKUP(Table3[[#This Row],[instant]],Table2[instant],Table2[hum], ,0,1)</f>
        <v>0.4</v>
      </c>
      <c r="J198" s="42">
        <f>_xlfn.XLOOKUP(Table3[[#This Row],[instant]],Table2[instant],Table2[windspeed], ,0,1)</f>
        <v>0.52239999999999998</v>
      </c>
      <c r="K198" s="42">
        <f>_xlfn.XLOOKUP(Table3[[#This Row],[instant]],Table2[instant],Table2[casual], ,0,1)</f>
        <v>2</v>
      </c>
      <c r="L198" s="42">
        <f>_xlfn.XLOOKUP(Table3[[#This Row],[instant]],Table2[instant],Table2[registered], ,0,1)</f>
        <v>47</v>
      </c>
      <c r="M198" s="46">
        <f>_xlfn.XLOOKUP(Table3[[#This Row],[instant]],Table2[instant],Table2[cnt], ,0,1)</f>
        <v>49</v>
      </c>
      <c r="N198" s="42" t="str">
        <f>IF(OR(Table3[[#This Row],[weekday]]=0,Table3[[#This Row],[weekday]]=6),"Weekend","Weekday")</f>
        <v>Weekend</v>
      </c>
    </row>
    <row r="199" spans="1:14" ht="15" thickBot="1" x14ac:dyDescent="0.35">
      <c r="A199" s="1">
        <v>198</v>
      </c>
      <c r="B199" s="3">
        <f>_xlfn.XLOOKUP(Table3[[#This Row],[instant]],DatSet1!A199:A808,DatSet1!B199:B808,_xlfn.XLOOKUP(Table3[[#This Row],[instant]],'Final Data'!A199:A588,'Final Data'!B199:B588, ,0,1),0,1)</f>
        <v>40552</v>
      </c>
      <c r="C199" s="1">
        <f>_xlfn.XLOOKUP(Table3[[#This Row],[instant]],Table1[instant],Table1[hr], ,0,1)</f>
        <v>12</v>
      </c>
      <c r="D199" s="2" t="b">
        <f>_xlfn.XLOOKUP(Table3[[#This Row],[instant]],Table1[instant],Table1[holiday], ,0,1)</f>
        <v>0</v>
      </c>
      <c r="E199" s="2">
        <f>_xlfn.XLOOKUP(Table3[[#This Row],[instant]],Table1[instant],Table1[weekday], ,0,1)</f>
        <v>0</v>
      </c>
      <c r="F199" s="2">
        <f>_xlfn.XLOOKUP(Table3[[#This Row],[instant]],Table1[instant],Table1[weathersit], ,0,1)</f>
        <v>1</v>
      </c>
      <c r="G199" s="2">
        <f>_xlfn.XLOOKUP(Table3[[#This Row],[instant]],Table1[instant],Table1[temp], ,0,1)</f>
        <v>0.18</v>
      </c>
      <c r="H199" s="24">
        <f>_xlfn.XLOOKUP(Table3[[#This Row],[instant]],Table2[instant],Table2[atemp], ,0,1)</f>
        <v>0.13639999999999999</v>
      </c>
      <c r="I199" s="1">
        <f>_xlfn.XLOOKUP(Table3[[#This Row],[instant]],Table2[instant],Table2[hum], ,0,1)</f>
        <v>0.37</v>
      </c>
      <c r="J199" s="1">
        <f>_xlfn.XLOOKUP(Table3[[#This Row],[instant]],Table2[instant],Table2[windspeed], ,0,1)</f>
        <v>0.44779999999999998</v>
      </c>
      <c r="K199" s="1">
        <f>_xlfn.XLOOKUP(Table3[[#This Row],[instant]],Table2[instant],Table2[casual], ,0,1)</f>
        <v>4</v>
      </c>
      <c r="L199" s="1">
        <f>_xlfn.XLOOKUP(Table3[[#This Row],[instant]],Table2[instant],Table2[registered], ,0,1)</f>
        <v>79</v>
      </c>
      <c r="M199" s="6">
        <f>_xlfn.XLOOKUP(Table3[[#This Row],[instant]],Table2[instant],Table2[cnt], ,0,1)</f>
        <v>83</v>
      </c>
      <c r="N199" s="1" t="str">
        <f>IF(OR(Table3[[#This Row],[weekday]]=0,Table3[[#This Row],[weekday]]=6),"Weekend","Weekday")</f>
        <v>Weekend</v>
      </c>
    </row>
    <row r="200" spans="1:14" ht="15" thickBot="1" x14ac:dyDescent="0.35">
      <c r="A200" s="42">
        <v>199</v>
      </c>
      <c r="B200" s="43">
        <f>_xlfn.XLOOKUP(Table3[[#This Row],[instant]],DatSet1!A200:A809,DatSet1!B200:B809,_xlfn.XLOOKUP(Table3[[#This Row],[instant]],'Final Data'!A200:A589,'Final Data'!B200:B589, ,0,1),0,1)</f>
        <v>40552</v>
      </c>
      <c r="C200" s="42">
        <f>_xlfn.XLOOKUP(Table3[[#This Row],[instant]],Table1[instant],Table1[hr], ,0,1)</f>
        <v>13</v>
      </c>
      <c r="D200" s="44" t="b">
        <f>_xlfn.XLOOKUP(Table3[[#This Row],[instant]],Table1[instant],Table1[holiday], ,0,1)</f>
        <v>0</v>
      </c>
      <c r="E200" s="44">
        <f>_xlfn.XLOOKUP(Table3[[#This Row],[instant]],Table1[instant],Table1[weekday], ,0,1)</f>
        <v>0</v>
      </c>
      <c r="F200" s="44">
        <f>_xlfn.XLOOKUP(Table3[[#This Row],[instant]],Table1[instant],Table1[weathersit], ,0,1)</f>
        <v>1</v>
      </c>
      <c r="G200" s="44">
        <f>_xlfn.XLOOKUP(Table3[[#This Row],[instant]],Table1[instant],Table1[temp], ,0,1)</f>
        <v>0.2</v>
      </c>
      <c r="H200" s="45">
        <f>_xlfn.XLOOKUP(Table3[[#This Row],[instant]],Table2[instant],Table2[atemp], ,0,1)</f>
        <v>0.16669999999999999</v>
      </c>
      <c r="I200" s="42">
        <f>_xlfn.XLOOKUP(Table3[[#This Row],[instant]],Table2[instant],Table2[hum], ,0,1)</f>
        <v>0.34</v>
      </c>
      <c r="J200" s="42">
        <f>_xlfn.XLOOKUP(Table3[[#This Row],[instant]],Table2[instant],Table2[windspeed], ,0,1)</f>
        <v>0.44779999999999998</v>
      </c>
      <c r="K200" s="42">
        <f>_xlfn.XLOOKUP(Table3[[#This Row],[instant]],Table2[instant],Table2[casual], ,0,1)</f>
        <v>6</v>
      </c>
      <c r="L200" s="42">
        <f>_xlfn.XLOOKUP(Table3[[#This Row],[instant]],Table2[instant],Table2[registered], ,0,1)</f>
        <v>69</v>
      </c>
      <c r="M200" s="46">
        <f>_xlfn.XLOOKUP(Table3[[#This Row],[instant]],Table2[instant],Table2[cnt], ,0,1)</f>
        <v>75</v>
      </c>
      <c r="N200" s="42" t="str">
        <f>IF(OR(Table3[[#This Row],[weekday]]=0,Table3[[#This Row],[weekday]]=6),"Weekend","Weekday")</f>
        <v>Weekend</v>
      </c>
    </row>
    <row r="201" spans="1:14" ht="15" thickBot="1" x14ac:dyDescent="0.35">
      <c r="A201" s="1">
        <v>200</v>
      </c>
      <c r="B201" s="3">
        <f>_xlfn.XLOOKUP(Table3[[#This Row],[instant]],DatSet1!A201:A810,DatSet1!B201:B810,_xlfn.XLOOKUP(Table3[[#This Row],[instant]],'Final Data'!A201:A590,'Final Data'!B201:B590, ,0,1),0,1)</f>
        <v>40552</v>
      </c>
      <c r="C201" s="1">
        <f>_xlfn.XLOOKUP(Table3[[#This Row],[instant]],Table1[instant],Table1[hr], ,0,1)</f>
        <v>14</v>
      </c>
      <c r="D201" s="2" t="b">
        <f>_xlfn.XLOOKUP(Table3[[#This Row],[instant]],Table1[instant],Table1[holiday], ,0,1)</f>
        <v>0</v>
      </c>
      <c r="E201" s="2">
        <f>_xlfn.XLOOKUP(Table3[[#This Row],[instant]],Table1[instant],Table1[weekday], ,0,1)</f>
        <v>0</v>
      </c>
      <c r="F201" s="2">
        <f>_xlfn.XLOOKUP(Table3[[#This Row],[instant]],Table1[instant],Table1[weathersit], ,0,1)</f>
        <v>1</v>
      </c>
      <c r="G201" s="2">
        <f>_xlfn.XLOOKUP(Table3[[#This Row],[instant]],Table1[instant],Table1[temp], ,0,1)</f>
        <v>0.22</v>
      </c>
      <c r="H201" s="24">
        <f>_xlfn.XLOOKUP(Table3[[#This Row],[instant]],Table2[instant],Table2[atemp], ,0,1)</f>
        <v>0.18179999999999999</v>
      </c>
      <c r="I201" s="1">
        <f>_xlfn.XLOOKUP(Table3[[#This Row],[instant]],Table2[instant],Table2[hum], ,0,1)</f>
        <v>0.32</v>
      </c>
      <c r="J201" s="1">
        <f>_xlfn.XLOOKUP(Table3[[#This Row],[instant]],Table2[instant],Table2[windspeed], ,0,1)</f>
        <v>0.4627</v>
      </c>
      <c r="K201" s="1">
        <f>_xlfn.XLOOKUP(Table3[[#This Row],[instant]],Table2[instant],Table2[casual], ,0,1)</f>
        <v>8</v>
      </c>
      <c r="L201" s="1">
        <f>_xlfn.XLOOKUP(Table3[[#This Row],[instant]],Table2[instant],Table2[registered], ,0,1)</f>
        <v>64</v>
      </c>
      <c r="M201" s="6">
        <f>_xlfn.XLOOKUP(Table3[[#This Row],[instant]],Table2[instant],Table2[cnt], ,0,1)</f>
        <v>72</v>
      </c>
      <c r="N201" s="1" t="str">
        <f>IF(OR(Table3[[#This Row],[weekday]]=0,Table3[[#This Row],[weekday]]=6),"Weekend","Weekday")</f>
        <v>Weekend</v>
      </c>
    </row>
    <row r="202" spans="1:14" ht="15" thickBot="1" x14ac:dyDescent="0.35">
      <c r="A202" s="42">
        <v>201</v>
      </c>
      <c r="B202" s="43">
        <f>_xlfn.XLOOKUP(Table3[[#This Row],[instant]],DatSet1!A202:A811,DatSet1!B202:B811,_xlfn.XLOOKUP(Table3[[#This Row],[instant]],'Final Data'!A202:A591,'Final Data'!B202:B591, ,0,1),0,1)</f>
        <v>40552</v>
      </c>
      <c r="C202" s="42">
        <f>_xlfn.XLOOKUP(Table3[[#This Row],[instant]],Table1[instant],Table1[hr], ,0,1)</f>
        <v>15</v>
      </c>
      <c r="D202" s="44" t="b">
        <f>_xlfn.XLOOKUP(Table3[[#This Row],[instant]],Table1[instant],Table1[holiday], ,0,1)</f>
        <v>0</v>
      </c>
      <c r="E202" s="44">
        <f>_xlfn.XLOOKUP(Table3[[#This Row],[instant]],Table1[instant],Table1[weekday], ,0,1)</f>
        <v>0</v>
      </c>
      <c r="F202" s="44">
        <f>_xlfn.XLOOKUP(Table3[[#This Row],[instant]],Table1[instant],Table1[weathersit], ,0,1)</f>
        <v>1</v>
      </c>
      <c r="G202" s="44">
        <f>_xlfn.XLOOKUP(Table3[[#This Row],[instant]],Table1[instant],Table1[temp], ,0,1)</f>
        <v>0.22</v>
      </c>
      <c r="H202" s="45">
        <f>_xlfn.XLOOKUP(Table3[[#This Row],[instant]],Table2[instant],Table2[atemp], ,0,1)</f>
        <v>0.19700000000000001</v>
      </c>
      <c r="I202" s="42">
        <f>_xlfn.XLOOKUP(Table3[[#This Row],[instant]],Table2[instant],Table2[hum], ,0,1)</f>
        <v>0.35</v>
      </c>
      <c r="J202" s="42">
        <f>_xlfn.XLOOKUP(Table3[[#This Row],[instant]],Table2[instant],Table2[windspeed], ,0,1)</f>
        <v>0.35820000000000002</v>
      </c>
      <c r="K202" s="42">
        <f>_xlfn.XLOOKUP(Table3[[#This Row],[instant]],Table2[instant],Table2[casual], ,0,1)</f>
        <v>5</v>
      </c>
      <c r="L202" s="42">
        <f>_xlfn.XLOOKUP(Table3[[#This Row],[instant]],Table2[instant],Table2[registered], ,0,1)</f>
        <v>77</v>
      </c>
      <c r="M202" s="46">
        <f>_xlfn.XLOOKUP(Table3[[#This Row],[instant]],Table2[instant],Table2[cnt], ,0,1)</f>
        <v>82</v>
      </c>
      <c r="N202" s="42" t="str">
        <f>IF(OR(Table3[[#This Row],[weekday]]=0,Table3[[#This Row],[weekday]]=6),"Weekend","Weekday")</f>
        <v>Weekend</v>
      </c>
    </row>
    <row r="203" spans="1:14" ht="15" thickBot="1" x14ac:dyDescent="0.35">
      <c r="A203" s="1">
        <v>202</v>
      </c>
      <c r="B203" s="3">
        <f>_xlfn.XLOOKUP(Table3[[#This Row],[instant]],DatSet1!A203:A812,DatSet1!B203:B812,_xlfn.XLOOKUP(Table3[[#This Row],[instant]],'Final Data'!A203:A592,'Final Data'!B203:B592, ,0,1),0,1)</f>
        <v>40552</v>
      </c>
      <c r="C203" s="1">
        <f>_xlfn.XLOOKUP(Table3[[#This Row],[instant]],Table1[instant],Table1[hr], ,0,1)</f>
        <v>16</v>
      </c>
      <c r="D203" s="2" t="b">
        <f>_xlfn.XLOOKUP(Table3[[#This Row],[instant]],Table1[instant],Table1[holiday], ,0,1)</f>
        <v>0</v>
      </c>
      <c r="E203" s="2">
        <f>_xlfn.XLOOKUP(Table3[[#This Row],[instant]],Table1[instant],Table1[weekday], ,0,1)</f>
        <v>0</v>
      </c>
      <c r="F203" s="2">
        <f>_xlfn.XLOOKUP(Table3[[#This Row],[instant]],Table1[instant],Table1[weathersit], ,0,1)</f>
        <v>1</v>
      </c>
      <c r="G203" s="2">
        <f>_xlfn.XLOOKUP(Table3[[#This Row],[instant]],Table1[instant],Table1[temp], ,0,1)</f>
        <v>0.2</v>
      </c>
      <c r="H203" s="24">
        <f>_xlfn.XLOOKUP(Table3[[#This Row],[instant]],Table2[instant],Table2[atemp], ,0,1)</f>
        <v>0.16669999999999999</v>
      </c>
      <c r="I203" s="1">
        <f>_xlfn.XLOOKUP(Table3[[#This Row],[instant]],Table2[instant],Table2[hum], ,0,1)</f>
        <v>0.34</v>
      </c>
      <c r="J203" s="1">
        <f>_xlfn.XLOOKUP(Table3[[#This Row],[instant]],Table2[instant],Table2[windspeed], ,0,1)</f>
        <v>0.44779999999999998</v>
      </c>
      <c r="K203" s="1">
        <f>_xlfn.XLOOKUP(Table3[[#This Row],[instant]],Table2[instant],Table2[casual], ,0,1)</f>
        <v>13</v>
      </c>
      <c r="L203" s="1">
        <f>_xlfn.XLOOKUP(Table3[[#This Row],[instant]],Table2[instant],Table2[registered], ,0,1)</f>
        <v>79</v>
      </c>
      <c r="M203" s="6">
        <f>_xlfn.XLOOKUP(Table3[[#This Row],[instant]],Table2[instant],Table2[cnt], ,0,1)</f>
        <v>92</v>
      </c>
      <c r="N203" s="1" t="str">
        <f>IF(OR(Table3[[#This Row],[weekday]]=0,Table3[[#This Row],[weekday]]=6),"Weekend","Weekday")</f>
        <v>Weekend</v>
      </c>
    </row>
    <row r="204" spans="1:14" ht="15" thickBot="1" x14ac:dyDescent="0.35">
      <c r="A204" s="42">
        <v>203</v>
      </c>
      <c r="B204" s="43">
        <f>_xlfn.XLOOKUP(Table3[[#This Row],[instant]],DatSet1!A204:A813,DatSet1!B204:B813,_xlfn.XLOOKUP(Table3[[#This Row],[instant]],'Final Data'!A204:A593,'Final Data'!B204:B593, ,0,1),0,1)</f>
        <v>40552</v>
      </c>
      <c r="C204" s="42">
        <f>_xlfn.XLOOKUP(Table3[[#This Row],[instant]],Table1[instant],Table1[hr], ,0,1)</f>
        <v>17</v>
      </c>
      <c r="D204" s="44" t="b">
        <f>_xlfn.XLOOKUP(Table3[[#This Row],[instant]],Table1[instant],Table1[holiday], ,0,1)</f>
        <v>0</v>
      </c>
      <c r="E204" s="44">
        <f>_xlfn.XLOOKUP(Table3[[#This Row],[instant]],Table1[instant],Table1[weekday], ,0,1)</f>
        <v>0</v>
      </c>
      <c r="F204" s="44">
        <f>_xlfn.XLOOKUP(Table3[[#This Row],[instant]],Table1[instant],Table1[weathersit], ,0,1)</f>
        <v>1</v>
      </c>
      <c r="G204" s="44">
        <f>_xlfn.XLOOKUP(Table3[[#This Row],[instant]],Table1[instant],Table1[temp], ,0,1)</f>
        <v>0.18</v>
      </c>
      <c r="H204" s="45">
        <f>_xlfn.XLOOKUP(Table3[[#This Row],[instant]],Table2[instant],Table2[atemp], ,0,1)</f>
        <v>0.1515</v>
      </c>
      <c r="I204" s="42">
        <f>_xlfn.XLOOKUP(Table3[[#This Row],[instant]],Table2[instant],Table2[hum], ,0,1)</f>
        <v>0.37</v>
      </c>
      <c r="J204" s="42">
        <f>_xlfn.XLOOKUP(Table3[[#This Row],[instant]],Table2[instant],Table2[windspeed], ,0,1)</f>
        <v>0.3881</v>
      </c>
      <c r="K204" s="42">
        <f>_xlfn.XLOOKUP(Table3[[#This Row],[instant]],Table2[instant],Table2[casual], ,0,1)</f>
        <v>3</v>
      </c>
      <c r="L204" s="42">
        <f>_xlfn.XLOOKUP(Table3[[#This Row],[instant]],Table2[instant],Table2[registered], ,0,1)</f>
        <v>59</v>
      </c>
      <c r="M204" s="46">
        <f>_xlfn.XLOOKUP(Table3[[#This Row],[instant]],Table2[instant],Table2[cnt], ,0,1)</f>
        <v>62</v>
      </c>
      <c r="N204" s="42" t="str">
        <f>IF(OR(Table3[[#This Row],[weekday]]=0,Table3[[#This Row],[weekday]]=6),"Weekend","Weekday")</f>
        <v>Weekend</v>
      </c>
    </row>
    <row r="205" spans="1:14" ht="15" thickBot="1" x14ac:dyDescent="0.35">
      <c r="A205" s="1">
        <v>204</v>
      </c>
      <c r="B205" s="3">
        <f>_xlfn.XLOOKUP(Table3[[#This Row],[instant]],DatSet1!A205:A814,DatSet1!B205:B814,_xlfn.XLOOKUP(Table3[[#This Row],[instant]],'Final Data'!A205:A594,'Final Data'!B205:B594, ,0,1),0,1)</f>
        <v>40552</v>
      </c>
      <c r="C205" s="1">
        <f>_xlfn.XLOOKUP(Table3[[#This Row],[instant]],Table1[instant],Table1[hr], ,0,1)</f>
        <v>18</v>
      </c>
      <c r="D205" s="2" t="b">
        <f>_xlfn.XLOOKUP(Table3[[#This Row],[instant]],Table1[instant],Table1[holiday], ,0,1)</f>
        <v>0</v>
      </c>
      <c r="E205" s="2">
        <f>_xlfn.XLOOKUP(Table3[[#This Row],[instant]],Table1[instant],Table1[weekday], ,0,1)</f>
        <v>0</v>
      </c>
      <c r="F205" s="2">
        <f>_xlfn.XLOOKUP(Table3[[#This Row],[instant]],Table1[instant],Table1[weathersit], ,0,1)</f>
        <v>1</v>
      </c>
      <c r="G205" s="2">
        <f>_xlfn.XLOOKUP(Table3[[#This Row],[instant]],Table1[instant],Table1[temp], ,0,1)</f>
        <v>0.16</v>
      </c>
      <c r="H205" s="24">
        <f>_xlfn.XLOOKUP(Table3[[#This Row],[instant]],Table2[instant],Table2[atemp], ,0,1)</f>
        <v>0.13639999999999999</v>
      </c>
      <c r="I205" s="1">
        <f>_xlfn.XLOOKUP(Table3[[#This Row],[instant]],Table2[instant],Table2[hum], ,0,1)</f>
        <v>0.4</v>
      </c>
      <c r="J205" s="1">
        <f>_xlfn.XLOOKUP(Table3[[#This Row],[instant]],Table2[instant],Table2[windspeed], ,0,1)</f>
        <v>0.32840000000000003</v>
      </c>
      <c r="K205" s="1">
        <f>_xlfn.XLOOKUP(Table3[[#This Row],[instant]],Table2[instant],Table2[casual], ,0,1)</f>
        <v>4</v>
      </c>
      <c r="L205" s="1">
        <f>_xlfn.XLOOKUP(Table3[[#This Row],[instant]],Table2[instant],Table2[registered], ,0,1)</f>
        <v>44</v>
      </c>
      <c r="M205" s="6">
        <f>_xlfn.XLOOKUP(Table3[[#This Row],[instant]],Table2[instant],Table2[cnt], ,0,1)</f>
        <v>48</v>
      </c>
      <c r="N205" s="1" t="str">
        <f>IF(OR(Table3[[#This Row],[weekday]]=0,Table3[[#This Row],[weekday]]=6),"Weekend","Weekday")</f>
        <v>Weekend</v>
      </c>
    </row>
    <row r="206" spans="1:14" ht="15" thickBot="1" x14ac:dyDescent="0.35">
      <c r="A206" s="42">
        <v>205</v>
      </c>
      <c r="B206" s="43">
        <f>_xlfn.XLOOKUP(Table3[[#This Row],[instant]],DatSet1!A206:A815,DatSet1!B206:B815,_xlfn.XLOOKUP(Table3[[#This Row],[instant]],'Final Data'!A206:A595,'Final Data'!B206:B595, ,0,1),0,1)</f>
        <v>40552</v>
      </c>
      <c r="C206" s="42">
        <f>_xlfn.XLOOKUP(Table3[[#This Row],[instant]],Table1[instant],Table1[hr], ,0,1)</f>
        <v>19</v>
      </c>
      <c r="D206" s="44" t="b">
        <f>_xlfn.XLOOKUP(Table3[[#This Row],[instant]],Table1[instant],Table1[holiday], ,0,1)</f>
        <v>0</v>
      </c>
      <c r="E206" s="44">
        <f>_xlfn.XLOOKUP(Table3[[#This Row],[instant]],Table1[instant],Table1[weekday], ,0,1)</f>
        <v>0</v>
      </c>
      <c r="F206" s="44">
        <f>_xlfn.XLOOKUP(Table3[[#This Row],[instant]],Table1[instant],Table1[weathersit], ,0,1)</f>
        <v>1</v>
      </c>
      <c r="G206" s="44">
        <f>_xlfn.XLOOKUP(Table3[[#This Row],[instant]],Table1[instant],Table1[temp], ,0,1)</f>
        <v>0.16</v>
      </c>
      <c r="H206" s="45">
        <f>_xlfn.XLOOKUP(Table3[[#This Row],[instant]],Table2[instant],Table2[atemp], ,0,1)</f>
        <v>0.13639999999999999</v>
      </c>
      <c r="I206" s="42">
        <f>_xlfn.XLOOKUP(Table3[[#This Row],[instant]],Table2[instant],Table2[hum], ,0,1)</f>
        <v>0.43</v>
      </c>
      <c r="J206" s="42">
        <f>_xlfn.XLOOKUP(Table3[[#This Row],[instant]],Table2[instant],Table2[windspeed], ,0,1)</f>
        <v>0.32840000000000003</v>
      </c>
      <c r="K206" s="42">
        <f>_xlfn.XLOOKUP(Table3[[#This Row],[instant]],Table2[instant],Table2[casual], ,0,1)</f>
        <v>1</v>
      </c>
      <c r="L206" s="42">
        <f>_xlfn.XLOOKUP(Table3[[#This Row],[instant]],Table2[instant],Table2[registered], ,0,1)</f>
        <v>40</v>
      </c>
      <c r="M206" s="46">
        <f>_xlfn.XLOOKUP(Table3[[#This Row],[instant]],Table2[instant],Table2[cnt], ,0,1)</f>
        <v>41</v>
      </c>
      <c r="N206" s="42" t="str">
        <f>IF(OR(Table3[[#This Row],[weekday]]=0,Table3[[#This Row],[weekday]]=6),"Weekend","Weekday")</f>
        <v>Weekend</v>
      </c>
    </row>
    <row r="207" spans="1:14" ht="15" thickBot="1" x14ac:dyDescent="0.35">
      <c r="A207" s="1">
        <v>206</v>
      </c>
      <c r="B207" s="3">
        <f>_xlfn.XLOOKUP(Table3[[#This Row],[instant]],DatSet1!A207:A816,DatSet1!B207:B816,_xlfn.XLOOKUP(Table3[[#This Row],[instant]],'Final Data'!A207:A596,'Final Data'!B207:B596, ,0,1),0,1)</f>
        <v>40552</v>
      </c>
      <c r="C207" s="1">
        <f>_xlfn.XLOOKUP(Table3[[#This Row],[instant]],Table1[instant],Table1[hr], ,0,1)</f>
        <v>20</v>
      </c>
      <c r="D207" s="2" t="b">
        <f>_xlfn.XLOOKUP(Table3[[#This Row],[instant]],Table1[instant],Table1[holiday], ,0,1)</f>
        <v>0</v>
      </c>
      <c r="E207" s="2">
        <f>_xlfn.XLOOKUP(Table3[[#This Row],[instant]],Table1[instant],Table1[weekday], ,0,1)</f>
        <v>0</v>
      </c>
      <c r="F207" s="2">
        <f>_xlfn.XLOOKUP(Table3[[#This Row],[instant]],Table1[instant],Table1[weathersit], ,0,1)</f>
        <v>1</v>
      </c>
      <c r="G207" s="2">
        <f>_xlfn.XLOOKUP(Table3[[#This Row],[instant]],Table1[instant],Table1[temp], ,0,1)</f>
        <v>0.14000000000000001</v>
      </c>
      <c r="H207" s="24">
        <f>_xlfn.XLOOKUP(Table3[[#This Row],[instant]],Table2[instant],Table2[atemp], ,0,1)</f>
        <v>0.1212</v>
      </c>
      <c r="I207" s="1">
        <f>_xlfn.XLOOKUP(Table3[[#This Row],[instant]],Table2[instant],Table2[hum], ,0,1)</f>
        <v>0.46</v>
      </c>
      <c r="J207" s="1">
        <f>_xlfn.XLOOKUP(Table3[[#This Row],[instant]],Table2[instant],Table2[windspeed], ,0,1)</f>
        <v>0.25369999999999998</v>
      </c>
      <c r="K207" s="1">
        <f>_xlfn.XLOOKUP(Table3[[#This Row],[instant]],Table2[instant],Table2[casual], ,0,1)</f>
        <v>0</v>
      </c>
      <c r="L207" s="1">
        <f>_xlfn.XLOOKUP(Table3[[#This Row],[instant]],Table2[instant],Table2[registered], ,0,1)</f>
        <v>38</v>
      </c>
      <c r="M207" s="6">
        <f>_xlfn.XLOOKUP(Table3[[#This Row],[instant]],Table2[instant],Table2[cnt], ,0,1)</f>
        <v>38</v>
      </c>
      <c r="N207" s="1" t="str">
        <f>IF(OR(Table3[[#This Row],[weekday]]=0,Table3[[#This Row],[weekday]]=6),"Weekend","Weekday")</f>
        <v>Weekend</v>
      </c>
    </row>
    <row r="208" spans="1:14" ht="15" thickBot="1" x14ac:dyDescent="0.35">
      <c r="A208" s="42">
        <v>207</v>
      </c>
      <c r="B208" s="43">
        <f>_xlfn.XLOOKUP(Table3[[#This Row],[instant]],DatSet1!A208:A817,DatSet1!B208:B817,_xlfn.XLOOKUP(Table3[[#This Row],[instant]],'Final Data'!A208:A597,'Final Data'!B208:B597, ,0,1),0,1)</f>
        <v>40552</v>
      </c>
      <c r="C208" s="42">
        <f>_xlfn.XLOOKUP(Table3[[#This Row],[instant]],Table1[instant],Table1[hr], ,0,1)</f>
        <v>21</v>
      </c>
      <c r="D208" s="44" t="b">
        <f>_xlfn.XLOOKUP(Table3[[#This Row],[instant]],Table1[instant],Table1[holiday], ,0,1)</f>
        <v>0</v>
      </c>
      <c r="E208" s="44">
        <f>_xlfn.XLOOKUP(Table3[[#This Row],[instant]],Table1[instant],Table1[weekday], ,0,1)</f>
        <v>0</v>
      </c>
      <c r="F208" s="44">
        <f>_xlfn.XLOOKUP(Table3[[#This Row],[instant]],Table1[instant],Table1[weathersit], ,0,1)</f>
        <v>1</v>
      </c>
      <c r="G208" s="44">
        <f>_xlfn.XLOOKUP(Table3[[#This Row],[instant]],Table1[instant],Table1[temp], ,0,1)</f>
        <v>0.14000000000000001</v>
      </c>
      <c r="H208" s="45">
        <f>_xlfn.XLOOKUP(Table3[[#This Row],[instant]],Table2[instant],Table2[atemp], ,0,1)</f>
        <v>0.1061</v>
      </c>
      <c r="I208" s="42">
        <f>_xlfn.XLOOKUP(Table3[[#This Row],[instant]],Table2[instant],Table2[hum], ,0,1)</f>
        <v>0.46</v>
      </c>
      <c r="J208" s="42">
        <f>_xlfn.XLOOKUP(Table3[[#This Row],[instant]],Table2[instant],Table2[windspeed], ,0,1)</f>
        <v>0.41789999999999999</v>
      </c>
      <c r="K208" s="42">
        <f>_xlfn.XLOOKUP(Table3[[#This Row],[instant]],Table2[instant],Table2[casual], ,0,1)</f>
        <v>1</v>
      </c>
      <c r="L208" s="42">
        <f>_xlfn.XLOOKUP(Table3[[#This Row],[instant]],Table2[instant],Table2[registered], ,0,1)</f>
        <v>19</v>
      </c>
      <c r="M208" s="46">
        <f>_xlfn.XLOOKUP(Table3[[#This Row],[instant]],Table2[instant],Table2[cnt], ,0,1)</f>
        <v>20</v>
      </c>
      <c r="N208" s="42" t="str">
        <f>IF(OR(Table3[[#This Row],[weekday]]=0,Table3[[#This Row],[weekday]]=6),"Weekend","Weekday")</f>
        <v>Weekend</v>
      </c>
    </row>
    <row r="209" spans="1:14" ht="15" thickBot="1" x14ac:dyDescent="0.35">
      <c r="A209" s="1">
        <v>208</v>
      </c>
      <c r="B209" s="3">
        <f>_xlfn.XLOOKUP(Table3[[#This Row],[instant]],DatSet1!A209:A818,DatSet1!B209:B818,_xlfn.XLOOKUP(Table3[[#This Row],[instant]],'Final Data'!A209:A598,'Final Data'!B209:B598, ,0,1),0,1)</f>
        <v>40552</v>
      </c>
      <c r="C209" s="1">
        <f>_xlfn.XLOOKUP(Table3[[#This Row],[instant]],Table1[instant],Table1[hr], ,0,1)</f>
        <v>22</v>
      </c>
      <c r="D209" s="2" t="b">
        <f>_xlfn.XLOOKUP(Table3[[#This Row],[instant]],Table1[instant],Table1[holiday], ,0,1)</f>
        <v>0</v>
      </c>
      <c r="E209" s="2">
        <f>_xlfn.XLOOKUP(Table3[[#This Row],[instant]],Table1[instant],Table1[weekday], ,0,1)</f>
        <v>0</v>
      </c>
      <c r="F209" s="2">
        <f>_xlfn.XLOOKUP(Table3[[#This Row],[instant]],Table1[instant],Table1[weathersit], ,0,1)</f>
        <v>1</v>
      </c>
      <c r="G209" s="2">
        <f>_xlfn.XLOOKUP(Table3[[#This Row],[instant]],Table1[instant],Table1[temp], ,0,1)</f>
        <v>0.14000000000000001</v>
      </c>
      <c r="H209" s="24">
        <f>_xlfn.XLOOKUP(Table3[[#This Row],[instant]],Table2[instant],Table2[atemp], ,0,1)</f>
        <v>0.1212</v>
      </c>
      <c r="I209" s="1">
        <f>_xlfn.XLOOKUP(Table3[[#This Row],[instant]],Table2[instant],Table2[hum], ,0,1)</f>
        <v>0.46</v>
      </c>
      <c r="J209" s="1">
        <f>_xlfn.XLOOKUP(Table3[[#This Row],[instant]],Table2[instant],Table2[windspeed], ,0,1)</f>
        <v>0.29849999999999999</v>
      </c>
      <c r="K209" s="1">
        <f>_xlfn.XLOOKUP(Table3[[#This Row],[instant]],Table2[instant],Table2[casual], ,0,1)</f>
        <v>5</v>
      </c>
      <c r="L209" s="1">
        <f>_xlfn.XLOOKUP(Table3[[#This Row],[instant]],Table2[instant],Table2[registered], ,0,1)</f>
        <v>10</v>
      </c>
      <c r="M209" s="6">
        <f>_xlfn.XLOOKUP(Table3[[#This Row],[instant]],Table2[instant],Table2[cnt], ,0,1)</f>
        <v>15</v>
      </c>
      <c r="N209" s="1" t="str">
        <f>IF(OR(Table3[[#This Row],[weekday]]=0,Table3[[#This Row],[weekday]]=6),"Weekend","Weekday")</f>
        <v>Weekend</v>
      </c>
    </row>
    <row r="210" spans="1:14" ht="15" thickBot="1" x14ac:dyDescent="0.35">
      <c r="A210" s="42">
        <v>209</v>
      </c>
      <c r="B210" s="43">
        <f>_xlfn.XLOOKUP(Table3[[#This Row],[instant]],DatSet1!A210:A819,DatSet1!B210:B819,_xlfn.XLOOKUP(Table3[[#This Row],[instant]],'Final Data'!A210:A599,'Final Data'!B210:B599, ,0,1),0,1)</f>
        <v>40552</v>
      </c>
      <c r="C210" s="42">
        <f>_xlfn.XLOOKUP(Table3[[#This Row],[instant]],Table1[instant],Table1[hr], ,0,1)</f>
        <v>23</v>
      </c>
      <c r="D210" s="44" t="b">
        <f>_xlfn.XLOOKUP(Table3[[#This Row],[instant]],Table1[instant],Table1[holiday], ,0,1)</f>
        <v>0</v>
      </c>
      <c r="E210" s="44">
        <f>_xlfn.XLOOKUP(Table3[[#This Row],[instant]],Table1[instant],Table1[weekday], ,0,1)</f>
        <v>0</v>
      </c>
      <c r="F210" s="44">
        <f>_xlfn.XLOOKUP(Table3[[#This Row],[instant]],Table1[instant],Table1[weathersit], ,0,1)</f>
        <v>1</v>
      </c>
      <c r="G210" s="44">
        <f>_xlfn.XLOOKUP(Table3[[#This Row],[instant]],Table1[instant],Table1[temp], ,0,1)</f>
        <v>0.12</v>
      </c>
      <c r="H210" s="45">
        <f>_xlfn.XLOOKUP(Table3[[#This Row],[instant]],Table2[instant],Table2[atemp], ,0,1)</f>
        <v>0.13639999999999999</v>
      </c>
      <c r="I210" s="42">
        <f>_xlfn.XLOOKUP(Table3[[#This Row],[instant]],Table2[instant],Table2[hum], ,0,1)</f>
        <v>0.5</v>
      </c>
      <c r="J210" s="42">
        <f>_xlfn.XLOOKUP(Table3[[#This Row],[instant]],Table2[instant],Table2[windspeed], ,0,1)</f>
        <v>0.19400000000000001</v>
      </c>
      <c r="K210" s="42">
        <f>_xlfn.XLOOKUP(Table3[[#This Row],[instant]],Table2[instant],Table2[casual], ,0,1)</f>
        <v>0</v>
      </c>
      <c r="L210" s="42">
        <f>_xlfn.XLOOKUP(Table3[[#This Row],[instant]],Table2[instant],Table2[registered], ,0,1)</f>
        <v>6</v>
      </c>
      <c r="M210" s="46">
        <f>_xlfn.XLOOKUP(Table3[[#This Row],[instant]],Table2[instant],Table2[cnt], ,0,1)</f>
        <v>6</v>
      </c>
      <c r="N210" s="42" t="str">
        <f>IF(OR(Table3[[#This Row],[weekday]]=0,Table3[[#This Row],[weekday]]=6),"Weekend","Weekday")</f>
        <v>Weekend</v>
      </c>
    </row>
    <row r="211" spans="1:14" ht="15" thickBot="1" x14ac:dyDescent="0.35">
      <c r="A211" s="1">
        <v>210</v>
      </c>
      <c r="B211" s="3">
        <f>_xlfn.XLOOKUP(Table3[[#This Row],[instant]],DatSet1!A211:A820,DatSet1!B211:B820,_xlfn.XLOOKUP(Table3[[#This Row],[instant]],'Final Data'!A211:A600,'Final Data'!B211:B600, ,0,1),0,1)</f>
        <v>40553</v>
      </c>
      <c r="C211" s="1">
        <f>_xlfn.XLOOKUP(Table3[[#This Row],[instant]],Table1[instant],Table1[hr], ,0,1)</f>
        <v>0</v>
      </c>
      <c r="D211" s="2" t="b">
        <f>_xlfn.XLOOKUP(Table3[[#This Row],[instant]],Table1[instant],Table1[holiday], ,0,1)</f>
        <v>0</v>
      </c>
      <c r="E211" s="2">
        <f>_xlfn.XLOOKUP(Table3[[#This Row],[instant]],Table1[instant],Table1[weekday], ,0,1)</f>
        <v>1</v>
      </c>
      <c r="F211" s="2">
        <f>_xlfn.XLOOKUP(Table3[[#This Row],[instant]],Table1[instant],Table1[weathersit], ,0,1)</f>
        <v>1</v>
      </c>
      <c r="G211" s="2">
        <f>_xlfn.XLOOKUP(Table3[[#This Row],[instant]],Table1[instant],Table1[temp], ,0,1)</f>
        <v>0.12</v>
      </c>
      <c r="H211" s="24">
        <f>_xlfn.XLOOKUP(Table3[[#This Row],[instant]],Table2[instant],Table2[atemp], ,0,1)</f>
        <v>0.1212</v>
      </c>
      <c r="I211" s="1">
        <f>_xlfn.XLOOKUP(Table3[[#This Row],[instant]],Table2[instant],Table2[hum], ,0,1)</f>
        <v>0.5</v>
      </c>
      <c r="J211" s="1">
        <f>_xlfn.XLOOKUP(Table3[[#This Row],[instant]],Table2[instant],Table2[windspeed], ,0,1)</f>
        <v>0.28360000000000002</v>
      </c>
      <c r="K211" s="1">
        <f>_xlfn.XLOOKUP(Table3[[#This Row],[instant]],Table2[instant],Table2[casual], ,0,1)</f>
        <v>2</v>
      </c>
      <c r="L211" s="1">
        <f>_xlfn.XLOOKUP(Table3[[#This Row],[instant]],Table2[instant],Table2[registered], ,0,1)</f>
        <v>3</v>
      </c>
      <c r="M211" s="6">
        <f>_xlfn.XLOOKUP(Table3[[#This Row],[instant]],Table2[instant],Table2[cnt], ,0,1)</f>
        <v>5</v>
      </c>
      <c r="N211" s="1" t="str">
        <f>IF(OR(Table3[[#This Row],[weekday]]=0,Table3[[#This Row],[weekday]]=6),"Weekend","Weekday")</f>
        <v>Weekday</v>
      </c>
    </row>
    <row r="212" spans="1:14" ht="15" thickBot="1" x14ac:dyDescent="0.35">
      <c r="A212" s="42">
        <v>211</v>
      </c>
      <c r="B212" s="43">
        <f>_xlfn.XLOOKUP(Table3[[#This Row],[instant]],DatSet1!A212:A821,DatSet1!B212:B821,_xlfn.XLOOKUP(Table3[[#This Row],[instant]],'Final Data'!A212:A601,'Final Data'!B212:B601, ,0,1),0,1)</f>
        <v>40553</v>
      </c>
      <c r="C212" s="42">
        <f>_xlfn.XLOOKUP(Table3[[#This Row],[instant]],Table1[instant],Table1[hr], ,0,1)</f>
        <v>1</v>
      </c>
      <c r="D212" s="44" t="b">
        <f>_xlfn.XLOOKUP(Table3[[#This Row],[instant]],Table1[instant],Table1[holiday], ,0,1)</f>
        <v>0</v>
      </c>
      <c r="E212" s="44">
        <f>_xlfn.XLOOKUP(Table3[[#This Row],[instant]],Table1[instant],Table1[weekday], ,0,1)</f>
        <v>1</v>
      </c>
      <c r="F212" s="44">
        <f>_xlfn.XLOOKUP(Table3[[#This Row],[instant]],Table1[instant],Table1[weathersit], ,0,1)</f>
        <v>1</v>
      </c>
      <c r="G212" s="44">
        <f>_xlfn.XLOOKUP(Table3[[#This Row],[instant]],Table1[instant],Table1[temp], ,0,1)</f>
        <v>0.12</v>
      </c>
      <c r="H212" s="45">
        <f>_xlfn.XLOOKUP(Table3[[#This Row],[instant]],Table2[instant],Table2[atemp], ,0,1)</f>
        <v>0.1212</v>
      </c>
      <c r="I212" s="42">
        <f>_xlfn.XLOOKUP(Table3[[#This Row],[instant]],Table2[instant],Table2[hum], ,0,1)</f>
        <v>0.5</v>
      </c>
      <c r="J212" s="42">
        <f>_xlfn.XLOOKUP(Table3[[#This Row],[instant]],Table2[instant],Table2[windspeed], ,0,1)</f>
        <v>0.28360000000000002</v>
      </c>
      <c r="K212" s="42">
        <f>_xlfn.XLOOKUP(Table3[[#This Row],[instant]],Table2[instant],Table2[casual], ,0,1)</f>
        <v>1</v>
      </c>
      <c r="L212" s="42">
        <f>_xlfn.XLOOKUP(Table3[[#This Row],[instant]],Table2[instant],Table2[registered], ,0,1)</f>
        <v>0</v>
      </c>
      <c r="M212" s="46">
        <f>_xlfn.XLOOKUP(Table3[[#This Row],[instant]],Table2[instant],Table2[cnt], ,0,1)</f>
        <v>1</v>
      </c>
      <c r="N212" s="42" t="str">
        <f>IF(OR(Table3[[#This Row],[weekday]]=0,Table3[[#This Row],[weekday]]=6),"Weekend","Weekday")</f>
        <v>Weekday</v>
      </c>
    </row>
    <row r="213" spans="1:14" ht="15" thickBot="1" x14ac:dyDescent="0.35">
      <c r="A213" s="1">
        <v>212</v>
      </c>
      <c r="B213" s="3">
        <f>_xlfn.XLOOKUP(Table3[[#This Row],[instant]],DatSet1!A213:A822,DatSet1!B213:B822,_xlfn.XLOOKUP(Table3[[#This Row],[instant]],'Final Data'!A213:A602,'Final Data'!B213:B602, ,0,1),0,1)</f>
        <v>40553</v>
      </c>
      <c r="C213" s="1">
        <f>_xlfn.XLOOKUP(Table3[[#This Row],[instant]],Table1[instant],Table1[hr], ,0,1)</f>
        <v>2</v>
      </c>
      <c r="D213" s="2" t="b">
        <f>_xlfn.XLOOKUP(Table3[[#This Row],[instant]],Table1[instant],Table1[holiday], ,0,1)</f>
        <v>0</v>
      </c>
      <c r="E213" s="2">
        <f>_xlfn.XLOOKUP(Table3[[#This Row],[instant]],Table1[instant],Table1[weekday], ,0,1)</f>
        <v>1</v>
      </c>
      <c r="F213" s="2">
        <f>_xlfn.XLOOKUP(Table3[[#This Row],[instant]],Table1[instant],Table1[weathersit], ,0,1)</f>
        <v>1</v>
      </c>
      <c r="G213" s="2">
        <f>_xlfn.XLOOKUP(Table3[[#This Row],[instant]],Table1[instant],Table1[temp], ,0,1)</f>
        <v>0.12</v>
      </c>
      <c r="H213" s="24">
        <f>_xlfn.XLOOKUP(Table3[[#This Row],[instant]],Table2[instant],Table2[atemp], ,0,1)</f>
        <v>0.1212</v>
      </c>
      <c r="I213" s="1">
        <f>_xlfn.XLOOKUP(Table3[[#This Row],[instant]],Table2[instant],Table2[hum], ,0,1)</f>
        <v>0.5</v>
      </c>
      <c r="J213" s="1">
        <f>_xlfn.XLOOKUP(Table3[[#This Row],[instant]],Table2[instant],Table2[windspeed], ,0,1)</f>
        <v>0.22389999999999999</v>
      </c>
      <c r="K213" s="1">
        <f>_xlfn.XLOOKUP(Table3[[#This Row],[instant]],Table2[instant],Table2[casual], ,0,1)</f>
        <v>0</v>
      </c>
      <c r="L213" s="1">
        <f>_xlfn.XLOOKUP(Table3[[#This Row],[instant]],Table2[instant],Table2[registered], ,0,1)</f>
        <v>3</v>
      </c>
      <c r="M213" s="6">
        <f>_xlfn.XLOOKUP(Table3[[#This Row],[instant]],Table2[instant],Table2[cnt], ,0,1)</f>
        <v>3</v>
      </c>
      <c r="N213" s="1" t="str">
        <f>IF(OR(Table3[[#This Row],[weekday]]=0,Table3[[#This Row],[weekday]]=6),"Weekend","Weekday")</f>
        <v>Weekday</v>
      </c>
    </row>
    <row r="214" spans="1:14" ht="15" thickBot="1" x14ac:dyDescent="0.35">
      <c r="A214" s="42">
        <v>213</v>
      </c>
      <c r="B214" s="43">
        <f>_xlfn.XLOOKUP(Table3[[#This Row],[instant]],DatSet1!A214:A823,DatSet1!B214:B823,_xlfn.XLOOKUP(Table3[[#This Row],[instant]],'Final Data'!A214:A603,'Final Data'!B214:B603, ,0,1),0,1)</f>
        <v>40553</v>
      </c>
      <c r="C214" s="42">
        <f>_xlfn.XLOOKUP(Table3[[#This Row],[instant]],Table1[instant],Table1[hr], ,0,1)</f>
        <v>3</v>
      </c>
      <c r="D214" s="44" t="b">
        <f>_xlfn.XLOOKUP(Table3[[#This Row],[instant]],Table1[instant],Table1[holiday], ,0,1)</f>
        <v>0</v>
      </c>
      <c r="E214" s="44">
        <f>_xlfn.XLOOKUP(Table3[[#This Row],[instant]],Table1[instant],Table1[weekday], ,0,1)</f>
        <v>1</v>
      </c>
      <c r="F214" s="44">
        <f>_xlfn.XLOOKUP(Table3[[#This Row],[instant]],Table1[instant],Table1[weathersit], ,0,1)</f>
        <v>1</v>
      </c>
      <c r="G214" s="44">
        <f>_xlfn.XLOOKUP(Table3[[#This Row],[instant]],Table1[instant],Table1[temp], ,0,1)</f>
        <v>0.12</v>
      </c>
      <c r="H214" s="45">
        <f>_xlfn.XLOOKUP(Table3[[#This Row],[instant]],Table2[instant],Table2[atemp], ,0,1)</f>
        <v>0.1212</v>
      </c>
      <c r="I214" s="42">
        <f>_xlfn.XLOOKUP(Table3[[#This Row],[instant]],Table2[instant],Table2[hum], ,0,1)</f>
        <v>0.5</v>
      </c>
      <c r="J214" s="42">
        <f>_xlfn.XLOOKUP(Table3[[#This Row],[instant]],Table2[instant],Table2[windspeed], ,0,1)</f>
        <v>0.22389999999999999</v>
      </c>
      <c r="K214" s="42">
        <f>_xlfn.XLOOKUP(Table3[[#This Row],[instant]],Table2[instant],Table2[casual], ,0,1)</f>
        <v>0</v>
      </c>
      <c r="L214" s="42">
        <f>_xlfn.XLOOKUP(Table3[[#This Row],[instant]],Table2[instant],Table2[registered], ,0,1)</f>
        <v>1</v>
      </c>
      <c r="M214" s="46">
        <f>_xlfn.XLOOKUP(Table3[[#This Row],[instant]],Table2[instant],Table2[cnt], ,0,1)</f>
        <v>1</v>
      </c>
      <c r="N214" s="42" t="str">
        <f>IF(OR(Table3[[#This Row],[weekday]]=0,Table3[[#This Row],[weekday]]=6),"Weekend","Weekday")</f>
        <v>Weekday</v>
      </c>
    </row>
    <row r="215" spans="1:14" ht="15" thickBot="1" x14ac:dyDescent="0.35">
      <c r="A215" s="1">
        <v>214</v>
      </c>
      <c r="B215" s="3">
        <f>_xlfn.XLOOKUP(Table3[[#This Row],[instant]],DatSet1!A215:A824,DatSet1!B215:B824,_xlfn.XLOOKUP(Table3[[#This Row],[instant]],'Final Data'!A215:A604,'Final Data'!B215:B604, ,0,1),0,1)</f>
        <v>40553</v>
      </c>
      <c r="C215" s="1">
        <f>_xlfn.XLOOKUP(Table3[[#This Row],[instant]],Table1[instant],Table1[hr], ,0,1)</f>
        <v>4</v>
      </c>
      <c r="D215" s="2" t="b">
        <f>_xlfn.XLOOKUP(Table3[[#This Row],[instant]],Table1[instant],Table1[holiday], ,0,1)</f>
        <v>0</v>
      </c>
      <c r="E215" s="2">
        <f>_xlfn.XLOOKUP(Table3[[#This Row],[instant]],Table1[instant],Table1[weekday], ,0,1)</f>
        <v>1</v>
      </c>
      <c r="F215" s="2">
        <f>_xlfn.XLOOKUP(Table3[[#This Row],[instant]],Table1[instant],Table1[weathersit], ,0,1)</f>
        <v>1</v>
      </c>
      <c r="G215" s="2">
        <f>_xlfn.XLOOKUP(Table3[[#This Row],[instant]],Table1[instant],Table1[temp], ,0,1)</f>
        <v>0.1</v>
      </c>
      <c r="H215" s="24">
        <f>_xlfn.XLOOKUP(Table3[[#This Row],[instant]],Table2[instant],Table2[atemp], ,0,1)</f>
        <v>0.1212</v>
      </c>
      <c r="I215" s="1">
        <f>_xlfn.XLOOKUP(Table3[[#This Row],[instant]],Table2[instant],Table2[hum], ,0,1)</f>
        <v>0.54</v>
      </c>
      <c r="J215" s="1">
        <f>_xlfn.XLOOKUP(Table3[[#This Row],[instant]],Table2[instant],Table2[windspeed], ,0,1)</f>
        <v>0.1343</v>
      </c>
      <c r="K215" s="1">
        <f>_xlfn.XLOOKUP(Table3[[#This Row],[instant]],Table2[instant],Table2[casual], ,0,1)</f>
        <v>1</v>
      </c>
      <c r="L215" s="1">
        <f>_xlfn.XLOOKUP(Table3[[#This Row],[instant]],Table2[instant],Table2[registered], ,0,1)</f>
        <v>2</v>
      </c>
      <c r="M215" s="6">
        <f>_xlfn.XLOOKUP(Table3[[#This Row],[instant]],Table2[instant],Table2[cnt], ,0,1)</f>
        <v>3</v>
      </c>
      <c r="N215" s="1" t="str">
        <f>IF(OR(Table3[[#This Row],[weekday]]=0,Table3[[#This Row],[weekday]]=6),"Weekend","Weekday")</f>
        <v>Weekday</v>
      </c>
    </row>
    <row r="216" spans="1:14" ht="15" thickBot="1" x14ac:dyDescent="0.35">
      <c r="A216" s="42">
        <v>215</v>
      </c>
      <c r="B216" s="43">
        <f>_xlfn.XLOOKUP(Table3[[#This Row],[instant]],DatSet1!A216:A825,DatSet1!B216:B825,_xlfn.XLOOKUP(Table3[[#This Row],[instant]],'Final Data'!A216:A605,'Final Data'!B216:B605, ,0,1),0,1)</f>
        <v>40553</v>
      </c>
      <c r="C216" s="42">
        <f>_xlfn.XLOOKUP(Table3[[#This Row],[instant]],Table1[instant],Table1[hr], ,0,1)</f>
        <v>5</v>
      </c>
      <c r="D216" s="44" t="b">
        <f>_xlfn.XLOOKUP(Table3[[#This Row],[instant]],Table1[instant],Table1[holiday], ,0,1)</f>
        <v>0</v>
      </c>
      <c r="E216" s="44">
        <f>_xlfn.XLOOKUP(Table3[[#This Row],[instant]],Table1[instant],Table1[weekday], ,0,1)</f>
        <v>1</v>
      </c>
      <c r="F216" s="44">
        <f>_xlfn.XLOOKUP(Table3[[#This Row],[instant]],Table1[instant],Table1[weathersit], ,0,1)</f>
        <v>1</v>
      </c>
      <c r="G216" s="44">
        <f>_xlfn.XLOOKUP(Table3[[#This Row],[instant]],Table1[instant],Table1[temp], ,0,1)</f>
        <v>0.1</v>
      </c>
      <c r="H216" s="45">
        <f>_xlfn.XLOOKUP(Table3[[#This Row],[instant]],Table2[instant],Table2[atemp], ,0,1)</f>
        <v>0.1061</v>
      </c>
      <c r="I216" s="42">
        <f>_xlfn.XLOOKUP(Table3[[#This Row],[instant]],Table2[instant],Table2[hum], ,0,1)</f>
        <v>0.54</v>
      </c>
      <c r="J216" s="42">
        <f>_xlfn.XLOOKUP(Table3[[#This Row],[instant]],Table2[instant],Table2[windspeed], ,0,1)</f>
        <v>0.25369999999999998</v>
      </c>
      <c r="K216" s="42">
        <f>_xlfn.XLOOKUP(Table3[[#This Row],[instant]],Table2[instant],Table2[casual], ,0,1)</f>
        <v>0</v>
      </c>
      <c r="L216" s="42">
        <f>_xlfn.XLOOKUP(Table3[[#This Row],[instant]],Table2[instant],Table2[registered], ,0,1)</f>
        <v>3</v>
      </c>
      <c r="M216" s="46">
        <f>_xlfn.XLOOKUP(Table3[[#This Row],[instant]],Table2[instant],Table2[cnt], ,0,1)</f>
        <v>3</v>
      </c>
      <c r="N216" s="42" t="str">
        <f>IF(OR(Table3[[#This Row],[weekday]]=0,Table3[[#This Row],[weekday]]=6),"Weekend","Weekday")</f>
        <v>Weekday</v>
      </c>
    </row>
    <row r="217" spans="1:14" ht="15" thickBot="1" x14ac:dyDescent="0.35">
      <c r="A217" s="1">
        <v>216</v>
      </c>
      <c r="B217" s="3">
        <f>_xlfn.XLOOKUP(Table3[[#This Row],[instant]],DatSet1!A217:A826,DatSet1!B217:B826,_xlfn.XLOOKUP(Table3[[#This Row],[instant]],'Final Data'!A217:A606,'Final Data'!B217:B606, ,0,1),0,1)</f>
        <v>40553</v>
      </c>
      <c r="C217" s="1">
        <f>_xlfn.XLOOKUP(Table3[[#This Row],[instant]],Table1[instant],Table1[hr], ,0,1)</f>
        <v>6</v>
      </c>
      <c r="D217" s="2" t="b">
        <f>_xlfn.XLOOKUP(Table3[[#This Row],[instant]],Table1[instant],Table1[holiday], ,0,1)</f>
        <v>0</v>
      </c>
      <c r="E217" s="2">
        <f>_xlfn.XLOOKUP(Table3[[#This Row],[instant]],Table1[instant],Table1[weekday], ,0,1)</f>
        <v>1</v>
      </c>
      <c r="F217" s="2">
        <f>_xlfn.XLOOKUP(Table3[[#This Row],[instant]],Table1[instant],Table1[weathersit], ,0,1)</f>
        <v>1</v>
      </c>
      <c r="G217" s="2">
        <f>_xlfn.XLOOKUP(Table3[[#This Row],[instant]],Table1[instant],Table1[temp], ,0,1)</f>
        <v>0.12</v>
      </c>
      <c r="H217" s="24">
        <f>_xlfn.XLOOKUP(Table3[[#This Row],[instant]],Table2[instant],Table2[atemp], ,0,1)</f>
        <v>0.1212</v>
      </c>
      <c r="I217" s="1">
        <f>_xlfn.XLOOKUP(Table3[[#This Row],[instant]],Table2[instant],Table2[hum], ,0,1)</f>
        <v>0.5</v>
      </c>
      <c r="J217" s="1">
        <f>_xlfn.XLOOKUP(Table3[[#This Row],[instant]],Table2[instant],Table2[windspeed], ,0,1)</f>
        <v>0.28360000000000002</v>
      </c>
      <c r="K217" s="1">
        <f>_xlfn.XLOOKUP(Table3[[#This Row],[instant]],Table2[instant],Table2[casual], ,0,1)</f>
        <v>0</v>
      </c>
      <c r="L217" s="1">
        <f>_xlfn.XLOOKUP(Table3[[#This Row],[instant]],Table2[instant],Table2[registered], ,0,1)</f>
        <v>31</v>
      </c>
      <c r="M217" s="6">
        <f>_xlfn.XLOOKUP(Table3[[#This Row],[instant]],Table2[instant],Table2[cnt], ,0,1)</f>
        <v>31</v>
      </c>
      <c r="N217" s="1" t="str">
        <f>IF(OR(Table3[[#This Row],[weekday]]=0,Table3[[#This Row],[weekday]]=6),"Weekend","Weekday")</f>
        <v>Weekday</v>
      </c>
    </row>
    <row r="218" spans="1:14" ht="15" thickBot="1" x14ac:dyDescent="0.35">
      <c r="A218" s="42">
        <v>217</v>
      </c>
      <c r="B218" s="43">
        <f>_xlfn.XLOOKUP(Table3[[#This Row],[instant]],DatSet1!A218:A827,DatSet1!B218:B827,_xlfn.XLOOKUP(Table3[[#This Row],[instant]],'Final Data'!A218:A607,'Final Data'!B218:B607, ,0,1),0,1)</f>
        <v>40553</v>
      </c>
      <c r="C218" s="42">
        <f>_xlfn.XLOOKUP(Table3[[#This Row],[instant]],Table1[instant],Table1[hr], ,0,1)</f>
        <v>7</v>
      </c>
      <c r="D218" s="44" t="b">
        <f>_xlfn.XLOOKUP(Table3[[#This Row],[instant]],Table1[instant],Table1[holiday], ,0,1)</f>
        <v>0</v>
      </c>
      <c r="E218" s="44">
        <f>_xlfn.XLOOKUP(Table3[[#This Row],[instant]],Table1[instant],Table1[weekday], ,0,1)</f>
        <v>1</v>
      </c>
      <c r="F218" s="44">
        <f>_xlfn.XLOOKUP(Table3[[#This Row],[instant]],Table1[instant],Table1[weathersit], ,0,1)</f>
        <v>1</v>
      </c>
      <c r="G218" s="44">
        <f>_xlfn.XLOOKUP(Table3[[#This Row],[instant]],Table1[instant],Table1[temp], ,0,1)</f>
        <v>0.12</v>
      </c>
      <c r="H218" s="45">
        <f>_xlfn.XLOOKUP(Table3[[#This Row],[instant]],Table2[instant],Table2[atemp], ,0,1)</f>
        <v>0.1212</v>
      </c>
      <c r="I218" s="42">
        <f>_xlfn.XLOOKUP(Table3[[#This Row],[instant]],Table2[instant],Table2[hum], ,0,1)</f>
        <v>0.5</v>
      </c>
      <c r="J218" s="42">
        <f>_xlfn.XLOOKUP(Table3[[#This Row],[instant]],Table2[instant],Table2[windspeed], ,0,1)</f>
        <v>0.22389999999999999</v>
      </c>
      <c r="K218" s="42">
        <f>_xlfn.XLOOKUP(Table3[[#This Row],[instant]],Table2[instant],Table2[casual], ,0,1)</f>
        <v>2</v>
      </c>
      <c r="L218" s="42">
        <f>_xlfn.XLOOKUP(Table3[[#This Row],[instant]],Table2[instant],Table2[registered], ,0,1)</f>
        <v>75</v>
      </c>
      <c r="M218" s="46">
        <f>_xlfn.XLOOKUP(Table3[[#This Row],[instant]],Table2[instant],Table2[cnt], ,0,1)</f>
        <v>77</v>
      </c>
      <c r="N218" s="42" t="str">
        <f>IF(OR(Table3[[#This Row],[weekday]]=0,Table3[[#This Row],[weekday]]=6),"Weekend","Weekday")</f>
        <v>Weekday</v>
      </c>
    </row>
    <row r="219" spans="1:14" ht="15" thickBot="1" x14ac:dyDescent="0.35">
      <c r="A219" s="1">
        <v>218</v>
      </c>
      <c r="B219" s="3">
        <f>_xlfn.XLOOKUP(Table3[[#This Row],[instant]],DatSet1!A219:A828,DatSet1!B219:B828,_xlfn.XLOOKUP(Table3[[#This Row],[instant]],'Final Data'!A219:A608,'Final Data'!B219:B608, ,0,1),0,1)</f>
        <v>40553</v>
      </c>
      <c r="C219" s="1">
        <f>_xlfn.XLOOKUP(Table3[[#This Row],[instant]],Table1[instant],Table1[hr], ,0,1)</f>
        <v>8</v>
      </c>
      <c r="D219" s="2" t="b">
        <f>_xlfn.XLOOKUP(Table3[[#This Row],[instant]],Table1[instant],Table1[holiday], ,0,1)</f>
        <v>0</v>
      </c>
      <c r="E219" s="2">
        <f>_xlfn.XLOOKUP(Table3[[#This Row],[instant]],Table1[instant],Table1[weekday], ,0,1)</f>
        <v>1</v>
      </c>
      <c r="F219" s="2">
        <f>_xlfn.XLOOKUP(Table3[[#This Row],[instant]],Table1[instant],Table1[weathersit], ,0,1)</f>
        <v>2</v>
      </c>
      <c r="G219" s="2">
        <f>_xlfn.XLOOKUP(Table3[[#This Row],[instant]],Table1[instant],Table1[temp], ,0,1)</f>
        <v>0.12</v>
      </c>
      <c r="H219" s="24">
        <f>_xlfn.XLOOKUP(Table3[[#This Row],[instant]],Table2[instant],Table2[atemp], ,0,1)</f>
        <v>0.1212</v>
      </c>
      <c r="I219" s="1">
        <f>_xlfn.XLOOKUP(Table3[[#This Row],[instant]],Table2[instant],Table2[hum], ,0,1)</f>
        <v>0.5</v>
      </c>
      <c r="J219" s="1">
        <f>_xlfn.XLOOKUP(Table3[[#This Row],[instant]],Table2[instant],Table2[windspeed], ,0,1)</f>
        <v>0.28360000000000002</v>
      </c>
      <c r="K219" s="1">
        <f>_xlfn.XLOOKUP(Table3[[#This Row],[instant]],Table2[instant],Table2[casual], ,0,1)</f>
        <v>4</v>
      </c>
      <c r="L219" s="1">
        <f>_xlfn.XLOOKUP(Table3[[#This Row],[instant]],Table2[instant],Table2[registered], ,0,1)</f>
        <v>184</v>
      </c>
      <c r="M219" s="6">
        <f>_xlfn.XLOOKUP(Table3[[#This Row],[instant]],Table2[instant],Table2[cnt], ,0,1)</f>
        <v>188</v>
      </c>
      <c r="N219" s="1" t="str">
        <f>IF(OR(Table3[[#This Row],[weekday]]=0,Table3[[#This Row],[weekday]]=6),"Weekend","Weekday")</f>
        <v>Weekday</v>
      </c>
    </row>
    <row r="220" spans="1:14" ht="15" thickBot="1" x14ac:dyDescent="0.35">
      <c r="A220" s="42">
        <v>219</v>
      </c>
      <c r="B220" s="43">
        <f>_xlfn.XLOOKUP(Table3[[#This Row],[instant]],DatSet1!A220:A829,DatSet1!B220:B829,_xlfn.XLOOKUP(Table3[[#This Row],[instant]],'Final Data'!A220:A609,'Final Data'!B220:B609, ,0,1),0,1)</f>
        <v>40553</v>
      </c>
      <c r="C220" s="42">
        <f>_xlfn.XLOOKUP(Table3[[#This Row],[instant]],Table1[instant],Table1[hr], ,0,1)</f>
        <v>9</v>
      </c>
      <c r="D220" s="44" t="b">
        <f>_xlfn.XLOOKUP(Table3[[#This Row],[instant]],Table1[instant],Table1[holiday], ,0,1)</f>
        <v>0</v>
      </c>
      <c r="E220" s="44">
        <f>_xlfn.XLOOKUP(Table3[[#This Row],[instant]],Table1[instant],Table1[weekday], ,0,1)</f>
        <v>1</v>
      </c>
      <c r="F220" s="44">
        <f>_xlfn.XLOOKUP(Table3[[#This Row],[instant]],Table1[instant],Table1[weathersit], ,0,1)</f>
        <v>2</v>
      </c>
      <c r="G220" s="44">
        <f>_xlfn.XLOOKUP(Table3[[#This Row],[instant]],Table1[instant],Table1[temp], ,0,1)</f>
        <v>0.14000000000000001</v>
      </c>
      <c r="H220" s="45">
        <f>_xlfn.XLOOKUP(Table3[[#This Row],[instant]],Table2[instant],Table2[atemp], ,0,1)</f>
        <v>0.1212</v>
      </c>
      <c r="I220" s="42">
        <f>_xlfn.XLOOKUP(Table3[[#This Row],[instant]],Table2[instant],Table2[hum], ,0,1)</f>
        <v>0.5</v>
      </c>
      <c r="J220" s="42">
        <f>_xlfn.XLOOKUP(Table3[[#This Row],[instant]],Table2[instant],Table2[windspeed], ,0,1)</f>
        <v>0.25369999999999998</v>
      </c>
      <c r="K220" s="42">
        <f>_xlfn.XLOOKUP(Table3[[#This Row],[instant]],Table2[instant],Table2[casual], ,0,1)</f>
        <v>2</v>
      </c>
      <c r="L220" s="42">
        <f>_xlfn.XLOOKUP(Table3[[#This Row],[instant]],Table2[instant],Table2[registered], ,0,1)</f>
        <v>92</v>
      </c>
      <c r="M220" s="46">
        <f>_xlfn.XLOOKUP(Table3[[#This Row],[instant]],Table2[instant],Table2[cnt], ,0,1)</f>
        <v>94</v>
      </c>
      <c r="N220" s="42" t="str">
        <f>IF(OR(Table3[[#This Row],[weekday]]=0,Table3[[#This Row],[weekday]]=6),"Weekend","Weekday")</f>
        <v>Weekday</v>
      </c>
    </row>
    <row r="221" spans="1:14" ht="15" thickBot="1" x14ac:dyDescent="0.35">
      <c r="A221" s="1">
        <v>220</v>
      </c>
      <c r="B221" s="3">
        <f>_xlfn.XLOOKUP(Table3[[#This Row],[instant]],DatSet1!A221:A830,DatSet1!B221:B830,_xlfn.XLOOKUP(Table3[[#This Row],[instant]],'Final Data'!A221:A610,'Final Data'!B221:B610, ,0,1),0,1)</f>
        <v>40553</v>
      </c>
      <c r="C221" s="1">
        <f>_xlfn.XLOOKUP(Table3[[#This Row],[instant]],Table1[instant],Table1[hr], ,0,1)</f>
        <v>10</v>
      </c>
      <c r="D221" s="2" t="b">
        <f>_xlfn.XLOOKUP(Table3[[#This Row],[instant]],Table1[instant],Table1[holiday], ,0,1)</f>
        <v>0</v>
      </c>
      <c r="E221" s="2">
        <f>_xlfn.XLOOKUP(Table3[[#This Row],[instant]],Table1[instant],Table1[weekday], ,0,1)</f>
        <v>1</v>
      </c>
      <c r="F221" s="2">
        <f>_xlfn.XLOOKUP(Table3[[#This Row],[instant]],Table1[instant],Table1[weathersit], ,0,1)</f>
        <v>2</v>
      </c>
      <c r="G221" s="2">
        <f>_xlfn.XLOOKUP(Table3[[#This Row],[instant]],Table1[instant],Table1[temp], ,0,1)</f>
        <v>0.14000000000000001</v>
      </c>
      <c r="H221" s="24">
        <f>_xlfn.XLOOKUP(Table3[[#This Row],[instant]],Table2[instant],Table2[atemp], ,0,1)</f>
        <v>0.1212</v>
      </c>
      <c r="I221" s="1">
        <f>_xlfn.XLOOKUP(Table3[[#This Row],[instant]],Table2[instant],Table2[hum], ,0,1)</f>
        <v>0.5</v>
      </c>
      <c r="J221" s="1">
        <f>_xlfn.XLOOKUP(Table3[[#This Row],[instant]],Table2[instant],Table2[windspeed], ,0,1)</f>
        <v>0.29849999999999999</v>
      </c>
      <c r="K221" s="1">
        <f>_xlfn.XLOOKUP(Table3[[#This Row],[instant]],Table2[instant],Table2[casual], ,0,1)</f>
        <v>0</v>
      </c>
      <c r="L221" s="1">
        <f>_xlfn.XLOOKUP(Table3[[#This Row],[instant]],Table2[instant],Table2[registered], ,0,1)</f>
        <v>31</v>
      </c>
      <c r="M221" s="6">
        <f>_xlfn.XLOOKUP(Table3[[#This Row],[instant]],Table2[instant],Table2[cnt], ,0,1)</f>
        <v>31</v>
      </c>
      <c r="N221" s="1" t="str">
        <f>IF(OR(Table3[[#This Row],[weekday]]=0,Table3[[#This Row],[weekday]]=6),"Weekend","Weekday")</f>
        <v>Weekday</v>
      </c>
    </row>
    <row r="222" spans="1:14" ht="15" thickBot="1" x14ac:dyDescent="0.35">
      <c r="A222" s="42">
        <v>221</v>
      </c>
      <c r="B222" s="43">
        <f>_xlfn.XLOOKUP(Table3[[#This Row],[instant]],DatSet1!A222:A831,DatSet1!B222:B831,_xlfn.XLOOKUP(Table3[[#This Row],[instant]],'Final Data'!A222:A611,'Final Data'!B222:B611, ,0,1),0,1)</f>
        <v>40553</v>
      </c>
      <c r="C222" s="42">
        <f>_xlfn.XLOOKUP(Table3[[#This Row],[instant]],Table1[instant],Table1[hr], ,0,1)</f>
        <v>11</v>
      </c>
      <c r="D222" s="44" t="b">
        <f>_xlfn.XLOOKUP(Table3[[#This Row],[instant]],Table1[instant],Table1[holiday], ,0,1)</f>
        <v>0</v>
      </c>
      <c r="E222" s="44">
        <f>_xlfn.XLOOKUP(Table3[[#This Row],[instant]],Table1[instant],Table1[weekday], ,0,1)</f>
        <v>1</v>
      </c>
      <c r="F222" s="44">
        <f>_xlfn.XLOOKUP(Table3[[#This Row],[instant]],Table1[instant],Table1[weathersit], ,0,1)</f>
        <v>2</v>
      </c>
      <c r="G222" s="44">
        <f>_xlfn.XLOOKUP(Table3[[#This Row],[instant]],Table1[instant],Table1[temp], ,0,1)</f>
        <v>0.16</v>
      </c>
      <c r="H222" s="45">
        <f>_xlfn.XLOOKUP(Table3[[#This Row],[instant]],Table2[instant],Table2[atemp], ,0,1)</f>
        <v>0.13639999999999999</v>
      </c>
      <c r="I222" s="42">
        <f>_xlfn.XLOOKUP(Table3[[#This Row],[instant]],Table2[instant],Table2[hum], ,0,1)</f>
        <v>0.47</v>
      </c>
      <c r="J222" s="42">
        <f>_xlfn.XLOOKUP(Table3[[#This Row],[instant]],Table2[instant],Table2[windspeed], ,0,1)</f>
        <v>0.28360000000000002</v>
      </c>
      <c r="K222" s="42">
        <f>_xlfn.XLOOKUP(Table3[[#This Row],[instant]],Table2[instant],Table2[casual], ,0,1)</f>
        <v>2</v>
      </c>
      <c r="L222" s="42">
        <f>_xlfn.XLOOKUP(Table3[[#This Row],[instant]],Table2[instant],Table2[registered], ,0,1)</f>
        <v>28</v>
      </c>
      <c r="M222" s="46">
        <f>_xlfn.XLOOKUP(Table3[[#This Row],[instant]],Table2[instant],Table2[cnt], ,0,1)</f>
        <v>30</v>
      </c>
      <c r="N222" s="42" t="str">
        <f>IF(OR(Table3[[#This Row],[weekday]]=0,Table3[[#This Row],[weekday]]=6),"Weekend","Weekday")</f>
        <v>Weekday</v>
      </c>
    </row>
    <row r="223" spans="1:14" ht="15" thickBot="1" x14ac:dyDescent="0.35">
      <c r="A223" s="1">
        <v>222</v>
      </c>
      <c r="B223" s="3">
        <f>_xlfn.XLOOKUP(Table3[[#This Row],[instant]],DatSet1!A223:A832,DatSet1!B223:B832,_xlfn.XLOOKUP(Table3[[#This Row],[instant]],'Final Data'!A223:A612,'Final Data'!B223:B612, ,0,1),0,1)</f>
        <v>40553</v>
      </c>
      <c r="C223" s="1">
        <f>_xlfn.XLOOKUP(Table3[[#This Row],[instant]],Table1[instant],Table1[hr], ,0,1)</f>
        <v>12</v>
      </c>
      <c r="D223" s="2" t="b">
        <f>_xlfn.XLOOKUP(Table3[[#This Row],[instant]],Table1[instant],Table1[holiday], ,0,1)</f>
        <v>0</v>
      </c>
      <c r="E223" s="2">
        <f>_xlfn.XLOOKUP(Table3[[#This Row],[instant]],Table1[instant],Table1[weekday], ,0,1)</f>
        <v>1</v>
      </c>
      <c r="F223" s="2">
        <f>_xlfn.XLOOKUP(Table3[[#This Row],[instant]],Table1[instant],Table1[weathersit], ,0,1)</f>
        <v>2</v>
      </c>
      <c r="G223" s="2">
        <f>_xlfn.XLOOKUP(Table3[[#This Row],[instant]],Table1[instant],Table1[temp], ,0,1)</f>
        <v>0.2</v>
      </c>
      <c r="H223" s="24">
        <f>_xlfn.XLOOKUP(Table3[[#This Row],[instant]],Table2[instant],Table2[atemp], ,0,1)</f>
        <v>0.18179999999999999</v>
      </c>
      <c r="I223" s="1">
        <f>_xlfn.XLOOKUP(Table3[[#This Row],[instant]],Table2[instant],Table2[hum], ,0,1)</f>
        <v>0.4</v>
      </c>
      <c r="J223" s="1">
        <f>_xlfn.XLOOKUP(Table3[[#This Row],[instant]],Table2[instant],Table2[windspeed], ,0,1)</f>
        <v>0.28360000000000002</v>
      </c>
      <c r="K223" s="1">
        <f>_xlfn.XLOOKUP(Table3[[#This Row],[instant]],Table2[instant],Table2[casual], ,0,1)</f>
        <v>5</v>
      </c>
      <c r="L223" s="1">
        <f>_xlfn.XLOOKUP(Table3[[#This Row],[instant]],Table2[instant],Table2[registered], ,0,1)</f>
        <v>47</v>
      </c>
      <c r="M223" s="6">
        <f>_xlfn.XLOOKUP(Table3[[#This Row],[instant]],Table2[instant],Table2[cnt], ,0,1)</f>
        <v>52</v>
      </c>
      <c r="N223" s="1" t="str">
        <f>IF(OR(Table3[[#This Row],[weekday]]=0,Table3[[#This Row],[weekday]]=6),"Weekend","Weekday")</f>
        <v>Weekday</v>
      </c>
    </row>
    <row r="224" spans="1:14" ht="15" thickBot="1" x14ac:dyDescent="0.35">
      <c r="A224" s="42">
        <v>223</v>
      </c>
      <c r="B224" s="43">
        <f>_xlfn.XLOOKUP(Table3[[#This Row],[instant]],DatSet1!A224:A833,DatSet1!B224:B833,_xlfn.XLOOKUP(Table3[[#This Row],[instant]],'Final Data'!A224:A613,'Final Data'!B224:B613, ,0,1),0,1)</f>
        <v>40553</v>
      </c>
      <c r="C224" s="42">
        <f>_xlfn.XLOOKUP(Table3[[#This Row],[instant]],Table1[instant],Table1[hr], ,0,1)</f>
        <v>13</v>
      </c>
      <c r="D224" s="44" t="b">
        <f>_xlfn.XLOOKUP(Table3[[#This Row],[instant]],Table1[instant],Table1[holiday], ,0,1)</f>
        <v>0</v>
      </c>
      <c r="E224" s="44">
        <f>_xlfn.XLOOKUP(Table3[[#This Row],[instant]],Table1[instant],Table1[weekday], ,0,1)</f>
        <v>1</v>
      </c>
      <c r="F224" s="44">
        <f>_xlfn.XLOOKUP(Table3[[#This Row],[instant]],Table1[instant],Table1[weathersit], ,0,1)</f>
        <v>2</v>
      </c>
      <c r="G224" s="44">
        <f>_xlfn.XLOOKUP(Table3[[#This Row],[instant]],Table1[instant],Table1[temp], ,0,1)</f>
        <v>0.2</v>
      </c>
      <c r="H224" s="45">
        <f>_xlfn.XLOOKUP(Table3[[#This Row],[instant]],Table2[instant],Table2[atemp], ,0,1)</f>
        <v>0.18179999999999999</v>
      </c>
      <c r="I224" s="42">
        <f>_xlfn.XLOOKUP(Table3[[#This Row],[instant]],Table2[instant],Table2[hum], ,0,1)</f>
        <v>0.4</v>
      </c>
      <c r="J224" s="42">
        <f>_xlfn.XLOOKUP(Table3[[#This Row],[instant]],Table2[instant],Table2[windspeed], ,0,1)</f>
        <v>0.28360000000000002</v>
      </c>
      <c r="K224" s="42">
        <f>_xlfn.XLOOKUP(Table3[[#This Row],[instant]],Table2[instant],Table2[casual], ,0,1)</f>
        <v>4</v>
      </c>
      <c r="L224" s="42">
        <f>_xlfn.XLOOKUP(Table3[[#This Row],[instant]],Table2[instant],Table2[registered], ,0,1)</f>
        <v>50</v>
      </c>
      <c r="M224" s="46">
        <f>_xlfn.XLOOKUP(Table3[[#This Row],[instant]],Table2[instant],Table2[cnt], ,0,1)</f>
        <v>54</v>
      </c>
      <c r="N224" s="42" t="str">
        <f>IF(OR(Table3[[#This Row],[weekday]]=0,Table3[[#This Row],[weekday]]=6),"Weekend","Weekday")</f>
        <v>Weekday</v>
      </c>
    </row>
    <row r="225" spans="1:14" ht="15" thickBot="1" x14ac:dyDescent="0.35">
      <c r="A225" s="1">
        <v>224</v>
      </c>
      <c r="B225" s="3">
        <f>_xlfn.XLOOKUP(Table3[[#This Row],[instant]],DatSet1!A225:A834,DatSet1!B225:B834,_xlfn.XLOOKUP(Table3[[#This Row],[instant]],'Final Data'!A225:A614,'Final Data'!B225:B614, ,0,1),0,1)</f>
        <v>40553</v>
      </c>
      <c r="C225" s="1">
        <f>_xlfn.XLOOKUP(Table3[[#This Row],[instant]],Table1[instant],Table1[hr], ,0,1)</f>
        <v>14</v>
      </c>
      <c r="D225" s="2" t="b">
        <f>_xlfn.XLOOKUP(Table3[[#This Row],[instant]],Table1[instant],Table1[holiday], ,0,1)</f>
        <v>0</v>
      </c>
      <c r="E225" s="2">
        <f>_xlfn.XLOOKUP(Table3[[#This Row],[instant]],Table1[instant],Table1[weekday], ,0,1)</f>
        <v>1</v>
      </c>
      <c r="F225" s="2">
        <f>_xlfn.XLOOKUP(Table3[[#This Row],[instant]],Table1[instant],Table1[weathersit], ,0,1)</f>
        <v>2</v>
      </c>
      <c r="G225" s="2">
        <f>_xlfn.XLOOKUP(Table3[[#This Row],[instant]],Table1[instant],Table1[temp], ,0,1)</f>
        <v>0.2</v>
      </c>
      <c r="H225" s="24">
        <f>_xlfn.XLOOKUP(Table3[[#This Row],[instant]],Table2[instant],Table2[atemp], ,0,1)</f>
        <v>0.19700000000000001</v>
      </c>
      <c r="I225" s="1">
        <f>_xlfn.XLOOKUP(Table3[[#This Row],[instant]],Table2[instant],Table2[hum], ,0,1)</f>
        <v>0.4</v>
      </c>
      <c r="J225" s="1">
        <f>_xlfn.XLOOKUP(Table3[[#This Row],[instant]],Table2[instant],Table2[windspeed], ,0,1)</f>
        <v>0.22389999999999999</v>
      </c>
      <c r="K225" s="1">
        <f>_xlfn.XLOOKUP(Table3[[#This Row],[instant]],Table2[instant],Table2[casual], ,0,1)</f>
        <v>0</v>
      </c>
      <c r="L225" s="1">
        <f>_xlfn.XLOOKUP(Table3[[#This Row],[instant]],Table2[instant],Table2[registered], ,0,1)</f>
        <v>47</v>
      </c>
      <c r="M225" s="6">
        <f>_xlfn.XLOOKUP(Table3[[#This Row],[instant]],Table2[instant],Table2[cnt], ,0,1)</f>
        <v>47</v>
      </c>
      <c r="N225" s="1" t="str">
        <f>IF(OR(Table3[[#This Row],[weekday]]=0,Table3[[#This Row],[weekday]]=6),"Weekend","Weekday")</f>
        <v>Weekday</v>
      </c>
    </row>
    <row r="226" spans="1:14" ht="15" thickBot="1" x14ac:dyDescent="0.35">
      <c r="A226" s="42">
        <v>225</v>
      </c>
      <c r="B226" s="43">
        <f>_xlfn.XLOOKUP(Table3[[#This Row],[instant]],DatSet1!A226:A835,DatSet1!B226:B835,_xlfn.XLOOKUP(Table3[[#This Row],[instant]],'Final Data'!A226:A615,'Final Data'!B226:B615, ,0,1),0,1)</f>
        <v>40553</v>
      </c>
      <c r="C226" s="42">
        <f>_xlfn.XLOOKUP(Table3[[#This Row],[instant]],Table1[instant],Table1[hr], ,0,1)</f>
        <v>15</v>
      </c>
      <c r="D226" s="44" t="b">
        <f>_xlfn.XLOOKUP(Table3[[#This Row],[instant]],Table1[instant],Table1[holiday], ,0,1)</f>
        <v>0</v>
      </c>
      <c r="E226" s="44">
        <f>_xlfn.XLOOKUP(Table3[[#This Row],[instant]],Table1[instant],Table1[weekday], ,0,1)</f>
        <v>1</v>
      </c>
      <c r="F226" s="44">
        <f>_xlfn.XLOOKUP(Table3[[#This Row],[instant]],Table1[instant],Table1[weathersit], ,0,1)</f>
        <v>2</v>
      </c>
      <c r="G226" s="44">
        <f>_xlfn.XLOOKUP(Table3[[#This Row],[instant]],Table1[instant],Table1[temp], ,0,1)</f>
        <v>0.2</v>
      </c>
      <c r="H226" s="45">
        <f>_xlfn.XLOOKUP(Table3[[#This Row],[instant]],Table2[instant],Table2[atemp], ,0,1)</f>
        <v>0.19700000000000001</v>
      </c>
      <c r="I226" s="42">
        <f>_xlfn.XLOOKUP(Table3[[#This Row],[instant]],Table2[instant],Table2[hum], ,0,1)</f>
        <v>0.4</v>
      </c>
      <c r="J226" s="42">
        <f>_xlfn.XLOOKUP(Table3[[#This Row],[instant]],Table2[instant],Table2[windspeed], ,0,1)</f>
        <v>0.22389999999999999</v>
      </c>
      <c r="K226" s="42">
        <f>_xlfn.XLOOKUP(Table3[[#This Row],[instant]],Table2[instant],Table2[casual], ,0,1)</f>
        <v>2</v>
      </c>
      <c r="L226" s="42">
        <f>_xlfn.XLOOKUP(Table3[[#This Row],[instant]],Table2[instant],Table2[registered], ,0,1)</f>
        <v>43</v>
      </c>
      <c r="M226" s="46">
        <f>_xlfn.XLOOKUP(Table3[[#This Row],[instant]],Table2[instant],Table2[cnt], ,0,1)</f>
        <v>45</v>
      </c>
      <c r="N226" s="42" t="str">
        <f>IF(OR(Table3[[#This Row],[weekday]]=0,Table3[[#This Row],[weekday]]=6),"Weekend","Weekday")</f>
        <v>Weekday</v>
      </c>
    </row>
    <row r="227" spans="1:14" ht="15" thickBot="1" x14ac:dyDescent="0.35">
      <c r="A227" s="1">
        <v>226</v>
      </c>
      <c r="B227" s="3">
        <f>_xlfn.XLOOKUP(Table3[[#This Row],[instant]],DatSet1!A227:A836,DatSet1!B227:B836,_xlfn.XLOOKUP(Table3[[#This Row],[instant]],'Final Data'!A227:A616,'Final Data'!B227:B616, ,0,1),0,1)</f>
        <v>40553</v>
      </c>
      <c r="C227" s="1">
        <f>_xlfn.XLOOKUP(Table3[[#This Row],[instant]],Table1[instant],Table1[hr], ,0,1)</f>
        <v>16</v>
      </c>
      <c r="D227" s="2" t="b">
        <f>_xlfn.XLOOKUP(Table3[[#This Row],[instant]],Table1[instant],Table1[holiday], ,0,1)</f>
        <v>0</v>
      </c>
      <c r="E227" s="2">
        <f>_xlfn.XLOOKUP(Table3[[#This Row],[instant]],Table1[instant],Table1[weekday], ,0,1)</f>
        <v>1</v>
      </c>
      <c r="F227" s="2">
        <f>_xlfn.XLOOKUP(Table3[[#This Row],[instant]],Table1[instant],Table1[weathersit], ,0,1)</f>
        <v>1</v>
      </c>
      <c r="G227" s="2">
        <f>_xlfn.XLOOKUP(Table3[[#This Row],[instant]],Table1[instant],Table1[temp], ,0,1)</f>
        <v>0.2</v>
      </c>
      <c r="H227" s="24">
        <f>_xlfn.XLOOKUP(Table3[[#This Row],[instant]],Table2[instant],Table2[atemp], ,0,1)</f>
        <v>0.21210000000000001</v>
      </c>
      <c r="I227" s="1">
        <f>_xlfn.XLOOKUP(Table3[[#This Row],[instant]],Table2[instant],Table2[hum], ,0,1)</f>
        <v>0.4</v>
      </c>
      <c r="J227" s="1">
        <f>_xlfn.XLOOKUP(Table3[[#This Row],[instant]],Table2[instant],Table2[windspeed], ,0,1)</f>
        <v>0.1343</v>
      </c>
      <c r="K227" s="1">
        <f>_xlfn.XLOOKUP(Table3[[#This Row],[instant]],Table2[instant],Table2[casual], ,0,1)</f>
        <v>4</v>
      </c>
      <c r="L227" s="1">
        <f>_xlfn.XLOOKUP(Table3[[#This Row],[instant]],Table2[instant],Table2[registered], ,0,1)</f>
        <v>70</v>
      </c>
      <c r="M227" s="6">
        <f>_xlfn.XLOOKUP(Table3[[#This Row],[instant]],Table2[instant],Table2[cnt], ,0,1)</f>
        <v>74</v>
      </c>
      <c r="N227" s="1" t="str">
        <f>IF(OR(Table3[[#This Row],[weekday]]=0,Table3[[#This Row],[weekday]]=6),"Weekend","Weekday")</f>
        <v>Weekday</v>
      </c>
    </row>
    <row r="228" spans="1:14" ht="15" thickBot="1" x14ac:dyDescent="0.35">
      <c r="A228" s="42">
        <v>227</v>
      </c>
      <c r="B228" s="43">
        <f>_xlfn.XLOOKUP(Table3[[#This Row],[instant]],DatSet1!A228:A837,DatSet1!B228:B837,_xlfn.XLOOKUP(Table3[[#This Row],[instant]],'Final Data'!A228:A617,'Final Data'!B228:B617, ,0,1),0,1)</f>
        <v>40553</v>
      </c>
      <c r="C228" s="42">
        <f>_xlfn.XLOOKUP(Table3[[#This Row],[instant]],Table1[instant],Table1[hr], ,0,1)</f>
        <v>17</v>
      </c>
      <c r="D228" s="44" t="b">
        <f>_xlfn.XLOOKUP(Table3[[#This Row],[instant]],Table1[instant],Table1[holiday], ,0,1)</f>
        <v>0</v>
      </c>
      <c r="E228" s="44">
        <f>_xlfn.XLOOKUP(Table3[[#This Row],[instant]],Table1[instant],Table1[weekday], ,0,1)</f>
        <v>1</v>
      </c>
      <c r="F228" s="44">
        <f>_xlfn.XLOOKUP(Table3[[#This Row],[instant]],Table1[instant],Table1[weathersit], ,0,1)</f>
        <v>1</v>
      </c>
      <c r="G228" s="44">
        <f>_xlfn.XLOOKUP(Table3[[#This Row],[instant]],Table1[instant],Table1[temp], ,0,1)</f>
        <v>0.2</v>
      </c>
      <c r="H228" s="45">
        <f>_xlfn.XLOOKUP(Table3[[#This Row],[instant]],Table2[instant],Table2[atemp], ,0,1)</f>
        <v>0.2273</v>
      </c>
      <c r="I228" s="42">
        <f>_xlfn.XLOOKUP(Table3[[#This Row],[instant]],Table2[instant],Table2[hum], ,0,1)</f>
        <v>0.4</v>
      </c>
      <c r="J228" s="42">
        <f>_xlfn.XLOOKUP(Table3[[#This Row],[instant]],Table2[instant],Table2[windspeed], ,0,1)</f>
        <v>0.1045</v>
      </c>
      <c r="K228" s="42">
        <f>_xlfn.XLOOKUP(Table3[[#This Row],[instant]],Table2[instant],Table2[casual], ,0,1)</f>
        <v>4</v>
      </c>
      <c r="L228" s="42">
        <f>_xlfn.XLOOKUP(Table3[[#This Row],[instant]],Table2[instant],Table2[registered], ,0,1)</f>
        <v>174</v>
      </c>
      <c r="M228" s="46">
        <f>_xlfn.XLOOKUP(Table3[[#This Row],[instant]],Table2[instant],Table2[cnt], ,0,1)</f>
        <v>178</v>
      </c>
      <c r="N228" s="42" t="str">
        <f>IF(OR(Table3[[#This Row],[weekday]]=0,Table3[[#This Row],[weekday]]=6),"Weekend","Weekday")</f>
        <v>Weekday</v>
      </c>
    </row>
    <row r="229" spans="1:14" ht="15" thickBot="1" x14ac:dyDescent="0.35">
      <c r="A229" s="1">
        <v>228</v>
      </c>
      <c r="B229" s="3">
        <f>_xlfn.XLOOKUP(Table3[[#This Row],[instant]],DatSet1!A229:A838,DatSet1!B229:B838,_xlfn.XLOOKUP(Table3[[#This Row],[instant]],'Final Data'!A229:A618,'Final Data'!B229:B618, ,0,1),0,1)</f>
        <v>40553</v>
      </c>
      <c r="C229" s="1">
        <f>_xlfn.XLOOKUP(Table3[[#This Row],[instant]],Table1[instant],Table1[hr], ,0,1)</f>
        <v>18</v>
      </c>
      <c r="D229" s="2" t="b">
        <f>_xlfn.XLOOKUP(Table3[[#This Row],[instant]],Table1[instant],Table1[holiday], ,0,1)</f>
        <v>0</v>
      </c>
      <c r="E229" s="2">
        <f>_xlfn.XLOOKUP(Table3[[#This Row],[instant]],Table1[instant],Table1[weekday], ,0,1)</f>
        <v>1</v>
      </c>
      <c r="F229" s="2">
        <f>_xlfn.XLOOKUP(Table3[[#This Row],[instant]],Table1[instant],Table1[weathersit], ,0,1)</f>
        <v>1</v>
      </c>
      <c r="G229" s="2">
        <f>_xlfn.XLOOKUP(Table3[[#This Row],[instant]],Table1[instant],Table1[temp], ,0,1)</f>
        <v>0.2</v>
      </c>
      <c r="H229" s="24">
        <f>_xlfn.XLOOKUP(Table3[[#This Row],[instant]],Table2[instant],Table2[atemp], ,0,1)</f>
        <v>0.19700000000000001</v>
      </c>
      <c r="I229" s="1">
        <f>_xlfn.XLOOKUP(Table3[[#This Row],[instant]],Table2[instant],Table2[hum], ,0,1)</f>
        <v>0.4</v>
      </c>
      <c r="J229" s="1">
        <f>_xlfn.XLOOKUP(Table3[[#This Row],[instant]],Table2[instant],Table2[windspeed], ,0,1)</f>
        <v>0.22389999999999999</v>
      </c>
      <c r="K229" s="1">
        <f>_xlfn.XLOOKUP(Table3[[#This Row],[instant]],Table2[instant],Table2[casual], ,0,1)</f>
        <v>1</v>
      </c>
      <c r="L229" s="1">
        <f>_xlfn.XLOOKUP(Table3[[#This Row],[instant]],Table2[instant],Table2[registered], ,0,1)</f>
        <v>154</v>
      </c>
      <c r="M229" s="6">
        <f>_xlfn.XLOOKUP(Table3[[#This Row],[instant]],Table2[instant],Table2[cnt], ,0,1)</f>
        <v>155</v>
      </c>
      <c r="N229" s="1" t="str">
        <f>IF(OR(Table3[[#This Row],[weekday]]=0,Table3[[#This Row],[weekday]]=6),"Weekend","Weekday")</f>
        <v>Weekday</v>
      </c>
    </row>
    <row r="230" spans="1:14" ht="15" thickBot="1" x14ac:dyDescent="0.35">
      <c r="A230" s="42">
        <v>229</v>
      </c>
      <c r="B230" s="43">
        <f>_xlfn.XLOOKUP(Table3[[#This Row],[instant]],DatSet1!A230:A839,DatSet1!B230:B839,_xlfn.XLOOKUP(Table3[[#This Row],[instant]],'Final Data'!A230:A619,'Final Data'!B230:B619, ,0,1),0,1)</f>
        <v>40553</v>
      </c>
      <c r="C230" s="42">
        <f>_xlfn.XLOOKUP(Table3[[#This Row],[instant]],Table1[instant],Table1[hr], ,0,1)</f>
        <v>19</v>
      </c>
      <c r="D230" s="44" t="b">
        <f>_xlfn.XLOOKUP(Table3[[#This Row],[instant]],Table1[instant],Table1[holiday], ,0,1)</f>
        <v>0</v>
      </c>
      <c r="E230" s="44">
        <f>_xlfn.XLOOKUP(Table3[[#This Row],[instant]],Table1[instant],Table1[weekday], ,0,1)</f>
        <v>1</v>
      </c>
      <c r="F230" s="44">
        <f>_xlfn.XLOOKUP(Table3[[#This Row],[instant]],Table1[instant],Table1[weathersit], ,0,1)</f>
        <v>1</v>
      </c>
      <c r="G230" s="44">
        <f>_xlfn.XLOOKUP(Table3[[#This Row],[instant]],Table1[instant],Table1[temp], ,0,1)</f>
        <v>0.16</v>
      </c>
      <c r="H230" s="45">
        <f>_xlfn.XLOOKUP(Table3[[#This Row],[instant]],Table2[instant],Table2[atemp], ,0,1)</f>
        <v>0.16669999999999999</v>
      </c>
      <c r="I230" s="42">
        <f>_xlfn.XLOOKUP(Table3[[#This Row],[instant]],Table2[instant],Table2[hum], ,0,1)</f>
        <v>0.47</v>
      </c>
      <c r="J230" s="42">
        <f>_xlfn.XLOOKUP(Table3[[#This Row],[instant]],Table2[instant],Table2[windspeed], ,0,1)</f>
        <v>0.16420000000000001</v>
      </c>
      <c r="K230" s="42">
        <f>_xlfn.XLOOKUP(Table3[[#This Row],[instant]],Table2[instant],Table2[casual], ,0,1)</f>
        <v>3</v>
      </c>
      <c r="L230" s="42">
        <f>_xlfn.XLOOKUP(Table3[[#This Row],[instant]],Table2[instant],Table2[registered], ,0,1)</f>
        <v>92</v>
      </c>
      <c r="M230" s="46">
        <f>_xlfn.XLOOKUP(Table3[[#This Row],[instant]],Table2[instant],Table2[cnt], ,0,1)</f>
        <v>95</v>
      </c>
      <c r="N230" s="42" t="str">
        <f>IF(OR(Table3[[#This Row],[weekday]]=0,Table3[[#This Row],[weekday]]=6),"Weekend","Weekday")</f>
        <v>Weekday</v>
      </c>
    </row>
    <row r="231" spans="1:14" ht="15" thickBot="1" x14ac:dyDescent="0.35">
      <c r="A231" s="1">
        <v>230</v>
      </c>
      <c r="B231" s="3">
        <f>_xlfn.XLOOKUP(Table3[[#This Row],[instant]],DatSet1!A231:A840,DatSet1!B231:B840,_xlfn.XLOOKUP(Table3[[#This Row],[instant]],'Final Data'!A231:A620,'Final Data'!B231:B620, ,0,1),0,1)</f>
        <v>40553</v>
      </c>
      <c r="C231" s="1">
        <f>_xlfn.XLOOKUP(Table3[[#This Row],[instant]],Table1[instant],Table1[hr], ,0,1)</f>
        <v>20</v>
      </c>
      <c r="D231" s="2" t="b">
        <f>_xlfn.XLOOKUP(Table3[[#This Row],[instant]],Table1[instant],Table1[holiday], ,0,1)</f>
        <v>0</v>
      </c>
      <c r="E231" s="2">
        <f>_xlfn.XLOOKUP(Table3[[#This Row],[instant]],Table1[instant],Table1[weekday], ,0,1)</f>
        <v>1</v>
      </c>
      <c r="F231" s="2">
        <f>_xlfn.XLOOKUP(Table3[[#This Row],[instant]],Table1[instant],Table1[weathersit], ,0,1)</f>
        <v>1</v>
      </c>
      <c r="G231" s="2">
        <f>_xlfn.XLOOKUP(Table3[[#This Row],[instant]],Table1[instant],Table1[temp], ,0,1)</f>
        <v>0.16</v>
      </c>
      <c r="H231" s="24">
        <f>_xlfn.XLOOKUP(Table3[[#This Row],[instant]],Table2[instant],Table2[atemp], ,0,1)</f>
        <v>0.16669999999999999</v>
      </c>
      <c r="I231" s="1">
        <f>_xlfn.XLOOKUP(Table3[[#This Row],[instant]],Table2[instant],Table2[hum], ,0,1)</f>
        <v>0.5</v>
      </c>
      <c r="J231" s="1">
        <f>_xlfn.XLOOKUP(Table3[[#This Row],[instant]],Table2[instant],Table2[windspeed], ,0,1)</f>
        <v>0.16420000000000001</v>
      </c>
      <c r="K231" s="1">
        <f>_xlfn.XLOOKUP(Table3[[#This Row],[instant]],Table2[instant],Table2[casual], ,0,1)</f>
        <v>1</v>
      </c>
      <c r="L231" s="1">
        <f>_xlfn.XLOOKUP(Table3[[#This Row],[instant]],Table2[instant],Table2[registered], ,0,1)</f>
        <v>73</v>
      </c>
      <c r="M231" s="6">
        <f>_xlfn.XLOOKUP(Table3[[#This Row],[instant]],Table2[instant],Table2[cnt], ,0,1)</f>
        <v>74</v>
      </c>
      <c r="N231" s="1" t="str">
        <f>IF(OR(Table3[[#This Row],[weekday]]=0,Table3[[#This Row],[weekday]]=6),"Weekend","Weekday")</f>
        <v>Weekday</v>
      </c>
    </row>
    <row r="232" spans="1:14" ht="15" thickBot="1" x14ac:dyDescent="0.35">
      <c r="A232" s="42">
        <v>231</v>
      </c>
      <c r="B232" s="43">
        <f>_xlfn.XLOOKUP(Table3[[#This Row],[instant]],DatSet1!A232:A841,DatSet1!B232:B841,_xlfn.XLOOKUP(Table3[[#This Row],[instant]],'Final Data'!A232:A621,'Final Data'!B232:B621, ,0,1),0,1)</f>
        <v>40553</v>
      </c>
      <c r="C232" s="42">
        <f>_xlfn.XLOOKUP(Table3[[#This Row],[instant]],Table1[instant],Table1[hr], ,0,1)</f>
        <v>21</v>
      </c>
      <c r="D232" s="44" t="b">
        <f>_xlfn.XLOOKUP(Table3[[#This Row],[instant]],Table1[instant],Table1[holiday], ,0,1)</f>
        <v>0</v>
      </c>
      <c r="E232" s="44">
        <f>_xlfn.XLOOKUP(Table3[[#This Row],[instant]],Table1[instant],Table1[weekday], ,0,1)</f>
        <v>1</v>
      </c>
      <c r="F232" s="44">
        <f>_xlfn.XLOOKUP(Table3[[#This Row],[instant]],Table1[instant],Table1[weathersit], ,0,1)</f>
        <v>1</v>
      </c>
      <c r="G232" s="44">
        <f>_xlfn.XLOOKUP(Table3[[#This Row],[instant]],Table1[instant],Table1[temp], ,0,1)</f>
        <v>0.14000000000000001</v>
      </c>
      <c r="H232" s="45">
        <f>_xlfn.XLOOKUP(Table3[[#This Row],[instant]],Table2[instant],Table2[atemp], ,0,1)</f>
        <v>0.13639999999999999</v>
      </c>
      <c r="I232" s="42">
        <f>_xlfn.XLOOKUP(Table3[[#This Row],[instant]],Table2[instant],Table2[hum], ,0,1)</f>
        <v>0.59</v>
      </c>
      <c r="J232" s="42">
        <f>_xlfn.XLOOKUP(Table3[[#This Row],[instant]],Table2[instant],Table2[windspeed], ,0,1)</f>
        <v>0.19400000000000001</v>
      </c>
      <c r="K232" s="42">
        <f>_xlfn.XLOOKUP(Table3[[#This Row],[instant]],Table2[instant],Table2[casual], ,0,1)</f>
        <v>1</v>
      </c>
      <c r="L232" s="42">
        <f>_xlfn.XLOOKUP(Table3[[#This Row],[instant]],Table2[instant],Table2[registered], ,0,1)</f>
        <v>37</v>
      </c>
      <c r="M232" s="46">
        <f>_xlfn.XLOOKUP(Table3[[#This Row],[instant]],Table2[instant],Table2[cnt], ,0,1)</f>
        <v>38</v>
      </c>
      <c r="N232" s="42" t="str">
        <f>IF(OR(Table3[[#This Row],[weekday]]=0,Table3[[#This Row],[weekday]]=6),"Weekend","Weekday")</f>
        <v>Weekday</v>
      </c>
    </row>
    <row r="233" spans="1:14" ht="15" thickBot="1" x14ac:dyDescent="0.35">
      <c r="A233" s="1">
        <v>232</v>
      </c>
      <c r="B233" s="3">
        <f>_xlfn.XLOOKUP(Table3[[#This Row],[instant]],DatSet1!A233:A842,DatSet1!B233:B842,_xlfn.XLOOKUP(Table3[[#This Row],[instant]],'Final Data'!A233:A622,'Final Data'!B233:B622, ,0,1),0,1)</f>
        <v>40553</v>
      </c>
      <c r="C233" s="1">
        <f>_xlfn.XLOOKUP(Table3[[#This Row],[instant]],Table1[instant],Table1[hr], ,0,1)</f>
        <v>22</v>
      </c>
      <c r="D233" s="2" t="b">
        <f>_xlfn.XLOOKUP(Table3[[#This Row],[instant]],Table1[instant],Table1[holiday], ,0,1)</f>
        <v>0</v>
      </c>
      <c r="E233" s="2">
        <f>_xlfn.XLOOKUP(Table3[[#This Row],[instant]],Table1[instant],Table1[weekday], ,0,1)</f>
        <v>1</v>
      </c>
      <c r="F233" s="2">
        <f>_xlfn.XLOOKUP(Table3[[#This Row],[instant]],Table1[instant],Table1[weathersit], ,0,1)</f>
        <v>1</v>
      </c>
      <c r="G233" s="2">
        <f>_xlfn.XLOOKUP(Table3[[#This Row],[instant]],Table1[instant],Table1[temp], ,0,1)</f>
        <v>0.14000000000000001</v>
      </c>
      <c r="H233" s="24">
        <f>_xlfn.XLOOKUP(Table3[[#This Row],[instant]],Table2[instant],Table2[atemp], ,0,1)</f>
        <v>0.1515</v>
      </c>
      <c r="I233" s="1">
        <f>_xlfn.XLOOKUP(Table3[[#This Row],[instant]],Table2[instant],Table2[hum], ,0,1)</f>
        <v>0.59</v>
      </c>
      <c r="J233" s="1">
        <f>_xlfn.XLOOKUP(Table3[[#This Row],[instant]],Table2[instant],Table2[windspeed], ,0,1)</f>
        <v>0.16420000000000001</v>
      </c>
      <c r="K233" s="1">
        <f>_xlfn.XLOOKUP(Table3[[#This Row],[instant]],Table2[instant],Table2[casual], ,0,1)</f>
        <v>2</v>
      </c>
      <c r="L233" s="1">
        <f>_xlfn.XLOOKUP(Table3[[#This Row],[instant]],Table2[instant],Table2[registered], ,0,1)</f>
        <v>22</v>
      </c>
      <c r="M233" s="6">
        <f>_xlfn.XLOOKUP(Table3[[#This Row],[instant]],Table2[instant],Table2[cnt], ,0,1)</f>
        <v>24</v>
      </c>
      <c r="N233" s="1" t="str">
        <f>IF(OR(Table3[[#This Row],[weekday]]=0,Table3[[#This Row],[weekday]]=6),"Weekend","Weekday")</f>
        <v>Weekday</v>
      </c>
    </row>
    <row r="234" spans="1:14" ht="15" thickBot="1" x14ac:dyDescent="0.35">
      <c r="A234" s="42">
        <v>233</v>
      </c>
      <c r="B234" s="43">
        <f>_xlfn.XLOOKUP(Table3[[#This Row],[instant]],DatSet1!A234:A843,DatSet1!B234:B843,_xlfn.XLOOKUP(Table3[[#This Row],[instant]],'Final Data'!A234:A623,'Final Data'!B234:B623, ,0,1),0,1)</f>
        <v>40553</v>
      </c>
      <c r="C234" s="42">
        <f>_xlfn.XLOOKUP(Table3[[#This Row],[instant]],Table1[instant],Table1[hr], ,0,1)</f>
        <v>23</v>
      </c>
      <c r="D234" s="44" t="b">
        <f>_xlfn.XLOOKUP(Table3[[#This Row],[instant]],Table1[instant],Table1[holiday], ,0,1)</f>
        <v>0</v>
      </c>
      <c r="E234" s="44">
        <f>_xlfn.XLOOKUP(Table3[[#This Row],[instant]],Table1[instant],Table1[weekday], ,0,1)</f>
        <v>1</v>
      </c>
      <c r="F234" s="44">
        <f>_xlfn.XLOOKUP(Table3[[#This Row],[instant]],Table1[instant],Table1[weathersit], ,0,1)</f>
        <v>1</v>
      </c>
      <c r="G234" s="44">
        <f>_xlfn.XLOOKUP(Table3[[#This Row],[instant]],Table1[instant],Table1[temp], ,0,1)</f>
        <v>0.14000000000000001</v>
      </c>
      <c r="H234" s="45">
        <f>_xlfn.XLOOKUP(Table3[[#This Row],[instant]],Table2[instant],Table2[atemp], ,0,1)</f>
        <v>0.1515</v>
      </c>
      <c r="I234" s="42">
        <f>_xlfn.XLOOKUP(Table3[[#This Row],[instant]],Table2[instant],Table2[hum], ,0,1)</f>
        <v>0.59</v>
      </c>
      <c r="J234" s="42">
        <f>_xlfn.XLOOKUP(Table3[[#This Row],[instant]],Table2[instant],Table2[windspeed], ,0,1)</f>
        <v>0.16420000000000001</v>
      </c>
      <c r="K234" s="42">
        <f>_xlfn.XLOOKUP(Table3[[#This Row],[instant]],Table2[instant],Table2[casual], ,0,1)</f>
        <v>0</v>
      </c>
      <c r="L234" s="42">
        <f>_xlfn.XLOOKUP(Table3[[#This Row],[instant]],Table2[instant],Table2[registered], ,0,1)</f>
        <v>18</v>
      </c>
      <c r="M234" s="46">
        <f>_xlfn.XLOOKUP(Table3[[#This Row],[instant]],Table2[instant],Table2[cnt], ,0,1)</f>
        <v>18</v>
      </c>
      <c r="N234" s="42" t="str">
        <f>IF(OR(Table3[[#This Row],[weekday]]=0,Table3[[#This Row],[weekday]]=6),"Weekend","Weekday")</f>
        <v>Weekday</v>
      </c>
    </row>
    <row r="235" spans="1:14" ht="15" thickBot="1" x14ac:dyDescent="0.35">
      <c r="A235" s="1">
        <v>234</v>
      </c>
      <c r="B235" s="3">
        <f>_xlfn.XLOOKUP(Table3[[#This Row],[instant]],DatSet1!A235:A844,DatSet1!B235:B844,_xlfn.XLOOKUP(Table3[[#This Row],[instant]],'Final Data'!A235:A624,'Final Data'!B235:B624, ,0,1),0,1)</f>
        <v>40554</v>
      </c>
      <c r="C235" s="1">
        <f>_xlfn.XLOOKUP(Table3[[#This Row],[instant]],Table1[instant],Table1[hr], ,0,1)</f>
        <v>0</v>
      </c>
      <c r="D235" s="2" t="b">
        <f>_xlfn.XLOOKUP(Table3[[#This Row],[instant]],Table1[instant],Table1[holiday], ,0,1)</f>
        <v>0</v>
      </c>
      <c r="E235" s="2">
        <f>_xlfn.XLOOKUP(Table3[[#This Row],[instant]],Table1[instant],Table1[weekday], ,0,1)</f>
        <v>2</v>
      </c>
      <c r="F235" s="2">
        <f>_xlfn.XLOOKUP(Table3[[#This Row],[instant]],Table1[instant],Table1[weathersit], ,0,1)</f>
        <v>1</v>
      </c>
      <c r="G235" s="2">
        <f>_xlfn.XLOOKUP(Table3[[#This Row],[instant]],Table1[instant],Table1[temp], ,0,1)</f>
        <v>0.14000000000000001</v>
      </c>
      <c r="H235" s="24">
        <f>_xlfn.XLOOKUP(Table3[[#This Row],[instant]],Table2[instant],Table2[atemp], ,0,1)</f>
        <v>0.16669999999999999</v>
      </c>
      <c r="I235" s="1">
        <f>_xlfn.XLOOKUP(Table3[[#This Row],[instant]],Table2[instant],Table2[hum], ,0,1)</f>
        <v>0.59</v>
      </c>
      <c r="J235" s="1">
        <f>_xlfn.XLOOKUP(Table3[[#This Row],[instant]],Table2[instant],Table2[windspeed], ,0,1)</f>
        <v>0.1045</v>
      </c>
      <c r="K235" s="1">
        <f>_xlfn.XLOOKUP(Table3[[#This Row],[instant]],Table2[instant],Table2[casual], ,0,1)</f>
        <v>2</v>
      </c>
      <c r="L235" s="1">
        <f>_xlfn.XLOOKUP(Table3[[#This Row],[instant]],Table2[instant],Table2[registered], ,0,1)</f>
        <v>10</v>
      </c>
      <c r="M235" s="6">
        <f>_xlfn.XLOOKUP(Table3[[#This Row],[instant]],Table2[instant],Table2[cnt], ,0,1)</f>
        <v>12</v>
      </c>
      <c r="N235" s="1" t="str">
        <f>IF(OR(Table3[[#This Row],[weekday]]=0,Table3[[#This Row],[weekday]]=6),"Weekend","Weekday")</f>
        <v>Weekday</v>
      </c>
    </row>
    <row r="236" spans="1:14" ht="15" thickBot="1" x14ac:dyDescent="0.35">
      <c r="A236" s="42">
        <v>235</v>
      </c>
      <c r="B236" s="43">
        <f>_xlfn.XLOOKUP(Table3[[#This Row],[instant]],DatSet1!A236:A845,DatSet1!B236:B845,_xlfn.XLOOKUP(Table3[[#This Row],[instant]],'Final Data'!A236:A625,'Final Data'!B236:B625, ,0,1),0,1)</f>
        <v>40554</v>
      </c>
      <c r="C236" s="42">
        <f>_xlfn.XLOOKUP(Table3[[#This Row],[instant]],Table1[instant],Table1[hr], ,0,1)</f>
        <v>1</v>
      </c>
      <c r="D236" s="44" t="b">
        <f>_xlfn.XLOOKUP(Table3[[#This Row],[instant]],Table1[instant],Table1[holiday], ,0,1)</f>
        <v>0</v>
      </c>
      <c r="E236" s="44">
        <f>_xlfn.XLOOKUP(Table3[[#This Row],[instant]],Table1[instant],Table1[weekday], ,0,1)</f>
        <v>2</v>
      </c>
      <c r="F236" s="44">
        <f>_xlfn.XLOOKUP(Table3[[#This Row],[instant]],Table1[instant],Table1[weathersit], ,0,1)</f>
        <v>1</v>
      </c>
      <c r="G236" s="44">
        <f>_xlfn.XLOOKUP(Table3[[#This Row],[instant]],Table1[instant],Table1[temp], ,0,1)</f>
        <v>0.14000000000000001</v>
      </c>
      <c r="H236" s="45">
        <f>_xlfn.XLOOKUP(Table3[[#This Row],[instant]],Table2[instant],Table2[atemp], ,0,1)</f>
        <v>0.1515</v>
      </c>
      <c r="I236" s="42">
        <f>_xlfn.XLOOKUP(Table3[[#This Row],[instant]],Table2[instant],Table2[hum], ,0,1)</f>
        <v>0.59</v>
      </c>
      <c r="J236" s="42">
        <f>_xlfn.XLOOKUP(Table3[[#This Row],[instant]],Table2[instant],Table2[windspeed], ,0,1)</f>
        <v>0.16420000000000001</v>
      </c>
      <c r="K236" s="42">
        <f>_xlfn.XLOOKUP(Table3[[#This Row],[instant]],Table2[instant],Table2[casual], ,0,1)</f>
        <v>0</v>
      </c>
      <c r="L236" s="42">
        <f>_xlfn.XLOOKUP(Table3[[#This Row],[instant]],Table2[instant],Table2[registered], ,0,1)</f>
        <v>3</v>
      </c>
      <c r="M236" s="46">
        <f>_xlfn.XLOOKUP(Table3[[#This Row],[instant]],Table2[instant],Table2[cnt], ,0,1)</f>
        <v>3</v>
      </c>
      <c r="N236" s="42" t="str">
        <f>IF(OR(Table3[[#This Row],[weekday]]=0,Table3[[#This Row],[weekday]]=6),"Weekend","Weekday")</f>
        <v>Weekday</v>
      </c>
    </row>
    <row r="237" spans="1:14" ht="15" thickBot="1" x14ac:dyDescent="0.35">
      <c r="A237" s="1">
        <v>236</v>
      </c>
      <c r="B237" s="3">
        <f>_xlfn.XLOOKUP(Table3[[#This Row],[instant]],DatSet1!A237:A846,DatSet1!B237:B846,_xlfn.XLOOKUP(Table3[[#This Row],[instant]],'Final Data'!A237:A626,'Final Data'!B237:B626, ,0,1),0,1)</f>
        <v>40554</v>
      </c>
      <c r="C237" s="1">
        <f>_xlfn.XLOOKUP(Table3[[#This Row],[instant]],Table1[instant],Table1[hr], ,0,1)</f>
        <v>2</v>
      </c>
      <c r="D237" s="2" t="b">
        <f>_xlfn.XLOOKUP(Table3[[#This Row],[instant]],Table1[instant],Table1[holiday], ,0,1)</f>
        <v>0</v>
      </c>
      <c r="E237" s="2">
        <f>_xlfn.XLOOKUP(Table3[[#This Row],[instant]],Table1[instant],Table1[weekday], ,0,1)</f>
        <v>2</v>
      </c>
      <c r="F237" s="2">
        <f>_xlfn.XLOOKUP(Table3[[#This Row],[instant]],Table1[instant],Table1[weathersit], ,0,1)</f>
        <v>2</v>
      </c>
      <c r="G237" s="2">
        <f>_xlfn.XLOOKUP(Table3[[#This Row],[instant]],Table1[instant],Table1[temp], ,0,1)</f>
        <v>0.16</v>
      </c>
      <c r="H237" s="24">
        <f>_xlfn.XLOOKUP(Table3[[#This Row],[instant]],Table2[instant],Table2[atemp], ,0,1)</f>
        <v>0.1515</v>
      </c>
      <c r="I237" s="1">
        <f>_xlfn.XLOOKUP(Table3[[#This Row],[instant]],Table2[instant],Table2[hum], ,0,1)</f>
        <v>0.55000000000000004</v>
      </c>
      <c r="J237" s="1">
        <f>_xlfn.XLOOKUP(Table3[[#This Row],[instant]],Table2[instant],Table2[windspeed], ,0,1)</f>
        <v>0.19400000000000001</v>
      </c>
      <c r="K237" s="1">
        <f>_xlfn.XLOOKUP(Table3[[#This Row],[instant]],Table2[instant],Table2[casual], ,0,1)</f>
        <v>0</v>
      </c>
      <c r="L237" s="1">
        <f>_xlfn.XLOOKUP(Table3[[#This Row],[instant]],Table2[instant],Table2[registered], ,0,1)</f>
        <v>3</v>
      </c>
      <c r="M237" s="6">
        <f>_xlfn.XLOOKUP(Table3[[#This Row],[instant]],Table2[instant],Table2[cnt], ,0,1)</f>
        <v>3</v>
      </c>
      <c r="N237" s="1" t="str">
        <f>IF(OR(Table3[[#This Row],[weekday]]=0,Table3[[#This Row],[weekday]]=6),"Weekend","Weekday")</f>
        <v>Weekday</v>
      </c>
    </row>
    <row r="238" spans="1:14" ht="15" thickBot="1" x14ac:dyDescent="0.35">
      <c r="A238" s="42">
        <v>237</v>
      </c>
      <c r="B238" s="43">
        <f>_xlfn.XLOOKUP(Table3[[#This Row],[instant]],DatSet1!A238:A847,DatSet1!B238:B847,_xlfn.XLOOKUP(Table3[[#This Row],[instant]],'Final Data'!A238:A627,'Final Data'!B238:B627, ,0,1),0,1)</f>
        <v>40554</v>
      </c>
      <c r="C238" s="42">
        <f>_xlfn.XLOOKUP(Table3[[#This Row],[instant]],Table1[instant],Table1[hr], ,0,1)</f>
        <v>5</v>
      </c>
      <c r="D238" s="44" t="b">
        <f>_xlfn.XLOOKUP(Table3[[#This Row],[instant]],Table1[instant],Table1[holiday], ,0,1)</f>
        <v>0</v>
      </c>
      <c r="E238" s="44">
        <f>_xlfn.XLOOKUP(Table3[[#This Row],[instant]],Table1[instant],Table1[weekday], ,0,1)</f>
        <v>2</v>
      </c>
      <c r="F238" s="44">
        <f>_xlfn.XLOOKUP(Table3[[#This Row],[instant]],Table1[instant],Table1[weathersit], ,0,1)</f>
        <v>2</v>
      </c>
      <c r="G238" s="44">
        <f>_xlfn.XLOOKUP(Table3[[#This Row],[instant]],Table1[instant],Table1[temp], ,0,1)</f>
        <v>0.16</v>
      </c>
      <c r="H238" s="45">
        <f>_xlfn.XLOOKUP(Table3[[#This Row],[instant]],Table2[instant],Table2[atemp], ,0,1)</f>
        <v>0.18179999999999999</v>
      </c>
      <c r="I238" s="42">
        <f>_xlfn.XLOOKUP(Table3[[#This Row],[instant]],Table2[instant],Table2[hum], ,0,1)</f>
        <v>0.55000000000000004</v>
      </c>
      <c r="J238" s="42">
        <f>_xlfn.XLOOKUP(Table3[[#This Row],[instant]],Table2[instant],Table2[windspeed], ,0,1)</f>
        <v>0.1343</v>
      </c>
      <c r="K238" s="42">
        <f>_xlfn.XLOOKUP(Table3[[#This Row],[instant]],Table2[instant],Table2[casual], ,0,1)</f>
        <v>0</v>
      </c>
      <c r="L238" s="42">
        <f>_xlfn.XLOOKUP(Table3[[#This Row],[instant]],Table2[instant],Table2[registered], ,0,1)</f>
        <v>6</v>
      </c>
      <c r="M238" s="46">
        <f>_xlfn.XLOOKUP(Table3[[#This Row],[instant]],Table2[instant],Table2[cnt], ,0,1)</f>
        <v>6</v>
      </c>
      <c r="N238" s="42" t="str">
        <f>IF(OR(Table3[[#This Row],[weekday]]=0,Table3[[#This Row],[weekday]]=6),"Weekend","Weekday")</f>
        <v>Weekday</v>
      </c>
    </row>
    <row r="239" spans="1:14" ht="15" thickBot="1" x14ac:dyDescent="0.35">
      <c r="A239" s="1">
        <v>238</v>
      </c>
      <c r="B239" s="3">
        <f>_xlfn.XLOOKUP(Table3[[#This Row],[instant]],DatSet1!A239:A848,DatSet1!B239:B848,_xlfn.XLOOKUP(Table3[[#This Row],[instant]],'Final Data'!A239:A628,'Final Data'!B239:B628, ,0,1),0,1)</f>
        <v>40554</v>
      </c>
      <c r="C239" s="1">
        <f>_xlfn.XLOOKUP(Table3[[#This Row],[instant]],Table1[instant],Table1[hr], ,0,1)</f>
        <v>6</v>
      </c>
      <c r="D239" s="2" t="b">
        <f>_xlfn.XLOOKUP(Table3[[#This Row],[instant]],Table1[instant],Table1[holiday], ,0,1)</f>
        <v>0</v>
      </c>
      <c r="E239" s="2">
        <f>_xlfn.XLOOKUP(Table3[[#This Row],[instant]],Table1[instant],Table1[weekday], ,0,1)</f>
        <v>2</v>
      </c>
      <c r="F239" s="2">
        <f>_xlfn.XLOOKUP(Table3[[#This Row],[instant]],Table1[instant],Table1[weathersit], ,0,1)</f>
        <v>2</v>
      </c>
      <c r="G239" s="2">
        <f>_xlfn.XLOOKUP(Table3[[#This Row],[instant]],Table1[instant],Table1[temp], ,0,1)</f>
        <v>0.16</v>
      </c>
      <c r="H239" s="24">
        <f>_xlfn.XLOOKUP(Table3[[#This Row],[instant]],Table2[instant],Table2[atemp], ,0,1)</f>
        <v>0.18179999999999999</v>
      </c>
      <c r="I239" s="1">
        <f>_xlfn.XLOOKUP(Table3[[#This Row],[instant]],Table2[instant],Table2[hum], ,0,1)</f>
        <v>0.55000000000000004</v>
      </c>
      <c r="J239" s="1">
        <f>_xlfn.XLOOKUP(Table3[[#This Row],[instant]],Table2[instant],Table2[windspeed], ,0,1)</f>
        <v>0.1343</v>
      </c>
      <c r="K239" s="1">
        <f>_xlfn.XLOOKUP(Table3[[#This Row],[instant]],Table2[instant],Table2[casual], ,0,1)</f>
        <v>0</v>
      </c>
      <c r="L239" s="1">
        <f>_xlfn.XLOOKUP(Table3[[#This Row],[instant]],Table2[instant],Table2[registered], ,0,1)</f>
        <v>27</v>
      </c>
      <c r="M239" s="6">
        <f>_xlfn.XLOOKUP(Table3[[#This Row],[instant]],Table2[instant],Table2[cnt], ,0,1)</f>
        <v>27</v>
      </c>
      <c r="N239" s="1" t="str">
        <f>IF(OR(Table3[[#This Row],[weekday]]=0,Table3[[#This Row],[weekday]]=6),"Weekend","Weekday")</f>
        <v>Weekday</v>
      </c>
    </row>
    <row r="240" spans="1:14" ht="15" thickBot="1" x14ac:dyDescent="0.35">
      <c r="A240" s="42">
        <v>239</v>
      </c>
      <c r="B240" s="43">
        <f>_xlfn.XLOOKUP(Table3[[#This Row],[instant]],DatSet1!A240:A849,DatSet1!B240:B849,_xlfn.XLOOKUP(Table3[[#This Row],[instant]],'Final Data'!A240:A629,'Final Data'!B240:B629, ,0,1),0,1)</f>
        <v>40554</v>
      </c>
      <c r="C240" s="42">
        <f>_xlfn.XLOOKUP(Table3[[#This Row],[instant]],Table1[instant],Table1[hr], ,0,1)</f>
        <v>7</v>
      </c>
      <c r="D240" s="44" t="b">
        <f>_xlfn.XLOOKUP(Table3[[#This Row],[instant]],Table1[instant],Table1[holiday], ,0,1)</f>
        <v>0</v>
      </c>
      <c r="E240" s="44">
        <f>_xlfn.XLOOKUP(Table3[[#This Row],[instant]],Table1[instant],Table1[weekday], ,0,1)</f>
        <v>2</v>
      </c>
      <c r="F240" s="44">
        <f>_xlfn.XLOOKUP(Table3[[#This Row],[instant]],Table1[instant],Table1[weathersit], ,0,1)</f>
        <v>2</v>
      </c>
      <c r="G240" s="44">
        <f>_xlfn.XLOOKUP(Table3[[#This Row],[instant]],Table1[instant],Table1[temp], ,0,1)</f>
        <v>0.16</v>
      </c>
      <c r="H240" s="45">
        <f>_xlfn.XLOOKUP(Table3[[#This Row],[instant]],Table2[instant],Table2[atemp], ,0,1)</f>
        <v>0.2273</v>
      </c>
      <c r="I240" s="42">
        <f>_xlfn.XLOOKUP(Table3[[#This Row],[instant]],Table2[instant],Table2[hum], ,0,1)</f>
        <v>0.55000000000000004</v>
      </c>
      <c r="J240" s="42">
        <f>_xlfn.XLOOKUP(Table3[[#This Row],[instant]],Table2[instant],Table2[windspeed], ,0,1)</f>
        <v>0</v>
      </c>
      <c r="K240" s="42">
        <f>_xlfn.XLOOKUP(Table3[[#This Row],[instant]],Table2[instant],Table2[casual], ,0,1)</f>
        <v>2</v>
      </c>
      <c r="L240" s="42">
        <f>_xlfn.XLOOKUP(Table3[[#This Row],[instant]],Table2[instant],Table2[registered], ,0,1)</f>
        <v>97</v>
      </c>
      <c r="M240" s="46">
        <f>_xlfn.XLOOKUP(Table3[[#This Row],[instant]],Table2[instant],Table2[cnt], ,0,1)</f>
        <v>99</v>
      </c>
      <c r="N240" s="42" t="str">
        <f>IF(OR(Table3[[#This Row],[weekday]]=0,Table3[[#This Row],[weekday]]=6),"Weekend","Weekday")</f>
        <v>Weekday</v>
      </c>
    </row>
    <row r="241" spans="1:14" ht="15" thickBot="1" x14ac:dyDescent="0.35">
      <c r="A241" s="1">
        <v>240</v>
      </c>
      <c r="B241" s="3">
        <f>_xlfn.XLOOKUP(Table3[[#This Row],[instant]],DatSet1!A241:A850,DatSet1!B241:B850,_xlfn.XLOOKUP(Table3[[#This Row],[instant]],'Final Data'!A241:A630,'Final Data'!B241:B630, ,0,1),0,1)</f>
        <v>40554</v>
      </c>
      <c r="C241" s="1">
        <f>_xlfn.XLOOKUP(Table3[[#This Row],[instant]],Table1[instant],Table1[hr], ,0,1)</f>
        <v>8</v>
      </c>
      <c r="D241" s="2" t="b">
        <f>_xlfn.XLOOKUP(Table3[[#This Row],[instant]],Table1[instant],Table1[holiday], ,0,1)</f>
        <v>0</v>
      </c>
      <c r="E241" s="2">
        <f>_xlfn.XLOOKUP(Table3[[#This Row],[instant]],Table1[instant],Table1[weekday], ,0,1)</f>
        <v>2</v>
      </c>
      <c r="F241" s="2">
        <f>_xlfn.XLOOKUP(Table3[[#This Row],[instant]],Table1[instant],Table1[weathersit], ,0,1)</f>
        <v>2</v>
      </c>
      <c r="G241" s="2">
        <f>_xlfn.XLOOKUP(Table3[[#This Row],[instant]],Table1[instant],Table1[temp], ,0,1)</f>
        <v>0.18</v>
      </c>
      <c r="H241" s="24">
        <f>_xlfn.XLOOKUP(Table3[[#This Row],[instant]],Table2[instant],Table2[atemp], ,0,1)</f>
        <v>0.21210000000000001</v>
      </c>
      <c r="I241" s="1">
        <f>_xlfn.XLOOKUP(Table3[[#This Row],[instant]],Table2[instant],Table2[hum], ,0,1)</f>
        <v>0.51</v>
      </c>
      <c r="J241" s="1">
        <f>_xlfn.XLOOKUP(Table3[[#This Row],[instant]],Table2[instant],Table2[windspeed], ,0,1)</f>
        <v>8.9599999999999999E-2</v>
      </c>
      <c r="K241" s="1">
        <f>_xlfn.XLOOKUP(Table3[[#This Row],[instant]],Table2[instant],Table2[casual], ,0,1)</f>
        <v>3</v>
      </c>
      <c r="L241" s="1">
        <f>_xlfn.XLOOKUP(Table3[[#This Row],[instant]],Table2[instant],Table2[registered], ,0,1)</f>
        <v>214</v>
      </c>
      <c r="M241" s="6">
        <f>_xlfn.XLOOKUP(Table3[[#This Row],[instant]],Table2[instant],Table2[cnt], ,0,1)</f>
        <v>217</v>
      </c>
      <c r="N241" s="1" t="str">
        <f>IF(OR(Table3[[#This Row],[weekday]]=0,Table3[[#This Row],[weekday]]=6),"Weekend","Weekday")</f>
        <v>Weekday</v>
      </c>
    </row>
    <row r="242" spans="1:14" ht="15" thickBot="1" x14ac:dyDescent="0.35">
      <c r="A242" s="42">
        <v>241</v>
      </c>
      <c r="B242" s="43">
        <f>_xlfn.XLOOKUP(Table3[[#This Row],[instant]],DatSet1!A242:A851,DatSet1!B242:B851,_xlfn.XLOOKUP(Table3[[#This Row],[instant]],'Final Data'!A242:A631,'Final Data'!B242:B631, ,0,1),0,1)</f>
        <v>40554</v>
      </c>
      <c r="C242" s="42">
        <f>_xlfn.XLOOKUP(Table3[[#This Row],[instant]],Table1[instant],Table1[hr], ,0,1)</f>
        <v>9</v>
      </c>
      <c r="D242" s="44" t="b">
        <f>_xlfn.XLOOKUP(Table3[[#This Row],[instant]],Table1[instant],Table1[holiday], ,0,1)</f>
        <v>0</v>
      </c>
      <c r="E242" s="44">
        <f>_xlfn.XLOOKUP(Table3[[#This Row],[instant]],Table1[instant],Table1[weekday], ,0,1)</f>
        <v>2</v>
      </c>
      <c r="F242" s="44">
        <f>_xlfn.XLOOKUP(Table3[[#This Row],[instant]],Table1[instant],Table1[weathersit], ,0,1)</f>
        <v>2</v>
      </c>
      <c r="G242" s="44">
        <f>_xlfn.XLOOKUP(Table3[[#This Row],[instant]],Table1[instant],Table1[temp], ,0,1)</f>
        <v>0.18</v>
      </c>
      <c r="H242" s="45">
        <f>_xlfn.XLOOKUP(Table3[[#This Row],[instant]],Table2[instant],Table2[atemp], ,0,1)</f>
        <v>0.19700000000000001</v>
      </c>
      <c r="I242" s="42">
        <f>_xlfn.XLOOKUP(Table3[[#This Row],[instant]],Table2[instant],Table2[hum], ,0,1)</f>
        <v>0.51</v>
      </c>
      <c r="J242" s="42">
        <f>_xlfn.XLOOKUP(Table3[[#This Row],[instant]],Table2[instant],Table2[windspeed], ,0,1)</f>
        <v>0.16420000000000001</v>
      </c>
      <c r="K242" s="42">
        <f>_xlfn.XLOOKUP(Table3[[#This Row],[instant]],Table2[instant],Table2[casual], ,0,1)</f>
        <v>3</v>
      </c>
      <c r="L242" s="42">
        <f>_xlfn.XLOOKUP(Table3[[#This Row],[instant]],Table2[instant],Table2[registered], ,0,1)</f>
        <v>127</v>
      </c>
      <c r="M242" s="46">
        <f>_xlfn.XLOOKUP(Table3[[#This Row],[instant]],Table2[instant],Table2[cnt], ,0,1)</f>
        <v>130</v>
      </c>
      <c r="N242" s="42" t="str">
        <f>IF(OR(Table3[[#This Row],[weekday]]=0,Table3[[#This Row],[weekday]]=6),"Weekend","Weekday")</f>
        <v>Weekday</v>
      </c>
    </row>
    <row r="243" spans="1:14" ht="15" thickBot="1" x14ac:dyDescent="0.35">
      <c r="A243" s="1">
        <v>242</v>
      </c>
      <c r="B243" s="3">
        <f>_xlfn.XLOOKUP(Table3[[#This Row],[instant]],DatSet1!A243:A852,DatSet1!B243:B852,_xlfn.XLOOKUP(Table3[[#This Row],[instant]],'Final Data'!A243:A632,'Final Data'!B243:B632, ,0,1),0,1)</f>
        <v>40554</v>
      </c>
      <c r="C243" s="1">
        <f>_xlfn.XLOOKUP(Table3[[#This Row],[instant]],Table1[instant],Table1[hr], ,0,1)</f>
        <v>10</v>
      </c>
      <c r="D243" s="2" t="b">
        <f>_xlfn.XLOOKUP(Table3[[#This Row],[instant]],Table1[instant],Table1[holiday], ,0,1)</f>
        <v>0</v>
      </c>
      <c r="E243" s="2">
        <f>_xlfn.XLOOKUP(Table3[[#This Row],[instant]],Table1[instant],Table1[weekday], ,0,1)</f>
        <v>2</v>
      </c>
      <c r="F243" s="2">
        <f>_xlfn.XLOOKUP(Table3[[#This Row],[instant]],Table1[instant],Table1[weathersit], ,0,1)</f>
        <v>2</v>
      </c>
      <c r="G243" s="2">
        <f>_xlfn.XLOOKUP(Table3[[#This Row],[instant]],Table1[instant],Table1[temp], ,0,1)</f>
        <v>0.2</v>
      </c>
      <c r="H243" s="24">
        <f>_xlfn.XLOOKUP(Table3[[#This Row],[instant]],Table2[instant],Table2[atemp], ,0,1)</f>
        <v>0.21210000000000001</v>
      </c>
      <c r="I243" s="1">
        <f>_xlfn.XLOOKUP(Table3[[#This Row],[instant]],Table2[instant],Table2[hum], ,0,1)</f>
        <v>0.51</v>
      </c>
      <c r="J243" s="1">
        <f>_xlfn.XLOOKUP(Table3[[#This Row],[instant]],Table2[instant],Table2[windspeed], ,0,1)</f>
        <v>0.16420000000000001</v>
      </c>
      <c r="K243" s="1">
        <f>_xlfn.XLOOKUP(Table3[[#This Row],[instant]],Table2[instant],Table2[casual], ,0,1)</f>
        <v>3</v>
      </c>
      <c r="L243" s="1">
        <f>_xlfn.XLOOKUP(Table3[[#This Row],[instant]],Table2[instant],Table2[registered], ,0,1)</f>
        <v>51</v>
      </c>
      <c r="M243" s="6">
        <f>_xlfn.XLOOKUP(Table3[[#This Row],[instant]],Table2[instant],Table2[cnt], ,0,1)</f>
        <v>54</v>
      </c>
      <c r="N243" s="1" t="str">
        <f>IF(OR(Table3[[#This Row],[weekday]]=0,Table3[[#This Row],[weekday]]=6),"Weekend","Weekday")</f>
        <v>Weekday</v>
      </c>
    </row>
    <row r="244" spans="1:14" ht="15" thickBot="1" x14ac:dyDescent="0.35">
      <c r="A244" s="42">
        <v>243</v>
      </c>
      <c r="B244" s="43">
        <f>_xlfn.XLOOKUP(Table3[[#This Row],[instant]],DatSet1!A244:A853,DatSet1!B244:B853,_xlfn.XLOOKUP(Table3[[#This Row],[instant]],'Final Data'!A244:A633,'Final Data'!B244:B633, ,0,1),0,1)</f>
        <v>40554</v>
      </c>
      <c r="C244" s="42">
        <f>_xlfn.XLOOKUP(Table3[[#This Row],[instant]],Table1[instant],Table1[hr], ,0,1)</f>
        <v>11</v>
      </c>
      <c r="D244" s="44" t="b">
        <f>_xlfn.XLOOKUP(Table3[[#This Row],[instant]],Table1[instant],Table1[holiday], ,0,1)</f>
        <v>0</v>
      </c>
      <c r="E244" s="44">
        <f>_xlfn.XLOOKUP(Table3[[#This Row],[instant]],Table1[instant],Table1[weekday], ,0,1)</f>
        <v>2</v>
      </c>
      <c r="F244" s="44">
        <f>_xlfn.XLOOKUP(Table3[[#This Row],[instant]],Table1[instant],Table1[weathersit], ,0,1)</f>
        <v>2</v>
      </c>
      <c r="G244" s="44">
        <f>_xlfn.XLOOKUP(Table3[[#This Row],[instant]],Table1[instant],Table1[temp], ,0,1)</f>
        <v>0.2</v>
      </c>
      <c r="H244" s="45">
        <f>_xlfn.XLOOKUP(Table3[[#This Row],[instant]],Table2[instant],Table2[atemp], ,0,1)</f>
        <v>0.21210000000000001</v>
      </c>
      <c r="I244" s="42">
        <f>_xlfn.XLOOKUP(Table3[[#This Row],[instant]],Table2[instant],Table2[hum], ,0,1)</f>
        <v>0.47</v>
      </c>
      <c r="J244" s="42">
        <f>_xlfn.XLOOKUP(Table3[[#This Row],[instant]],Table2[instant],Table2[windspeed], ,0,1)</f>
        <v>0.1343</v>
      </c>
      <c r="K244" s="42">
        <f>_xlfn.XLOOKUP(Table3[[#This Row],[instant]],Table2[instant],Table2[casual], ,0,1)</f>
        <v>4</v>
      </c>
      <c r="L244" s="42">
        <f>_xlfn.XLOOKUP(Table3[[#This Row],[instant]],Table2[instant],Table2[registered], ,0,1)</f>
        <v>31</v>
      </c>
      <c r="M244" s="46">
        <f>_xlfn.XLOOKUP(Table3[[#This Row],[instant]],Table2[instant],Table2[cnt], ,0,1)</f>
        <v>35</v>
      </c>
      <c r="N244" s="42" t="str">
        <f>IF(OR(Table3[[#This Row],[weekday]]=0,Table3[[#This Row],[weekday]]=6),"Weekend","Weekday")</f>
        <v>Weekday</v>
      </c>
    </row>
    <row r="245" spans="1:14" ht="15" thickBot="1" x14ac:dyDescent="0.35">
      <c r="A245" s="1">
        <v>244</v>
      </c>
      <c r="B245" s="3">
        <f>_xlfn.XLOOKUP(Table3[[#This Row],[instant]],DatSet1!A245:A854,DatSet1!B245:B854,_xlfn.XLOOKUP(Table3[[#This Row],[instant]],'Final Data'!A245:A634,'Final Data'!B245:B634, ,0,1),0,1)</f>
        <v>40554</v>
      </c>
      <c r="C245" s="1">
        <f>_xlfn.XLOOKUP(Table3[[#This Row],[instant]],Table1[instant],Table1[hr], ,0,1)</f>
        <v>12</v>
      </c>
      <c r="D245" s="2" t="b">
        <f>_xlfn.XLOOKUP(Table3[[#This Row],[instant]],Table1[instant],Table1[holiday], ,0,1)</f>
        <v>0</v>
      </c>
      <c r="E245" s="2">
        <f>_xlfn.XLOOKUP(Table3[[#This Row],[instant]],Table1[instant],Table1[weekday], ,0,1)</f>
        <v>2</v>
      </c>
      <c r="F245" s="2">
        <f>_xlfn.XLOOKUP(Table3[[#This Row],[instant]],Table1[instant],Table1[weathersit], ,0,1)</f>
        <v>2</v>
      </c>
      <c r="G245" s="2">
        <f>_xlfn.XLOOKUP(Table3[[#This Row],[instant]],Table1[instant],Table1[temp], ,0,1)</f>
        <v>0.2</v>
      </c>
      <c r="H245" s="24">
        <f>_xlfn.XLOOKUP(Table3[[#This Row],[instant]],Table2[instant],Table2[atemp], ,0,1)</f>
        <v>0.2273</v>
      </c>
      <c r="I245" s="1">
        <f>_xlfn.XLOOKUP(Table3[[#This Row],[instant]],Table2[instant],Table2[hum], ,0,1)</f>
        <v>0.51</v>
      </c>
      <c r="J245" s="1">
        <f>_xlfn.XLOOKUP(Table3[[#This Row],[instant]],Table2[instant],Table2[windspeed], ,0,1)</f>
        <v>0.1045</v>
      </c>
      <c r="K245" s="1">
        <f>_xlfn.XLOOKUP(Table3[[#This Row],[instant]],Table2[instant],Table2[casual], ,0,1)</f>
        <v>2</v>
      </c>
      <c r="L245" s="1">
        <f>_xlfn.XLOOKUP(Table3[[#This Row],[instant]],Table2[instant],Table2[registered], ,0,1)</f>
        <v>55</v>
      </c>
      <c r="M245" s="6">
        <f>_xlfn.XLOOKUP(Table3[[#This Row],[instant]],Table2[instant],Table2[cnt], ,0,1)</f>
        <v>57</v>
      </c>
      <c r="N245" s="1" t="str">
        <f>IF(OR(Table3[[#This Row],[weekday]]=0,Table3[[#This Row],[weekday]]=6),"Weekend","Weekday")</f>
        <v>Weekday</v>
      </c>
    </row>
    <row r="246" spans="1:14" ht="15" thickBot="1" x14ac:dyDescent="0.35">
      <c r="A246" s="42">
        <v>245</v>
      </c>
      <c r="B246" s="43">
        <f>_xlfn.XLOOKUP(Table3[[#This Row],[instant]],DatSet1!A246:A855,DatSet1!B246:B855,_xlfn.XLOOKUP(Table3[[#This Row],[instant]],'Final Data'!A246:A635,'Final Data'!B246:B635, ,0,1),0,1)</f>
        <v>40554</v>
      </c>
      <c r="C246" s="42">
        <f>_xlfn.XLOOKUP(Table3[[#This Row],[instant]],Table1[instant],Table1[hr], ,0,1)</f>
        <v>13</v>
      </c>
      <c r="D246" s="44" t="b">
        <f>_xlfn.XLOOKUP(Table3[[#This Row],[instant]],Table1[instant],Table1[holiday], ,0,1)</f>
        <v>0</v>
      </c>
      <c r="E246" s="44">
        <f>_xlfn.XLOOKUP(Table3[[#This Row],[instant]],Table1[instant],Table1[weekday], ,0,1)</f>
        <v>2</v>
      </c>
      <c r="F246" s="44">
        <f>_xlfn.XLOOKUP(Table3[[#This Row],[instant]],Table1[instant],Table1[weathersit], ,0,1)</f>
        <v>2</v>
      </c>
      <c r="G246" s="44">
        <f>_xlfn.XLOOKUP(Table3[[#This Row],[instant]],Table1[instant],Table1[temp], ,0,1)</f>
        <v>0.2</v>
      </c>
      <c r="H246" s="45">
        <f>_xlfn.XLOOKUP(Table3[[#This Row],[instant]],Table2[instant],Table2[atemp], ,0,1)</f>
        <v>0.2273</v>
      </c>
      <c r="I246" s="42">
        <f>_xlfn.XLOOKUP(Table3[[#This Row],[instant]],Table2[instant],Table2[hum], ,0,1)</f>
        <v>0.59</v>
      </c>
      <c r="J246" s="42">
        <f>_xlfn.XLOOKUP(Table3[[#This Row],[instant]],Table2[instant],Table2[windspeed], ,0,1)</f>
        <v>8.9599999999999999E-2</v>
      </c>
      <c r="K246" s="42">
        <f>_xlfn.XLOOKUP(Table3[[#This Row],[instant]],Table2[instant],Table2[casual], ,0,1)</f>
        <v>6</v>
      </c>
      <c r="L246" s="42">
        <f>_xlfn.XLOOKUP(Table3[[#This Row],[instant]],Table2[instant],Table2[registered], ,0,1)</f>
        <v>46</v>
      </c>
      <c r="M246" s="46">
        <f>_xlfn.XLOOKUP(Table3[[#This Row],[instant]],Table2[instant],Table2[cnt], ,0,1)</f>
        <v>52</v>
      </c>
      <c r="N246" s="42" t="str">
        <f>IF(OR(Table3[[#This Row],[weekday]]=0,Table3[[#This Row],[weekday]]=6),"Weekend","Weekday")</f>
        <v>Weekday</v>
      </c>
    </row>
    <row r="247" spans="1:14" ht="15" thickBot="1" x14ac:dyDescent="0.35">
      <c r="A247" s="1">
        <v>246</v>
      </c>
      <c r="B247" s="3">
        <f>_xlfn.XLOOKUP(Table3[[#This Row],[instant]],DatSet1!A247:A856,DatSet1!B247:B856,_xlfn.XLOOKUP(Table3[[#This Row],[instant]],'Final Data'!A247:A636,'Final Data'!B247:B636, ,0,1),0,1)</f>
        <v>40554</v>
      </c>
      <c r="C247" s="1">
        <f>_xlfn.XLOOKUP(Table3[[#This Row],[instant]],Table1[instant],Table1[hr], ,0,1)</f>
        <v>14</v>
      </c>
      <c r="D247" s="2" t="b">
        <f>_xlfn.XLOOKUP(Table3[[#This Row],[instant]],Table1[instant],Table1[holiday], ,0,1)</f>
        <v>0</v>
      </c>
      <c r="E247" s="2">
        <f>_xlfn.XLOOKUP(Table3[[#This Row],[instant]],Table1[instant],Table1[weekday], ,0,1)</f>
        <v>2</v>
      </c>
      <c r="F247" s="2">
        <f>_xlfn.XLOOKUP(Table3[[#This Row],[instant]],Table1[instant],Table1[weathersit], ,0,1)</f>
        <v>2</v>
      </c>
      <c r="G247" s="2">
        <f>_xlfn.XLOOKUP(Table3[[#This Row],[instant]],Table1[instant],Table1[temp], ,0,1)</f>
        <v>0.2</v>
      </c>
      <c r="H247" s="24">
        <f>_xlfn.XLOOKUP(Table3[[#This Row],[instant]],Table2[instant],Table2[atemp], ,0,1)</f>
        <v>0.2273</v>
      </c>
      <c r="I247" s="1">
        <f>_xlfn.XLOOKUP(Table3[[#This Row],[instant]],Table2[instant],Table2[hum], ,0,1)</f>
        <v>0.59</v>
      </c>
      <c r="J247" s="1">
        <f>_xlfn.XLOOKUP(Table3[[#This Row],[instant]],Table2[instant],Table2[windspeed], ,0,1)</f>
        <v>8.9599999999999999E-2</v>
      </c>
      <c r="K247" s="1">
        <f>_xlfn.XLOOKUP(Table3[[#This Row],[instant]],Table2[instant],Table2[casual], ,0,1)</f>
        <v>3</v>
      </c>
      <c r="L247" s="1">
        <f>_xlfn.XLOOKUP(Table3[[#This Row],[instant]],Table2[instant],Table2[registered], ,0,1)</f>
        <v>60</v>
      </c>
      <c r="M247" s="6">
        <f>_xlfn.XLOOKUP(Table3[[#This Row],[instant]],Table2[instant],Table2[cnt], ,0,1)</f>
        <v>63</v>
      </c>
      <c r="N247" s="1" t="str">
        <f>IF(OR(Table3[[#This Row],[weekday]]=0,Table3[[#This Row],[weekday]]=6),"Weekend","Weekday")</f>
        <v>Weekday</v>
      </c>
    </row>
    <row r="248" spans="1:14" ht="15" thickBot="1" x14ac:dyDescent="0.35">
      <c r="A248" s="42">
        <v>247</v>
      </c>
      <c r="B248" s="43">
        <f>_xlfn.XLOOKUP(Table3[[#This Row],[instant]],DatSet1!A248:A857,DatSet1!B248:B857,_xlfn.XLOOKUP(Table3[[#This Row],[instant]],'Final Data'!A248:A637,'Final Data'!B248:B637, ,0,1),0,1)</f>
        <v>40554</v>
      </c>
      <c r="C248" s="42">
        <f>_xlfn.XLOOKUP(Table3[[#This Row],[instant]],Table1[instant],Table1[hr], ,0,1)</f>
        <v>15</v>
      </c>
      <c r="D248" s="44" t="b">
        <f>_xlfn.XLOOKUP(Table3[[#This Row],[instant]],Table1[instant],Table1[holiday], ,0,1)</f>
        <v>0</v>
      </c>
      <c r="E248" s="44">
        <f>_xlfn.XLOOKUP(Table3[[#This Row],[instant]],Table1[instant],Table1[weekday], ,0,1)</f>
        <v>2</v>
      </c>
      <c r="F248" s="44">
        <f>_xlfn.XLOOKUP(Table3[[#This Row],[instant]],Table1[instant],Table1[weathersit], ,0,1)</f>
        <v>2</v>
      </c>
      <c r="G248" s="44">
        <f>_xlfn.XLOOKUP(Table3[[#This Row],[instant]],Table1[instant],Table1[temp], ,0,1)</f>
        <v>0.16</v>
      </c>
      <c r="H248" s="45">
        <f>_xlfn.XLOOKUP(Table3[[#This Row],[instant]],Table2[instant],Table2[atemp], ,0,1)</f>
        <v>0.19700000000000001</v>
      </c>
      <c r="I248" s="42">
        <f>_xlfn.XLOOKUP(Table3[[#This Row],[instant]],Table2[instant],Table2[hum], ,0,1)</f>
        <v>0.8</v>
      </c>
      <c r="J248" s="42">
        <f>_xlfn.XLOOKUP(Table3[[#This Row],[instant]],Table2[instant],Table2[windspeed], ,0,1)</f>
        <v>8.9599999999999999E-2</v>
      </c>
      <c r="K248" s="42">
        <f>_xlfn.XLOOKUP(Table3[[#This Row],[instant]],Table2[instant],Table2[casual], ,0,1)</f>
        <v>2</v>
      </c>
      <c r="L248" s="42">
        <f>_xlfn.XLOOKUP(Table3[[#This Row],[instant]],Table2[instant],Table2[registered], ,0,1)</f>
        <v>45</v>
      </c>
      <c r="M248" s="46">
        <f>_xlfn.XLOOKUP(Table3[[#This Row],[instant]],Table2[instant],Table2[cnt], ,0,1)</f>
        <v>47</v>
      </c>
      <c r="N248" s="42" t="str">
        <f>IF(OR(Table3[[#This Row],[weekday]]=0,Table3[[#This Row],[weekday]]=6),"Weekend","Weekday")</f>
        <v>Weekday</v>
      </c>
    </row>
    <row r="249" spans="1:14" ht="15" thickBot="1" x14ac:dyDescent="0.35">
      <c r="A249" s="1">
        <v>248</v>
      </c>
      <c r="B249" s="3">
        <f>_xlfn.XLOOKUP(Table3[[#This Row],[instant]],DatSet1!A249:A858,DatSet1!B249:B858,_xlfn.XLOOKUP(Table3[[#This Row],[instant]],'Final Data'!A249:A638,'Final Data'!B249:B638, ,0,1),0,1)</f>
        <v>40554</v>
      </c>
      <c r="C249" s="1">
        <f>_xlfn.XLOOKUP(Table3[[#This Row],[instant]],Table1[instant],Table1[hr], ,0,1)</f>
        <v>16</v>
      </c>
      <c r="D249" s="2" t="b">
        <f>_xlfn.XLOOKUP(Table3[[#This Row],[instant]],Table1[instant],Table1[holiday], ,0,1)</f>
        <v>0</v>
      </c>
      <c r="E249" s="2">
        <f>_xlfn.XLOOKUP(Table3[[#This Row],[instant]],Table1[instant],Table1[weekday], ,0,1)</f>
        <v>2</v>
      </c>
      <c r="F249" s="2">
        <f>_xlfn.XLOOKUP(Table3[[#This Row],[instant]],Table1[instant],Table1[weathersit], ,0,1)</f>
        <v>2</v>
      </c>
      <c r="G249" s="2">
        <f>_xlfn.XLOOKUP(Table3[[#This Row],[instant]],Table1[instant],Table1[temp], ,0,1)</f>
        <v>0.16</v>
      </c>
      <c r="H249" s="24">
        <f>_xlfn.XLOOKUP(Table3[[#This Row],[instant]],Table2[instant],Table2[atemp], ,0,1)</f>
        <v>0.1515</v>
      </c>
      <c r="I249" s="1">
        <f>_xlfn.XLOOKUP(Table3[[#This Row],[instant]],Table2[instant],Table2[hum], ,0,1)</f>
        <v>0.86</v>
      </c>
      <c r="J249" s="1">
        <f>_xlfn.XLOOKUP(Table3[[#This Row],[instant]],Table2[instant],Table2[windspeed], ,0,1)</f>
        <v>0.22389999999999999</v>
      </c>
      <c r="K249" s="1">
        <f>_xlfn.XLOOKUP(Table3[[#This Row],[instant]],Table2[instant],Table2[casual], ,0,1)</f>
        <v>4</v>
      </c>
      <c r="L249" s="1">
        <f>_xlfn.XLOOKUP(Table3[[#This Row],[instant]],Table2[instant],Table2[registered], ,0,1)</f>
        <v>72</v>
      </c>
      <c r="M249" s="6">
        <f>_xlfn.XLOOKUP(Table3[[#This Row],[instant]],Table2[instant],Table2[cnt], ,0,1)</f>
        <v>76</v>
      </c>
      <c r="N249" s="1" t="str">
        <f>IF(OR(Table3[[#This Row],[weekday]]=0,Table3[[#This Row],[weekday]]=6),"Weekend","Weekday")</f>
        <v>Weekday</v>
      </c>
    </row>
    <row r="250" spans="1:14" ht="15" thickBot="1" x14ac:dyDescent="0.35">
      <c r="A250" s="42">
        <v>249</v>
      </c>
      <c r="B250" s="43">
        <f>_xlfn.XLOOKUP(Table3[[#This Row],[instant]],DatSet1!A250:A859,DatSet1!B250:B859,_xlfn.XLOOKUP(Table3[[#This Row],[instant]],'Final Data'!A250:A639,'Final Data'!B250:B639, ,0,1),0,1)</f>
        <v>40554</v>
      </c>
      <c r="C250" s="42">
        <f>_xlfn.XLOOKUP(Table3[[#This Row],[instant]],Table1[instant],Table1[hr], ,0,1)</f>
        <v>17</v>
      </c>
      <c r="D250" s="44" t="b">
        <f>_xlfn.XLOOKUP(Table3[[#This Row],[instant]],Table1[instant],Table1[holiday], ,0,1)</f>
        <v>0</v>
      </c>
      <c r="E250" s="44">
        <f>_xlfn.XLOOKUP(Table3[[#This Row],[instant]],Table1[instant],Table1[weekday], ,0,1)</f>
        <v>2</v>
      </c>
      <c r="F250" s="44">
        <f>_xlfn.XLOOKUP(Table3[[#This Row],[instant]],Table1[instant],Table1[weathersit], ,0,1)</f>
        <v>2</v>
      </c>
      <c r="G250" s="44">
        <f>_xlfn.XLOOKUP(Table3[[#This Row],[instant]],Table1[instant],Table1[temp], ,0,1)</f>
        <v>0.16</v>
      </c>
      <c r="H250" s="45">
        <f>_xlfn.XLOOKUP(Table3[[#This Row],[instant]],Table2[instant],Table2[atemp], ,0,1)</f>
        <v>0.1515</v>
      </c>
      <c r="I250" s="42">
        <f>_xlfn.XLOOKUP(Table3[[#This Row],[instant]],Table2[instant],Table2[hum], ,0,1)</f>
        <v>0.86</v>
      </c>
      <c r="J250" s="42">
        <f>_xlfn.XLOOKUP(Table3[[#This Row],[instant]],Table2[instant],Table2[windspeed], ,0,1)</f>
        <v>0.22389999999999999</v>
      </c>
      <c r="K250" s="42">
        <f>_xlfn.XLOOKUP(Table3[[#This Row],[instant]],Table2[instant],Table2[casual], ,0,1)</f>
        <v>6</v>
      </c>
      <c r="L250" s="42">
        <f>_xlfn.XLOOKUP(Table3[[#This Row],[instant]],Table2[instant],Table2[registered], ,0,1)</f>
        <v>130</v>
      </c>
      <c r="M250" s="46">
        <f>_xlfn.XLOOKUP(Table3[[#This Row],[instant]],Table2[instant],Table2[cnt], ,0,1)</f>
        <v>136</v>
      </c>
      <c r="N250" s="42" t="str">
        <f>IF(OR(Table3[[#This Row],[weekday]]=0,Table3[[#This Row],[weekday]]=6),"Weekend","Weekday")</f>
        <v>Weekday</v>
      </c>
    </row>
    <row r="251" spans="1:14" ht="15" thickBot="1" x14ac:dyDescent="0.35">
      <c r="A251" s="1">
        <v>250</v>
      </c>
      <c r="B251" s="3">
        <f>_xlfn.XLOOKUP(Table3[[#This Row],[instant]],DatSet1!A251:A860,DatSet1!B251:B860,_xlfn.XLOOKUP(Table3[[#This Row],[instant]],'Final Data'!A251:A640,'Final Data'!B251:B640, ,0,1),0,1)</f>
        <v>40554</v>
      </c>
      <c r="C251" s="1">
        <f>_xlfn.XLOOKUP(Table3[[#This Row],[instant]],Table1[instant],Table1[hr], ,0,1)</f>
        <v>18</v>
      </c>
      <c r="D251" s="2" t="b">
        <f>_xlfn.XLOOKUP(Table3[[#This Row],[instant]],Table1[instant],Table1[holiday], ,0,1)</f>
        <v>0</v>
      </c>
      <c r="E251" s="2">
        <f>_xlfn.XLOOKUP(Table3[[#This Row],[instant]],Table1[instant],Table1[weekday], ,0,1)</f>
        <v>2</v>
      </c>
      <c r="F251" s="2">
        <f>_xlfn.XLOOKUP(Table3[[#This Row],[instant]],Table1[instant],Table1[weathersit], ,0,1)</f>
        <v>3</v>
      </c>
      <c r="G251" s="2">
        <f>_xlfn.XLOOKUP(Table3[[#This Row],[instant]],Table1[instant],Table1[temp], ,0,1)</f>
        <v>0.16</v>
      </c>
      <c r="H251" s="24">
        <f>_xlfn.XLOOKUP(Table3[[#This Row],[instant]],Table2[instant],Table2[atemp], ,0,1)</f>
        <v>0.18179999999999999</v>
      </c>
      <c r="I251" s="1">
        <f>_xlfn.XLOOKUP(Table3[[#This Row],[instant]],Table2[instant],Table2[hum], ,0,1)</f>
        <v>0.93</v>
      </c>
      <c r="J251" s="1">
        <f>_xlfn.XLOOKUP(Table3[[#This Row],[instant]],Table2[instant],Table2[windspeed], ,0,1)</f>
        <v>0.1045</v>
      </c>
      <c r="K251" s="1">
        <f>_xlfn.XLOOKUP(Table3[[#This Row],[instant]],Table2[instant],Table2[casual], ,0,1)</f>
        <v>1</v>
      </c>
      <c r="L251" s="1">
        <f>_xlfn.XLOOKUP(Table3[[#This Row],[instant]],Table2[instant],Table2[registered], ,0,1)</f>
        <v>94</v>
      </c>
      <c r="M251" s="6">
        <f>_xlfn.XLOOKUP(Table3[[#This Row],[instant]],Table2[instant],Table2[cnt], ,0,1)</f>
        <v>95</v>
      </c>
      <c r="N251" s="1" t="str">
        <f>IF(OR(Table3[[#This Row],[weekday]]=0,Table3[[#This Row],[weekday]]=6),"Weekend","Weekday")</f>
        <v>Weekday</v>
      </c>
    </row>
    <row r="252" spans="1:14" ht="15" thickBot="1" x14ac:dyDescent="0.35">
      <c r="A252" s="42">
        <v>251</v>
      </c>
      <c r="B252" s="43">
        <f>_xlfn.XLOOKUP(Table3[[#This Row],[instant]],DatSet1!A252:A861,DatSet1!B252:B861,_xlfn.XLOOKUP(Table3[[#This Row],[instant]],'Final Data'!A252:A641,'Final Data'!B252:B641, ,0,1),0,1)</f>
        <v>40554</v>
      </c>
      <c r="C252" s="42">
        <f>_xlfn.XLOOKUP(Table3[[#This Row],[instant]],Table1[instant],Table1[hr], ,0,1)</f>
        <v>19</v>
      </c>
      <c r="D252" s="44" t="b">
        <f>_xlfn.XLOOKUP(Table3[[#This Row],[instant]],Table1[instant],Table1[holiday], ,0,1)</f>
        <v>0</v>
      </c>
      <c r="E252" s="44">
        <f>_xlfn.XLOOKUP(Table3[[#This Row],[instant]],Table1[instant],Table1[weekday], ,0,1)</f>
        <v>2</v>
      </c>
      <c r="F252" s="44">
        <f>_xlfn.XLOOKUP(Table3[[#This Row],[instant]],Table1[instant],Table1[weathersit], ,0,1)</f>
        <v>3</v>
      </c>
      <c r="G252" s="44">
        <f>_xlfn.XLOOKUP(Table3[[#This Row],[instant]],Table1[instant],Table1[temp], ,0,1)</f>
        <v>0.16</v>
      </c>
      <c r="H252" s="45">
        <f>_xlfn.XLOOKUP(Table3[[#This Row],[instant]],Table2[instant],Table2[atemp], ,0,1)</f>
        <v>0.2273</v>
      </c>
      <c r="I252" s="42">
        <f>_xlfn.XLOOKUP(Table3[[#This Row],[instant]],Table2[instant],Table2[hum], ,0,1)</f>
        <v>0.93</v>
      </c>
      <c r="J252" s="42">
        <f>_xlfn.XLOOKUP(Table3[[#This Row],[instant]],Table2[instant],Table2[windspeed], ,0,1)</f>
        <v>0</v>
      </c>
      <c r="K252" s="42">
        <f>_xlfn.XLOOKUP(Table3[[#This Row],[instant]],Table2[instant],Table2[casual], ,0,1)</f>
        <v>0</v>
      </c>
      <c r="L252" s="42">
        <f>_xlfn.XLOOKUP(Table3[[#This Row],[instant]],Table2[instant],Table2[registered], ,0,1)</f>
        <v>51</v>
      </c>
      <c r="M252" s="46">
        <f>_xlfn.XLOOKUP(Table3[[#This Row],[instant]],Table2[instant],Table2[cnt], ,0,1)</f>
        <v>51</v>
      </c>
      <c r="N252" s="42" t="str">
        <f>IF(OR(Table3[[#This Row],[weekday]]=0,Table3[[#This Row],[weekday]]=6),"Weekend","Weekday")</f>
        <v>Weekday</v>
      </c>
    </row>
    <row r="253" spans="1:14" ht="15" thickBot="1" x14ac:dyDescent="0.35">
      <c r="A253" s="1">
        <v>252</v>
      </c>
      <c r="B253" s="3">
        <f>_xlfn.XLOOKUP(Table3[[#This Row],[instant]],DatSet1!A253:A862,DatSet1!B253:B862,_xlfn.XLOOKUP(Table3[[#This Row],[instant]],'Final Data'!A253:A642,'Final Data'!B253:B642, ,0,1),0,1)</f>
        <v>40554</v>
      </c>
      <c r="C253" s="1">
        <f>_xlfn.XLOOKUP(Table3[[#This Row],[instant]],Table1[instant],Table1[hr], ,0,1)</f>
        <v>20</v>
      </c>
      <c r="D253" s="2" t="b">
        <f>_xlfn.XLOOKUP(Table3[[#This Row],[instant]],Table1[instant],Table1[holiday], ,0,1)</f>
        <v>0</v>
      </c>
      <c r="E253" s="2">
        <f>_xlfn.XLOOKUP(Table3[[#This Row],[instant]],Table1[instant],Table1[weekday], ,0,1)</f>
        <v>2</v>
      </c>
      <c r="F253" s="2">
        <f>_xlfn.XLOOKUP(Table3[[#This Row],[instant]],Table1[instant],Table1[weathersit], ,0,1)</f>
        <v>3</v>
      </c>
      <c r="G253" s="2">
        <f>_xlfn.XLOOKUP(Table3[[#This Row],[instant]],Table1[instant],Table1[temp], ,0,1)</f>
        <v>0.16</v>
      </c>
      <c r="H253" s="24">
        <f>_xlfn.XLOOKUP(Table3[[#This Row],[instant]],Table2[instant],Table2[atemp], ,0,1)</f>
        <v>0.1515</v>
      </c>
      <c r="I253" s="1">
        <f>_xlfn.XLOOKUP(Table3[[#This Row],[instant]],Table2[instant],Table2[hum], ,0,1)</f>
        <v>0.93</v>
      </c>
      <c r="J253" s="1">
        <f>_xlfn.XLOOKUP(Table3[[#This Row],[instant]],Table2[instant],Table2[windspeed], ,0,1)</f>
        <v>0.19400000000000001</v>
      </c>
      <c r="K253" s="1">
        <f>_xlfn.XLOOKUP(Table3[[#This Row],[instant]],Table2[instant],Table2[casual], ,0,1)</f>
        <v>0</v>
      </c>
      <c r="L253" s="1">
        <f>_xlfn.XLOOKUP(Table3[[#This Row],[instant]],Table2[instant],Table2[registered], ,0,1)</f>
        <v>32</v>
      </c>
      <c r="M253" s="6">
        <f>_xlfn.XLOOKUP(Table3[[#This Row],[instant]],Table2[instant],Table2[cnt], ,0,1)</f>
        <v>32</v>
      </c>
      <c r="N253" s="1" t="str">
        <f>IF(OR(Table3[[#This Row],[weekday]]=0,Table3[[#This Row],[weekday]]=6),"Weekend","Weekday")</f>
        <v>Weekday</v>
      </c>
    </row>
    <row r="254" spans="1:14" ht="15" thickBot="1" x14ac:dyDescent="0.35">
      <c r="A254" s="42">
        <v>253</v>
      </c>
      <c r="B254" s="43">
        <f>_xlfn.XLOOKUP(Table3[[#This Row],[instant]],DatSet1!A254:A863,DatSet1!B254:B863,_xlfn.XLOOKUP(Table3[[#This Row],[instant]],'Final Data'!A254:A643,'Final Data'!B254:B643, ,0,1),0,1)</f>
        <v>40554</v>
      </c>
      <c r="C254" s="42">
        <f>_xlfn.XLOOKUP(Table3[[#This Row],[instant]],Table1[instant],Table1[hr], ,0,1)</f>
        <v>21</v>
      </c>
      <c r="D254" s="44" t="b">
        <f>_xlfn.XLOOKUP(Table3[[#This Row],[instant]],Table1[instant],Table1[holiday], ,0,1)</f>
        <v>0</v>
      </c>
      <c r="E254" s="44">
        <f>_xlfn.XLOOKUP(Table3[[#This Row],[instant]],Table1[instant],Table1[weekday], ,0,1)</f>
        <v>2</v>
      </c>
      <c r="F254" s="44">
        <f>_xlfn.XLOOKUP(Table3[[#This Row],[instant]],Table1[instant],Table1[weathersit], ,0,1)</f>
        <v>3</v>
      </c>
      <c r="G254" s="44">
        <f>_xlfn.XLOOKUP(Table3[[#This Row],[instant]],Table1[instant],Table1[temp], ,0,1)</f>
        <v>0.16</v>
      </c>
      <c r="H254" s="45">
        <f>_xlfn.XLOOKUP(Table3[[#This Row],[instant]],Table2[instant],Table2[atemp], ,0,1)</f>
        <v>0.19700000000000001</v>
      </c>
      <c r="I254" s="42">
        <f>_xlfn.XLOOKUP(Table3[[#This Row],[instant]],Table2[instant],Table2[hum], ,0,1)</f>
        <v>0.86</v>
      </c>
      <c r="J254" s="42">
        <f>_xlfn.XLOOKUP(Table3[[#This Row],[instant]],Table2[instant],Table2[windspeed], ,0,1)</f>
        <v>8.9599999999999999E-2</v>
      </c>
      <c r="K254" s="42">
        <f>_xlfn.XLOOKUP(Table3[[#This Row],[instant]],Table2[instant],Table2[casual], ,0,1)</f>
        <v>0</v>
      </c>
      <c r="L254" s="42">
        <f>_xlfn.XLOOKUP(Table3[[#This Row],[instant]],Table2[instant],Table2[registered], ,0,1)</f>
        <v>20</v>
      </c>
      <c r="M254" s="46">
        <f>_xlfn.XLOOKUP(Table3[[#This Row],[instant]],Table2[instant],Table2[cnt], ,0,1)</f>
        <v>20</v>
      </c>
      <c r="N254" s="42" t="str">
        <f>IF(OR(Table3[[#This Row],[weekday]]=0,Table3[[#This Row],[weekday]]=6),"Weekend","Weekday")</f>
        <v>Weekday</v>
      </c>
    </row>
    <row r="255" spans="1:14" ht="15" thickBot="1" x14ac:dyDescent="0.35">
      <c r="A255" s="1">
        <v>254</v>
      </c>
      <c r="B255" s="3">
        <f>_xlfn.XLOOKUP(Table3[[#This Row],[instant]],DatSet1!A255:A864,DatSet1!B255:B864,_xlfn.XLOOKUP(Table3[[#This Row],[instant]],'Final Data'!A255:A644,'Final Data'!B255:B644, ,0,1),0,1)</f>
        <v>40554</v>
      </c>
      <c r="C255" s="1">
        <f>_xlfn.XLOOKUP(Table3[[#This Row],[instant]],Table1[instant],Table1[hr], ,0,1)</f>
        <v>22</v>
      </c>
      <c r="D255" s="2" t="b">
        <f>_xlfn.XLOOKUP(Table3[[#This Row],[instant]],Table1[instant],Table1[holiday], ,0,1)</f>
        <v>0</v>
      </c>
      <c r="E255" s="2">
        <f>_xlfn.XLOOKUP(Table3[[#This Row],[instant]],Table1[instant],Table1[weekday], ,0,1)</f>
        <v>2</v>
      </c>
      <c r="F255" s="2">
        <f>_xlfn.XLOOKUP(Table3[[#This Row],[instant]],Table1[instant],Table1[weathersit], ,0,1)</f>
        <v>3</v>
      </c>
      <c r="G255" s="2">
        <f>_xlfn.XLOOKUP(Table3[[#This Row],[instant]],Table1[instant],Table1[temp], ,0,1)</f>
        <v>0.16</v>
      </c>
      <c r="H255" s="24">
        <f>_xlfn.XLOOKUP(Table3[[#This Row],[instant]],Table2[instant],Table2[atemp], ,0,1)</f>
        <v>0.18179999999999999</v>
      </c>
      <c r="I255" s="1">
        <f>_xlfn.XLOOKUP(Table3[[#This Row],[instant]],Table2[instant],Table2[hum], ,0,1)</f>
        <v>0.93</v>
      </c>
      <c r="J255" s="1">
        <f>_xlfn.XLOOKUP(Table3[[#This Row],[instant]],Table2[instant],Table2[windspeed], ,0,1)</f>
        <v>0.1045</v>
      </c>
      <c r="K255" s="1">
        <f>_xlfn.XLOOKUP(Table3[[#This Row],[instant]],Table2[instant],Table2[casual], ,0,1)</f>
        <v>1</v>
      </c>
      <c r="L255" s="1">
        <f>_xlfn.XLOOKUP(Table3[[#This Row],[instant]],Table2[instant],Table2[registered], ,0,1)</f>
        <v>28</v>
      </c>
      <c r="M255" s="6">
        <f>_xlfn.XLOOKUP(Table3[[#This Row],[instant]],Table2[instant],Table2[cnt], ,0,1)</f>
        <v>29</v>
      </c>
      <c r="N255" s="1" t="str">
        <f>IF(OR(Table3[[#This Row],[weekday]]=0,Table3[[#This Row],[weekday]]=6),"Weekend","Weekday")</f>
        <v>Weekday</v>
      </c>
    </row>
    <row r="256" spans="1:14" ht="15" thickBot="1" x14ac:dyDescent="0.35">
      <c r="A256" s="42">
        <v>255</v>
      </c>
      <c r="B256" s="43">
        <f>_xlfn.XLOOKUP(Table3[[#This Row],[instant]],DatSet1!A256:A865,DatSet1!B256:B865,_xlfn.XLOOKUP(Table3[[#This Row],[instant]],'Final Data'!A256:A645,'Final Data'!B256:B645, ,0,1),0,1)</f>
        <v>40554</v>
      </c>
      <c r="C256" s="42">
        <f>_xlfn.XLOOKUP(Table3[[#This Row],[instant]],Table1[instant],Table1[hr], ,0,1)</f>
        <v>23</v>
      </c>
      <c r="D256" s="44" t="b">
        <f>_xlfn.XLOOKUP(Table3[[#This Row],[instant]],Table1[instant],Table1[holiday], ,0,1)</f>
        <v>0</v>
      </c>
      <c r="E256" s="44">
        <f>_xlfn.XLOOKUP(Table3[[#This Row],[instant]],Table1[instant],Table1[weekday], ,0,1)</f>
        <v>2</v>
      </c>
      <c r="F256" s="44">
        <f>_xlfn.XLOOKUP(Table3[[#This Row],[instant]],Table1[instant],Table1[weathersit], ,0,1)</f>
        <v>3</v>
      </c>
      <c r="G256" s="44">
        <f>_xlfn.XLOOKUP(Table3[[#This Row],[instant]],Table1[instant],Table1[temp], ,0,1)</f>
        <v>0.16</v>
      </c>
      <c r="H256" s="45">
        <f>_xlfn.XLOOKUP(Table3[[#This Row],[instant]],Table2[instant],Table2[atemp], ,0,1)</f>
        <v>0.19700000000000001</v>
      </c>
      <c r="I256" s="42">
        <f>_xlfn.XLOOKUP(Table3[[#This Row],[instant]],Table2[instant],Table2[hum], ,0,1)</f>
        <v>0.93</v>
      </c>
      <c r="J256" s="42">
        <f>_xlfn.XLOOKUP(Table3[[#This Row],[instant]],Table2[instant],Table2[windspeed], ,0,1)</f>
        <v>8.9599999999999999E-2</v>
      </c>
      <c r="K256" s="42">
        <f>_xlfn.XLOOKUP(Table3[[#This Row],[instant]],Table2[instant],Table2[casual], ,0,1)</f>
        <v>1</v>
      </c>
      <c r="L256" s="42">
        <f>_xlfn.XLOOKUP(Table3[[#This Row],[instant]],Table2[instant],Table2[registered], ,0,1)</f>
        <v>18</v>
      </c>
      <c r="M256" s="46">
        <f>_xlfn.XLOOKUP(Table3[[#This Row],[instant]],Table2[instant],Table2[cnt], ,0,1)</f>
        <v>19</v>
      </c>
      <c r="N256" s="42" t="str">
        <f>IF(OR(Table3[[#This Row],[weekday]]=0,Table3[[#This Row],[weekday]]=6),"Weekend","Weekday")</f>
        <v>Weekday</v>
      </c>
    </row>
    <row r="257" spans="1:14" ht="15" thickBot="1" x14ac:dyDescent="0.35">
      <c r="A257" s="1">
        <v>256</v>
      </c>
      <c r="B257" s="3">
        <f>_xlfn.XLOOKUP(Table3[[#This Row],[instant]],DatSet1!A257:A866,DatSet1!B257:B866,_xlfn.XLOOKUP(Table3[[#This Row],[instant]],'Final Data'!A257:A646,'Final Data'!B257:B646, ,0,1),0,1)</f>
        <v>40555</v>
      </c>
      <c r="C257" s="1">
        <f>_xlfn.XLOOKUP(Table3[[#This Row],[instant]],Table1[instant],Table1[hr], ,0,1)</f>
        <v>0</v>
      </c>
      <c r="D257" s="2" t="b">
        <f>_xlfn.XLOOKUP(Table3[[#This Row],[instant]],Table1[instant],Table1[holiday], ,0,1)</f>
        <v>0</v>
      </c>
      <c r="E257" s="2">
        <f>_xlfn.XLOOKUP(Table3[[#This Row],[instant]],Table1[instant],Table1[weekday], ,0,1)</f>
        <v>3</v>
      </c>
      <c r="F257" s="2">
        <f>_xlfn.XLOOKUP(Table3[[#This Row],[instant]],Table1[instant],Table1[weathersit], ,0,1)</f>
        <v>2</v>
      </c>
      <c r="G257" s="2">
        <f>_xlfn.XLOOKUP(Table3[[#This Row],[instant]],Table1[instant],Table1[temp], ,0,1)</f>
        <v>0.16</v>
      </c>
      <c r="H257" s="24">
        <f>_xlfn.XLOOKUP(Table3[[#This Row],[instant]],Table2[instant],Table2[atemp], ,0,1)</f>
        <v>0.19700000000000001</v>
      </c>
      <c r="I257" s="1">
        <f>_xlfn.XLOOKUP(Table3[[#This Row],[instant]],Table2[instant],Table2[hum], ,0,1)</f>
        <v>0.86</v>
      </c>
      <c r="J257" s="1">
        <f>_xlfn.XLOOKUP(Table3[[#This Row],[instant]],Table2[instant],Table2[windspeed], ,0,1)</f>
        <v>8.9599999999999999E-2</v>
      </c>
      <c r="K257" s="1">
        <f>_xlfn.XLOOKUP(Table3[[#This Row],[instant]],Table2[instant],Table2[casual], ,0,1)</f>
        <v>0</v>
      </c>
      <c r="L257" s="1">
        <f>_xlfn.XLOOKUP(Table3[[#This Row],[instant]],Table2[instant],Table2[registered], ,0,1)</f>
        <v>7</v>
      </c>
      <c r="M257" s="6">
        <f>_xlfn.XLOOKUP(Table3[[#This Row],[instant]],Table2[instant],Table2[cnt], ,0,1)</f>
        <v>7</v>
      </c>
      <c r="N257" s="1" t="str">
        <f>IF(OR(Table3[[#This Row],[weekday]]=0,Table3[[#This Row],[weekday]]=6),"Weekend","Weekday")</f>
        <v>Weekday</v>
      </c>
    </row>
    <row r="258" spans="1:14" ht="15" thickBot="1" x14ac:dyDescent="0.35">
      <c r="A258" s="42">
        <v>257</v>
      </c>
      <c r="B258" s="43">
        <f>_xlfn.XLOOKUP(Table3[[#This Row],[instant]],DatSet1!A258:A867,DatSet1!B258:B867,_xlfn.XLOOKUP(Table3[[#This Row],[instant]],'Final Data'!A258:A647,'Final Data'!B258:B647, ,0,1),0,1)</f>
        <v>40555</v>
      </c>
      <c r="C258" s="42">
        <f>_xlfn.XLOOKUP(Table3[[#This Row],[instant]],Table1[instant],Table1[hr], ,0,1)</f>
        <v>1</v>
      </c>
      <c r="D258" s="44" t="b">
        <f>_xlfn.XLOOKUP(Table3[[#This Row],[instant]],Table1[instant],Table1[holiday], ,0,1)</f>
        <v>0</v>
      </c>
      <c r="E258" s="44">
        <f>_xlfn.XLOOKUP(Table3[[#This Row],[instant]],Table1[instant],Table1[weekday], ,0,1)</f>
        <v>3</v>
      </c>
      <c r="F258" s="44">
        <f>_xlfn.XLOOKUP(Table3[[#This Row],[instant]],Table1[instant],Table1[weathersit], ,0,1)</f>
        <v>2</v>
      </c>
      <c r="G258" s="44">
        <f>_xlfn.XLOOKUP(Table3[[#This Row],[instant]],Table1[instant],Table1[temp], ,0,1)</f>
        <v>0.16</v>
      </c>
      <c r="H258" s="45">
        <f>_xlfn.XLOOKUP(Table3[[#This Row],[instant]],Table2[instant],Table2[atemp], ,0,1)</f>
        <v>0.18179999999999999</v>
      </c>
      <c r="I258" s="42">
        <f>_xlfn.XLOOKUP(Table3[[#This Row],[instant]],Table2[instant],Table2[hum], ,0,1)</f>
        <v>0.86</v>
      </c>
      <c r="J258" s="42">
        <f>_xlfn.XLOOKUP(Table3[[#This Row],[instant]],Table2[instant],Table2[windspeed], ,0,1)</f>
        <v>0.1045</v>
      </c>
      <c r="K258" s="42">
        <f>_xlfn.XLOOKUP(Table3[[#This Row],[instant]],Table2[instant],Table2[casual], ,0,1)</f>
        <v>0</v>
      </c>
      <c r="L258" s="42">
        <f>_xlfn.XLOOKUP(Table3[[#This Row],[instant]],Table2[instant],Table2[registered], ,0,1)</f>
        <v>6</v>
      </c>
      <c r="M258" s="46">
        <f>_xlfn.XLOOKUP(Table3[[#This Row],[instant]],Table2[instant],Table2[cnt], ,0,1)</f>
        <v>6</v>
      </c>
      <c r="N258" s="42" t="str">
        <f>IF(OR(Table3[[#This Row],[weekday]]=0,Table3[[#This Row],[weekday]]=6),"Weekend","Weekday")</f>
        <v>Weekday</v>
      </c>
    </row>
    <row r="259" spans="1:14" ht="15" thickBot="1" x14ac:dyDescent="0.35">
      <c r="A259" s="1">
        <v>258</v>
      </c>
      <c r="B259" s="3">
        <f>_xlfn.XLOOKUP(Table3[[#This Row],[instant]],DatSet1!A259:A868,DatSet1!B259:B868,_xlfn.XLOOKUP(Table3[[#This Row],[instant]],'Final Data'!A259:A648,'Final Data'!B259:B648, ,0,1),0,1)</f>
        <v>40555</v>
      </c>
      <c r="C259" s="1">
        <f>_xlfn.XLOOKUP(Table3[[#This Row],[instant]],Table1[instant],Table1[hr], ,0,1)</f>
        <v>2</v>
      </c>
      <c r="D259" s="2" t="b">
        <f>_xlfn.XLOOKUP(Table3[[#This Row],[instant]],Table1[instant],Table1[holiday], ,0,1)</f>
        <v>0</v>
      </c>
      <c r="E259" s="2">
        <f>_xlfn.XLOOKUP(Table3[[#This Row],[instant]],Table1[instant],Table1[weekday], ,0,1)</f>
        <v>3</v>
      </c>
      <c r="F259" s="2">
        <f>_xlfn.XLOOKUP(Table3[[#This Row],[instant]],Table1[instant],Table1[weathersit], ,0,1)</f>
        <v>1</v>
      </c>
      <c r="G259" s="2">
        <f>_xlfn.XLOOKUP(Table3[[#This Row],[instant]],Table1[instant],Table1[temp], ,0,1)</f>
        <v>0.14000000000000001</v>
      </c>
      <c r="H259" s="24">
        <f>_xlfn.XLOOKUP(Table3[[#This Row],[instant]],Table2[instant],Table2[atemp], ,0,1)</f>
        <v>0.1515</v>
      </c>
      <c r="I259" s="1">
        <f>_xlfn.XLOOKUP(Table3[[#This Row],[instant]],Table2[instant],Table2[hum], ,0,1)</f>
        <v>0.86</v>
      </c>
      <c r="J259" s="1">
        <f>_xlfn.XLOOKUP(Table3[[#This Row],[instant]],Table2[instant],Table2[windspeed], ,0,1)</f>
        <v>0.1343</v>
      </c>
      <c r="K259" s="1">
        <f>_xlfn.XLOOKUP(Table3[[#This Row],[instant]],Table2[instant],Table2[casual], ,0,1)</f>
        <v>0</v>
      </c>
      <c r="L259" s="1">
        <f>_xlfn.XLOOKUP(Table3[[#This Row],[instant]],Table2[instant],Table2[registered], ,0,1)</f>
        <v>1</v>
      </c>
      <c r="M259" s="6">
        <f>_xlfn.XLOOKUP(Table3[[#This Row],[instant]],Table2[instant],Table2[cnt], ,0,1)</f>
        <v>1</v>
      </c>
      <c r="N259" s="1" t="str">
        <f>IF(OR(Table3[[#This Row],[weekday]]=0,Table3[[#This Row],[weekday]]=6),"Weekend","Weekday")</f>
        <v>Weekday</v>
      </c>
    </row>
    <row r="260" spans="1:14" ht="15" thickBot="1" x14ac:dyDescent="0.35">
      <c r="A260" s="42">
        <v>259</v>
      </c>
      <c r="B260" s="43">
        <f>_xlfn.XLOOKUP(Table3[[#This Row],[instant]],DatSet1!A260:A869,DatSet1!B260:B869,_xlfn.XLOOKUP(Table3[[#This Row],[instant]],'Final Data'!A260:A649,'Final Data'!B260:B649, ,0,1),0,1)</f>
        <v>40555</v>
      </c>
      <c r="C260" s="42">
        <f>_xlfn.XLOOKUP(Table3[[#This Row],[instant]],Table1[instant],Table1[hr], ,0,1)</f>
        <v>5</v>
      </c>
      <c r="D260" s="44" t="b">
        <f>_xlfn.XLOOKUP(Table3[[#This Row],[instant]],Table1[instant],Table1[holiday], ,0,1)</f>
        <v>0</v>
      </c>
      <c r="E260" s="44">
        <f>_xlfn.XLOOKUP(Table3[[#This Row],[instant]],Table1[instant],Table1[weekday], ,0,1)</f>
        <v>3</v>
      </c>
      <c r="F260" s="44">
        <f>_xlfn.XLOOKUP(Table3[[#This Row],[instant]],Table1[instant],Table1[weathersit], ,0,1)</f>
        <v>1</v>
      </c>
      <c r="G260" s="44">
        <f>_xlfn.XLOOKUP(Table3[[#This Row],[instant]],Table1[instant],Table1[temp], ,0,1)</f>
        <v>0.14000000000000001</v>
      </c>
      <c r="H260" s="45">
        <f>_xlfn.XLOOKUP(Table3[[#This Row],[instant]],Table2[instant],Table2[atemp], ,0,1)</f>
        <v>0.1515</v>
      </c>
      <c r="I260" s="42">
        <f>_xlfn.XLOOKUP(Table3[[#This Row],[instant]],Table2[instant],Table2[hum], ,0,1)</f>
        <v>0.86</v>
      </c>
      <c r="J260" s="42">
        <f>_xlfn.XLOOKUP(Table3[[#This Row],[instant]],Table2[instant],Table2[windspeed], ,0,1)</f>
        <v>0.16420000000000001</v>
      </c>
      <c r="K260" s="42">
        <f>_xlfn.XLOOKUP(Table3[[#This Row],[instant]],Table2[instant],Table2[casual], ,0,1)</f>
        <v>0</v>
      </c>
      <c r="L260" s="42">
        <f>_xlfn.XLOOKUP(Table3[[#This Row],[instant]],Table2[instant],Table2[registered], ,0,1)</f>
        <v>5</v>
      </c>
      <c r="M260" s="46">
        <f>_xlfn.XLOOKUP(Table3[[#This Row],[instant]],Table2[instant],Table2[cnt], ,0,1)</f>
        <v>5</v>
      </c>
      <c r="N260" s="42" t="str">
        <f>IF(OR(Table3[[#This Row],[weekday]]=0,Table3[[#This Row],[weekday]]=6),"Weekend","Weekday")</f>
        <v>Weekday</v>
      </c>
    </row>
    <row r="261" spans="1:14" ht="15" thickBot="1" x14ac:dyDescent="0.35">
      <c r="A261" s="1">
        <v>260</v>
      </c>
      <c r="B261" s="3">
        <f>_xlfn.XLOOKUP(Table3[[#This Row],[instant]],DatSet1!A261:A870,DatSet1!B261:B870,_xlfn.XLOOKUP(Table3[[#This Row],[instant]],'Final Data'!A261:A650,'Final Data'!B261:B650, ,0,1),0,1)</f>
        <v>40555</v>
      </c>
      <c r="C261" s="1">
        <f>_xlfn.XLOOKUP(Table3[[#This Row],[instant]],Table1[instant],Table1[hr], ,0,1)</f>
        <v>6</v>
      </c>
      <c r="D261" s="2" t="b">
        <f>_xlfn.XLOOKUP(Table3[[#This Row],[instant]],Table1[instant],Table1[holiday], ,0,1)</f>
        <v>0</v>
      </c>
      <c r="E261" s="2">
        <f>_xlfn.XLOOKUP(Table3[[#This Row],[instant]],Table1[instant],Table1[weekday], ,0,1)</f>
        <v>3</v>
      </c>
      <c r="F261" s="2">
        <f>_xlfn.XLOOKUP(Table3[[#This Row],[instant]],Table1[instant],Table1[weathersit], ,0,1)</f>
        <v>1</v>
      </c>
      <c r="G261" s="2">
        <f>_xlfn.XLOOKUP(Table3[[#This Row],[instant]],Table1[instant],Table1[temp], ,0,1)</f>
        <v>0.12</v>
      </c>
      <c r="H261" s="24">
        <f>_xlfn.XLOOKUP(Table3[[#This Row],[instant]],Table2[instant],Table2[atemp], ,0,1)</f>
        <v>0.1515</v>
      </c>
      <c r="I261" s="1">
        <f>_xlfn.XLOOKUP(Table3[[#This Row],[instant]],Table2[instant],Table2[hum], ,0,1)</f>
        <v>0.93</v>
      </c>
      <c r="J261" s="1">
        <f>_xlfn.XLOOKUP(Table3[[#This Row],[instant]],Table2[instant],Table2[windspeed], ,0,1)</f>
        <v>0.1343</v>
      </c>
      <c r="K261" s="1">
        <f>_xlfn.XLOOKUP(Table3[[#This Row],[instant]],Table2[instant],Table2[casual], ,0,1)</f>
        <v>0</v>
      </c>
      <c r="L261" s="1">
        <f>_xlfn.XLOOKUP(Table3[[#This Row],[instant]],Table2[instant],Table2[registered], ,0,1)</f>
        <v>16</v>
      </c>
      <c r="M261" s="6">
        <f>_xlfn.XLOOKUP(Table3[[#This Row],[instant]],Table2[instant],Table2[cnt], ,0,1)</f>
        <v>16</v>
      </c>
      <c r="N261" s="1" t="str">
        <f>IF(OR(Table3[[#This Row],[weekday]]=0,Table3[[#This Row],[weekday]]=6),"Weekend","Weekday")</f>
        <v>Weekday</v>
      </c>
    </row>
    <row r="262" spans="1:14" ht="15" thickBot="1" x14ac:dyDescent="0.35">
      <c r="A262" s="42">
        <v>261</v>
      </c>
      <c r="B262" s="43">
        <f>_xlfn.XLOOKUP(Table3[[#This Row],[instant]],DatSet1!A262:A871,DatSet1!B262:B871,_xlfn.XLOOKUP(Table3[[#This Row],[instant]],'Final Data'!A262:A651,'Final Data'!B262:B651, ,0,1),0,1)</f>
        <v>40555</v>
      </c>
      <c r="C262" s="42">
        <f>_xlfn.XLOOKUP(Table3[[#This Row],[instant]],Table1[instant],Table1[hr], ,0,1)</f>
        <v>7</v>
      </c>
      <c r="D262" s="44" t="b">
        <f>_xlfn.XLOOKUP(Table3[[#This Row],[instant]],Table1[instant],Table1[holiday], ,0,1)</f>
        <v>0</v>
      </c>
      <c r="E262" s="44">
        <f>_xlfn.XLOOKUP(Table3[[#This Row],[instant]],Table1[instant],Table1[weekday], ,0,1)</f>
        <v>3</v>
      </c>
      <c r="F262" s="44">
        <f>_xlfn.XLOOKUP(Table3[[#This Row],[instant]],Table1[instant],Table1[weathersit], ,0,1)</f>
        <v>1</v>
      </c>
      <c r="G262" s="44">
        <f>_xlfn.XLOOKUP(Table3[[#This Row],[instant]],Table1[instant],Table1[temp], ,0,1)</f>
        <v>0.14000000000000001</v>
      </c>
      <c r="H262" s="45">
        <f>_xlfn.XLOOKUP(Table3[[#This Row],[instant]],Table2[instant],Table2[atemp], ,0,1)</f>
        <v>0.1515</v>
      </c>
      <c r="I262" s="42">
        <f>_xlfn.XLOOKUP(Table3[[#This Row],[instant]],Table2[instant],Table2[hum], ,0,1)</f>
        <v>0.69</v>
      </c>
      <c r="J262" s="42">
        <f>_xlfn.XLOOKUP(Table3[[#This Row],[instant]],Table2[instant],Table2[windspeed], ,0,1)</f>
        <v>0.1343</v>
      </c>
      <c r="K262" s="42">
        <f>_xlfn.XLOOKUP(Table3[[#This Row],[instant]],Table2[instant],Table2[casual], ,0,1)</f>
        <v>0</v>
      </c>
      <c r="L262" s="42">
        <f>_xlfn.XLOOKUP(Table3[[#This Row],[instant]],Table2[instant],Table2[registered], ,0,1)</f>
        <v>54</v>
      </c>
      <c r="M262" s="46">
        <f>_xlfn.XLOOKUP(Table3[[#This Row],[instant]],Table2[instant],Table2[cnt], ,0,1)</f>
        <v>54</v>
      </c>
      <c r="N262" s="42" t="str">
        <f>IF(OR(Table3[[#This Row],[weekday]]=0,Table3[[#This Row],[weekday]]=6),"Weekend","Weekday")</f>
        <v>Weekday</v>
      </c>
    </row>
    <row r="263" spans="1:14" ht="15" thickBot="1" x14ac:dyDescent="0.35">
      <c r="A263" s="1">
        <v>262</v>
      </c>
      <c r="B263" s="3">
        <f>_xlfn.XLOOKUP(Table3[[#This Row],[instant]],DatSet1!A263:A872,DatSet1!B263:B872,_xlfn.XLOOKUP(Table3[[#This Row],[instant]],'Final Data'!A263:A652,'Final Data'!B263:B652, ,0,1),0,1)</f>
        <v>40555</v>
      </c>
      <c r="C263" s="1">
        <f>_xlfn.XLOOKUP(Table3[[#This Row],[instant]],Table1[instant],Table1[hr], ,0,1)</f>
        <v>8</v>
      </c>
      <c r="D263" s="2" t="b">
        <f>_xlfn.XLOOKUP(Table3[[#This Row],[instant]],Table1[instant],Table1[holiday], ,0,1)</f>
        <v>0</v>
      </c>
      <c r="E263" s="2">
        <f>_xlfn.XLOOKUP(Table3[[#This Row],[instant]],Table1[instant],Table1[weekday], ,0,1)</f>
        <v>3</v>
      </c>
      <c r="F263" s="2">
        <f>_xlfn.XLOOKUP(Table3[[#This Row],[instant]],Table1[instant],Table1[weathersit], ,0,1)</f>
        <v>1</v>
      </c>
      <c r="G263" s="2">
        <f>_xlfn.XLOOKUP(Table3[[#This Row],[instant]],Table1[instant],Table1[temp], ,0,1)</f>
        <v>0.16</v>
      </c>
      <c r="H263" s="24">
        <f>_xlfn.XLOOKUP(Table3[[#This Row],[instant]],Table2[instant],Table2[atemp], ,0,1)</f>
        <v>0.16669999999999999</v>
      </c>
      <c r="I263" s="1">
        <f>_xlfn.XLOOKUP(Table3[[#This Row],[instant]],Table2[instant],Table2[hum], ,0,1)</f>
        <v>0.59</v>
      </c>
      <c r="J263" s="1">
        <f>_xlfn.XLOOKUP(Table3[[#This Row],[instant]],Table2[instant],Table2[windspeed], ,0,1)</f>
        <v>0.16420000000000001</v>
      </c>
      <c r="K263" s="1">
        <f>_xlfn.XLOOKUP(Table3[[#This Row],[instant]],Table2[instant],Table2[casual], ,0,1)</f>
        <v>3</v>
      </c>
      <c r="L263" s="1">
        <f>_xlfn.XLOOKUP(Table3[[#This Row],[instant]],Table2[instant],Table2[registered], ,0,1)</f>
        <v>125</v>
      </c>
      <c r="M263" s="6">
        <f>_xlfn.XLOOKUP(Table3[[#This Row],[instant]],Table2[instant],Table2[cnt], ,0,1)</f>
        <v>128</v>
      </c>
      <c r="N263" s="1" t="str">
        <f>IF(OR(Table3[[#This Row],[weekday]]=0,Table3[[#This Row],[weekday]]=6),"Weekend","Weekday")</f>
        <v>Weekday</v>
      </c>
    </row>
    <row r="264" spans="1:14" ht="15" thickBot="1" x14ac:dyDescent="0.35">
      <c r="A264" s="42">
        <v>263</v>
      </c>
      <c r="B264" s="43">
        <f>_xlfn.XLOOKUP(Table3[[#This Row],[instant]],DatSet1!A264:A873,DatSet1!B264:B873,_xlfn.XLOOKUP(Table3[[#This Row],[instant]],'Final Data'!A264:A653,'Final Data'!B264:B653, ,0,1),0,1)</f>
        <v>40555</v>
      </c>
      <c r="C264" s="42">
        <f>_xlfn.XLOOKUP(Table3[[#This Row],[instant]],Table1[instant],Table1[hr], ,0,1)</f>
        <v>9</v>
      </c>
      <c r="D264" s="44" t="b">
        <f>_xlfn.XLOOKUP(Table3[[#This Row],[instant]],Table1[instant],Table1[holiday], ,0,1)</f>
        <v>0</v>
      </c>
      <c r="E264" s="44">
        <f>_xlfn.XLOOKUP(Table3[[#This Row],[instant]],Table1[instant],Table1[weekday], ,0,1)</f>
        <v>3</v>
      </c>
      <c r="F264" s="44">
        <f>_xlfn.XLOOKUP(Table3[[#This Row],[instant]],Table1[instant],Table1[weathersit], ,0,1)</f>
        <v>1</v>
      </c>
      <c r="G264" s="44">
        <f>_xlfn.XLOOKUP(Table3[[#This Row],[instant]],Table1[instant],Table1[temp], ,0,1)</f>
        <v>0.16</v>
      </c>
      <c r="H264" s="45">
        <f>_xlfn.XLOOKUP(Table3[[#This Row],[instant]],Table2[instant],Table2[atemp], ,0,1)</f>
        <v>0.13639999999999999</v>
      </c>
      <c r="I264" s="42">
        <f>_xlfn.XLOOKUP(Table3[[#This Row],[instant]],Table2[instant],Table2[hum], ,0,1)</f>
        <v>0.59</v>
      </c>
      <c r="J264" s="42">
        <f>_xlfn.XLOOKUP(Table3[[#This Row],[instant]],Table2[instant],Table2[windspeed], ,0,1)</f>
        <v>0.32840000000000003</v>
      </c>
      <c r="K264" s="42">
        <f>_xlfn.XLOOKUP(Table3[[#This Row],[instant]],Table2[instant],Table2[casual], ,0,1)</f>
        <v>3</v>
      </c>
      <c r="L264" s="42">
        <f>_xlfn.XLOOKUP(Table3[[#This Row],[instant]],Table2[instant],Table2[registered], ,0,1)</f>
        <v>78</v>
      </c>
      <c r="M264" s="46">
        <f>_xlfn.XLOOKUP(Table3[[#This Row],[instant]],Table2[instant],Table2[cnt], ,0,1)</f>
        <v>81</v>
      </c>
      <c r="N264" s="42" t="str">
        <f>IF(OR(Table3[[#This Row],[weekday]]=0,Table3[[#This Row],[weekday]]=6),"Weekend","Weekday")</f>
        <v>Weekday</v>
      </c>
    </row>
    <row r="265" spans="1:14" ht="15" thickBot="1" x14ac:dyDescent="0.35">
      <c r="A265" s="1">
        <v>264</v>
      </c>
      <c r="B265" s="3">
        <f>_xlfn.XLOOKUP(Table3[[#This Row],[instant]],DatSet1!A265:A874,DatSet1!B265:B874,_xlfn.XLOOKUP(Table3[[#This Row],[instant]],'Final Data'!A265:A654,'Final Data'!B265:B654, ,0,1),0,1)</f>
        <v>40555</v>
      </c>
      <c r="C265" s="1">
        <f>_xlfn.XLOOKUP(Table3[[#This Row],[instant]],Table1[instant],Table1[hr], ,0,1)</f>
        <v>10</v>
      </c>
      <c r="D265" s="2" t="b">
        <f>_xlfn.XLOOKUP(Table3[[#This Row],[instant]],Table1[instant],Table1[holiday], ,0,1)</f>
        <v>0</v>
      </c>
      <c r="E265" s="2">
        <f>_xlfn.XLOOKUP(Table3[[#This Row],[instant]],Table1[instant],Table1[weekday], ,0,1)</f>
        <v>3</v>
      </c>
      <c r="F265" s="2">
        <f>_xlfn.XLOOKUP(Table3[[#This Row],[instant]],Table1[instant],Table1[weathersit], ,0,1)</f>
        <v>1</v>
      </c>
      <c r="G265" s="2">
        <f>_xlfn.XLOOKUP(Table3[[#This Row],[instant]],Table1[instant],Table1[temp], ,0,1)</f>
        <v>0.18</v>
      </c>
      <c r="H265" s="24">
        <f>_xlfn.XLOOKUP(Table3[[#This Row],[instant]],Table2[instant],Table2[atemp], ,0,1)</f>
        <v>0.18179999999999999</v>
      </c>
      <c r="I265" s="1">
        <f>_xlfn.XLOOKUP(Table3[[#This Row],[instant]],Table2[instant],Table2[hum], ,0,1)</f>
        <v>0.55000000000000004</v>
      </c>
      <c r="J265" s="1">
        <f>_xlfn.XLOOKUP(Table3[[#This Row],[instant]],Table2[instant],Table2[windspeed], ,0,1)</f>
        <v>0.22389999999999999</v>
      </c>
      <c r="K265" s="1">
        <f>_xlfn.XLOOKUP(Table3[[#This Row],[instant]],Table2[instant],Table2[casual], ,0,1)</f>
        <v>0</v>
      </c>
      <c r="L265" s="1">
        <f>_xlfn.XLOOKUP(Table3[[#This Row],[instant]],Table2[instant],Table2[registered], ,0,1)</f>
        <v>39</v>
      </c>
      <c r="M265" s="6">
        <f>_xlfn.XLOOKUP(Table3[[#This Row],[instant]],Table2[instant],Table2[cnt], ,0,1)</f>
        <v>39</v>
      </c>
      <c r="N265" s="1" t="str">
        <f>IF(OR(Table3[[#This Row],[weekday]]=0,Table3[[#This Row],[weekday]]=6),"Weekend","Weekday")</f>
        <v>Weekday</v>
      </c>
    </row>
    <row r="266" spans="1:14" ht="15" thickBot="1" x14ac:dyDescent="0.35">
      <c r="A266" s="42">
        <v>265</v>
      </c>
      <c r="B266" s="43">
        <f>_xlfn.XLOOKUP(Table3[[#This Row],[instant]],DatSet1!A266:A875,DatSet1!B266:B875,_xlfn.XLOOKUP(Table3[[#This Row],[instant]],'Final Data'!A266:A655,'Final Data'!B266:B655, ,0,1),0,1)</f>
        <v>40555</v>
      </c>
      <c r="C266" s="42">
        <f>_xlfn.XLOOKUP(Table3[[#This Row],[instant]],Table1[instant],Table1[hr], ,0,1)</f>
        <v>11</v>
      </c>
      <c r="D266" s="44" t="b">
        <f>_xlfn.XLOOKUP(Table3[[#This Row],[instant]],Table1[instant],Table1[holiday], ,0,1)</f>
        <v>0</v>
      </c>
      <c r="E266" s="44">
        <f>_xlfn.XLOOKUP(Table3[[#This Row],[instant]],Table1[instant],Table1[weekday], ,0,1)</f>
        <v>3</v>
      </c>
      <c r="F266" s="44">
        <f>_xlfn.XLOOKUP(Table3[[#This Row],[instant]],Table1[instant],Table1[weathersit], ,0,1)</f>
        <v>1</v>
      </c>
      <c r="G266" s="44">
        <f>_xlfn.XLOOKUP(Table3[[#This Row],[instant]],Table1[instant],Table1[temp], ,0,1)</f>
        <v>0.2</v>
      </c>
      <c r="H266" s="45">
        <f>_xlfn.XLOOKUP(Table3[[#This Row],[instant]],Table2[instant],Table2[atemp], ,0,1)</f>
        <v>0.18179999999999999</v>
      </c>
      <c r="I266" s="42">
        <f>_xlfn.XLOOKUP(Table3[[#This Row],[instant]],Table2[instant],Table2[hum], ,0,1)</f>
        <v>0.51</v>
      </c>
      <c r="J266" s="42">
        <f>_xlfn.XLOOKUP(Table3[[#This Row],[instant]],Table2[instant],Table2[windspeed], ,0,1)</f>
        <v>0.3881</v>
      </c>
      <c r="K266" s="42">
        <f>_xlfn.XLOOKUP(Table3[[#This Row],[instant]],Table2[instant],Table2[casual], ,0,1)</f>
        <v>3</v>
      </c>
      <c r="L266" s="42">
        <f>_xlfn.XLOOKUP(Table3[[#This Row],[instant]],Table2[instant],Table2[registered], ,0,1)</f>
        <v>32</v>
      </c>
      <c r="M266" s="46">
        <f>_xlfn.XLOOKUP(Table3[[#This Row],[instant]],Table2[instant],Table2[cnt], ,0,1)</f>
        <v>35</v>
      </c>
      <c r="N266" s="42" t="str">
        <f>IF(OR(Table3[[#This Row],[weekday]]=0,Table3[[#This Row],[weekday]]=6),"Weekend","Weekday")</f>
        <v>Weekday</v>
      </c>
    </row>
    <row r="267" spans="1:14" ht="15" thickBot="1" x14ac:dyDescent="0.35">
      <c r="A267" s="1">
        <v>266</v>
      </c>
      <c r="B267" s="3">
        <f>_xlfn.XLOOKUP(Table3[[#This Row],[instant]],DatSet1!A267:A876,DatSet1!B267:B876,_xlfn.XLOOKUP(Table3[[#This Row],[instant]],'Final Data'!A267:A656,'Final Data'!B267:B656, ,0,1),0,1)</f>
        <v>40555</v>
      </c>
      <c r="C267" s="1">
        <f>_xlfn.XLOOKUP(Table3[[#This Row],[instant]],Table1[instant],Table1[hr], ,0,1)</f>
        <v>12</v>
      </c>
      <c r="D267" s="2" t="b">
        <f>_xlfn.XLOOKUP(Table3[[#This Row],[instant]],Table1[instant],Table1[holiday], ,0,1)</f>
        <v>0</v>
      </c>
      <c r="E267" s="2">
        <f>_xlfn.XLOOKUP(Table3[[#This Row],[instant]],Table1[instant],Table1[weekday], ,0,1)</f>
        <v>3</v>
      </c>
      <c r="F267" s="2">
        <f>_xlfn.XLOOKUP(Table3[[#This Row],[instant]],Table1[instant],Table1[weathersit], ,0,1)</f>
        <v>1</v>
      </c>
      <c r="G267" s="2">
        <f>_xlfn.XLOOKUP(Table3[[#This Row],[instant]],Table1[instant],Table1[temp], ,0,1)</f>
        <v>0.2</v>
      </c>
      <c r="H267" s="24">
        <f>_xlfn.XLOOKUP(Table3[[#This Row],[instant]],Table2[instant],Table2[atemp], ,0,1)</f>
        <v>0.1515</v>
      </c>
      <c r="I267" s="1">
        <f>_xlfn.XLOOKUP(Table3[[#This Row],[instant]],Table2[instant],Table2[hum], ,0,1)</f>
        <v>0.47</v>
      </c>
      <c r="J267" s="1">
        <f>_xlfn.XLOOKUP(Table3[[#This Row],[instant]],Table2[instant],Table2[windspeed], ,0,1)</f>
        <v>0.58209999999999995</v>
      </c>
      <c r="K267" s="1">
        <f>_xlfn.XLOOKUP(Table3[[#This Row],[instant]],Table2[instant],Table2[casual], ,0,1)</f>
        <v>3</v>
      </c>
      <c r="L267" s="1">
        <f>_xlfn.XLOOKUP(Table3[[#This Row],[instant]],Table2[instant],Table2[registered], ,0,1)</f>
        <v>52</v>
      </c>
      <c r="M267" s="6">
        <f>_xlfn.XLOOKUP(Table3[[#This Row],[instant]],Table2[instant],Table2[cnt], ,0,1)</f>
        <v>55</v>
      </c>
      <c r="N267" s="1" t="str">
        <f>IF(OR(Table3[[#This Row],[weekday]]=0,Table3[[#This Row],[weekday]]=6),"Weekend","Weekday")</f>
        <v>Weekday</v>
      </c>
    </row>
    <row r="268" spans="1:14" ht="15" thickBot="1" x14ac:dyDescent="0.35">
      <c r="A268" s="42">
        <v>267</v>
      </c>
      <c r="B268" s="43">
        <f>_xlfn.XLOOKUP(Table3[[#This Row],[instant]],DatSet1!A268:A877,DatSet1!B268:B877,_xlfn.XLOOKUP(Table3[[#This Row],[instant]],'Final Data'!A268:A657,'Final Data'!B268:B657, ,0,1),0,1)</f>
        <v>40555</v>
      </c>
      <c r="C268" s="42">
        <f>_xlfn.XLOOKUP(Table3[[#This Row],[instant]],Table1[instant],Table1[hr], ,0,1)</f>
        <v>13</v>
      </c>
      <c r="D268" s="44" t="b">
        <f>_xlfn.XLOOKUP(Table3[[#This Row],[instant]],Table1[instant],Table1[holiday], ,0,1)</f>
        <v>0</v>
      </c>
      <c r="E268" s="44">
        <f>_xlfn.XLOOKUP(Table3[[#This Row],[instant]],Table1[instant],Table1[weekday], ,0,1)</f>
        <v>3</v>
      </c>
      <c r="F268" s="44">
        <f>_xlfn.XLOOKUP(Table3[[#This Row],[instant]],Table1[instant],Table1[weathersit], ,0,1)</f>
        <v>1</v>
      </c>
      <c r="G268" s="44">
        <f>_xlfn.XLOOKUP(Table3[[#This Row],[instant]],Table1[instant],Table1[temp], ,0,1)</f>
        <v>0.22</v>
      </c>
      <c r="H268" s="45">
        <f>_xlfn.XLOOKUP(Table3[[#This Row],[instant]],Table2[instant],Table2[atemp], ,0,1)</f>
        <v>0.19700000000000001</v>
      </c>
      <c r="I268" s="42">
        <f>_xlfn.XLOOKUP(Table3[[#This Row],[instant]],Table2[instant],Table2[hum], ,0,1)</f>
        <v>0.44</v>
      </c>
      <c r="J268" s="42">
        <f>_xlfn.XLOOKUP(Table3[[#This Row],[instant]],Table2[instant],Table2[windspeed], ,0,1)</f>
        <v>0.35820000000000002</v>
      </c>
      <c r="K268" s="42">
        <f>_xlfn.XLOOKUP(Table3[[#This Row],[instant]],Table2[instant],Table2[casual], ,0,1)</f>
        <v>0</v>
      </c>
      <c r="L268" s="42">
        <f>_xlfn.XLOOKUP(Table3[[#This Row],[instant]],Table2[instant],Table2[registered], ,0,1)</f>
        <v>49</v>
      </c>
      <c r="M268" s="46">
        <f>_xlfn.XLOOKUP(Table3[[#This Row],[instant]],Table2[instant],Table2[cnt], ,0,1)</f>
        <v>49</v>
      </c>
      <c r="N268" s="42" t="str">
        <f>IF(OR(Table3[[#This Row],[weekday]]=0,Table3[[#This Row],[weekday]]=6),"Weekend","Weekday")</f>
        <v>Weekday</v>
      </c>
    </row>
    <row r="269" spans="1:14" ht="15" thickBot="1" x14ac:dyDescent="0.35">
      <c r="A269" s="1">
        <v>268</v>
      </c>
      <c r="B269" s="3">
        <f>_xlfn.XLOOKUP(Table3[[#This Row],[instant]],DatSet1!A269:A878,DatSet1!B269:B878,_xlfn.XLOOKUP(Table3[[#This Row],[instant]],'Final Data'!A269:A658,'Final Data'!B269:B658, ,0,1),0,1)</f>
        <v>40555</v>
      </c>
      <c r="C269" s="1">
        <f>_xlfn.XLOOKUP(Table3[[#This Row],[instant]],Table1[instant],Table1[hr], ,0,1)</f>
        <v>14</v>
      </c>
      <c r="D269" s="2" t="b">
        <f>_xlfn.XLOOKUP(Table3[[#This Row],[instant]],Table1[instant],Table1[holiday], ,0,1)</f>
        <v>0</v>
      </c>
      <c r="E269" s="2">
        <f>_xlfn.XLOOKUP(Table3[[#This Row],[instant]],Table1[instant],Table1[weekday], ,0,1)</f>
        <v>3</v>
      </c>
      <c r="F269" s="2">
        <f>_xlfn.XLOOKUP(Table3[[#This Row],[instant]],Table1[instant],Table1[weathersit], ,0,1)</f>
        <v>1</v>
      </c>
      <c r="G269" s="2">
        <f>_xlfn.XLOOKUP(Table3[[#This Row],[instant]],Table1[instant],Table1[temp], ,0,1)</f>
        <v>0.2</v>
      </c>
      <c r="H269" s="24">
        <f>_xlfn.XLOOKUP(Table3[[#This Row],[instant]],Table2[instant],Table2[atemp], ,0,1)</f>
        <v>0.18179999999999999</v>
      </c>
      <c r="I269" s="1">
        <f>_xlfn.XLOOKUP(Table3[[#This Row],[instant]],Table2[instant],Table2[hum], ,0,1)</f>
        <v>0.47</v>
      </c>
      <c r="J269" s="1">
        <f>_xlfn.XLOOKUP(Table3[[#This Row],[instant]],Table2[instant],Table2[windspeed], ,0,1)</f>
        <v>0.32840000000000003</v>
      </c>
      <c r="K269" s="1">
        <f>_xlfn.XLOOKUP(Table3[[#This Row],[instant]],Table2[instant],Table2[casual], ,0,1)</f>
        <v>0</v>
      </c>
      <c r="L269" s="1">
        <f>_xlfn.XLOOKUP(Table3[[#This Row],[instant]],Table2[instant],Table2[registered], ,0,1)</f>
        <v>44</v>
      </c>
      <c r="M269" s="6">
        <f>_xlfn.XLOOKUP(Table3[[#This Row],[instant]],Table2[instant],Table2[cnt], ,0,1)</f>
        <v>44</v>
      </c>
      <c r="N269" s="1" t="str">
        <f>IF(OR(Table3[[#This Row],[weekday]]=0,Table3[[#This Row],[weekday]]=6),"Weekend","Weekday")</f>
        <v>Weekday</v>
      </c>
    </row>
    <row r="270" spans="1:14" ht="15" thickBot="1" x14ac:dyDescent="0.35">
      <c r="A270" s="42">
        <v>269</v>
      </c>
      <c r="B270" s="43">
        <f>_xlfn.XLOOKUP(Table3[[#This Row],[instant]],DatSet1!A270:A879,DatSet1!B270:B879,_xlfn.XLOOKUP(Table3[[#This Row],[instant]],'Final Data'!A270:A659,'Final Data'!B270:B659, ,0,1),0,1)</f>
        <v>40555</v>
      </c>
      <c r="C270" s="42">
        <f>_xlfn.XLOOKUP(Table3[[#This Row],[instant]],Table1[instant],Table1[hr], ,0,1)</f>
        <v>15</v>
      </c>
      <c r="D270" s="44" t="b">
        <f>_xlfn.XLOOKUP(Table3[[#This Row],[instant]],Table1[instant],Table1[holiday], ,0,1)</f>
        <v>0</v>
      </c>
      <c r="E270" s="44">
        <f>_xlfn.XLOOKUP(Table3[[#This Row],[instant]],Table1[instant],Table1[weekday], ,0,1)</f>
        <v>3</v>
      </c>
      <c r="F270" s="44">
        <f>_xlfn.XLOOKUP(Table3[[#This Row],[instant]],Table1[instant],Table1[weathersit], ,0,1)</f>
        <v>1</v>
      </c>
      <c r="G270" s="44">
        <f>_xlfn.XLOOKUP(Table3[[#This Row],[instant]],Table1[instant],Table1[temp], ,0,1)</f>
        <v>0.2</v>
      </c>
      <c r="H270" s="45">
        <f>_xlfn.XLOOKUP(Table3[[#This Row],[instant]],Table2[instant],Table2[atemp], ,0,1)</f>
        <v>0.16669999999999999</v>
      </c>
      <c r="I270" s="42">
        <f>_xlfn.XLOOKUP(Table3[[#This Row],[instant]],Table2[instant],Table2[hum], ,0,1)</f>
        <v>0.47</v>
      </c>
      <c r="J270" s="42">
        <f>_xlfn.XLOOKUP(Table3[[#This Row],[instant]],Table2[instant],Table2[windspeed], ,0,1)</f>
        <v>0.41789999999999999</v>
      </c>
      <c r="K270" s="42">
        <f>_xlfn.XLOOKUP(Table3[[#This Row],[instant]],Table2[instant],Table2[casual], ,0,1)</f>
        <v>1</v>
      </c>
      <c r="L270" s="42">
        <f>_xlfn.XLOOKUP(Table3[[#This Row],[instant]],Table2[instant],Table2[registered], ,0,1)</f>
        <v>48</v>
      </c>
      <c r="M270" s="46">
        <f>_xlfn.XLOOKUP(Table3[[#This Row],[instant]],Table2[instant],Table2[cnt], ,0,1)</f>
        <v>49</v>
      </c>
      <c r="N270" s="42" t="str">
        <f>IF(OR(Table3[[#This Row],[weekday]]=0,Table3[[#This Row],[weekday]]=6),"Weekend","Weekday")</f>
        <v>Weekday</v>
      </c>
    </row>
    <row r="271" spans="1:14" ht="15" thickBot="1" x14ac:dyDescent="0.35">
      <c r="A271" s="1">
        <v>270</v>
      </c>
      <c r="B271" s="3">
        <f>_xlfn.XLOOKUP(Table3[[#This Row],[instant]],DatSet1!A271:A880,DatSet1!B271:B880,_xlfn.XLOOKUP(Table3[[#This Row],[instant]],'Final Data'!A271:A660,'Final Data'!B271:B660, ,0,1),0,1)</f>
        <v>40555</v>
      </c>
      <c r="C271" s="1">
        <f>_xlfn.XLOOKUP(Table3[[#This Row],[instant]],Table1[instant],Table1[hr], ,0,1)</f>
        <v>16</v>
      </c>
      <c r="D271" s="2" t="b">
        <f>_xlfn.XLOOKUP(Table3[[#This Row],[instant]],Table1[instant],Table1[holiday], ,0,1)</f>
        <v>0</v>
      </c>
      <c r="E271" s="2">
        <f>_xlfn.XLOOKUP(Table3[[#This Row],[instant]],Table1[instant],Table1[weekday], ,0,1)</f>
        <v>3</v>
      </c>
      <c r="F271" s="2">
        <f>_xlfn.XLOOKUP(Table3[[#This Row],[instant]],Table1[instant],Table1[weathersit], ,0,1)</f>
        <v>1</v>
      </c>
      <c r="G271" s="2">
        <f>_xlfn.XLOOKUP(Table3[[#This Row],[instant]],Table1[instant],Table1[temp], ,0,1)</f>
        <v>0.22</v>
      </c>
      <c r="H271" s="24">
        <f>_xlfn.XLOOKUP(Table3[[#This Row],[instant]],Table2[instant],Table2[atemp], ,0,1)</f>
        <v>0.19700000000000001</v>
      </c>
      <c r="I271" s="1">
        <f>_xlfn.XLOOKUP(Table3[[#This Row],[instant]],Table2[instant],Table2[hum], ,0,1)</f>
        <v>0.44</v>
      </c>
      <c r="J271" s="1">
        <f>_xlfn.XLOOKUP(Table3[[#This Row],[instant]],Table2[instant],Table2[windspeed], ,0,1)</f>
        <v>0.32840000000000003</v>
      </c>
      <c r="K271" s="1">
        <f>_xlfn.XLOOKUP(Table3[[#This Row],[instant]],Table2[instant],Table2[casual], ,0,1)</f>
        <v>5</v>
      </c>
      <c r="L271" s="1">
        <f>_xlfn.XLOOKUP(Table3[[#This Row],[instant]],Table2[instant],Table2[registered], ,0,1)</f>
        <v>63</v>
      </c>
      <c r="M271" s="6">
        <f>_xlfn.XLOOKUP(Table3[[#This Row],[instant]],Table2[instant],Table2[cnt], ,0,1)</f>
        <v>68</v>
      </c>
      <c r="N271" s="1" t="str">
        <f>IF(OR(Table3[[#This Row],[weekday]]=0,Table3[[#This Row],[weekday]]=6),"Weekend","Weekday")</f>
        <v>Weekday</v>
      </c>
    </row>
    <row r="272" spans="1:14" ht="15" thickBot="1" x14ac:dyDescent="0.35">
      <c r="A272" s="42">
        <v>271</v>
      </c>
      <c r="B272" s="43">
        <f>_xlfn.XLOOKUP(Table3[[#This Row],[instant]],DatSet1!A272:A881,DatSet1!B272:B881,_xlfn.XLOOKUP(Table3[[#This Row],[instant]],'Final Data'!A272:A661,'Final Data'!B272:B661, ,0,1),0,1)</f>
        <v>40555</v>
      </c>
      <c r="C272" s="42">
        <f>_xlfn.XLOOKUP(Table3[[#This Row],[instant]],Table1[instant],Table1[hr], ,0,1)</f>
        <v>17</v>
      </c>
      <c r="D272" s="44" t="b">
        <f>_xlfn.XLOOKUP(Table3[[#This Row],[instant]],Table1[instant],Table1[holiday], ,0,1)</f>
        <v>0</v>
      </c>
      <c r="E272" s="44">
        <f>_xlfn.XLOOKUP(Table3[[#This Row],[instant]],Table1[instant],Table1[weekday], ,0,1)</f>
        <v>3</v>
      </c>
      <c r="F272" s="44">
        <f>_xlfn.XLOOKUP(Table3[[#This Row],[instant]],Table1[instant],Table1[weathersit], ,0,1)</f>
        <v>1</v>
      </c>
      <c r="G272" s="44">
        <f>_xlfn.XLOOKUP(Table3[[#This Row],[instant]],Table1[instant],Table1[temp], ,0,1)</f>
        <v>0.2</v>
      </c>
      <c r="H272" s="45">
        <f>_xlfn.XLOOKUP(Table3[[#This Row],[instant]],Table2[instant],Table2[atemp], ,0,1)</f>
        <v>0.18179999999999999</v>
      </c>
      <c r="I272" s="42">
        <f>_xlfn.XLOOKUP(Table3[[#This Row],[instant]],Table2[instant],Table2[hum], ,0,1)</f>
        <v>0.47</v>
      </c>
      <c r="J272" s="42">
        <f>_xlfn.XLOOKUP(Table3[[#This Row],[instant]],Table2[instant],Table2[windspeed], ,0,1)</f>
        <v>0.35820000000000002</v>
      </c>
      <c r="K272" s="42">
        <f>_xlfn.XLOOKUP(Table3[[#This Row],[instant]],Table2[instant],Table2[casual], ,0,1)</f>
        <v>0</v>
      </c>
      <c r="L272" s="42">
        <f>_xlfn.XLOOKUP(Table3[[#This Row],[instant]],Table2[instant],Table2[registered], ,0,1)</f>
        <v>139</v>
      </c>
      <c r="M272" s="46">
        <f>_xlfn.XLOOKUP(Table3[[#This Row],[instant]],Table2[instant],Table2[cnt], ,0,1)</f>
        <v>139</v>
      </c>
      <c r="N272" s="42" t="str">
        <f>IF(OR(Table3[[#This Row],[weekday]]=0,Table3[[#This Row],[weekday]]=6),"Weekend","Weekday")</f>
        <v>Weekday</v>
      </c>
    </row>
    <row r="273" spans="1:14" ht="15" thickBot="1" x14ac:dyDescent="0.35">
      <c r="A273" s="1">
        <v>272</v>
      </c>
      <c r="B273" s="3">
        <f>_xlfn.XLOOKUP(Table3[[#This Row],[instant]],DatSet1!A273:A882,DatSet1!B273:B882,_xlfn.XLOOKUP(Table3[[#This Row],[instant]],'Final Data'!A273:A662,'Final Data'!B273:B662, ,0,1),0,1)</f>
        <v>40555</v>
      </c>
      <c r="C273" s="1">
        <f>_xlfn.XLOOKUP(Table3[[#This Row],[instant]],Table1[instant],Table1[hr], ,0,1)</f>
        <v>18</v>
      </c>
      <c r="D273" s="2" t="b">
        <f>_xlfn.XLOOKUP(Table3[[#This Row],[instant]],Table1[instant],Table1[holiday], ,0,1)</f>
        <v>0</v>
      </c>
      <c r="E273" s="2">
        <f>_xlfn.XLOOKUP(Table3[[#This Row],[instant]],Table1[instant],Table1[weekday], ,0,1)</f>
        <v>3</v>
      </c>
      <c r="F273" s="2">
        <f>_xlfn.XLOOKUP(Table3[[#This Row],[instant]],Table1[instant],Table1[weathersit], ,0,1)</f>
        <v>1</v>
      </c>
      <c r="G273" s="2">
        <f>_xlfn.XLOOKUP(Table3[[#This Row],[instant]],Table1[instant],Table1[temp], ,0,1)</f>
        <v>0.2</v>
      </c>
      <c r="H273" s="24">
        <f>_xlfn.XLOOKUP(Table3[[#This Row],[instant]],Table2[instant],Table2[atemp], ,0,1)</f>
        <v>0.1515</v>
      </c>
      <c r="I273" s="1">
        <f>_xlfn.XLOOKUP(Table3[[#This Row],[instant]],Table2[instant],Table2[hum], ,0,1)</f>
        <v>0.47</v>
      </c>
      <c r="J273" s="1">
        <f>_xlfn.XLOOKUP(Table3[[#This Row],[instant]],Table2[instant],Table2[windspeed], ,0,1)</f>
        <v>0.52239999999999998</v>
      </c>
      <c r="K273" s="1">
        <f>_xlfn.XLOOKUP(Table3[[#This Row],[instant]],Table2[instant],Table2[casual], ,0,1)</f>
        <v>2</v>
      </c>
      <c r="L273" s="1">
        <f>_xlfn.XLOOKUP(Table3[[#This Row],[instant]],Table2[instant],Table2[registered], ,0,1)</f>
        <v>135</v>
      </c>
      <c r="M273" s="6">
        <f>_xlfn.XLOOKUP(Table3[[#This Row],[instant]],Table2[instant],Table2[cnt], ,0,1)</f>
        <v>137</v>
      </c>
      <c r="N273" s="1" t="str">
        <f>IF(OR(Table3[[#This Row],[weekday]]=0,Table3[[#This Row],[weekday]]=6),"Weekend","Weekday")</f>
        <v>Weekday</v>
      </c>
    </row>
    <row r="274" spans="1:14" ht="15" thickBot="1" x14ac:dyDescent="0.35">
      <c r="A274" s="42">
        <v>273</v>
      </c>
      <c r="B274" s="43">
        <f>_xlfn.XLOOKUP(Table3[[#This Row],[instant]],DatSet1!A274:A883,DatSet1!B274:B883,_xlfn.XLOOKUP(Table3[[#This Row],[instant]],'Final Data'!A274:A663,'Final Data'!B274:B663, ,0,1),0,1)</f>
        <v>40555</v>
      </c>
      <c r="C274" s="42">
        <f>_xlfn.XLOOKUP(Table3[[#This Row],[instant]],Table1[instant],Table1[hr], ,0,1)</f>
        <v>19</v>
      </c>
      <c r="D274" s="44" t="b">
        <f>_xlfn.XLOOKUP(Table3[[#This Row],[instant]],Table1[instant],Table1[holiday], ,0,1)</f>
        <v>0</v>
      </c>
      <c r="E274" s="44">
        <f>_xlfn.XLOOKUP(Table3[[#This Row],[instant]],Table1[instant],Table1[weekday], ,0,1)</f>
        <v>3</v>
      </c>
      <c r="F274" s="44">
        <f>_xlfn.XLOOKUP(Table3[[#This Row],[instant]],Table1[instant],Table1[weathersit], ,0,1)</f>
        <v>1</v>
      </c>
      <c r="G274" s="44">
        <f>_xlfn.XLOOKUP(Table3[[#This Row],[instant]],Table1[instant],Table1[temp], ,0,1)</f>
        <v>0.18</v>
      </c>
      <c r="H274" s="45">
        <f>_xlfn.XLOOKUP(Table3[[#This Row],[instant]],Table2[instant],Table2[atemp], ,0,1)</f>
        <v>0.1515</v>
      </c>
      <c r="I274" s="42">
        <f>_xlfn.XLOOKUP(Table3[[#This Row],[instant]],Table2[instant],Table2[hum], ,0,1)</f>
        <v>0.47</v>
      </c>
      <c r="J274" s="42">
        <f>_xlfn.XLOOKUP(Table3[[#This Row],[instant]],Table2[instant],Table2[windspeed], ,0,1)</f>
        <v>0.41789999999999999</v>
      </c>
      <c r="K274" s="42">
        <f>_xlfn.XLOOKUP(Table3[[#This Row],[instant]],Table2[instant],Table2[casual], ,0,1)</f>
        <v>1</v>
      </c>
      <c r="L274" s="42">
        <f>_xlfn.XLOOKUP(Table3[[#This Row],[instant]],Table2[instant],Table2[registered], ,0,1)</f>
        <v>82</v>
      </c>
      <c r="M274" s="46">
        <f>_xlfn.XLOOKUP(Table3[[#This Row],[instant]],Table2[instant],Table2[cnt], ,0,1)</f>
        <v>83</v>
      </c>
      <c r="N274" s="42" t="str">
        <f>IF(OR(Table3[[#This Row],[weekday]]=0,Table3[[#This Row],[weekday]]=6),"Weekend","Weekday")</f>
        <v>Weekday</v>
      </c>
    </row>
    <row r="275" spans="1:14" ht="15" thickBot="1" x14ac:dyDescent="0.35">
      <c r="A275" s="1">
        <v>274</v>
      </c>
      <c r="B275" s="3">
        <f>_xlfn.XLOOKUP(Table3[[#This Row],[instant]],DatSet1!A275:A884,DatSet1!B275:B884,_xlfn.XLOOKUP(Table3[[#This Row],[instant]],'Final Data'!A275:A664,'Final Data'!B275:B664, ,0,1),0,1)</f>
        <v>40555</v>
      </c>
      <c r="C275" s="1">
        <f>_xlfn.XLOOKUP(Table3[[#This Row],[instant]],Table1[instant],Table1[hr], ,0,1)</f>
        <v>20</v>
      </c>
      <c r="D275" s="2" t="b">
        <f>_xlfn.XLOOKUP(Table3[[#This Row],[instant]],Table1[instant],Table1[holiday], ,0,1)</f>
        <v>0</v>
      </c>
      <c r="E275" s="2">
        <f>_xlfn.XLOOKUP(Table3[[#This Row],[instant]],Table1[instant],Table1[weekday], ,0,1)</f>
        <v>3</v>
      </c>
      <c r="F275" s="2">
        <f>_xlfn.XLOOKUP(Table3[[#This Row],[instant]],Table1[instant],Table1[weathersit], ,0,1)</f>
        <v>1</v>
      </c>
      <c r="G275" s="2">
        <f>_xlfn.XLOOKUP(Table3[[#This Row],[instant]],Table1[instant],Table1[temp], ,0,1)</f>
        <v>0.16</v>
      </c>
      <c r="H275" s="24">
        <f>_xlfn.XLOOKUP(Table3[[#This Row],[instant]],Table2[instant],Table2[atemp], ,0,1)</f>
        <v>0.13639999999999999</v>
      </c>
      <c r="I275" s="1">
        <f>_xlfn.XLOOKUP(Table3[[#This Row],[instant]],Table2[instant],Table2[hum], ,0,1)</f>
        <v>0.5</v>
      </c>
      <c r="J275" s="1">
        <f>_xlfn.XLOOKUP(Table3[[#This Row],[instant]],Table2[instant],Table2[windspeed], ,0,1)</f>
        <v>0.32840000000000003</v>
      </c>
      <c r="K275" s="1">
        <f>_xlfn.XLOOKUP(Table3[[#This Row],[instant]],Table2[instant],Table2[casual], ,0,1)</f>
        <v>2</v>
      </c>
      <c r="L275" s="1">
        <f>_xlfn.XLOOKUP(Table3[[#This Row],[instant]],Table2[instant],Table2[registered], ,0,1)</f>
        <v>54</v>
      </c>
      <c r="M275" s="6">
        <f>_xlfn.XLOOKUP(Table3[[#This Row],[instant]],Table2[instant],Table2[cnt], ,0,1)</f>
        <v>56</v>
      </c>
      <c r="N275" s="1" t="str">
        <f>IF(OR(Table3[[#This Row],[weekday]]=0,Table3[[#This Row],[weekday]]=6),"Weekend","Weekday")</f>
        <v>Weekday</v>
      </c>
    </row>
    <row r="276" spans="1:14" ht="15" thickBot="1" x14ac:dyDescent="0.35">
      <c r="A276" s="42">
        <v>275</v>
      </c>
      <c r="B276" s="43">
        <f>_xlfn.XLOOKUP(Table3[[#This Row],[instant]],DatSet1!A276:A885,DatSet1!B276:B885,_xlfn.XLOOKUP(Table3[[#This Row],[instant]],'Final Data'!A276:A665,'Final Data'!B276:B665, ,0,1),0,1)</f>
        <v>40555</v>
      </c>
      <c r="C276" s="42">
        <f>_xlfn.XLOOKUP(Table3[[#This Row],[instant]],Table1[instant],Table1[hr], ,0,1)</f>
        <v>21</v>
      </c>
      <c r="D276" s="44" t="b">
        <f>_xlfn.XLOOKUP(Table3[[#This Row],[instant]],Table1[instant],Table1[holiday], ,0,1)</f>
        <v>0</v>
      </c>
      <c r="E276" s="44">
        <f>_xlfn.XLOOKUP(Table3[[#This Row],[instant]],Table1[instant],Table1[weekday], ,0,1)</f>
        <v>3</v>
      </c>
      <c r="F276" s="44">
        <f>_xlfn.XLOOKUP(Table3[[#This Row],[instant]],Table1[instant],Table1[weathersit], ,0,1)</f>
        <v>1</v>
      </c>
      <c r="G276" s="44">
        <f>_xlfn.XLOOKUP(Table3[[#This Row],[instant]],Table1[instant],Table1[temp], ,0,1)</f>
        <v>0.16</v>
      </c>
      <c r="H276" s="45">
        <f>_xlfn.XLOOKUP(Table3[[#This Row],[instant]],Table2[instant],Table2[atemp], ,0,1)</f>
        <v>0.13639999999999999</v>
      </c>
      <c r="I276" s="42">
        <f>_xlfn.XLOOKUP(Table3[[#This Row],[instant]],Table2[instant],Table2[hum], ,0,1)</f>
        <v>0.55000000000000004</v>
      </c>
      <c r="J276" s="42">
        <f>_xlfn.XLOOKUP(Table3[[#This Row],[instant]],Table2[instant],Table2[windspeed], ,0,1)</f>
        <v>0.32840000000000003</v>
      </c>
      <c r="K276" s="42">
        <f>_xlfn.XLOOKUP(Table3[[#This Row],[instant]],Table2[instant],Table2[casual], ,0,1)</f>
        <v>0</v>
      </c>
      <c r="L276" s="42">
        <f>_xlfn.XLOOKUP(Table3[[#This Row],[instant]],Table2[instant],Table2[registered], ,0,1)</f>
        <v>57</v>
      </c>
      <c r="M276" s="46">
        <f>_xlfn.XLOOKUP(Table3[[#This Row],[instant]],Table2[instant],Table2[cnt], ,0,1)</f>
        <v>57</v>
      </c>
      <c r="N276" s="42" t="str">
        <f>IF(OR(Table3[[#This Row],[weekday]]=0,Table3[[#This Row],[weekday]]=6),"Weekend","Weekday")</f>
        <v>Weekday</v>
      </c>
    </row>
    <row r="277" spans="1:14" ht="15" thickBot="1" x14ac:dyDescent="0.35">
      <c r="A277" s="1">
        <v>276</v>
      </c>
      <c r="B277" s="3">
        <f>_xlfn.XLOOKUP(Table3[[#This Row],[instant]],DatSet1!A277:A886,DatSet1!B277:B886,_xlfn.XLOOKUP(Table3[[#This Row],[instant]],'Final Data'!A277:A666,'Final Data'!B277:B666, ,0,1),0,1)</f>
        <v>40555</v>
      </c>
      <c r="C277" s="1">
        <f>_xlfn.XLOOKUP(Table3[[#This Row],[instant]],Table1[instant],Table1[hr], ,0,1)</f>
        <v>22</v>
      </c>
      <c r="D277" s="2" t="b">
        <f>_xlfn.XLOOKUP(Table3[[#This Row],[instant]],Table1[instant],Table1[holiday], ,0,1)</f>
        <v>0</v>
      </c>
      <c r="E277" s="2">
        <f>_xlfn.XLOOKUP(Table3[[#This Row],[instant]],Table1[instant],Table1[weekday], ,0,1)</f>
        <v>3</v>
      </c>
      <c r="F277" s="2">
        <f>_xlfn.XLOOKUP(Table3[[#This Row],[instant]],Table1[instant],Table1[weathersit], ,0,1)</f>
        <v>1</v>
      </c>
      <c r="G277" s="2">
        <f>_xlfn.XLOOKUP(Table3[[#This Row],[instant]],Table1[instant],Table1[temp], ,0,1)</f>
        <v>0.16</v>
      </c>
      <c r="H277" s="24">
        <f>_xlfn.XLOOKUP(Table3[[#This Row],[instant]],Table2[instant],Table2[atemp], ,0,1)</f>
        <v>0.1212</v>
      </c>
      <c r="I277" s="1">
        <f>_xlfn.XLOOKUP(Table3[[#This Row],[instant]],Table2[instant],Table2[hum], ,0,1)</f>
        <v>0.55000000000000004</v>
      </c>
      <c r="J277" s="1">
        <f>_xlfn.XLOOKUP(Table3[[#This Row],[instant]],Table2[instant],Table2[windspeed], ,0,1)</f>
        <v>0.44779999999999998</v>
      </c>
      <c r="K277" s="1">
        <f>_xlfn.XLOOKUP(Table3[[#This Row],[instant]],Table2[instant],Table2[casual], ,0,1)</f>
        <v>1</v>
      </c>
      <c r="L277" s="1">
        <f>_xlfn.XLOOKUP(Table3[[#This Row],[instant]],Table2[instant],Table2[registered], ,0,1)</f>
        <v>32</v>
      </c>
      <c r="M277" s="6">
        <f>_xlfn.XLOOKUP(Table3[[#This Row],[instant]],Table2[instant],Table2[cnt], ,0,1)</f>
        <v>33</v>
      </c>
      <c r="N277" s="1" t="str">
        <f>IF(OR(Table3[[#This Row],[weekday]]=0,Table3[[#This Row],[weekday]]=6),"Weekend","Weekday")</f>
        <v>Weekday</v>
      </c>
    </row>
    <row r="278" spans="1:14" ht="15" thickBot="1" x14ac:dyDescent="0.35">
      <c r="A278" s="42">
        <v>277</v>
      </c>
      <c r="B278" s="43">
        <f>_xlfn.XLOOKUP(Table3[[#This Row],[instant]],DatSet1!A278:A887,DatSet1!B278:B887,_xlfn.XLOOKUP(Table3[[#This Row],[instant]],'Final Data'!A278:A667,'Final Data'!B278:B667, ,0,1),0,1)</f>
        <v>40555</v>
      </c>
      <c r="C278" s="42">
        <f>_xlfn.XLOOKUP(Table3[[#This Row],[instant]],Table1[instant],Table1[hr], ,0,1)</f>
        <v>23</v>
      </c>
      <c r="D278" s="44" t="b">
        <f>_xlfn.XLOOKUP(Table3[[#This Row],[instant]],Table1[instant],Table1[holiday], ,0,1)</f>
        <v>0</v>
      </c>
      <c r="E278" s="44">
        <f>_xlfn.XLOOKUP(Table3[[#This Row],[instant]],Table1[instant],Table1[weekday], ,0,1)</f>
        <v>3</v>
      </c>
      <c r="F278" s="44">
        <f>_xlfn.XLOOKUP(Table3[[#This Row],[instant]],Table1[instant],Table1[weathersit], ,0,1)</f>
        <v>1</v>
      </c>
      <c r="G278" s="44">
        <f>_xlfn.XLOOKUP(Table3[[#This Row],[instant]],Table1[instant],Table1[temp], ,0,1)</f>
        <v>0.14000000000000001</v>
      </c>
      <c r="H278" s="45">
        <f>_xlfn.XLOOKUP(Table3[[#This Row],[instant]],Table2[instant],Table2[atemp], ,0,1)</f>
        <v>0.1061</v>
      </c>
      <c r="I278" s="42">
        <f>_xlfn.XLOOKUP(Table3[[#This Row],[instant]],Table2[instant],Table2[hum], ,0,1)</f>
        <v>0.59</v>
      </c>
      <c r="J278" s="42">
        <f>_xlfn.XLOOKUP(Table3[[#This Row],[instant]],Table2[instant],Table2[windspeed], ,0,1)</f>
        <v>0.41789999999999999</v>
      </c>
      <c r="K278" s="42">
        <f>_xlfn.XLOOKUP(Table3[[#This Row],[instant]],Table2[instant],Table2[casual], ,0,1)</f>
        <v>1</v>
      </c>
      <c r="L278" s="42">
        <f>_xlfn.XLOOKUP(Table3[[#This Row],[instant]],Table2[instant],Table2[registered], ,0,1)</f>
        <v>19</v>
      </c>
      <c r="M278" s="46">
        <f>_xlfn.XLOOKUP(Table3[[#This Row],[instant]],Table2[instant],Table2[cnt], ,0,1)</f>
        <v>20</v>
      </c>
      <c r="N278" s="42" t="str">
        <f>IF(OR(Table3[[#This Row],[weekday]]=0,Table3[[#This Row],[weekday]]=6),"Weekend","Weekday")</f>
        <v>Weekday</v>
      </c>
    </row>
    <row r="279" spans="1:14" ht="15" thickBot="1" x14ac:dyDescent="0.35">
      <c r="A279" s="1">
        <v>278</v>
      </c>
      <c r="B279" s="3">
        <f>_xlfn.XLOOKUP(Table3[[#This Row],[instant]],DatSet1!A279:A888,DatSet1!B279:B888,_xlfn.XLOOKUP(Table3[[#This Row],[instant]],'Final Data'!A279:A668,'Final Data'!B279:B668, ,0,1),0,1)</f>
        <v>40556</v>
      </c>
      <c r="C279" s="1">
        <f>_xlfn.XLOOKUP(Table3[[#This Row],[instant]],Table1[instant],Table1[hr], ,0,1)</f>
        <v>0</v>
      </c>
      <c r="D279" s="2" t="b">
        <f>_xlfn.XLOOKUP(Table3[[#This Row],[instant]],Table1[instant],Table1[holiday], ,0,1)</f>
        <v>0</v>
      </c>
      <c r="E279" s="2">
        <f>_xlfn.XLOOKUP(Table3[[#This Row],[instant]],Table1[instant],Table1[weekday], ,0,1)</f>
        <v>4</v>
      </c>
      <c r="F279" s="2">
        <f>_xlfn.XLOOKUP(Table3[[#This Row],[instant]],Table1[instant],Table1[weathersit], ,0,1)</f>
        <v>1</v>
      </c>
      <c r="G279" s="2">
        <f>_xlfn.XLOOKUP(Table3[[#This Row],[instant]],Table1[instant],Table1[temp], ,0,1)</f>
        <v>0.14000000000000001</v>
      </c>
      <c r="H279" s="24">
        <f>_xlfn.XLOOKUP(Table3[[#This Row],[instant]],Table2[instant],Table2[atemp], ,0,1)</f>
        <v>0.1212</v>
      </c>
      <c r="I279" s="1">
        <f>_xlfn.XLOOKUP(Table3[[#This Row],[instant]],Table2[instant],Table2[hum], ,0,1)</f>
        <v>0.59</v>
      </c>
      <c r="J279" s="1">
        <f>_xlfn.XLOOKUP(Table3[[#This Row],[instant]],Table2[instant],Table2[windspeed], ,0,1)</f>
        <v>0.28360000000000002</v>
      </c>
      <c r="K279" s="1">
        <f>_xlfn.XLOOKUP(Table3[[#This Row],[instant]],Table2[instant],Table2[casual], ,0,1)</f>
        <v>1</v>
      </c>
      <c r="L279" s="1">
        <f>_xlfn.XLOOKUP(Table3[[#This Row],[instant]],Table2[instant],Table2[registered], ,0,1)</f>
        <v>6</v>
      </c>
      <c r="M279" s="6">
        <f>_xlfn.XLOOKUP(Table3[[#This Row],[instant]],Table2[instant],Table2[cnt], ,0,1)</f>
        <v>7</v>
      </c>
      <c r="N279" s="1" t="str">
        <f>IF(OR(Table3[[#This Row],[weekday]]=0,Table3[[#This Row],[weekday]]=6),"Weekend","Weekday")</f>
        <v>Weekday</v>
      </c>
    </row>
    <row r="280" spans="1:14" ht="15" thickBot="1" x14ac:dyDescent="0.35">
      <c r="A280" s="42">
        <v>279</v>
      </c>
      <c r="B280" s="43">
        <f>_xlfn.XLOOKUP(Table3[[#This Row],[instant]],DatSet1!A280:A889,DatSet1!B280:B889,_xlfn.XLOOKUP(Table3[[#This Row],[instant]],'Final Data'!A280:A669,'Final Data'!B280:B669, ,0,1),0,1)</f>
        <v>40556</v>
      </c>
      <c r="C280" s="42">
        <f>_xlfn.XLOOKUP(Table3[[#This Row],[instant]],Table1[instant],Table1[hr], ,0,1)</f>
        <v>1</v>
      </c>
      <c r="D280" s="44" t="b">
        <f>_xlfn.XLOOKUP(Table3[[#This Row],[instant]],Table1[instant],Table1[holiday], ,0,1)</f>
        <v>0</v>
      </c>
      <c r="E280" s="44">
        <f>_xlfn.XLOOKUP(Table3[[#This Row],[instant]],Table1[instant],Table1[weekday], ,0,1)</f>
        <v>4</v>
      </c>
      <c r="F280" s="44">
        <f>_xlfn.XLOOKUP(Table3[[#This Row],[instant]],Table1[instant],Table1[weathersit], ,0,1)</f>
        <v>1</v>
      </c>
      <c r="G280" s="44">
        <f>_xlfn.XLOOKUP(Table3[[#This Row],[instant]],Table1[instant],Table1[temp], ,0,1)</f>
        <v>0.14000000000000001</v>
      </c>
      <c r="H280" s="45">
        <f>_xlfn.XLOOKUP(Table3[[#This Row],[instant]],Table2[instant],Table2[atemp], ,0,1)</f>
        <v>0.1212</v>
      </c>
      <c r="I280" s="42">
        <f>_xlfn.XLOOKUP(Table3[[#This Row],[instant]],Table2[instant],Table2[hum], ,0,1)</f>
        <v>0.5</v>
      </c>
      <c r="J280" s="42">
        <f>_xlfn.XLOOKUP(Table3[[#This Row],[instant]],Table2[instant],Table2[windspeed], ,0,1)</f>
        <v>0.28360000000000002</v>
      </c>
      <c r="K280" s="42">
        <f>_xlfn.XLOOKUP(Table3[[#This Row],[instant]],Table2[instant],Table2[casual], ,0,1)</f>
        <v>0</v>
      </c>
      <c r="L280" s="42">
        <f>_xlfn.XLOOKUP(Table3[[#This Row],[instant]],Table2[instant],Table2[registered], ,0,1)</f>
        <v>2</v>
      </c>
      <c r="M280" s="46">
        <f>_xlfn.XLOOKUP(Table3[[#This Row],[instant]],Table2[instant],Table2[cnt], ,0,1)</f>
        <v>2</v>
      </c>
      <c r="N280" s="42" t="str">
        <f>IF(OR(Table3[[#This Row],[weekday]]=0,Table3[[#This Row],[weekday]]=6),"Weekend","Weekday")</f>
        <v>Weekday</v>
      </c>
    </row>
    <row r="281" spans="1:14" ht="15" thickBot="1" x14ac:dyDescent="0.35">
      <c r="A281" s="1">
        <v>280</v>
      </c>
      <c r="B281" s="3">
        <f>_xlfn.XLOOKUP(Table3[[#This Row],[instant]],DatSet1!A281:A890,DatSet1!B281:B890,_xlfn.XLOOKUP(Table3[[#This Row],[instant]],'Final Data'!A281:A670,'Final Data'!B281:B670, ,0,1),0,1)</f>
        <v>40556</v>
      </c>
      <c r="C281" s="1">
        <f>_xlfn.XLOOKUP(Table3[[#This Row],[instant]],Table1[instant],Table1[hr], ,0,1)</f>
        <v>2</v>
      </c>
      <c r="D281" s="2" t="b">
        <f>_xlfn.XLOOKUP(Table3[[#This Row],[instant]],Table1[instant],Table1[holiday], ,0,1)</f>
        <v>0</v>
      </c>
      <c r="E281" s="2">
        <f>_xlfn.XLOOKUP(Table3[[#This Row],[instant]],Table1[instant],Table1[weekday], ,0,1)</f>
        <v>4</v>
      </c>
      <c r="F281" s="2">
        <f>_xlfn.XLOOKUP(Table3[[#This Row],[instant]],Table1[instant],Table1[weathersit], ,0,1)</f>
        <v>1</v>
      </c>
      <c r="G281" s="2">
        <f>_xlfn.XLOOKUP(Table3[[#This Row],[instant]],Table1[instant],Table1[temp], ,0,1)</f>
        <v>0.14000000000000001</v>
      </c>
      <c r="H281" s="24">
        <f>_xlfn.XLOOKUP(Table3[[#This Row],[instant]],Table2[instant],Table2[atemp], ,0,1)</f>
        <v>0.1212</v>
      </c>
      <c r="I281" s="1">
        <f>_xlfn.XLOOKUP(Table3[[#This Row],[instant]],Table2[instant],Table2[hum], ,0,1)</f>
        <v>0.5</v>
      </c>
      <c r="J281" s="1">
        <f>_xlfn.XLOOKUP(Table3[[#This Row],[instant]],Table2[instant],Table2[windspeed], ,0,1)</f>
        <v>0.35820000000000002</v>
      </c>
      <c r="K281" s="1">
        <f>_xlfn.XLOOKUP(Table3[[#This Row],[instant]],Table2[instant],Table2[casual], ,0,1)</f>
        <v>0</v>
      </c>
      <c r="L281" s="1">
        <f>_xlfn.XLOOKUP(Table3[[#This Row],[instant]],Table2[instant],Table2[registered], ,0,1)</f>
        <v>2</v>
      </c>
      <c r="M281" s="6">
        <f>_xlfn.XLOOKUP(Table3[[#This Row],[instant]],Table2[instant],Table2[cnt], ,0,1)</f>
        <v>2</v>
      </c>
      <c r="N281" s="1" t="str">
        <f>IF(OR(Table3[[#This Row],[weekday]]=0,Table3[[#This Row],[weekday]]=6),"Weekend","Weekday")</f>
        <v>Weekday</v>
      </c>
    </row>
    <row r="282" spans="1:14" ht="15" thickBot="1" x14ac:dyDescent="0.35">
      <c r="A282" s="42">
        <v>281</v>
      </c>
      <c r="B282" s="43">
        <f>_xlfn.XLOOKUP(Table3[[#This Row],[instant]],DatSet1!A282:A891,DatSet1!B282:B891,_xlfn.XLOOKUP(Table3[[#This Row],[instant]],'Final Data'!A282:A671,'Final Data'!B282:B671, ,0,1),0,1)</f>
        <v>40556</v>
      </c>
      <c r="C282" s="42">
        <f>_xlfn.XLOOKUP(Table3[[#This Row],[instant]],Table1[instant],Table1[hr], ,0,1)</f>
        <v>3</v>
      </c>
      <c r="D282" s="44" t="b">
        <f>_xlfn.XLOOKUP(Table3[[#This Row],[instant]],Table1[instant],Table1[holiday], ,0,1)</f>
        <v>0</v>
      </c>
      <c r="E282" s="44">
        <f>_xlfn.XLOOKUP(Table3[[#This Row],[instant]],Table1[instant],Table1[weekday], ,0,1)</f>
        <v>4</v>
      </c>
      <c r="F282" s="44">
        <f>_xlfn.XLOOKUP(Table3[[#This Row],[instant]],Table1[instant],Table1[weathersit], ,0,1)</f>
        <v>1</v>
      </c>
      <c r="G282" s="44">
        <f>_xlfn.XLOOKUP(Table3[[#This Row],[instant]],Table1[instant],Table1[temp], ,0,1)</f>
        <v>0.14000000000000001</v>
      </c>
      <c r="H282" s="45">
        <f>_xlfn.XLOOKUP(Table3[[#This Row],[instant]],Table2[instant],Table2[atemp], ,0,1)</f>
        <v>0.1212</v>
      </c>
      <c r="I282" s="42">
        <f>_xlfn.XLOOKUP(Table3[[#This Row],[instant]],Table2[instant],Table2[hum], ,0,1)</f>
        <v>0.5</v>
      </c>
      <c r="J282" s="42">
        <f>_xlfn.XLOOKUP(Table3[[#This Row],[instant]],Table2[instant],Table2[windspeed], ,0,1)</f>
        <v>0.32840000000000003</v>
      </c>
      <c r="K282" s="42">
        <f>_xlfn.XLOOKUP(Table3[[#This Row],[instant]],Table2[instant],Table2[casual], ,0,1)</f>
        <v>0</v>
      </c>
      <c r="L282" s="42">
        <f>_xlfn.XLOOKUP(Table3[[#This Row],[instant]],Table2[instant],Table2[registered], ,0,1)</f>
        <v>3</v>
      </c>
      <c r="M282" s="46">
        <f>_xlfn.XLOOKUP(Table3[[#This Row],[instant]],Table2[instant],Table2[cnt], ,0,1)</f>
        <v>3</v>
      </c>
      <c r="N282" s="42" t="str">
        <f>IF(OR(Table3[[#This Row],[weekday]]=0,Table3[[#This Row],[weekday]]=6),"Weekend","Weekday")</f>
        <v>Weekday</v>
      </c>
    </row>
    <row r="283" spans="1:14" ht="15" thickBot="1" x14ac:dyDescent="0.35">
      <c r="A283" s="1">
        <v>282</v>
      </c>
      <c r="B283" s="3">
        <f>_xlfn.XLOOKUP(Table3[[#This Row],[instant]],DatSet1!A283:A892,DatSet1!B283:B892,_xlfn.XLOOKUP(Table3[[#This Row],[instant]],'Final Data'!A283:A672,'Final Data'!B283:B672, ,0,1),0,1)</f>
        <v>40556</v>
      </c>
      <c r="C283" s="1">
        <f>_xlfn.XLOOKUP(Table3[[#This Row],[instant]],Table1[instant],Table1[hr], ,0,1)</f>
        <v>4</v>
      </c>
      <c r="D283" s="2" t="b">
        <f>_xlfn.XLOOKUP(Table3[[#This Row],[instant]],Table1[instant],Table1[holiday], ,0,1)</f>
        <v>0</v>
      </c>
      <c r="E283" s="2">
        <f>_xlfn.XLOOKUP(Table3[[#This Row],[instant]],Table1[instant],Table1[weekday], ,0,1)</f>
        <v>4</v>
      </c>
      <c r="F283" s="2">
        <f>_xlfn.XLOOKUP(Table3[[#This Row],[instant]],Table1[instant],Table1[weathersit], ,0,1)</f>
        <v>1</v>
      </c>
      <c r="G283" s="2">
        <f>_xlfn.XLOOKUP(Table3[[#This Row],[instant]],Table1[instant],Table1[temp], ,0,1)</f>
        <v>0.14000000000000001</v>
      </c>
      <c r="H283" s="24">
        <f>_xlfn.XLOOKUP(Table3[[#This Row],[instant]],Table2[instant],Table2[atemp], ,0,1)</f>
        <v>0.1212</v>
      </c>
      <c r="I283" s="1">
        <f>_xlfn.XLOOKUP(Table3[[#This Row],[instant]],Table2[instant],Table2[hum], ,0,1)</f>
        <v>0.5</v>
      </c>
      <c r="J283" s="1">
        <f>_xlfn.XLOOKUP(Table3[[#This Row],[instant]],Table2[instant],Table2[windspeed], ,0,1)</f>
        <v>0.25369999999999998</v>
      </c>
      <c r="K283" s="1">
        <f>_xlfn.XLOOKUP(Table3[[#This Row],[instant]],Table2[instant],Table2[casual], ,0,1)</f>
        <v>0</v>
      </c>
      <c r="L283" s="1">
        <f>_xlfn.XLOOKUP(Table3[[#This Row],[instant]],Table2[instant],Table2[registered], ,0,1)</f>
        <v>4</v>
      </c>
      <c r="M283" s="6">
        <f>_xlfn.XLOOKUP(Table3[[#This Row],[instant]],Table2[instant],Table2[cnt], ,0,1)</f>
        <v>4</v>
      </c>
      <c r="N283" s="1" t="str">
        <f>IF(OR(Table3[[#This Row],[weekday]]=0,Table3[[#This Row],[weekday]]=6),"Weekend","Weekday")</f>
        <v>Weekday</v>
      </c>
    </row>
    <row r="284" spans="1:14" ht="15" thickBot="1" x14ac:dyDescent="0.35">
      <c r="A284" s="42">
        <v>283</v>
      </c>
      <c r="B284" s="43">
        <f>_xlfn.XLOOKUP(Table3[[#This Row],[instant]],DatSet1!A284:A893,DatSet1!B284:B893,_xlfn.XLOOKUP(Table3[[#This Row],[instant]],'Final Data'!A284:A673,'Final Data'!B284:B673, ,0,1),0,1)</f>
        <v>40556</v>
      </c>
      <c r="C284" s="42">
        <f>_xlfn.XLOOKUP(Table3[[#This Row],[instant]],Table1[instant],Table1[hr], ,0,1)</f>
        <v>5</v>
      </c>
      <c r="D284" s="44" t="b">
        <f>_xlfn.XLOOKUP(Table3[[#This Row],[instant]],Table1[instant],Table1[holiday], ,0,1)</f>
        <v>0</v>
      </c>
      <c r="E284" s="44">
        <f>_xlfn.XLOOKUP(Table3[[#This Row],[instant]],Table1[instant],Table1[weekday], ,0,1)</f>
        <v>4</v>
      </c>
      <c r="F284" s="44">
        <f>_xlfn.XLOOKUP(Table3[[#This Row],[instant]],Table1[instant],Table1[weathersit], ,0,1)</f>
        <v>1</v>
      </c>
      <c r="G284" s="44">
        <f>_xlfn.XLOOKUP(Table3[[#This Row],[instant]],Table1[instant],Table1[temp], ,0,1)</f>
        <v>0.14000000000000001</v>
      </c>
      <c r="H284" s="45">
        <f>_xlfn.XLOOKUP(Table3[[#This Row],[instant]],Table2[instant],Table2[atemp], ,0,1)</f>
        <v>0.1212</v>
      </c>
      <c r="I284" s="42">
        <f>_xlfn.XLOOKUP(Table3[[#This Row],[instant]],Table2[instant],Table2[hum], ,0,1)</f>
        <v>0.5</v>
      </c>
      <c r="J284" s="42">
        <f>_xlfn.XLOOKUP(Table3[[#This Row],[instant]],Table2[instant],Table2[windspeed], ,0,1)</f>
        <v>0.29849999999999999</v>
      </c>
      <c r="K284" s="42">
        <f>_xlfn.XLOOKUP(Table3[[#This Row],[instant]],Table2[instant],Table2[casual], ,0,1)</f>
        <v>0</v>
      </c>
      <c r="L284" s="42">
        <f>_xlfn.XLOOKUP(Table3[[#This Row],[instant]],Table2[instant],Table2[registered], ,0,1)</f>
        <v>3</v>
      </c>
      <c r="M284" s="46">
        <f>_xlfn.XLOOKUP(Table3[[#This Row],[instant]],Table2[instant],Table2[cnt], ,0,1)</f>
        <v>3</v>
      </c>
      <c r="N284" s="42" t="str">
        <f>IF(OR(Table3[[#This Row],[weekday]]=0,Table3[[#This Row],[weekday]]=6),"Weekend","Weekday")</f>
        <v>Weekday</v>
      </c>
    </row>
    <row r="285" spans="1:14" ht="15" thickBot="1" x14ac:dyDescent="0.35">
      <c r="A285" s="1">
        <v>284</v>
      </c>
      <c r="B285" s="3">
        <f>_xlfn.XLOOKUP(Table3[[#This Row],[instant]],DatSet1!A285:A894,DatSet1!B285:B894,_xlfn.XLOOKUP(Table3[[#This Row],[instant]],'Final Data'!A285:A674,'Final Data'!B285:B674, ,0,1),0,1)</f>
        <v>40556</v>
      </c>
      <c r="C285" s="1">
        <f>_xlfn.XLOOKUP(Table3[[#This Row],[instant]],Table1[instant],Table1[hr], ,0,1)</f>
        <v>6</v>
      </c>
      <c r="D285" s="2" t="b">
        <f>_xlfn.XLOOKUP(Table3[[#This Row],[instant]],Table1[instant],Table1[holiday], ,0,1)</f>
        <v>0</v>
      </c>
      <c r="E285" s="2">
        <f>_xlfn.XLOOKUP(Table3[[#This Row],[instant]],Table1[instant],Table1[weekday], ,0,1)</f>
        <v>4</v>
      </c>
      <c r="F285" s="2">
        <f>_xlfn.XLOOKUP(Table3[[#This Row],[instant]],Table1[instant],Table1[weathersit], ,0,1)</f>
        <v>1</v>
      </c>
      <c r="G285" s="2">
        <f>_xlfn.XLOOKUP(Table3[[#This Row],[instant]],Table1[instant],Table1[temp], ,0,1)</f>
        <v>0.12</v>
      </c>
      <c r="H285" s="24">
        <f>_xlfn.XLOOKUP(Table3[[#This Row],[instant]],Table2[instant],Table2[atemp], ,0,1)</f>
        <v>0.1515</v>
      </c>
      <c r="I285" s="1">
        <f>_xlfn.XLOOKUP(Table3[[#This Row],[instant]],Table2[instant],Table2[hum], ,0,1)</f>
        <v>0.54</v>
      </c>
      <c r="J285" s="1">
        <f>_xlfn.XLOOKUP(Table3[[#This Row],[instant]],Table2[instant],Table2[windspeed], ,0,1)</f>
        <v>0.1343</v>
      </c>
      <c r="K285" s="1">
        <f>_xlfn.XLOOKUP(Table3[[#This Row],[instant]],Table2[instant],Table2[casual], ,0,1)</f>
        <v>0</v>
      </c>
      <c r="L285" s="1">
        <f>_xlfn.XLOOKUP(Table3[[#This Row],[instant]],Table2[instant],Table2[registered], ,0,1)</f>
        <v>28</v>
      </c>
      <c r="M285" s="6">
        <f>_xlfn.XLOOKUP(Table3[[#This Row],[instant]],Table2[instant],Table2[cnt], ,0,1)</f>
        <v>28</v>
      </c>
      <c r="N285" s="1" t="str">
        <f>IF(OR(Table3[[#This Row],[weekday]]=0,Table3[[#This Row],[weekday]]=6),"Weekend","Weekday")</f>
        <v>Weekday</v>
      </c>
    </row>
    <row r="286" spans="1:14" ht="15" thickBot="1" x14ac:dyDescent="0.35">
      <c r="A286" s="42">
        <v>285</v>
      </c>
      <c r="B286" s="43">
        <f>_xlfn.XLOOKUP(Table3[[#This Row],[instant]],DatSet1!A286:A895,DatSet1!B286:B895,_xlfn.XLOOKUP(Table3[[#This Row],[instant]],'Final Data'!A286:A675,'Final Data'!B286:B675, ,0,1),0,1)</f>
        <v>40556</v>
      </c>
      <c r="C286" s="42">
        <f>_xlfn.XLOOKUP(Table3[[#This Row],[instant]],Table1[instant],Table1[hr], ,0,1)</f>
        <v>7</v>
      </c>
      <c r="D286" s="44" t="b">
        <f>_xlfn.XLOOKUP(Table3[[#This Row],[instant]],Table1[instant],Table1[holiday], ,0,1)</f>
        <v>0</v>
      </c>
      <c r="E286" s="44">
        <f>_xlfn.XLOOKUP(Table3[[#This Row],[instant]],Table1[instant],Table1[weekday], ,0,1)</f>
        <v>4</v>
      </c>
      <c r="F286" s="44">
        <f>_xlfn.XLOOKUP(Table3[[#This Row],[instant]],Table1[instant],Table1[weathersit], ,0,1)</f>
        <v>1</v>
      </c>
      <c r="G286" s="44">
        <f>_xlfn.XLOOKUP(Table3[[#This Row],[instant]],Table1[instant],Table1[temp], ,0,1)</f>
        <v>0.12</v>
      </c>
      <c r="H286" s="45">
        <f>_xlfn.XLOOKUP(Table3[[#This Row],[instant]],Table2[instant],Table2[atemp], ,0,1)</f>
        <v>0.1515</v>
      </c>
      <c r="I286" s="42">
        <f>_xlfn.XLOOKUP(Table3[[#This Row],[instant]],Table2[instant],Table2[hum], ,0,1)</f>
        <v>0.54</v>
      </c>
      <c r="J286" s="42">
        <f>_xlfn.XLOOKUP(Table3[[#This Row],[instant]],Table2[instant],Table2[windspeed], ,0,1)</f>
        <v>0.1343</v>
      </c>
      <c r="K286" s="42">
        <f>_xlfn.XLOOKUP(Table3[[#This Row],[instant]],Table2[instant],Table2[casual], ,0,1)</f>
        <v>0</v>
      </c>
      <c r="L286" s="42">
        <f>_xlfn.XLOOKUP(Table3[[#This Row],[instant]],Table2[instant],Table2[registered], ,0,1)</f>
        <v>72</v>
      </c>
      <c r="M286" s="46">
        <f>_xlfn.XLOOKUP(Table3[[#This Row],[instant]],Table2[instant],Table2[cnt], ,0,1)</f>
        <v>72</v>
      </c>
      <c r="N286" s="42" t="str">
        <f>IF(OR(Table3[[#This Row],[weekday]]=0,Table3[[#This Row],[weekday]]=6),"Weekend","Weekday")</f>
        <v>Weekday</v>
      </c>
    </row>
    <row r="287" spans="1:14" ht="15" thickBot="1" x14ac:dyDescent="0.35">
      <c r="A287" s="1">
        <v>286</v>
      </c>
      <c r="B287" s="3">
        <f>_xlfn.XLOOKUP(Table3[[#This Row],[instant]],DatSet1!A287:A896,DatSet1!B287:B896,_xlfn.XLOOKUP(Table3[[#This Row],[instant]],'Final Data'!A287:A676,'Final Data'!B287:B676, ,0,1),0,1)</f>
        <v>40556</v>
      </c>
      <c r="C287" s="1">
        <f>_xlfn.XLOOKUP(Table3[[#This Row],[instant]],Table1[instant],Table1[hr], ,0,1)</f>
        <v>8</v>
      </c>
      <c r="D287" s="2" t="b">
        <f>_xlfn.XLOOKUP(Table3[[#This Row],[instant]],Table1[instant],Table1[holiday], ,0,1)</f>
        <v>0</v>
      </c>
      <c r="E287" s="2">
        <f>_xlfn.XLOOKUP(Table3[[#This Row],[instant]],Table1[instant],Table1[weekday], ,0,1)</f>
        <v>4</v>
      </c>
      <c r="F287" s="2">
        <f>_xlfn.XLOOKUP(Table3[[#This Row],[instant]],Table1[instant],Table1[weathersit], ,0,1)</f>
        <v>1</v>
      </c>
      <c r="G287" s="2">
        <f>_xlfn.XLOOKUP(Table3[[#This Row],[instant]],Table1[instant],Table1[temp], ,0,1)</f>
        <v>0.14000000000000001</v>
      </c>
      <c r="H287" s="24">
        <f>_xlfn.XLOOKUP(Table3[[#This Row],[instant]],Table2[instant],Table2[atemp], ,0,1)</f>
        <v>0.13639999999999999</v>
      </c>
      <c r="I287" s="1">
        <f>_xlfn.XLOOKUP(Table3[[#This Row],[instant]],Table2[instant],Table2[hum], ,0,1)</f>
        <v>0.5</v>
      </c>
      <c r="J287" s="1">
        <f>_xlfn.XLOOKUP(Table3[[#This Row],[instant]],Table2[instant],Table2[windspeed], ,0,1)</f>
        <v>0.19400000000000001</v>
      </c>
      <c r="K287" s="1">
        <f>_xlfn.XLOOKUP(Table3[[#This Row],[instant]],Table2[instant],Table2[casual], ,0,1)</f>
        <v>5</v>
      </c>
      <c r="L287" s="1">
        <f>_xlfn.XLOOKUP(Table3[[#This Row],[instant]],Table2[instant],Table2[registered], ,0,1)</f>
        <v>197</v>
      </c>
      <c r="M287" s="6">
        <f>_xlfn.XLOOKUP(Table3[[#This Row],[instant]],Table2[instant],Table2[cnt], ,0,1)</f>
        <v>202</v>
      </c>
      <c r="N287" s="1" t="str">
        <f>IF(OR(Table3[[#This Row],[weekday]]=0,Table3[[#This Row],[weekday]]=6),"Weekend","Weekday")</f>
        <v>Weekday</v>
      </c>
    </row>
    <row r="288" spans="1:14" ht="15" thickBot="1" x14ac:dyDescent="0.35">
      <c r="A288" s="42">
        <v>287</v>
      </c>
      <c r="B288" s="43">
        <f>_xlfn.XLOOKUP(Table3[[#This Row],[instant]],DatSet1!A288:A897,DatSet1!B288:B897,_xlfn.XLOOKUP(Table3[[#This Row],[instant]],'Final Data'!A288:A677,'Final Data'!B288:B677, ,0,1),0,1)</f>
        <v>40556</v>
      </c>
      <c r="C288" s="42">
        <f>_xlfn.XLOOKUP(Table3[[#This Row],[instant]],Table1[instant],Table1[hr], ,0,1)</f>
        <v>9</v>
      </c>
      <c r="D288" s="44" t="b">
        <f>_xlfn.XLOOKUP(Table3[[#This Row],[instant]],Table1[instant],Table1[holiday], ,0,1)</f>
        <v>0</v>
      </c>
      <c r="E288" s="44">
        <f>_xlfn.XLOOKUP(Table3[[#This Row],[instant]],Table1[instant],Table1[weekday], ,0,1)</f>
        <v>4</v>
      </c>
      <c r="F288" s="44">
        <f>_xlfn.XLOOKUP(Table3[[#This Row],[instant]],Table1[instant],Table1[weathersit], ,0,1)</f>
        <v>1</v>
      </c>
      <c r="G288" s="44">
        <f>_xlfn.XLOOKUP(Table3[[#This Row],[instant]],Table1[instant],Table1[temp], ,0,1)</f>
        <v>0.14000000000000001</v>
      </c>
      <c r="H288" s="45">
        <f>_xlfn.XLOOKUP(Table3[[#This Row],[instant]],Table2[instant],Table2[atemp], ,0,1)</f>
        <v>0.1212</v>
      </c>
      <c r="I288" s="42">
        <f>_xlfn.XLOOKUP(Table3[[#This Row],[instant]],Table2[instant],Table2[hum], ,0,1)</f>
        <v>0.5</v>
      </c>
      <c r="J288" s="42">
        <f>_xlfn.XLOOKUP(Table3[[#This Row],[instant]],Table2[instant],Table2[windspeed], ,0,1)</f>
        <v>0.32840000000000003</v>
      </c>
      <c r="K288" s="42">
        <f>_xlfn.XLOOKUP(Table3[[#This Row],[instant]],Table2[instant],Table2[casual], ,0,1)</f>
        <v>2</v>
      </c>
      <c r="L288" s="42">
        <f>_xlfn.XLOOKUP(Table3[[#This Row],[instant]],Table2[instant],Table2[registered], ,0,1)</f>
        <v>137</v>
      </c>
      <c r="M288" s="46">
        <f>_xlfn.XLOOKUP(Table3[[#This Row],[instant]],Table2[instant],Table2[cnt], ,0,1)</f>
        <v>139</v>
      </c>
      <c r="N288" s="42" t="str">
        <f>IF(OR(Table3[[#This Row],[weekday]]=0,Table3[[#This Row],[weekday]]=6),"Weekend","Weekday")</f>
        <v>Weekday</v>
      </c>
    </row>
    <row r="289" spans="1:14" ht="15" thickBot="1" x14ac:dyDescent="0.35">
      <c r="A289" s="1">
        <v>288</v>
      </c>
      <c r="B289" s="3">
        <f>_xlfn.XLOOKUP(Table3[[#This Row],[instant]],DatSet1!A289:A898,DatSet1!B289:B898,_xlfn.XLOOKUP(Table3[[#This Row],[instant]],'Final Data'!A289:A678,'Final Data'!B289:B678, ,0,1),0,1)</f>
        <v>40556</v>
      </c>
      <c r="C289" s="1">
        <f>_xlfn.XLOOKUP(Table3[[#This Row],[instant]],Table1[instant],Table1[hr], ,0,1)</f>
        <v>10</v>
      </c>
      <c r="D289" s="2" t="b">
        <f>_xlfn.XLOOKUP(Table3[[#This Row],[instant]],Table1[instant],Table1[holiday], ,0,1)</f>
        <v>0</v>
      </c>
      <c r="E289" s="2">
        <f>_xlfn.XLOOKUP(Table3[[#This Row],[instant]],Table1[instant],Table1[weekday], ,0,1)</f>
        <v>4</v>
      </c>
      <c r="F289" s="2">
        <f>_xlfn.XLOOKUP(Table3[[#This Row],[instant]],Table1[instant],Table1[weathersit], ,0,1)</f>
        <v>2</v>
      </c>
      <c r="G289" s="2">
        <f>_xlfn.XLOOKUP(Table3[[#This Row],[instant]],Table1[instant],Table1[temp], ,0,1)</f>
        <v>0.16</v>
      </c>
      <c r="H289" s="24">
        <f>_xlfn.XLOOKUP(Table3[[#This Row],[instant]],Table2[instant],Table2[atemp], ,0,1)</f>
        <v>0.13639999999999999</v>
      </c>
      <c r="I289" s="1">
        <f>_xlfn.XLOOKUP(Table3[[#This Row],[instant]],Table2[instant],Table2[hum], ,0,1)</f>
        <v>0.5</v>
      </c>
      <c r="J289" s="1">
        <f>_xlfn.XLOOKUP(Table3[[#This Row],[instant]],Table2[instant],Table2[windspeed], ,0,1)</f>
        <v>0.35820000000000002</v>
      </c>
      <c r="K289" s="1">
        <f>_xlfn.XLOOKUP(Table3[[#This Row],[instant]],Table2[instant],Table2[casual], ,0,1)</f>
        <v>2</v>
      </c>
      <c r="L289" s="1">
        <f>_xlfn.XLOOKUP(Table3[[#This Row],[instant]],Table2[instant],Table2[registered], ,0,1)</f>
        <v>36</v>
      </c>
      <c r="M289" s="6">
        <f>_xlfn.XLOOKUP(Table3[[#This Row],[instant]],Table2[instant],Table2[cnt], ,0,1)</f>
        <v>38</v>
      </c>
      <c r="N289" s="1" t="str">
        <f>IF(OR(Table3[[#This Row],[weekday]]=0,Table3[[#This Row],[weekday]]=6),"Weekend","Weekday")</f>
        <v>Weekday</v>
      </c>
    </row>
    <row r="290" spans="1:14" ht="15" thickBot="1" x14ac:dyDescent="0.35">
      <c r="A290" s="42">
        <v>289</v>
      </c>
      <c r="B290" s="43">
        <f>_xlfn.XLOOKUP(Table3[[#This Row],[instant]],DatSet1!A290:A899,DatSet1!B290:B899,_xlfn.XLOOKUP(Table3[[#This Row],[instant]],'Final Data'!A290:A679,'Final Data'!B290:B679, ,0,1),0,1)</f>
        <v>40556</v>
      </c>
      <c r="C290" s="42">
        <f>_xlfn.XLOOKUP(Table3[[#This Row],[instant]],Table1[instant],Table1[hr], ,0,1)</f>
        <v>11</v>
      </c>
      <c r="D290" s="44" t="b">
        <f>_xlfn.XLOOKUP(Table3[[#This Row],[instant]],Table1[instant],Table1[holiday], ,0,1)</f>
        <v>0</v>
      </c>
      <c r="E290" s="44">
        <f>_xlfn.XLOOKUP(Table3[[#This Row],[instant]],Table1[instant],Table1[weekday], ,0,1)</f>
        <v>4</v>
      </c>
      <c r="F290" s="44">
        <f>_xlfn.XLOOKUP(Table3[[#This Row],[instant]],Table1[instant],Table1[weathersit], ,0,1)</f>
        <v>2</v>
      </c>
      <c r="G290" s="44">
        <f>_xlfn.XLOOKUP(Table3[[#This Row],[instant]],Table1[instant],Table1[temp], ,0,1)</f>
        <v>0.2</v>
      </c>
      <c r="H290" s="45">
        <f>_xlfn.XLOOKUP(Table3[[#This Row],[instant]],Table2[instant],Table2[atemp], ,0,1)</f>
        <v>0.16669999999999999</v>
      </c>
      <c r="I290" s="42">
        <f>_xlfn.XLOOKUP(Table3[[#This Row],[instant]],Table2[instant],Table2[hum], ,0,1)</f>
        <v>0.44</v>
      </c>
      <c r="J290" s="42">
        <f>_xlfn.XLOOKUP(Table3[[#This Row],[instant]],Table2[instant],Table2[windspeed], ,0,1)</f>
        <v>0.44779999999999998</v>
      </c>
      <c r="K290" s="42">
        <f>_xlfn.XLOOKUP(Table3[[#This Row],[instant]],Table2[instant],Table2[casual], ,0,1)</f>
        <v>4</v>
      </c>
      <c r="L290" s="42">
        <f>_xlfn.XLOOKUP(Table3[[#This Row],[instant]],Table2[instant],Table2[registered], ,0,1)</f>
        <v>33</v>
      </c>
      <c r="M290" s="46">
        <f>_xlfn.XLOOKUP(Table3[[#This Row],[instant]],Table2[instant],Table2[cnt], ,0,1)</f>
        <v>37</v>
      </c>
      <c r="N290" s="42" t="str">
        <f>IF(OR(Table3[[#This Row],[weekday]]=0,Table3[[#This Row],[weekday]]=6),"Weekend","Weekday")</f>
        <v>Weekday</v>
      </c>
    </row>
    <row r="291" spans="1:14" ht="15" thickBot="1" x14ac:dyDescent="0.35">
      <c r="A291" s="1">
        <v>290</v>
      </c>
      <c r="B291" s="3">
        <f>_xlfn.XLOOKUP(Table3[[#This Row],[instant]],DatSet1!A291:A900,DatSet1!B291:B900,_xlfn.XLOOKUP(Table3[[#This Row],[instant]],'Final Data'!A291:A680,'Final Data'!B291:B680, ,0,1),0,1)</f>
        <v>40556</v>
      </c>
      <c r="C291" s="1">
        <f>_xlfn.XLOOKUP(Table3[[#This Row],[instant]],Table1[instant],Table1[hr], ,0,1)</f>
        <v>12</v>
      </c>
      <c r="D291" s="2" t="b">
        <f>_xlfn.XLOOKUP(Table3[[#This Row],[instant]],Table1[instant],Table1[holiday], ,0,1)</f>
        <v>0</v>
      </c>
      <c r="E291" s="2">
        <f>_xlfn.XLOOKUP(Table3[[#This Row],[instant]],Table1[instant],Table1[weekday], ,0,1)</f>
        <v>4</v>
      </c>
      <c r="F291" s="2">
        <f>_xlfn.XLOOKUP(Table3[[#This Row],[instant]],Table1[instant],Table1[weathersit], ,0,1)</f>
        <v>1</v>
      </c>
      <c r="G291" s="2">
        <f>_xlfn.XLOOKUP(Table3[[#This Row],[instant]],Table1[instant],Table1[temp], ,0,1)</f>
        <v>0.2</v>
      </c>
      <c r="H291" s="24">
        <f>_xlfn.XLOOKUP(Table3[[#This Row],[instant]],Table2[instant],Table2[atemp], ,0,1)</f>
        <v>0.16669999999999999</v>
      </c>
      <c r="I291" s="1">
        <f>_xlfn.XLOOKUP(Table3[[#This Row],[instant]],Table2[instant],Table2[hum], ,0,1)</f>
        <v>0.44</v>
      </c>
      <c r="J291" s="1">
        <f>_xlfn.XLOOKUP(Table3[[#This Row],[instant]],Table2[instant],Table2[windspeed], ,0,1)</f>
        <v>0.41789999999999999</v>
      </c>
      <c r="K291" s="1">
        <f>_xlfn.XLOOKUP(Table3[[#This Row],[instant]],Table2[instant],Table2[casual], ,0,1)</f>
        <v>3</v>
      </c>
      <c r="L291" s="1">
        <f>_xlfn.XLOOKUP(Table3[[#This Row],[instant]],Table2[instant],Table2[registered], ,0,1)</f>
        <v>49</v>
      </c>
      <c r="M291" s="6">
        <f>_xlfn.XLOOKUP(Table3[[#This Row],[instant]],Table2[instant],Table2[cnt], ,0,1)</f>
        <v>52</v>
      </c>
      <c r="N291" s="1" t="str">
        <f>IF(OR(Table3[[#This Row],[weekday]]=0,Table3[[#This Row],[weekday]]=6),"Weekend","Weekday")</f>
        <v>Weekday</v>
      </c>
    </row>
    <row r="292" spans="1:14" ht="15" thickBot="1" x14ac:dyDescent="0.35">
      <c r="A292" s="42">
        <v>291</v>
      </c>
      <c r="B292" s="43">
        <f>_xlfn.XLOOKUP(Table3[[#This Row],[instant]],DatSet1!A292:A901,DatSet1!B292:B901,_xlfn.XLOOKUP(Table3[[#This Row],[instant]],'Final Data'!A292:A681,'Final Data'!B292:B681, ,0,1),0,1)</f>
        <v>40556</v>
      </c>
      <c r="C292" s="42">
        <f>_xlfn.XLOOKUP(Table3[[#This Row],[instant]],Table1[instant],Table1[hr], ,0,1)</f>
        <v>13</v>
      </c>
      <c r="D292" s="44" t="b">
        <f>_xlfn.XLOOKUP(Table3[[#This Row],[instant]],Table1[instant],Table1[holiday], ,0,1)</f>
        <v>0</v>
      </c>
      <c r="E292" s="44">
        <f>_xlfn.XLOOKUP(Table3[[#This Row],[instant]],Table1[instant],Table1[weekday], ,0,1)</f>
        <v>4</v>
      </c>
      <c r="F292" s="44">
        <f>_xlfn.XLOOKUP(Table3[[#This Row],[instant]],Table1[instant],Table1[weathersit], ,0,1)</f>
        <v>1</v>
      </c>
      <c r="G292" s="44">
        <f>_xlfn.XLOOKUP(Table3[[#This Row],[instant]],Table1[instant],Table1[temp], ,0,1)</f>
        <v>0.22</v>
      </c>
      <c r="H292" s="45">
        <f>_xlfn.XLOOKUP(Table3[[#This Row],[instant]],Table2[instant],Table2[atemp], ,0,1)</f>
        <v>0.19700000000000001</v>
      </c>
      <c r="I292" s="42">
        <f>_xlfn.XLOOKUP(Table3[[#This Row],[instant]],Table2[instant],Table2[hum], ,0,1)</f>
        <v>0.41</v>
      </c>
      <c r="J292" s="42">
        <f>_xlfn.XLOOKUP(Table3[[#This Row],[instant]],Table2[instant],Table2[windspeed], ,0,1)</f>
        <v>0.44779999999999998</v>
      </c>
      <c r="K292" s="42">
        <f>_xlfn.XLOOKUP(Table3[[#This Row],[instant]],Table2[instant],Table2[casual], ,0,1)</f>
        <v>2</v>
      </c>
      <c r="L292" s="42">
        <f>_xlfn.XLOOKUP(Table3[[#This Row],[instant]],Table2[instant],Table2[registered], ,0,1)</f>
        <v>81</v>
      </c>
      <c r="M292" s="46">
        <f>_xlfn.XLOOKUP(Table3[[#This Row],[instant]],Table2[instant],Table2[cnt], ,0,1)</f>
        <v>83</v>
      </c>
      <c r="N292" s="42" t="str">
        <f>IF(OR(Table3[[#This Row],[weekday]]=0,Table3[[#This Row],[weekday]]=6),"Weekend","Weekday")</f>
        <v>Weekday</v>
      </c>
    </row>
    <row r="293" spans="1:14" ht="15" thickBot="1" x14ac:dyDescent="0.35">
      <c r="A293" s="1">
        <v>292</v>
      </c>
      <c r="B293" s="3">
        <f>_xlfn.XLOOKUP(Table3[[#This Row],[instant]],DatSet1!A293:A902,DatSet1!B293:B902,_xlfn.XLOOKUP(Table3[[#This Row],[instant]],'Final Data'!A293:A682,'Final Data'!B293:B682, ,0,1),0,1)</f>
        <v>40556</v>
      </c>
      <c r="C293" s="1">
        <f>_xlfn.XLOOKUP(Table3[[#This Row],[instant]],Table1[instant],Table1[hr], ,0,1)</f>
        <v>14</v>
      </c>
      <c r="D293" s="2" t="b">
        <f>_xlfn.XLOOKUP(Table3[[#This Row],[instant]],Table1[instant],Table1[holiday], ,0,1)</f>
        <v>0</v>
      </c>
      <c r="E293" s="2">
        <f>_xlfn.XLOOKUP(Table3[[#This Row],[instant]],Table1[instant],Table1[weekday], ,0,1)</f>
        <v>4</v>
      </c>
      <c r="F293" s="2">
        <f>_xlfn.XLOOKUP(Table3[[#This Row],[instant]],Table1[instant],Table1[weathersit], ,0,1)</f>
        <v>1</v>
      </c>
      <c r="G293" s="2">
        <f>_xlfn.XLOOKUP(Table3[[#This Row],[instant]],Table1[instant],Table1[temp], ,0,1)</f>
        <v>0.22</v>
      </c>
      <c r="H293" s="24">
        <f>_xlfn.XLOOKUP(Table3[[#This Row],[instant]],Table2[instant],Table2[atemp], ,0,1)</f>
        <v>0.19700000000000001</v>
      </c>
      <c r="I293" s="1">
        <f>_xlfn.XLOOKUP(Table3[[#This Row],[instant]],Table2[instant],Table2[hum], ,0,1)</f>
        <v>0.41</v>
      </c>
      <c r="J293" s="1">
        <f>_xlfn.XLOOKUP(Table3[[#This Row],[instant]],Table2[instant],Table2[windspeed], ,0,1)</f>
        <v>0.3881</v>
      </c>
      <c r="K293" s="1">
        <f>_xlfn.XLOOKUP(Table3[[#This Row],[instant]],Table2[instant],Table2[casual], ,0,1)</f>
        <v>3</v>
      </c>
      <c r="L293" s="1">
        <f>_xlfn.XLOOKUP(Table3[[#This Row],[instant]],Table2[instant],Table2[registered], ,0,1)</f>
        <v>39</v>
      </c>
      <c r="M293" s="6">
        <f>_xlfn.XLOOKUP(Table3[[#This Row],[instant]],Table2[instant],Table2[cnt], ,0,1)</f>
        <v>42</v>
      </c>
      <c r="N293" s="1" t="str">
        <f>IF(OR(Table3[[#This Row],[weekday]]=0,Table3[[#This Row],[weekday]]=6),"Weekend","Weekday")</f>
        <v>Weekday</v>
      </c>
    </row>
    <row r="294" spans="1:14" ht="15" thickBot="1" x14ac:dyDescent="0.35">
      <c r="A294" s="42">
        <v>293</v>
      </c>
      <c r="B294" s="43">
        <f>_xlfn.XLOOKUP(Table3[[#This Row],[instant]],DatSet1!A294:A903,DatSet1!B294:B903,_xlfn.XLOOKUP(Table3[[#This Row],[instant]],'Final Data'!A294:A683,'Final Data'!B294:B683, ,0,1),0,1)</f>
        <v>40556</v>
      </c>
      <c r="C294" s="42">
        <f>_xlfn.XLOOKUP(Table3[[#This Row],[instant]],Table1[instant],Table1[hr], ,0,1)</f>
        <v>15</v>
      </c>
      <c r="D294" s="44" t="b">
        <f>_xlfn.XLOOKUP(Table3[[#This Row],[instant]],Table1[instant],Table1[holiday], ,0,1)</f>
        <v>0</v>
      </c>
      <c r="E294" s="44">
        <f>_xlfn.XLOOKUP(Table3[[#This Row],[instant]],Table1[instant],Table1[weekday], ,0,1)</f>
        <v>4</v>
      </c>
      <c r="F294" s="44">
        <f>_xlfn.XLOOKUP(Table3[[#This Row],[instant]],Table1[instant],Table1[weathersit], ,0,1)</f>
        <v>1</v>
      </c>
      <c r="G294" s="44">
        <f>_xlfn.XLOOKUP(Table3[[#This Row],[instant]],Table1[instant],Table1[temp], ,0,1)</f>
        <v>0.24</v>
      </c>
      <c r="H294" s="45">
        <f>_xlfn.XLOOKUP(Table3[[#This Row],[instant]],Table2[instant],Table2[atemp], ,0,1)</f>
        <v>0.21210000000000001</v>
      </c>
      <c r="I294" s="42">
        <f>_xlfn.XLOOKUP(Table3[[#This Row],[instant]],Table2[instant],Table2[hum], ,0,1)</f>
        <v>0.38</v>
      </c>
      <c r="J294" s="42">
        <f>_xlfn.XLOOKUP(Table3[[#This Row],[instant]],Table2[instant],Table2[windspeed], ,0,1)</f>
        <v>0.29849999999999999</v>
      </c>
      <c r="K294" s="42">
        <f>_xlfn.XLOOKUP(Table3[[#This Row],[instant]],Table2[instant],Table2[casual], ,0,1)</f>
        <v>5</v>
      </c>
      <c r="L294" s="42">
        <f>_xlfn.XLOOKUP(Table3[[#This Row],[instant]],Table2[instant],Table2[registered], ,0,1)</f>
        <v>55</v>
      </c>
      <c r="M294" s="46">
        <f>_xlfn.XLOOKUP(Table3[[#This Row],[instant]],Table2[instant],Table2[cnt], ,0,1)</f>
        <v>60</v>
      </c>
      <c r="N294" s="42" t="str">
        <f>IF(OR(Table3[[#This Row],[weekday]]=0,Table3[[#This Row],[weekday]]=6),"Weekend","Weekday")</f>
        <v>Weekday</v>
      </c>
    </row>
    <row r="295" spans="1:14" ht="15" thickBot="1" x14ac:dyDescent="0.35">
      <c r="A295" s="1">
        <v>294</v>
      </c>
      <c r="B295" s="3">
        <f>_xlfn.XLOOKUP(Table3[[#This Row],[instant]],DatSet1!A295:A904,DatSet1!B295:B904,_xlfn.XLOOKUP(Table3[[#This Row],[instant]],'Final Data'!A295:A684,'Final Data'!B295:B684, ,0,1),0,1)</f>
        <v>40556</v>
      </c>
      <c r="C295" s="1">
        <f>_xlfn.XLOOKUP(Table3[[#This Row],[instant]],Table1[instant],Table1[hr], ,0,1)</f>
        <v>16</v>
      </c>
      <c r="D295" s="2" t="b">
        <f>_xlfn.XLOOKUP(Table3[[#This Row],[instant]],Table1[instant],Table1[holiday], ,0,1)</f>
        <v>0</v>
      </c>
      <c r="E295" s="2">
        <f>_xlfn.XLOOKUP(Table3[[#This Row],[instant]],Table1[instant],Table1[weekday], ,0,1)</f>
        <v>4</v>
      </c>
      <c r="F295" s="2">
        <f>_xlfn.XLOOKUP(Table3[[#This Row],[instant]],Table1[instant],Table1[weathersit], ,0,1)</f>
        <v>1</v>
      </c>
      <c r="G295" s="2">
        <f>_xlfn.XLOOKUP(Table3[[#This Row],[instant]],Table1[instant],Table1[temp], ,0,1)</f>
        <v>0.24</v>
      </c>
      <c r="H295" s="24">
        <f>_xlfn.XLOOKUP(Table3[[#This Row],[instant]],Table2[instant],Table2[atemp], ,0,1)</f>
        <v>0.21210000000000001</v>
      </c>
      <c r="I295" s="1">
        <f>_xlfn.XLOOKUP(Table3[[#This Row],[instant]],Table2[instant],Table2[hum], ,0,1)</f>
        <v>0.38</v>
      </c>
      <c r="J295" s="1">
        <f>_xlfn.XLOOKUP(Table3[[#This Row],[instant]],Table2[instant],Table2[windspeed], ,0,1)</f>
        <v>0.35820000000000002</v>
      </c>
      <c r="K295" s="1">
        <f>_xlfn.XLOOKUP(Table3[[#This Row],[instant]],Table2[instant],Table2[casual], ,0,1)</f>
        <v>2</v>
      </c>
      <c r="L295" s="1">
        <f>_xlfn.XLOOKUP(Table3[[#This Row],[instant]],Table2[instant],Table2[registered], ,0,1)</f>
        <v>76</v>
      </c>
      <c r="M295" s="6">
        <f>_xlfn.XLOOKUP(Table3[[#This Row],[instant]],Table2[instant],Table2[cnt], ,0,1)</f>
        <v>78</v>
      </c>
      <c r="N295" s="1" t="str">
        <f>IF(OR(Table3[[#This Row],[weekday]]=0,Table3[[#This Row],[weekday]]=6),"Weekend","Weekday")</f>
        <v>Weekday</v>
      </c>
    </row>
    <row r="296" spans="1:14" ht="15" thickBot="1" x14ac:dyDescent="0.35">
      <c r="A296" s="42">
        <v>295</v>
      </c>
      <c r="B296" s="43">
        <f>_xlfn.XLOOKUP(Table3[[#This Row],[instant]],DatSet1!A296:A905,DatSet1!B296:B905,_xlfn.XLOOKUP(Table3[[#This Row],[instant]],'Final Data'!A296:A685,'Final Data'!B296:B685, ,0,1),0,1)</f>
        <v>40556</v>
      </c>
      <c r="C296" s="42">
        <f>_xlfn.XLOOKUP(Table3[[#This Row],[instant]],Table1[instant],Table1[hr], ,0,1)</f>
        <v>17</v>
      </c>
      <c r="D296" s="44" t="b">
        <f>_xlfn.XLOOKUP(Table3[[#This Row],[instant]],Table1[instant],Table1[holiday], ,0,1)</f>
        <v>0</v>
      </c>
      <c r="E296" s="44">
        <f>_xlfn.XLOOKUP(Table3[[#This Row],[instant]],Table1[instant],Table1[weekday], ,0,1)</f>
        <v>4</v>
      </c>
      <c r="F296" s="44">
        <f>_xlfn.XLOOKUP(Table3[[#This Row],[instant]],Table1[instant],Table1[weathersit], ,0,1)</f>
        <v>1</v>
      </c>
      <c r="G296" s="44">
        <f>_xlfn.XLOOKUP(Table3[[#This Row],[instant]],Table1[instant],Table1[temp], ,0,1)</f>
        <v>0.2</v>
      </c>
      <c r="H296" s="45">
        <f>_xlfn.XLOOKUP(Table3[[#This Row],[instant]],Table2[instant],Table2[atemp], ,0,1)</f>
        <v>0.18179999999999999</v>
      </c>
      <c r="I296" s="42">
        <f>_xlfn.XLOOKUP(Table3[[#This Row],[instant]],Table2[instant],Table2[hum], ,0,1)</f>
        <v>0.4</v>
      </c>
      <c r="J296" s="42">
        <f>_xlfn.XLOOKUP(Table3[[#This Row],[instant]],Table2[instant],Table2[windspeed], ,0,1)</f>
        <v>0.28360000000000002</v>
      </c>
      <c r="K296" s="42">
        <f>_xlfn.XLOOKUP(Table3[[#This Row],[instant]],Table2[instant],Table2[casual], ,0,1)</f>
        <v>4</v>
      </c>
      <c r="L296" s="42">
        <f>_xlfn.XLOOKUP(Table3[[#This Row],[instant]],Table2[instant],Table2[registered], ,0,1)</f>
        <v>158</v>
      </c>
      <c r="M296" s="46">
        <f>_xlfn.XLOOKUP(Table3[[#This Row],[instant]],Table2[instant],Table2[cnt], ,0,1)</f>
        <v>162</v>
      </c>
      <c r="N296" s="42" t="str">
        <f>IF(OR(Table3[[#This Row],[weekday]]=0,Table3[[#This Row],[weekday]]=6),"Weekend","Weekday")</f>
        <v>Weekday</v>
      </c>
    </row>
    <row r="297" spans="1:14" ht="15" thickBot="1" x14ac:dyDescent="0.35">
      <c r="A297" s="1">
        <v>296</v>
      </c>
      <c r="B297" s="3">
        <f>_xlfn.XLOOKUP(Table3[[#This Row],[instant]],DatSet1!A297:A906,DatSet1!B297:B906,_xlfn.XLOOKUP(Table3[[#This Row],[instant]],'Final Data'!A297:A686,'Final Data'!B297:B686, ,0,1),0,1)</f>
        <v>40556</v>
      </c>
      <c r="C297" s="1">
        <f>_xlfn.XLOOKUP(Table3[[#This Row],[instant]],Table1[instant],Table1[hr], ,0,1)</f>
        <v>18</v>
      </c>
      <c r="D297" s="2" t="b">
        <f>_xlfn.XLOOKUP(Table3[[#This Row],[instant]],Table1[instant],Table1[holiday], ,0,1)</f>
        <v>0</v>
      </c>
      <c r="E297" s="2">
        <f>_xlfn.XLOOKUP(Table3[[#This Row],[instant]],Table1[instant],Table1[weekday], ,0,1)</f>
        <v>4</v>
      </c>
      <c r="F297" s="2">
        <f>_xlfn.XLOOKUP(Table3[[#This Row],[instant]],Table1[instant],Table1[weathersit], ,0,1)</f>
        <v>1</v>
      </c>
      <c r="G297" s="2">
        <f>_xlfn.XLOOKUP(Table3[[#This Row],[instant]],Table1[instant],Table1[temp], ,0,1)</f>
        <v>0.2</v>
      </c>
      <c r="H297" s="24">
        <f>_xlfn.XLOOKUP(Table3[[#This Row],[instant]],Table2[instant],Table2[atemp], ,0,1)</f>
        <v>0.18179999999999999</v>
      </c>
      <c r="I297" s="1">
        <f>_xlfn.XLOOKUP(Table3[[#This Row],[instant]],Table2[instant],Table2[hum], ,0,1)</f>
        <v>0.4</v>
      </c>
      <c r="J297" s="1">
        <f>_xlfn.XLOOKUP(Table3[[#This Row],[instant]],Table2[instant],Table2[windspeed], ,0,1)</f>
        <v>0.32840000000000003</v>
      </c>
      <c r="K297" s="1">
        <f>_xlfn.XLOOKUP(Table3[[#This Row],[instant]],Table2[instant],Table2[casual], ,0,1)</f>
        <v>3</v>
      </c>
      <c r="L297" s="1">
        <f>_xlfn.XLOOKUP(Table3[[#This Row],[instant]],Table2[instant],Table2[registered], ,0,1)</f>
        <v>141</v>
      </c>
      <c r="M297" s="6">
        <f>_xlfn.XLOOKUP(Table3[[#This Row],[instant]],Table2[instant],Table2[cnt], ,0,1)</f>
        <v>144</v>
      </c>
      <c r="N297" s="1" t="str">
        <f>IF(OR(Table3[[#This Row],[weekday]]=0,Table3[[#This Row],[weekday]]=6),"Weekend","Weekday")</f>
        <v>Weekday</v>
      </c>
    </row>
    <row r="298" spans="1:14" ht="15" thickBot="1" x14ac:dyDescent="0.35">
      <c r="A298" s="42">
        <v>297</v>
      </c>
      <c r="B298" s="43">
        <f>_xlfn.XLOOKUP(Table3[[#This Row],[instant]],DatSet1!A298:A907,DatSet1!B298:B907,_xlfn.XLOOKUP(Table3[[#This Row],[instant]],'Final Data'!A298:A687,'Final Data'!B298:B687, ,0,1),0,1)</f>
        <v>40556</v>
      </c>
      <c r="C298" s="42">
        <f>_xlfn.XLOOKUP(Table3[[#This Row],[instant]],Table1[instant],Table1[hr], ,0,1)</f>
        <v>19</v>
      </c>
      <c r="D298" s="44" t="b">
        <f>_xlfn.XLOOKUP(Table3[[#This Row],[instant]],Table1[instant],Table1[holiday], ,0,1)</f>
        <v>0</v>
      </c>
      <c r="E298" s="44">
        <f>_xlfn.XLOOKUP(Table3[[#This Row],[instant]],Table1[instant],Table1[weekday], ,0,1)</f>
        <v>4</v>
      </c>
      <c r="F298" s="44">
        <f>_xlfn.XLOOKUP(Table3[[#This Row],[instant]],Table1[instant],Table1[weathersit], ,0,1)</f>
        <v>1</v>
      </c>
      <c r="G298" s="44">
        <f>_xlfn.XLOOKUP(Table3[[#This Row],[instant]],Table1[instant],Table1[temp], ,0,1)</f>
        <v>0.16</v>
      </c>
      <c r="H298" s="45">
        <f>_xlfn.XLOOKUP(Table3[[#This Row],[instant]],Table2[instant],Table2[atemp], ,0,1)</f>
        <v>0.1515</v>
      </c>
      <c r="I298" s="42">
        <f>_xlfn.XLOOKUP(Table3[[#This Row],[instant]],Table2[instant],Table2[hum], ,0,1)</f>
        <v>0.47</v>
      </c>
      <c r="J298" s="42">
        <f>_xlfn.XLOOKUP(Table3[[#This Row],[instant]],Table2[instant],Table2[windspeed], ,0,1)</f>
        <v>0.25369999999999998</v>
      </c>
      <c r="K298" s="42">
        <f>_xlfn.XLOOKUP(Table3[[#This Row],[instant]],Table2[instant],Table2[casual], ,0,1)</f>
        <v>1</v>
      </c>
      <c r="L298" s="42">
        <f>_xlfn.XLOOKUP(Table3[[#This Row],[instant]],Table2[instant],Table2[registered], ,0,1)</f>
        <v>98</v>
      </c>
      <c r="M298" s="46">
        <f>_xlfn.XLOOKUP(Table3[[#This Row],[instant]],Table2[instant],Table2[cnt], ,0,1)</f>
        <v>99</v>
      </c>
      <c r="N298" s="42" t="str">
        <f>IF(OR(Table3[[#This Row],[weekday]]=0,Table3[[#This Row],[weekday]]=6),"Weekend","Weekday")</f>
        <v>Weekday</v>
      </c>
    </row>
    <row r="299" spans="1:14" ht="15" thickBot="1" x14ac:dyDescent="0.35">
      <c r="A299" s="1">
        <v>298</v>
      </c>
      <c r="B299" s="3">
        <f>_xlfn.XLOOKUP(Table3[[#This Row],[instant]],DatSet1!A299:A908,DatSet1!B299:B908,_xlfn.XLOOKUP(Table3[[#This Row],[instant]],'Final Data'!A299:A688,'Final Data'!B299:B688, ,0,1),0,1)</f>
        <v>40556</v>
      </c>
      <c r="C299" s="1">
        <f>_xlfn.XLOOKUP(Table3[[#This Row],[instant]],Table1[instant],Table1[hr], ,0,1)</f>
        <v>20</v>
      </c>
      <c r="D299" s="2" t="b">
        <f>_xlfn.XLOOKUP(Table3[[#This Row],[instant]],Table1[instant],Table1[holiday], ,0,1)</f>
        <v>0</v>
      </c>
      <c r="E299" s="2">
        <f>_xlfn.XLOOKUP(Table3[[#This Row],[instant]],Table1[instant],Table1[weekday], ,0,1)</f>
        <v>4</v>
      </c>
      <c r="F299" s="2">
        <f>_xlfn.XLOOKUP(Table3[[#This Row],[instant]],Table1[instant],Table1[weathersit], ,0,1)</f>
        <v>1</v>
      </c>
      <c r="G299" s="2">
        <f>_xlfn.XLOOKUP(Table3[[#This Row],[instant]],Table1[instant],Table1[temp], ,0,1)</f>
        <v>0.16</v>
      </c>
      <c r="H299" s="24">
        <f>_xlfn.XLOOKUP(Table3[[#This Row],[instant]],Table2[instant],Table2[atemp], ,0,1)</f>
        <v>0.1515</v>
      </c>
      <c r="I299" s="1">
        <f>_xlfn.XLOOKUP(Table3[[#This Row],[instant]],Table2[instant],Table2[hum], ,0,1)</f>
        <v>0.47</v>
      </c>
      <c r="J299" s="1">
        <f>_xlfn.XLOOKUP(Table3[[#This Row],[instant]],Table2[instant],Table2[windspeed], ,0,1)</f>
        <v>0.22389999999999999</v>
      </c>
      <c r="K299" s="1">
        <f>_xlfn.XLOOKUP(Table3[[#This Row],[instant]],Table2[instant],Table2[casual], ,0,1)</f>
        <v>0</v>
      </c>
      <c r="L299" s="1">
        <f>_xlfn.XLOOKUP(Table3[[#This Row],[instant]],Table2[instant],Table2[registered], ,0,1)</f>
        <v>64</v>
      </c>
      <c r="M299" s="6">
        <f>_xlfn.XLOOKUP(Table3[[#This Row],[instant]],Table2[instant],Table2[cnt], ,0,1)</f>
        <v>64</v>
      </c>
      <c r="N299" s="1" t="str">
        <f>IF(OR(Table3[[#This Row],[weekday]]=0,Table3[[#This Row],[weekday]]=6),"Weekend","Weekday")</f>
        <v>Weekday</v>
      </c>
    </row>
    <row r="300" spans="1:14" ht="15" thickBot="1" x14ac:dyDescent="0.35">
      <c r="A300" s="42">
        <v>299</v>
      </c>
      <c r="B300" s="43">
        <f>_xlfn.XLOOKUP(Table3[[#This Row],[instant]],DatSet1!A300:A909,DatSet1!B300:B909,_xlfn.XLOOKUP(Table3[[#This Row],[instant]],'Final Data'!A300:A689,'Final Data'!B300:B689, ,0,1),0,1)</f>
        <v>40556</v>
      </c>
      <c r="C300" s="42">
        <f>_xlfn.XLOOKUP(Table3[[#This Row],[instant]],Table1[instant],Table1[hr], ,0,1)</f>
        <v>21</v>
      </c>
      <c r="D300" s="44" t="b">
        <f>_xlfn.XLOOKUP(Table3[[#This Row],[instant]],Table1[instant],Table1[holiday], ,0,1)</f>
        <v>0</v>
      </c>
      <c r="E300" s="44">
        <f>_xlfn.XLOOKUP(Table3[[#This Row],[instant]],Table1[instant],Table1[weekday], ,0,1)</f>
        <v>4</v>
      </c>
      <c r="F300" s="44">
        <f>_xlfn.XLOOKUP(Table3[[#This Row],[instant]],Table1[instant],Table1[weathersit], ,0,1)</f>
        <v>1</v>
      </c>
      <c r="G300" s="44">
        <f>_xlfn.XLOOKUP(Table3[[#This Row],[instant]],Table1[instant],Table1[temp], ,0,1)</f>
        <v>0.14000000000000001</v>
      </c>
      <c r="H300" s="45">
        <f>_xlfn.XLOOKUP(Table3[[#This Row],[instant]],Table2[instant],Table2[atemp], ,0,1)</f>
        <v>0.1212</v>
      </c>
      <c r="I300" s="42">
        <f>_xlfn.XLOOKUP(Table3[[#This Row],[instant]],Table2[instant],Table2[hum], ,0,1)</f>
        <v>0.46</v>
      </c>
      <c r="J300" s="42">
        <f>_xlfn.XLOOKUP(Table3[[#This Row],[instant]],Table2[instant],Table2[windspeed], ,0,1)</f>
        <v>0.29849999999999999</v>
      </c>
      <c r="K300" s="42">
        <f>_xlfn.XLOOKUP(Table3[[#This Row],[instant]],Table2[instant],Table2[casual], ,0,1)</f>
        <v>0</v>
      </c>
      <c r="L300" s="42">
        <f>_xlfn.XLOOKUP(Table3[[#This Row],[instant]],Table2[instant],Table2[registered], ,0,1)</f>
        <v>40</v>
      </c>
      <c r="M300" s="46">
        <f>_xlfn.XLOOKUP(Table3[[#This Row],[instant]],Table2[instant],Table2[cnt], ,0,1)</f>
        <v>40</v>
      </c>
      <c r="N300" s="42" t="str">
        <f>IF(OR(Table3[[#This Row],[weekday]]=0,Table3[[#This Row],[weekday]]=6),"Weekend","Weekday")</f>
        <v>Weekday</v>
      </c>
    </row>
    <row r="301" spans="1:14" ht="15" thickBot="1" x14ac:dyDescent="0.35">
      <c r="A301" s="1">
        <v>300</v>
      </c>
      <c r="B301" s="3">
        <f>_xlfn.XLOOKUP(Table3[[#This Row],[instant]],DatSet1!A301:A910,DatSet1!B301:B910,_xlfn.XLOOKUP(Table3[[#This Row],[instant]],'Final Data'!A301:A690,'Final Data'!B301:B690, ,0,1),0,1)</f>
        <v>40556</v>
      </c>
      <c r="C301" s="1">
        <f>_xlfn.XLOOKUP(Table3[[#This Row],[instant]],Table1[instant],Table1[hr], ,0,1)</f>
        <v>22</v>
      </c>
      <c r="D301" s="2" t="b">
        <f>_xlfn.XLOOKUP(Table3[[#This Row],[instant]],Table1[instant],Table1[holiday], ,0,1)</f>
        <v>0</v>
      </c>
      <c r="E301" s="2">
        <f>_xlfn.XLOOKUP(Table3[[#This Row],[instant]],Table1[instant],Table1[weekday], ,0,1)</f>
        <v>4</v>
      </c>
      <c r="F301" s="2">
        <f>_xlfn.XLOOKUP(Table3[[#This Row],[instant]],Table1[instant],Table1[weathersit], ,0,1)</f>
        <v>1</v>
      </c>
      <c r="G301" s="2">
        <f>_xlfn.XLOOKUP(Table3[[#This Row],[instant]],Table1[instant],Table1[temp], ,0,1)</f>
        <v>0.14000000000000001</v>
      </c>
      <c r="H301" s="24">
        <f>_xlfn.XLOOKUP(Table3[[#This Row],[instant]],Table2[instant],Table2[atemp], ,0,1)</f>
        <v>0.1212</v>
      </c>
      <c r="I301" s="1">
        <f>_xlfn.XLOOKUP(Table3[[#This Row],[instant]],Table2[instant],Table2[hum], ,0,1)</f>
        <v>0.46</v>
      </c>
      <c r="J301" s="1">
        <f>_xlfn.XLOOKUP(Table3[[#This Row],[instant]],Table2[instant],Table2[windspeed], ,0,1)</f>
        <v>0.32840000000000003</v>
      </c>
      <c r="K301" s="1">
        <f>_xlfn.XLOOKUP(Table3[[#This Row],[instant]],Table2[instant],Table2[casual], ,0,1)</f>
        <v>0</v>
      </c>
      <c r="L301" s="1">
        <f>_xlfn.XLOOKUP(Table3[[#This Row],[instant]],Table2[instant],Table2[registered], ,0,1)</f>
        <v>30</v>
      </c>
      <c r="M301" s="6">
        <f>_xlfn.XLOOKUP(Table3[[#This Row],[instant]],Table2[instant],Table2[cnt], ,0,1)</f>
        <v>30</v>
      </c>
      <c r="N301" s="1" t="str">
        <f>IF(OR(Table3[[#This Row],[weekday]]=0,Table3[[#This Row],[weekday]]=6),"Weekend","Weekday")</f>
        <v>Weekday</v>
      </c>
    </row>
    <row r="302" spans="1:14" ht="15" thickBot="1" x14ac:dyDescent="0.35">
      <c r="A302" s="42">
        <v>301</v>
      </c>
      <c r="B302" s="43">
        <f>_xlfn.XLOOKUP(Table3[[#This Row],[instant]],DatSet1!A302:A911,DatSet1!B302:B911,_xlfn.XLOOKUP(Table3[[#This Row],[instant]],'Final Data'!A302:A691,'Final Data'!B302:B691, ,0,1),0,1)</f>
        <v>40556</v>
      </c>
      <c r="C302" s="42">
        <f>_xlfn.XLOOKUP(Table3[[#This Row],[instant]],Table1[instant],Table1[hr], ,0,1)</f>
        <v>23</v>
      </c>
      <c r="D302" s="44" t="b">
        <f>_xlfn.XLOOKUP(Table3[[#This Row],[instant]],Table1[instant],Table1[holiday], ,0,1)</f>
        <v>0</v>
      </c>
      <c r="E302" s="44">
        <f>_xlfn.XLOOKUP(Table3[[#This Row],[instant]],Table1[instant],Table1[weekday], ,0,1)</f>
        <v>4</v>
      </c>
      <c r="F302" s="44">
        <f>_xlfn.XLOOKUP(Table3[[#This Row],[instant]],Table1[instant],Table1[weathersit], ,0,1)</f>
        <v>1</v>
      </c>
      <c r="G302" s="44">
        <f>_xlfn.XLOOKUP(Table3[[#This Row],[instant]],Table1[instant],Table1[temp], ,0,1)</f>
        <v>0.12</v>
      </c>
      <c r="H302" s="45">
        <f>_xlfn.XLOOKUP(Table3[[#This Row],[instant]],Table2[instant],Table2[atemp], ,0,1)</f>
        <v>0.13639999999999999</v>
      </c>
      <c r="I302" s="42">
        <f>_xlfn.XLOOKUP(Table3[[#This Row],[instant]],Table2[instant],Table2[hum], ,0,1)</f>
        <v>0.5</v>
      </c>
      <c r="J302" s="42">
        <f>_xlfn.XLOOKUP(Table3[[#This Row],[instant]],Table2[instant],Table2[windspeed], ,0,1)</f>
        <v>0.19400000000000001</v>
      </c>
      <c r="K302" s="42">
        <f>_xlfn.XLOOKUP(Table3[[#This Row],[instant]],Table2[instant],Table2[casual], ,0,1)</f>
        <v>1</v>
      </c>
      <c r="L302" s="42">
        <f>_xlfn.XLOOKUP(Table3[[#This Row],[instant]],Table2[instant],Table2[registered], ,0,1)</f>
        <v>14</v>
      </c>
      <c r="M302" s="46">
        <f>_xlfn.XLOOKUP(Table3[[#This Row],[instant]],Table2[instant],Table2[cnt], ,0,1)</f>
        <v>15</v>
      </c>
      <c r="N302" s="42" t="str">
        <f>IF(OR(Table3[[#This Row],[weekday]]=0,Table3[[#This Row],[weekday]]=6),"Weekend","Weekday")</f>
        <v>Weekday</v>
      </c>
    </row>
    <row r="303" spans="1:14" ht="15" thickBot="1" x14ac:dyDescent="0.35">
      <c r="A303" s="1">
        <v>302</v>
      </c>
      <c r="B303" s="3">
        <f>_xlfn.XLOOKUP(Table3[[#This Row],[instant]],DatSet1!A303:A912,DatSet1!B303:B912,_xlfn.XLOOKUP(Table3[[#This Row],[instant]],'Final Data'!A303:A692,'Final Data'!B303:B692, ,0,1),0,1)</f>
        <v>40557</v>
      </c>
      <c r="C303" s="1">
        <f>_xlfn.XLOOKUP(Table3[[#This Row],[instant]],Table1[instant],Table1[hr], ,0,1)</f>
        <v>0</v>
      </c>
      <c r="D303" s="2" t="b">
        <f>_xlfn.XLOOKUP(Table3[[#This Row],[instant]],Table1[instant],Table1[holiday], ,0,1)</f>
        <v>0</v>
      </c>
      <c r="E303" s="2">
        <f>_xlfn.XLOOKUP(Table3[[#This Row],[instant]],Table1[instant],Table1[weekday], ,0,1)</f>
        <v>5</v>
      </c>
      <c r="F303" s="2">
        <f>_xlfn.XLOOKUP(Table3[[#This Row],[instant]],Table1[instant],Table1[weathersit], ,0,1)</f>
        <v>1</v>
      </c>
      <c r="G303" s="2">
        <f>_xlfn.XLOOKUP(Table3[[#This Row],[instant]],Table1[instant],Table1[temp], ,0,1)</f>
        <v>0.12</v>
      </c>
      <c r="H303" s="24">
        <f>_xlfn.XLOOKUP(Table3[[#This Row],[instant]],Table2[instant],Table2[atemp], ,0,1)</f>
        <v>0.13639999999999999</v>
      </c>
      <c r="I303" s="1">
        <f>_xlfn.XLOOKUP(Table3[[#This Row],[instant]],Table2[instant],Table2[hum], ,0,1)</f>
        <v>0.5</v>
      </c>
      <c r="J303" s="1">
        <f>_xlfn.XLOOKUP(Table3[[#This Row],[instant]],Table2[instant],Table2[windspeed], ,0,1)</f>
        <v>0.19400000000000001</v>
      </c>
      <c r="K303" s="1">
        <f>_xlfn.XLOOKUP(Table3[[#This Row],[instant]],Table2[instant],Table2[casual], ,0,1)</f>
        <v>0</v>
      </c>
      <c r="L303" s="1">
        <f>_xlfn.XLOOKUP(Table3[[#This Row],[instant]],Table2[instant],Table2[registered], ,0,1)</f>
        <v>14</v>
      </c>
      <c r="M303" s="6">
        <f>_xlfn.XLOOKUP(Table3[[#This Row],[instant]],Table2[instant],Table2[cnt], ,0,1)</f>
        <v>14</v>
      </c>
      <c r="N303" s="1" t="str">
        <f>IF(OR(Table3[[#This Row],[weekday]]=0,Table3[[#This Row],[weekday]]=6),"Weekend","Weekday")</f>
        <v>Weekday</v>
      </c>
    </row>
    <row r="304" spans="1:14" ht="15" thickBot="1" x14ac:dyDescent="0.35">
      <c r="A304" s="42">
        <v>303</v>
      </c>
      <c r="B304" s="43">
        <f>_xlfn.XLOOKUP(Table3[[#This Row],[instant]],DatSet1!A304:A913,DatSet1!B304:B913,_xlfn.XLOOKUP(Table3[[#This Row],[instant]],'Final Data'!A304:A693,'Final Data'!B304:B693, ,0,1),0,1)</f>
        <v>40557</v>
      </c>
      <c r="C304" s="42">
        <f>_xlfn.XLOOKUP(Table3[[#This Row],[instant]],Table1[instant],Table1[hr], ,0,1)</f>
        <v>1</v>
      </c>
      <c r="D304" s="44" t="b">
        <f>_xlfn.XLOOKUP(Table3[[#This Row],[instant]],Table1[instant],Table1[holiday], ,0,1)</f>
        <v>0</v>
      </c>
      <c r="E304" s="44">
        <f>_xlfn.XLOOKUP(Table3[[#This Row],[instant]],Table1[instant],Table1[weekday], ,0,1)</f>
        <v>5</v>
      </c>
      <c r="F304" s="44">
        <f>_xlfn.XLOOKUP(Table3[[#This Row],[instant]],Table1[instant],Table1[weathersit], ,0,1)</f>
        <v>1</v>
      </c>
      <c r="G304" s="44">
        <f>_xlfn.XLOOKUP(Table3[[#This Row],[instant]],Table1[instant],Table1[temp], ,0,1)</f>
        <v>0.1</v>
      </c>
      <c r="H304" s="45">
        <f>_xlfn.XLOOKUP(Table3[[#This Row],[instant]],Table2[instant],Table2[atemp], ,0,1)</f>
        <v>0.1212</v>
      </c>
      <c r="I304" s="42">
        <f>_xlfn.XLOOKUP(Table3[[#This Row],[instant]],Table2[instant],Table2[hum], ,0,1)</f>
        <v>0.54</v>
      </c>
      <c r="J304" s="42">
        <f>_xlfn.XLOOKUP(Table3[[#This Row],[instant]],Table2[instant],Table2[windspeed], ,0,1)</f>
        <v>0.16420000000000001</v>
      </c>
      <c r="K304" s="42">
        <f>_xlfn.XLOOKUP(Table3[[#This Row],[instant]],Table2[instant],Table2[casual], ,0,1)</f>
        <v>0</v>
      </c>
      <c r="L304" s="42">
        <f>_xlfn.XLOOKUP(Table3[[#This Row],[instant]],Table2[instant],Table2[registered], ,0,1)</f>
        <v>5</v>
      </c>
      <c r="M304" s="46">
        <f>_xlfn.XLOOKUP(Table3[[#This Row],[instant]],Table2[instant],Table2[cnt], ,0,1)</f>
        <v>5</v>
      </c>
      <c r="N304" s="42" t="str">
        <f>IF(OR(Table3[[#This Row],[weekday]]=0,Table3[[#This Row],[weekday]]=6),"Weekend","Weekday")</f>
        <v>Weekday</v>
      </c>
    </row>
    <row r="305" spans="1:14" ht="15" thickBot="1" x14ac:dyDescent="0.35">
      <c r="A305" s="1">
        <v>304</v>
      </c>
      <c r="B305" s="3">
        <f>_xlfn.XLOOKUP(Table3[[#This Row],[instant]],DatSet1!A305:A914,DatSet1!B305:B914,_xlfn.XLOOKUP(Table3[[#This Row],[instant]],'Final Data'!A305:A694,'Final Data'!B305:B694, ,0,1),0,1)</f>
        <v>40557</v>
      </c>
      <c r="C305" s="1">
        <f>_xlfn.XLOOKUP(Table3[[#This Row],[instant]],Table1[instant],Table1[hr], ,0,1)</f>
        <v>2</v>
      </c>
      <c r="D305" s="2" t="b">
        <f>_xlfn.XLOOKUP(Table3[[#This Row],[instant]],Table1[instant],Table1[holiday], ,0,1)</f>
        <v>0</v>
      </c>
      <c r="E305" s="2">
        <f>_xlfn.XLOOKUP(Table3[[#This Row],[instant]],Table1[instant],Table1[weekday], ,0,1)</f>
        <v>5</v>
      </c>
      <c r="F305" s="2">
        <f>_xlfn.XLOOKUP(Table3[[#This Row],[instant]],Table1[instant],Table1[weathersit], ,0,1)</f>
        <v>1</v>
      </c>
      <c r="G305" s="2">
        <f>_xlfn.XLOOKUP(Table3[[#This Row],[instant]],Table1[instant],Table1[temp], ,0,1)</f>
        <v>0.1</v>
      </c>
      <c r="H305" s="24">
        <f>_xlfn.XLOOKUP(Table3[[#This Row],[instant]],Table2[instant],Table2[atemp], ,0,1)</f>
        <v>0.1212</v>
      </c>
      <c r="I305" s="1">
        <f>_xlfn.XLOOKUP(Table3[[#This Row],[instant]],Table2[instant],Table2[hum], ,0,1)</f>
        <v>0.54</v>
      </c>
      <c r="J305" s="1">
        <f>_xlfn.XLOOKUP(Table3[[#This Row],[instant]],Table2[instant],Table2[windspeed], ,0,1)</f>
        <v>0.1343</v>
      </c>
      <c r="K305" s="1">
        <f>_xlfn.XLOOKUP(Table3[[#This Row],[instant]],Table2[instant],Table2[casual], ,0,1)</f>
        <v>0</v>
      </c>
      <c r="L305" s="1">
        <f>_xlfn.XLOOKUP(Table3[[#This Row],[instant]],Table2[instant],Table2[registered], ,0,1)</f>
        <v>1</v>
      </c>
      <c r="M305" s="6">
        <f>_xlfn.XLOOKUP(Table3[[#This Row],[instant]],Table2[instant],Table2[cnt], ,0,1)</f>
        <v>1</v>
      </c>
      <c r="N305" s="1" t="str">
        <f>IF(OR(Table3[[#This Row],[weekday]]=0,Table3[[#This Row],[weekday]]=6),"Weekend","Weekday")</f>
        <v>Weekday</v>
      </c>
    </row>
    <row r="306" spans="1:14" ht="15" thickBot="1" x14ac:dyDescent="0.35">
      <c r="A306" s="42">
        <v>305</v>
      </c>
      <c r="B306" s="43">
        <f>_xlfn.XLOOKUP(Table3[[#This Row],[instant]],DatSet1!A306:A915,DatSet1!B306:B915,_xlfn.XLOOKUP(Table3[[#This Row],[instant]],'Final Data'!A306:A695,'Final Data'!B306:B695, ,0,1),0,1)</f>
        <v>40557</v>
      </c>
      <c r="C306" s="42">
        <f>_xlfn.XLOOKUP(Table3[[#This Row],[instant]],Table1[instant],Table1[hr], ,0,1)</f>
        <v>3</v>
      </c>
      <c r="D306" s="44" t="b">
        <f>_xlfn.XLOOKUP(Table3[[#This Row],[instant]],Table1[instant],Table1[holiday], ,0,1)</f>
        <v>0</v>
      </c>
      <c r="E306" s="44">
        <f>_xlfn.XLOOKUP(Table3[[#This Row],[instant]],Table1[instant],Table1[weekday], ,0,1)</f>
        <v>5</v>
      </c>
      <c r="F306" s="44">
        <f>_xlfn.XLOOKUP(Table3[[#This Row],[instant]],Table1[instant],Table1[weathersit], ,0,1)</f>
        <v>1</v>
      </c>
      <c r="G306" s="44">
        <f>_xlfn.XLOOKUP(Table3[[#This Row],[instant]],Table1[instant],Table1[temp], ,0,1)</f>
        <v>0.1</v>
      </c>
      <c r="H306" s="45">
        <f>_xlfn.XLOOKUP(Table3[[#This Row],[instant]],Table2[instant],Table2[atemp], ,0,1)</f>
        <v>0.13639999999999999</v>
      </c>
      <c r="I306" s="42">
        <f>_xlfn.XLOOKUP(Table3[[#This Row],[instant]],Table2[instant],Table2[hum], ,0,1)</f>
        <v>0.54</v>
      </c>
      <c r="J306" s="42">
        <f>_xlfn.XLOOKUP(Table3[[#This Row],[instant]],Table2[instant],Table2[windspeed], ,0,1)</f>
        <v>0.1045</v>
      </c>
      <c r="K306" s="42">
        <f>_xlfn.XLOOKUP(Table3[[#This Row],[instant]],Table2[instant],Table2[casual], ,0,1)</f>
        <v>0</v>
      </c>
      <c r="L306" s="42">
        <f>_xlfn.XLOOKUP(Table3[[#This Row],[instant]],Table2[instant],Table2[registered], ,0,1)</f>
        <v>1</v>
      </c>
      <c r="M306" s="46">
        <f>_xlfn.XLOOKUP(Table3[[#This Row],[instant]],Table2[instant],Table2[cnt], ,0,1)</f>
        <v>1</v>
      </c>
      <c r="N306" s="42" t="str">
        <f>IF(OR(Table3[[#This Row],[weekday]]=0,Table3[[#This Row],[weekday]]=6),"Weekend","Weekday")</f>
        <v>Weekday</v>
      </c>
    </row>
    <row r="307" spans="1:14" ht="15" thickBot="1" x14ac:dyDescent="0.35">
      <c r="A307" s="1">
        <v>306</v>
      </c>
      <c r="B307" s="3">
        <f>_xlfn.XLOOKUP(Table3[[#This Row],[instant]],DatSet1!A307:A916,DatSet1!B307:B916,_xlfn.XLOOKUP(Table3[[#This Row],[instant]],'Final Data'!A307:A696,'Final Data'!B307:B696, ,0,1),0,1)</f>
        <v>40557</v>
      </c>
      <c r="C307" s="1">
        <f>_xlfn.XLOOKUP(Table3[[#This Row],[instant]],Table1[instant],Table1[hr], ,0,1)</f>
        <v>5</v>
      </c>
      <c r="D307" s="2" t="b">
        <f>_xlfn.XLOOKUP(Table3[[#This Row],[instant]],Table1[instant],Table1[holiday], ,0,1)</f>
        <v>0</v>
      </c>
      <c r="E307" s="2">
        <f>_xlfn.XLOOKUP(Table3[[#This Row],[instant]],Table1[instant],Table1[weekday], ,0,1)</f>
        <v>5</v>
      </c>
      <c r="F307" s="2">
        <f>_xlfn.XLOOKUP(Table3[[#This Row],[instant]],Table1[instant],Table1[weathersit], ,0,1)</f>
        <v>1</v>
      </c>
      <c r="G307" s="2">
        <f>_xlfn.XLOOKUP(Table3[[#This Row],[instant]],Table1[instant],Table1[temp], ,0,1)</f>
        <v>0.1</v>
      </c>
      <c r="H307" s="24">
        <f>_xlfn.XLOOKUP(Table3[[#This Row],[instant]],Table2[instant],Table2[atemp], ,0,1)</f>
        <v>0.13639999999999999</v>
      </c>
      <c r="I307" s="1">
        <f>_xlfn.XLOOKUP(Table3[[#This Row],[instant]],Table2[instant],Table2[hum], ,0,1)</f>
        <v>0.54</v>
      </c>
      <c r="J307" s="1">
        <f>_xlfn.XLOOKUP(Table3[[#This Row],[instant]],Table2[instant],Table2[windspeed], ,0,1)</f>
        <v>8.9599999999999999E-2</v>
      </c>
      <c r="K307" s="1">
        <f>_xlfn.XLOOKUP(Table3[[#This Row],[instant]],Table2[instant],Table2[casual], ,0,1)</f>
        <v>0</v>
      </c>
      <c r="L307" s="1">
        <f>_xlfn.XLOOKUP(Table3[[#This Row],[instant]],Table2[instant],Table2[registered], ,0,1)</f>
        <v>8</v>
      </c>
      <c r="M307" s="6">
        <f>_xlfn.XLOOKUP(Table3[[#This Row],[instant]],Table2[instant],Table2[cnt], ,0,1)</f>
        <v>8</v>
      </c>
      <c r="N307" s="1" t="str">
        <f>IF(OR(Table3[[#This Row],[weekday]]=0,Table3[[#This Row],[weekday]]=6),"Weekend","Weekday")</f>
        <v>Weekday</v>
      </c>
    </row>
    <row r="308" spans="1:14" ht="15" thickBot="1" x14ac:dyDescent="0.35">
      <c r="A308" s="42">
        <v>307</v>
      </c>
      <c r="B308" s="43">
        <f>_xlfn.XLOOKUP(Table3[[#This Row],[instant]],DatSet1!A308:A917,DatSet1!B308:B917,_xlfn.XLOOKUP(Table3[[#This Row],[instant]],'Final Data'!A308:A697,'Final Data'!B308:B697, ,0,1),0,1)</f>
        <v>40557</v>
      </c>
      <c r="C308" s="42">
        <f>_xlfn.XLOOKUP(Table3[[#This Row],[instant]],Table1[instant],Table1[hr], ,0,1)</f>
        <v>6</v>
      </c>
      <c r="D308" s="44" t="b">
        <f>_xlfn.XLOOKUP(Table3[[#This Row],[instant]],Table1[instant],Table1[holiday], ,0,1)</f>
        <v>0</v>
      </c>
      <c r="E308" s="44">
        <f>_xlfn.XLOOKUP(Table3[[#This Row],[instant]],Table1[instant],Table1[weekday], ,0,1)</f>
        <v>5</v>
      </c>
      <c r="F308" s="44">
        <f>_xlfn.XLOOKUP(Table3[[#This Row],[instant]],Table1[instant],Table1[weathersit], ,0,1)</f>
        <v>1</v>
      </c>
      <c r="G308" s="44">
        <f>_xlfn.XLOOKUP(Table3[[#This Row],[instant]],Table1[instant],Table1[temp], ,0,1)</f>
        <v>0.1</v>
      </c>
      <c r="H308" s="45">
        <f>_xlfn.XLOOKUP(Table3[[#This Row],[instant]],Table2[instant],Table2[atemp], ,0,1)</f>
        <v>0.18179999999999999</v>
      </c>
      <c r="I308" s="42">
        <f>_xlfn.XLOOKUP(Table3[[#This Row],[instant]],Table2[instant],Table2[hum], ,0,1)</f>
        <v>0.54</v>
      </c>
      <c r="J308" s="42">
        <f>_xlfn.XLOOKUP(Table3[[#This Row],[instant]],Table2[instant],Table2[windspeed], ,0,1)</f>
        <v>0</v>
      </c>
      <c r="K308" s="42">
        <f>_xlfn.XLOOKUP(Table3[[#This Row],[instant]],Table2[instant],Table2[casual], ,0,1)</f>
        <v>0</v>
      </c>
      <c r="L308" s="42">
        <f>_xlfn.XLOOKUP(Table3[[#This Row],[instant]],Table2[instant],Table2[registered], ,0,1)</f>
        <v>17</v>
      </c>
      <c r="M308" s="46">
        <f>_xlfn.XLOOKUP(Table3[[#This Row],[instant]],Table2[instant],Table2[cnt], ,0,1)</f>
        <v>17</v>
      </c>
      <c r="N308" s="42" t="str">
        <f>IF(OR(Table3[[#This Row],[weekday]]=0,Table3[[#This Row],[weekday]]=6),"Weekend","Weekday")</f>
        <v>Weekday</v>
      </c>
    </row>
    <row r="309" spans="1:14" ht="15" thickBot="1" x14ac:dyDescent="0.35">
      <c r="A309" s="1">
        <v>308</v>
      </c>
      <c r="B309" s="3">
        <f>_xlfn.XLOOKUP(Table3[[#This Row],[instant]],DatSet1!A309:A918,DatSet1!B309:B918,_xlfn.XLOOKUP(Table3[[#This Row],[instant]],'Final Data'!A309:A698,'Final Data'!B309:B698, ,0,1),0,1)</f>
        <v>40557</v>
      </c>
      <c r="C309" s="1">
        <f>_xlfn.XLOOKUP(Table3[[#This Row],[instant]],Table1[instant],Table1[hr], ,0,1)</f>
        <v>7</v>
      </c>
      <c r="D309" s="2" t="b">
        <f>_xlfn.XLOOKUP(Table3[[#This Row],[instant]],Table1[instant],Table1[holiday], ,0,1)</f>
        <v>0</v>
      </c>
      <c r="E309" s="2">
        <f>_xlfn.XLOOKUP(Table3[[#This Row],[instant]],Table1[instant],Table1[weekday], ,0,1)</f>
        <v>5</v>
      </c>
      <c r="F309" s="2">
        <f>_xlfn.XLOOKUP(Table3[[#This Row],[instant]],Table1[instant],Table1[weathersit], ,0,1)</f>
        <v>1</v>
      </c>
      <c r="G309" s="2">
        <f>_xlfn.XLOOKUP(Table3[[#This Row],[instant]],Table1[instant],Table1[temp], ,0,1)</f>
        <v>0.1</v>
      </c>
      <c r="H309" s="24">
        <f>_xlfn.XLOOKUP(Table3[[#This Row],[instant]],Table2[instant],Table2[atemp], ,0,1)</f>
        <v>0.1212</v>
      </c>
      <c r="I309" s="1">
        <f>_xlfn.XLOOKUP(Table3[[#This Row],[instant]],Table2[instant],Table2[hum], ,0,1)</f>
        <v>0.74</v>
      </c>
      <c r="J309" s="1">
        <f>_xlfn.XLOOKUP(Table3[[#This Row],[instant]],Table2[instant],Table2[windspeed], ,0,1)</f>
        <v>0.16420000000000001</v>
      </c>
      <c r="K309" s="1">
        <f>_xlfn.XLOOKUP(Table3[[#This Row],[instant]],Table2[instant],Table2[casual], ,0,1)</f>
        <v>0</v>
      </c>
      <c r="L309" s="1">
        <f>_xlfn.XLOOKUP(Table3[[#This Row],[instant]],Table2[instant],Table2[registered], ,0,1)</f>
        <v>70</v>
      </c>
      <c r="M309" s="6">
        <f>_xlfn.XLOOKUP(Table3[[#This Row],[instant]],Table2[instant],Table2[cnt], ,0,1)</f>
        <v>70</v>
      </c>
      <c r="N309" s="1" t="str">
        <f>IF(OR(Table3[[#This Row],[weekday]]=0,Table3[[#This Row],[weekday]]=6),"Weekend","Weekday")</f>
        <v>Weekday</v>
      </c>
    </row>
    <row r="310" spans="1:14" ht="15" thickBot="1" x14ac:dyDescent="0.35">
      <c r="A310" s="42">
        <v>309</v>
      </c>
      <c r="B310" s="43">
        <f>_xlfn.XLOOKUP(Table3[[#This Row],[instant]],DatSet1!A310:A919,DatSet1!B310:B919,_xlfn.XLOOKUP(Table3[[#This Row],[instant]],'Final Data'!A310:A699,'Final Data'!B310:B699, ,0,1),0,1)</f>
        <v>40557</v>
      </c>
      <c r="C310" s="42">
        <f>_xlfn.XLOOKUP(Table3[[#This Row],[instant]],Table1[instant],Table1[hr], ,0,1)</f>
        <v>8</v>
      </c>
      <c r="D310" s="44" t="b">
        <f>_xlfn.XLOOKUP(Table3[[#This Row],[instant]],Table1[instant],Table1[holiday], ,0,1)</f>
        <v>0</v>
      </c>
      <c r="E310" s="44">
        <f>_xlfn.XLOOKUP(Table3[[#This Row],[instant]],Table1[instant],Table1[weekday], ,0,1)</f>
        <v>5</v>
      </c>
      <c r="F310" s="44">
        <f>_xlfn.XLOOKUP(Table3[[#This Row],[instant]],Table1[instant],Table1[weathersit], ,0,1)</f>
        <v>1</v>
      </c>
      <c r="G310" s="44">
        <f>_xlfn.XLOOKUP(Table3[[#This Row],[instant]],Table1[instant],Table1[temp], ,0,1)</f>
        <v>0.12</v>
      </c>
      <c r="H310" s="45">
        <f>_xlfn.XLOOKUP(Table3[[#This Row],[instant]],Table2[instant],Table2[atemp], ,0,1)</f>
        <v>0.16669999999999999</v>
      </c>
      <c r="I310" s="42">
        <f>_xlfn.XLOOKUP(Table3[[#This Row],[instant]],Table2[instant],Table2[hum], ,0,1)</f>
        <v>0.68</v>
      </c>
      <c r="J310" s="42">
        <f>_xlfn.XLOOKUP(Table3[[#This Row],[instant]],Table2[instant],Table2[windspeed], ,0,1)</f>
        <v>0</v>
      </c>
      <c r="K310" s="42">
        <f>_xlfn.XLOOKUP(Table3[[#This Row],[instant]],Table2[instant],Table2[casual], ,0,1)</f>
        <v>2</v>
      </c>
      <c r="L310" s="42">
        <f>_xlfn.XLOOKUP(Table3[[#This Row],[instant]],Table2[instant],Table2[registered], ,0,1)</f>
        <v>156</v>
      </c>
      <c r="M310" s="46">
        <f>_xlfn.XLOOKUP(Table3[[#This Row],[instant]],Table2[instant],Table2[cnt], ,0,1)</f>
        <v>158</v>
      </c>
      <c r="N310" s="42" t="str">
        <f>IF(OR(Table3[[#This Row],[weekday]]=0,Table3[[#This Row],[weekday]]=6),"Weekend","Weekday")</f>
        <v>Weekday</v>
      </c>
    </row>
    <row r="311" spans="1:14" ht="15" thickBot="1" x14ac:dyDescent="0.35">
      <c r="A311" s="1">
        <v>310</v>
      </c>
      <c r="B311" s="3">
        <f>_xlfn.XLOOKUP(Table3[[#This Row],[instant]],DatSet1!A311:A920,DatSet1!B311:B920,_xlfn.XLOOKUP(Table3[[#This Row],[instant]],'Final Data'!A311:A700,'Final Data'!B311:B700, ,0,1),0,1)</f>
        <v>40557</v>
      </c>
      <c r="C311" s="1">
        <f>_xlfn.XLOOKUP(Table3[[#This Row],[instant]],Table1[instant],Table1[hr], ,0,1)</f>
        <v>9</v>
      </c>
      <c r="D311" s="2" t="b">
        <f>_xlfn.XLOOKUP(Table3[[#This Row],[instant]],Table1[instant],Table1[holiday], ,0,1)</f>
        <v>0</v>
      </c>
      <c r="E311" s="2">
        <f>_xlfn.XLOOKUP(Table3[[#This Row],[instant]],Table1[instant],Table1[weekday], ,0,1)</f>
        <v>5</v>
      </c>
      <c r="F311" s="2">
        <f>_xlfn.XLOOKUP(Table3[[#This Row],[instant]],Table1[instant],Table1[weathersit], ,0,1)</f>
        <v>1</v>
      </c>
      <c r="G311" s="2">
        <f>_xlfn.XLOOKUP(Table3[[#This Row],[instant]],Table1[instant],Table1[temp], ,0,1)</f>
        <v>0.14000000000000001</v>
      </c>
      <c r="H311" s="24">
        <f>_xlfn.XLOOKUP(Table3[[#This Row],[instant]],Table2[instant],Table2[atemp], ,0,1)</f>
        <v>0.1515</v>
      </c>
      <c r="I311" s="1">
        <f>_xlfn.XLOOKUP(Table3[[#This Row],[instant]],Table2[instant],Table2[hum], ,0,1)</f>
        <v>0.69</v>
      </c>
      <c r="J311" s="1">
        <f>_xlfn.XLOOKUP(Table3[[#This Row],[instant]],Table2[instant],Table2[windspeed], ,0,1)</f>
        <v>0.1343</v>
      </c>
      <c r="K311" s="1">
        <f>_xlfn.XLOOKUP(Table3[[#This Row],[instant]],Table2[instant],Table2[casual], ,0,1)</f>
        <v>0</v>
      </c>
      <c r="L311" s="1">
        <f>_xlfn.XLOOKUP(Table3[[#This Row],[instant]],Table2[instant],Table2[registered], ,0,1)</f>
        <v>117</v>
      </c>
      <c r="M311" s="6">
        <f>_xlfn.XLOOKUP(Table3[[#This Row],[instant]],Table2[instant],Table2[cnt], ,0,1)</f>
        <v>117</v>
      </c>
      <c r="N311" s="1" t="str">
        <f>IF(OR(Table3[[#This Row],[weekday]]=0,Table3[[#This Row],[weekday]]=6),"Weekend","Weekday")</f>
        <v>Weekday</v>
      </c>
    </row>
    <row r="312" spans="1:14" ht="15" thickBot="1" x14ac:dyDescent="0.35">
      <c r="A312" s="42">
        <v>311</v>
      </c>
      <c r="B312" s="43">
        <f>_xlfn.XLOOKUP(Table3[[#This Row],[instant]],DatSet1!A312:A921,DatSet1!B312:B921,_xlfn.XLOOKUP(Table3[[#This Row],[instant]],'Final Data'!A312:A701,'Final Data'!B312:B701, ,0,1),0,1)</f>
        <v>40557</v>
      </c>
      <c r="C312" s="42">
        <f>_xlfn.XLOOKUP(Table3[[#This Row],[instant]],Table1[instant],Table1[hr], ,0,1)</f>
        <v>10</v>
      </c>
      <c r="D312" s="44" t="b">
        <f>_xlfn.XLOOKUP(Table3[[#This Row],[instant]],Table1[instant],Table1[holiday], ,0,1)</f>
        <v>0</v>
      </c>
      <c r="E312" s="44">
        <f>_xlfn.XLOOKUP(Table3[[#This Row],[instant]],Table1[instant],Table1[weekday], ,0,1)</f>
        <v>5</v>
      </c>
      <c r="F312" s="44">
        <f>_xlfn.XLOOKUP(Table3[[#This Row],[instant]],Table1[instant],Table1[weathersit], ,0,1)</f>
        <v>1</v>
      </c>
      <c r="G312" s="44">
        <f>_xlfn.XLOOKUP(Table3[[#This Row],[instant]],Table1[instant],Table1[temp], ,0,1)</f>
        <v>0.18</v>
      </c>
      <c r="H312" s="45">
        <f>_xlfn.XLOOKUP(Table3[[#This Row],[instant]],Table2[instant],Table2[atemp], ,0,1)</f>
        <v>0.18179999999999999</v>
      </c>
      <c r="I312" s="42">
        <f>_xlfn.XLOOKUP(Table3[[#This Row],[instant]],Table2[instant],Table2[hum], ,0,1)</f>
        <v>0.55000000000000004</v>
      </c>
      <c r="J312" s="42">
        <f>_xlfn.XLOOKUP(Table3[[#This Row],[instant]],Table2[instant],Table2[windspeed], ,0,1)</f>
        <v>0.19400000000000001</v>
      </c>
      <c r="K312" s="42">
        <f>_xlfn.XLOOKUP(Table3[[#This Row],[instant]],Table2[instant],Table2[casual], ,0,1)</f>
        <v>4</v>
      </c>
      <c r="L312" s="42">
        <f>_xlfn.XLOOKUP(Table3[[#This Row],[instant]],Table2[instant],Table2[registered], ,0,1)</f>
        <v>40</v>
      </c>
      <c r="M312" s="46">
        <f>_xlfn.XLOOKUP(Table3[[#This Row],[instant]],Table2[instant],Table2[cnt], ,0,1)</f>
        <v>44</v>
      </c>
      <c r="N312" s="42" t="str">
        <f>IF(OR(Table3[[#This Row],[weekday]]=0,Table3[[#This Row],[weekday]]=6),"Weekend","Weekday")</f>
        <v>Weekday</v>
      </c>
    </row>
    <row r="313" spans="1:14" ht="15" thickBot="1" x14ac:dyDescent="0.35">
      <c r="A313" s="1">
        <v>312</v>
      </c>
      <c r="B313" s="3">
        <f>_xlfn.XLOOKUP(Table3[[#This Row],[instant]],DatSet1!A313:A922,DatSet1!B313:B922,_xlfn.XLOOKUP(Table3[[#This Row],[instant]],'Final Data'!A313:A702,'Final Data'!B313:B702, ,0,1),0,1)</f>
        <v>40557</v>
      </c>
      <c r="C313" s="1">
        <f>_xlfn.XLOOKUP(Table3[[#This Row],[instant]],Table1[instant],Table1[hr], ,0,1)</f>
        <v>11</v>
      </c>
      <c r="D313" s="2" t="b">
        <f>_xlfn.XLOOKUP(Table3[[#This Row],[instant]],Table1[instant],Table1[holiday], ,0,1)</f>
        <v>0</v>
      </c>
      <c r="E313" s="2">
        <f>_xlfn.XLOOKUP(Table3[[#This Row],[instant]],Table1[instant],Table1[weekday], ,0,1)</f>
        <v>5</v>
      </c>
      <c r="F313" s="2">
        <f>_xlfn.XLOOKUP(Table3[[#This Row],[instant]],Table1[instant],Table1[weathersit], ,0,1)</f>
        <v>1</v>
      </c>
      <c r="G313" s="2">
        <f>_xlfn.XLOOKUP(Table3[[#This Row],[instant]],Table1[instant],Table1[temp], ,0,1)</f>
        <v>0.18</v>
      </c>
      <c r="H313" s="24">
        <f>_xlfn.XLOOKUP(Table3[[#This Row],[instant]],Table2[instant],Table2[atemp], ,0,1)</f>
        <v>0.16669999999999999</v>
      </c>
      <c r="I313" s="1">
        <f>_xlfn.XLOOKUP(Table3[[#This Row],[instant]],Table2[instant],Table2[hum], ,0,1)</f>
        <v>0.51</v>
      </c>
      <c r="J313" s="1">
        <f>_xlfn.XLOOKUP(Table3[[#This Row],[instant]],Table2[instant],Table2[windspeed], ,0,1)</f>
        <v>0.28360000000000002</v>
      </c>
      <c r="K313" s="1">
        <f>_xlfn.XLOOKUP(Table3[[#This Row],[instant]],Table2[instant],Table2[casual], ,0,1)</f>
        <v>6</v>
      </c>
      <c r="L313" s="1">
        <f>_xlfn.XLOOKUP(Table3[[#This Row],[instant]],Table2[instant],Table2[registered], ,0,1)</f>
        <v>47</v>
      </c>
      <c r="M313" s="6">
        <f>_xlfn.XLOOKUP(Table3[[#This Row],[instant]],Table2[instant],Table2[cnt], ,0,1)</f>
        <v>53</v>
      </c>
      <c r="N313" s="1" t="str">
        <f>IF(OR(Table3[[#This Row],[weekday]]=0,Table3[[#This Row],[weekday]]=6),"Weekend","Weekday")</f>
        <v>Weekday</v>
      </c>
    </row>
    <row r="314" spans="1:14" ht="15" thickBot="1" x14ac:dyDescent="0.35">
      <c r="A314" s="42">
        <v>313</v>
      </c>
      <c r="B314" s="43">
        <f>_xlfn.XLOOKUP(Table3[[#This Row],[instant]],DatSet1!A314:A923,DatSet1!B314:B923,_xlfn.XLOOKUP(Table3[[#This Row],[instant]],'Final Data'!A314:A703,'Final Data'!B314:B703, ,0,1),0,1)</f>
        <v>40557</v>
      </c>
      <c r="C314" s="42">
        <f>_xlfn.XLOOKUP(Table3[[#This Row],[instant]],Table1[instant],Table1[hr], ,0,1)</f>
        <v>12</v>
      </c>
      <c r="D314" s="44" t="b">
        <f>_xlfn.XLOOKUP(Table3[[#This Row],[instant]],Table1[instant],Table1[holiday], ,0,1)</f>
        <v>0</v>
      </c>
      <c r="E314" s="44">
        <f>_xlfn.XLOOKUP(Table3[[#This Row],[instant]],Table1[instant],Table1[weekday], ,0,1)</f>
        <v>5</v>
      </c>
      <c r="F314" s="44">
        <f>_xlfn.XLOOKUP(Table3[[#This Row],[instant]],Table1[instant],Table1[weathersit], ,0,1)</f>
        <v>1</v>
      </c>
      <c r="G314" s="44">
        <f>_xlfn.XLOOKUP(Table3[[#This Row],[instant]],Table1[instant],Table1[temp], ,0,1)</f>
        <v>0.2</v>
      </c>
      <c r="H314" s="45">
        <f>_xlfn.XLOOKUP(Table3[[#This Row],[instant]],Table2[instant],Table2[atemp], ,0,1)</f>
        <v>0.19700000000000001</v>
      </c>
      <c r="I314" s="42">
        <f>_xlfn.XLOOKUP(Table3[[#This Row],[instant]],Table2[instant],Table2[hum], ,0,1)</f>
        <v>0.44</v>
      </c>
      <c r="J314" s="42">
        <f>_xlfn.XLOOKUP(Table3[[#This Row],[instant]],Table2[instant],Table2[windspeed], ,0,1)</f>
        <v>0.25369999999999998</v>
      </c>
      <c r="K314" s="42">
        <f>_xlfn.XLOOKUP(Table3[[#This Row],[instant]],Table2[instant],Table2[casual], ,0,1)</f>
        <v>2</v>
      </c>
      <c r="L314" s="42">
        <f>_xlfn.XLOOKUP(Table3[[#This Row],[instant]],Table2[instant],Table2[registered], ,0,1)</f>
        <v>59</v>
      </c>
      <c r="M314" s="46">
        <f>_xlfn.XLOOKUP(Table3[[#This Row],[instant]],Table2[instant],Table2[cnt], ,0,1)</f>
        <v>61</v>
      </c>
      <c r="N314" s="42" t="str">
        <f>IF(OR(Table3[[#This Row],[weekday]]=0,Table3[[#This Row],[weekday]]=6),"Weekend","Weekday")</f>
        <v>Weekday</v>
      </c>
    </row>
    <row r="315" spans="1:14" ht="15" thickBot="1" x14ac:dyDescent="0.35">
      <c r="A315" s="1">
        <v>314</v>
      </c>
      <c r="B315" s="3">
        <f>_xlfn.XLOOKUP(Table3[[#This Row],[instant]],DatSet1!A315:A924,DatSet1!B315:B924,_xlfn.XLOOKUP(Table3[[#This Row],[instant]],'Final Data'!A315:A704,'Final Data'!B315:B704, ,0,1),0,1)</f>
        <v>40557</v>
      </c>
      <c r="C315" s="1">
        <f>_xlfn.XLOOKUP(Table3[[#This Row],[instant]],Table1[instant],Table1[hr], ,0,1)</f>
        <v>13</v>
      </c>
      <c r="D315" s="2" t="b">
        <f>_xlfn.XLOOKUP(Table3[[#This Row],[instant]],Table1[instant],Table1[holiday], ,0,1)</f>
        <v>0</v>
      </c>
      <c r="E315" s="2">
        <f>_xlfn.XLOOKUP(Table3[[#This Row],[instant]],Table1[instant],Table1[weekday], ,0,1)</f>
        <v>5</v>
      </c>
      <c r="F315" s="2">
        <f>_xlfn.XLOOKUP(Table3[[#This Row],[instant]],Table1[instant],Table1[weathersit], ,0,1)</f>
        <v>1</v>
      </c>
      <c r="G315" s="2">
        <f>_xlfn.XLOOKUP(Table3[[#This Row],[instant]],Table1[instant],Table1[temp], ,0,1)</f>
        <v>0.22</v>
      </c>
      <c r="H315" s="24">
        <f>_xlfn.XLOOKUP(Table3[[#This Row],[instant]],Table2[instant],Table2[atemp], ,0,1)</f>
        <v>0.19700000000000001</v>
      </c>
      <c r="I315" s="1">
        <f>_xlfn.XLOOKUP(Table3[[#This Row],[instant]],Table2[instant],Table2[hum], ,0,1)</f>
        <v>0.37</v>
      </c>
      <c r="J315" s="1">
        <f>_xlfn.XLOOKUP(Table3[[#This Row],[instant]],Table2[instant],Table2[windspeed], ,0,1)</f>
        <v>0.3881</v>
      </c>
      <c r="K315" s="1">
        <f>_xlfn.XLOOKUP(Table3[[#This Row],[instant]],Table2[instant],Table2[casual], ,0,1)</f>
        <v>4</v>
      </c>
      <c r="L315" s="1">
        <f>_xlfn.XLOOKUP(Table3[[#This Row],[instant]],Table2[instant],Table2[registered], ,0,1)</f>
        <v>73</v>
      </c>
      <c r="M315" s="6">
        <f>_xlfn.XLOOKUP(Table3[[#This Row],[instant]],Table2[instant],Table2[cnt], ,0,1)</f>
        <v>77</v>
      </c>
      <c r="N315" s="1" t="str">
        <f>IF(OR(Table3[[#This Row],[weekday]]=0,Table3[[#This Row],[weekday]]=6),"Weekend","Weekday")</f>
        <v>Weekday</v>
      </c>
    </row>
    <row r="316" spans="1:14" ht="15" thickBot="1" x14ac:dyDescent="0.35">
      <c r="A316" s="42">
        <v>315</v>
      </c>
      <c r="B316" s="43">
        <f>_xlfn.XLOOKUP(Table3[[#This Row],[instant]],DatSet1!A316:A925,DatSet1!B316:B925,_xlfn.XLOOKUP(Table3[[#This Row],[instant]],'Final Data'!A316:A705,'Final Data'!B316:B705, ,0,1),0,1)</f>
        <v>40557</v>
      </c>
      <c r="C316" s="42">
        <f>_xlfn.XLOOKUP(Table3[[#This Row],[instant]],Table1[instant],Table1[hr], ,0,1)</f>
        <v>14</v>
      </c>
      <c r="D316" s="44" t="b">
        <f>_xlfn.XLOOKUP(Table3[[#This Row],[instant]],Table1[instant],Table1[holiday], ,0,1)</f>
        <v>0</v>
      </c>
      <c r="E316" s="44">
        <f>_xlfn.XLOOKUP(Table3[[#This Row],[instant]],Table1[instant],Table1[weekday], ,0,1)</f>
        <v>5</v>
      </c>
      <c r="F316" s="44">
        <f>_xlfn.XLOOKUP(Table3[[#This Row],[instant]],Table1[instant],Table1[weathersit], ,0,1)</f>
        <v>1</v>
      </c>
      <c r="G316" s="44">
        <f>_xlfn.XLOOKUP(Table3[[#This Row],[instant]],Table1[instant],Table1[temp], ,0,1)</f>
        <v>0.22</v>
      </c>
      <c r="H316" s="45">
        <f>_xlfn.XLOOKUP(Table3[[#This Row],[instant]],Table2[instant],Table2[atemp], ,0,1)</f>
        <v>0.21210000000000001</v>
      </c>
      <c r="I316" s="42">
        <f>_xlfn.XLOOKUP(Table3[[#This Row],[instant]],Table2[instant],Table2[hum], ,0,1)</f>
        <v>0.41</v>
      </c>
      <c r="J316" s="42">
        <f>_xlfn.XLOOKUP(Table3[[#This Row],[instant]],Table2[instant],Table2[windspeed], ,0,1)</f>
        <v>0.28360000000000002</v>
      </c>
      <c r="K316" s="42">
        <f>_xlfn.XLOOKUP(Table3[[#This Row],[instant]],Table2[instant],Table2[casual], ,0,1)</f>
        <v>5</v>
      </c>
      <c r="L316" s="42">
        <f>_xlfn.XLOOKUP(Table3[[#This Row],[instant]],Table2[instant],Table2[registered], ,0,1)</f>
        <v>59</v>
      </c>
      <c r="M316" s="46">
        <f>_xlfn.XLOOKUP(Table3[[#This Row],[instant]],Table2[instant],Table2[cnt], ,0,1)</f>
        <v>64</v>
      </c>
      <c r="N316" s="42" t="str">
        <f>IF(OR(Table3[[#This Row],[weekday]]=0,Table3[[#This Row],[weekday]]=6),"Weekend","Weekday")</f>
        <v>Weekday</v>
      </c>
    </row>
    <row r="317" spans="1:14" ht="15" thickBot="1" x14ac:dyDescent="0.35">
      <c r="A317" s="1">
        <v>316</v>
      </c>
      <c r="B317" s="3">
        <f>_xlfn.XLOOKUP(Table3[[#This Row],[instant]],DatSet1!A317:A926,DatSet1!B317:B926,_xlfn.XLOOKUP(Table3[[#This Row],[instant]],'Final Data'!A317:A706,'Final Data'!B317:B706, ,0,1),0,1)</f>
        <v>40557</v>
      </c>
      <c r="C317" s="1">
        <f>_xlfn.XLOOKUP(Table3[[#This Row],[instant]],Table1[instant],Table1[hr], ,0,1)</f>
        <v>15</v>
      </c>
      <c r="D317" s="2" t="b">
        <f>_xlfn.XLOOKUP(Table3[[#This Row],[instant]],Table1[instant],Table1[holiday], ,0,1)</f>
        <v>0</v>
      </c>
      <c r="E317" s="2">
        <f>_xlfn.XLOOKUP(Table3[[#This Row],[instant]],Table1[instant],Table1[weekday], ,0,1)</f>
        <v>5</v>
      </c>
      <c r="F317" s="2">
        <f>_xlfn.XLOOKUP(Table3[[#This Row],[instant]],Table1[instant],Table1[weathersit], ,0,1)</f>
        <v>1</v>
      </c>
      <c r="G317" s="2">
        <f>_xlfn.XLOOKUP(Table3[[#This Row],[instant]],Table1[instant],Table1[temp], ,0,1)</f>
        <v>0.24</v>
      </c>
      <c r="H317" s="24">
        <f>_xlfn.XLOOKUP(Table3[[#This Row],[instant]],Table2[instant],Table2[atemp], ,0,1)</f>
        <v>0.2424</v>
      </c>
      <c r="I317" s="1">
        <f>_xlfn.XLOOKUP(Table3[[#This Row],[instant]],Table2[instant],Table2[hum], ,0,1)</f>
        <v>0.38</v>
      </c>
      <c r="J317" s="1">
        <f>_xlfn.XLOOKUP(Table3[[#This Row],[instant]],Table2[instant],Table2[windspeed], ,0,1)</f>
        <v>0.16420000000000001</v>
      </c>
      <c r="K317" s="1">
        <f>_xlfn.XLOOKUP(Table3[[#This Row],[instant]],Table2[instant],Table2[casual], ,0,1)</f>
        <v>9</v>
      </c>
      <c r="L317" s="1">
        <f>_xlfn.XLOOKUP(Table3[[#This Row],[instant]],Table2[instant],Table2[registered], ,0,1)</f>
        <v>59</v>
      </c>
      <c r="M317" s="6">
        <f>_xlfn.XLOOKUP(Table3[[#This Row],[instant]],Table2[instant],Table2[cnt], ,0,1)</f>
        <v>68</v>
      </c>
      <c r="N317" s="1" t="str">
        <f>IF(OR(Table3[[#This Row],[weekday]]=0,Table3[[#This Row],[weekday]]=6),"Weekend","Weekday")</f>
        <v>Weekday</v>
      </c>
    </row>
    <row r="318" spans="1:14" ht="15" thickBot="1" x14ac:dyDescent="0.35">
      <c r="A318" s="42">
        <v>317</v>
      </c>
      <c r="B318" s="43">
        <f>_xlfn.XLOOKUP(Table3[[#This Row],[instant]],DatSet1!A318:A927,DatSet1!B318:B927,_xlfn.XLOOKUP(Table3[[#This Row],[instant]],'Final Data'!A318:A707,'Final Data'!B318:B707, ,0,1),0,1)</f>
        <v>40557</v>
      </c>
      <c r="C318" s="42">
        <f>_xlfn.XLOOKUP(Table3[[#This Row],[instant]],Table1[instant],Table1[hr], ,0,1)</f>
        <v>16</v>
      </c>
      <c r="D318" s="44" t="b">
        <f>_xlfn.XLOOKUP(Table3[[#This Row],[instant]],Table1[instant],Table1[holiday], ,0,1)</f>
        <v>0</v>
      </c>
      <c r="E318" s="44">
        <f>_xlfn.XLOOKUP(Table3[[#This Row],[instant]],Table1[instant],Table1[weekday], ,0,1)</f>
        <v>5</v>
      </c>
      <c r="F318" s="44">
        <f>_xlfn.XLOOKUP(Table3[[#This Row],[instant]],Table1[instant],Table1[weathersit], ,0,1)</f>
        <v>1</v>
      </c>
      <c r="G318" s="44">
        <f>_xlfn.XLOOKUP(Table3[[#This Row],[instant]],Table1[instant],Table1[temp], ,0,1)</f>
        <v>0.22</v>
      </c>
      <c r="H318" s="45">
        <f>_xlfn.XLOOKUP(Table3[[#This Row],[instant]],Table2[instant],Table2[atemp], ,0,1)</f>
        <v>0.2424</v>
      </c>
      <c r="I318" s="42">
        <f>_xlfn.XLOOKUP(Table3[[#This Row],[instant]],Table2[instant],Table2[hum], ,0,1)</f>
        <v>0.41</v>
      </c>
      <c r="J318" s="42">
        <f>_xlfn.XLOOKUP(Table3[[#This Row],[instant]],Table2[instant],Table2[windspeed], ,0,1)</f>
        <v>0.1045</v>
      </c>
      <c r="K318" s="42">
        <f>_xlfn.XLOOKUP(Table3[[#This Row],[instant]],Table2[instant],Table2[casual], ,0,1)</f>
        <v>3</v>
      </c>
      <c r="L318" s="42">
        <f>_xlfn.XLOOKUP(Table3[[#This Row],[instant]],Table2[instant],Table2[registered], ,0,1)</f>
        <v>87</v>
      </c>
      <c r="M318" s="46">
        <f>_xlfn.XLOOKUP(Table3[[#This Row],[instant]],Table2[instant],Table2[cnt], ,0,1)</f>
        <v>90</v>
      </c>
      <c r="N318" s="42" t="str">
        <f>IF(OR(Table3[[#This Row],[weekday]]=0,Table3[[#This Row],[weekday]]=6),"Weekend","Weekday")</f>
        <v>Weekday</v>
      </c>
    </row>
    <row r="319" spans="1:14" ht="15" thickBot="1" x14ac:dyDescent="0.35">
      <c r="A319" s="1">
        <v>318</v>
      </c>
      <c r="B319" s="3">
        <f>_xlfn.XLOOKUP(Table3[[#This Row],[instant]],DatSet1!A319:A928,DatSet1!B319:B928,_xlfn.XLOOKUP(Table3[[#This Row],[instant]],'Final Data'!A319:A708,'Final Data'!B319:B708, ,0,1),0,1)</f>
        <v>40557</v>
      </c>
      <c r="C319" s="1">
        <f>_xlfn.XLOOKUP(Table3[[#This Row],[instant]],Table1[instant],Table1[hr], ,0,1)</f>
        <v>17</v>
      </c>
      <c r="D319" s="2" t="b">
        <f>_xlfn.XLOOKUP(Table3[[#This Row],[instant]],Table1[instant],Table1[holiday], ,0,1)</f>
        <v>0</v>
      </c>
      <c r="E319" s="2">
        <f>_xlfn.XLOOKUP(Table3[[#This Row],[instant]],Table1[instant],Table1[weekday], ,0,1)</f>
        <v>5</v>
      </c>
      <c r="F319" s="2">
        <f>_xlfn.XLOOKUP(Table3[[#This Row],[instant]],Table1[instant],Table1[weathersit], ,0,1)</f>
        <v>1</v>
      </c>
      <c r="G319" s="2">
        <f>_xlfn.XLOOKUP(Table3[[#This Row],[instant]],Table1[instant],Table1[temp], ,0,1)</f>
        <v>0.22</v>
      </c>
      <c r="H319" s="24">
        <f>_xlfn.XLOOKUP(Table3[[#This Row],[instant]],Table2[instant],Table2[atemp], ,0,1)</f>
        <v>0.2273</v>
      </c>
      <c r="I319" s="1">
        <f>_xlfn.XLOOKUP(Table3[[#This Row],[instant]],Table2[instant],Table2[hum], ,0,1)</f>
        <v>0.41</v>
      </c>
      <c r="J319" s="1">
        <f>_xlfn.XLOOKUP(Table3[[#This Row],[instant]],Table2[instant],Table2[windspeed], ,0,1)</f>
        <v>0.16420000000000001</v>
      </c>
      <c r="K319" s="1">
        <f>_xlfn.XLOOKUP(Table3[[#This Row],[instant]],Table2[instant],Table2[casual], ,0,1)</f>
        <v>4</v>
      </c>
      <c r="L319" s="1">
        <f>_xlfn.XLOOKUP(Table3[[#This Row],[instant]],Table2[instant],Table2[registered], ,0,1)</f>
        <v>155</v>
      </c>
      <c r="M319" s="6">
        <f>_xlfn.XLOOKUP(Table3[[#This Row],[instant]],Table2[instant],Table2[cnt], ,0,1)</f>
        <v>159</v>
      </c>
      <c r="N319" s="1" t="str">
        <f>IF(OR(Table3[[#This Row],[weekday]]=0,Table3[[#This Row],[weekday]]=6),"Weekend","Weekday")</f>
        <v>Weekday</v>
      </c>
    </row>
    <row r="320" spans="1:14" ht="15" thickBot="1" x14ac:dyDescent="0.35">
      <c r="A320" s="42">
        <v>319</v>
      </c>
      <c r="B320" s="43">
        <f>_xlfn.XLOOKUP(Table3[[#This Row],[instant]],DatSet1!A320:A929,DatSet1!B320:B929,_xlfn.XLOOKUP(Table3[[#This Row],[instant]],'Final Data'!A320:A709,'Final Data'!B320:B709, ,0,1),0,1)</f>
        <v>40557</v>
      </c>
      <c r="C320" s="42">
        <f>_xlfn.XLOOKUP(Table3[[#This Row],[instant]],Table1[instant],Table1[hr], ,0,1)</f>
        <v>18</v>
      </c>
      <c r="D320" s="44" t="b">
        <f>_xlfn.XLOOKUP(Table3[[#This Row],[instant]],Table1[instant],Table1[holiday], ,0,1)</f>
        <v>0</v>
      </c>
      <c r="E320" s="44">
        <f>_xlfn.XLOOKUP(Table3[[#This Row],[instant]],Table1[instant],Table1[weekday], ,0,1)</f>
        <v>5</v>
      </c>
      <c r="F320" s="44">
        <f>_xlfn.XLOOKUP(Table3[[#This Row],[instant]],Table1[instant],Table1[weathersit], ,0,1)</f>
        <v>1</v>
      </c>
      <c r="G320" s="44">
        <f>_xlfn.XLOOKUP(Table3[[#This Row],[instant]],Table1[instant],Table1[temp], ,0,1)</f>
        <v>0.2</v>
      </c>
      <c r="H320" s="45">
        <f>_xlfn.XLOOKUP(Table3[[#This Row],[instant]],Table2[instant],Table2[atemp], ,0,1)</f>
        <v>0.2576</v>
      </c>
      <c r="I320" s="42">
        <f>_xlfn.XLOOKUP(Table3[[#This Row],[instant]],Table2[instant],Table2[hum], ,0,1)</f>
        <v>0.47</v>
      </c>
      <c r="J320" s="42">
        <f>_xlfn.XLOOKUP(Table3[[#This Row],[instant]],Table2[instant],Table2[windspeed], ,0,1)</f>
        <v>0</v>
      </c>
      <c r="K320" s="42">
        <f>_xlfn.XLOOKUP(Table3[[#This Row],[instant]],Table2[instant],Table2[casual], ,0,1)</f>
        <v>5</v>
      </c>
      <c r="L320" s="42">
        <f>_xlfn.XLOOKUP(Table3[[#This Row],[instant]],Table2[instant],Table2[registered], ,0,1)</f>
        <v>134</v>
      </c>
      <c r="M320" s="46">
        <f>_xlfn.XLOOKUP(Table3[[#This Row],[instant]],Table2[instant],Table2[cnt], ,0,1)</f>
        <v>139</v>
      </c>
      <c r="N320" s="42" t="str">
        <f>IF(OR(Table3[[#This Row],[weekday]]=0,Table3[[#This Row],[weekday]]=6),"Weekend","Weekday")</f>
        <v>Weekday</v>
      </c>
    </row>
    <row r="321" spans="1:14" ht="15" thickBot="1" x14ac:dyDescent="0.35">
      <c r="A321" s="1">
        <v>320</v>
      </c>
      <c r="B321" s="3">
        <f>_xlfn.XLOOKUP(Table3[[#This Row],[instant]],DatSet1!A321:A930,DatSet1!B321:B930,_xlfn.XLOOKUP(Table3[[#This Row],[instant]],'Final Data'!A321:A710,'Final Data'!B321:B710, ,0,1),0,1)</f>
        <v>40557</v>
      </c>
      <c r="C321" s="1">
        <f>_xlfn.XLOOKUP(Table3[[#This Row],[instant]],Table1[instant],Table1[hr], ,0,1)</f>
        <v>19</v>
      </c>
      <c r="D321" s="2" t="b">
        <f>_xlfn.XLOOKUP(Table3[[#This Row],[instant]],Table1[instant],Table1[holiday], ,0,1)</f>
        <v>0</v>
      </c>
      <c r="E321" s="2">
        <f>_xlfn.XLOOKUP(Table3[[#This Row],[instant]],Table1[instant],Table1[weekday], ,0,1)</f>
        <v>5</v>
      </c>
      <c r="F321" s="2">
        <f>_xlfn.XLOOKUP(Table3[[#This Row],[instant]],Table1[instant],Table1[weathersit], ,0,1)</f>
        <v>1</v>
      </c>
      <c r="G321" s="2">
        <f>_xlfn.XLOOKUP(Table3[[#This Row],[instant]],Table1[instant],Table1[temp], ,0,1)</f>
        <v>0.16</v>
      </c>
      <c r="H321" s="24">
        <f>_xlfn.XLOOKUP(Table3[[#This Row],[instant]],Table2[instant],Table2[atemp], ,0,1)</f>
        <v>0.19700000000000001</v>
      </c>
      <c r="I321" s="1">
        <f>_xlfn.XLOOKUP(Table3[[#This Row],[instant]],Table2[instant],Table2[hum], ,0,1)</f>
        <v>0.59</v>
      </c>
      <c r="J321" s="1">
        <f>_xlfn.XLOOKUP(Table3[[#This Row],[instant]],Table2[instant],Table2[windspeed], ,0,1)</f>
        <v>8.9599999999999999E-2</v>
      </c>
      <c r="K321" s="1">
        <f>_xlfn.XLOOKUP(Table3[[#This Row],[instant]],Table2[instant],Table2[casual], ,0,1)</f>
        <v>3</v>
      </c>
      <c r="L321" s="1">
        <f>_xlfn.XLOOKUP(Table3[[#This Row],[instant]],Table2[instant],Table2[registered], ,0,1)</f>
        <v>89</v>
      </c>
      <c r="M321" s="6">
        <f>_xlfn.XLOOKUP(Table3[[#This Row],[instant]],Table2[instant],Table2[cnt], ,0,1)</f>
        <v>92</v>
      </c>
      <c r="N321" s="1" t="str">
        <f>IF(OR(Table3[[#This Row],[weekday]]=0,Table3[[#This Row],[weekday]]=6),"Weekend","Weekday")</f>
        <v>Weekday</v>
      </c>
    </row>
    <row r="322" spans="1:14" ht="15" thickBot="1" x14ac:dyDescent="0.35">
      <c r="A322" s="42">
        <v>321</v>
      </c>
      <c r="B322" s="43">
        <f>_xlfn.XLOOKUP(Table3[[#This Row],[instant]],DatSet1!A322:A931,DatSet1!B322:B931,_xlfn.XLOOKUP(Table3[[#This Row],[instant]],'Final Data'!A322:A711,'Final Data'!B322:B711, ,0,1),0,1)</f>
        <v>40557</v>
      </c>
      <c r="C322" s="42">
        <f>_xlfn.XLOOKUP(Table3[[#This Row],[instant]],Table1[instant],Table1[hr], ,0,1)</f>
        <v>20</v>
      </c>
      <c r="D322" s="44" t="b">
        <f>_xlfn.XLOOKUP(Table3[[#This Row],[instant]],Table1[instant],Table1[holiday], ,0,1)</f>
        <v>0</v>
      </c>
      <c r="E322" s="44">
        <f>_xlfn.XLOOKUP(Table3[[#This Row],[instant]],Table1[instant],Table1[weekday], ,0,1)</f>
        <v>5</v>
      </c>
      <c r="F322" s="44">
        <f>_xlfn.XLOOKUP(Table3[[#This Row],[instant]],Table1[instant],Table1[weathersit], ,0,1)</f>
        <v>1</v>
      </c>
      <c r="G322" s="44">
        <f>_xlfn.XLOOKUP(Table3[[#This Row],[instant]],Table1[instant],Table1[temp], ,0,1)</f>
        <v>0.18</v>
      </c>
      <c r="H322" s="45">
        <f>_xlfn.XLOOKUP(Table3[[#This Row],[instant]],Table2[instant],Table2[atemp], ,0,1)</f>
        <v>0.2424</v>
      </c>
      <c r="I322" s="42">
        <f>_xlfn.XLOOKUP(Table3[[#This Row],[instant]],Table2[instant],Table2[hum], ,0,1)</f>
        <v>0.59</v>
      </c>
      <c r="J322" s="42">
        <f>_xlfn.XLOOKUP(Table3[[#This Row],[instant]],Table2[instant],Table2[windspeed], ,0,1)</f>
        <v>0</v>
      </c>
      <c r="K322" s="42">
        <f>_xlfn.XLOOKUP(Table3[[#This Row],[instant]],Table2[instant],Table2[casual], ,0,1)</f>
        <v>0</v>
      </c>
      <c r="L322" s="42">
        <f>_xlfn.XLOOKUP(Table3[[#This Row],[instant]],Table2[instant],Table2[registered], ,0,1)</f>
        <v>68</v>
      </c>
      <c r="M322" s="46">
        <f>_xlfn.XLOOKUP(Table3[[#This Row],[instant]],Table2[instant],Table2[cnt], ,0,1)</f>
        <v>68</v>
      </c>
      <c r="N322" s="42" t="str">
        <f>IF(OR(Table3[[#This Row],[weekday]]=0,Table3[[#This Row],[weekday]]=6),"Weekend","Weekday")</f>
        <v>Weekday</v>
      </c>
    </row>
    <row r="323" spans="1:14" ht="15" thickBot="1" x14ac:dyDescent="0.35">
      <c r="A323" s="1">
        <v>322</v>
      </c>
      <c r="B323" s="3">
        <f>_xlfn.XLOOKUP(Table3[[#This Row],[instant]],DatSet1!A323:A932,DatSet1!B323:B932,_xlfn.XLOOKUP(Table3[[#This Row],[instant]],'Final Data'!A323:A712,'Final Data'!B323:B712, ,0,1),0,1)</f>
        <v>40557</v>
      </c>
      <c r="C323" s="1">
        <f>_xlfn.XLOOKUP(Table3[[#This Row],[instant]],Table1[instant],Table1[hr], ,0,1)</f>
        <v>21</v>
      </c>
      <c r="D323" s="2" t="b">
        <f>_xlfn.XLOOKUP(Table3[[#This Row],[instant]],Table1[instant],Table1[holiday], ,0,1)</f>
        <v>0</v>
      </c>
      <c r="E323" s="2">
        <f>_xlfn.XLOOKUP(Table3[[#This Row],[instant]],Table1[instant],Table1[weekday], ,0,1)</f>
        <v>5</v>
      </c>
      <c r="F323" s="2">
        <f>_xlfn.XLOOKUP(Table3[[#This Row],[instant]],Table1[instant],Table1[weathersit], ,0,1)</f>
        <v>1</v>
      </c>
      <c r="G323" s="2">
        <f>_xlfn.XLOOKUP(Table3[[#This Row],[instant]],Table1[instant],Table1[temp], ,0,1)</f>
        <v>0.16</v>
      </c>
      <c r="H323" s="24">
        <f>_xlfn.XLOOKUP(Table3[[#This Row],[instant]],Table2[instant],Table2[atemp], ,0,1)</f>
        <v>0.2273</v>
      </c>
      <c r="I323" s="1">
        <f>_xlfn.XLOOKUP(Table3[[#This Row],[instant]],Table2[instant],Table2[hum], ,0,1)</f>
        <v>0.69</v>
      </c>
      <c r="J323" s="1">
        <f>_xlfn.XLOOKUP(Table3[[#This Row],[instant]],Table2[instant],Table2[windspeed], ,0,1)</f>
        <v>0</v>
      </c>
      <c r="K323" s="1">
        <f>_xlfn.XLOOKUP(Table3[[#This Row],[instant]],Table2[instant],Table2[casual], ,0,1)</f>
        <v>4</v>
      </c>
      <c r="L323" s="1">
        <f>_xlfn.XLOOKUP(Table3[[#This Row],[instant]],Table2[instant],Table2[registered], ,0,1)</f>
        <v>48</v>
      </c>
      <c r="M323" s="6">
        <f>_xlfn.XLOOKUP(Table3[[#This Row],[instant]],Table2[instant],Table2[cnt], ,0,1)</f>
        <v>52</v>
      </c>
      <c r="N323" s="1" t="str">
        <f>IF(OR(Table3[[#This Row],[weekday]]=0,Table3[[#This Row],[weekday]]=6),"Weekend","Weekday")</f>
        <v>Weekday</v>
      </c>
    </row>
    <row r="324" spans="1:14" ht="15" thickBot="1" x14ac:dyDescent="0.35">
      <c r="A324" s="42">
        <v>323</v>
      </c>
      <c r="B324" s="43">
        <f>_xlfn.XLOOKUP(Table3[[#This Row],[instant]],DatSet1!A324:A933,DatSet1!B324:B933,_xlfn.XLOOKUP(Table3[[#This Row],[instant]],'Final Data'!A324:A713,'Final Data'!B324:B713, ,0,1),0,1)</f>
        <v>40557</v>
      </c>
      <c r="C324" s="42">
        <f>_xlfn.XLOOKUP(Table3[[#This Row],[instant]],Table1[instant],Table1[hr], ,0,1)</f>
        <v>22</v>
      </c>
      <c r="D324" s="44" t="b">
        <f>_xlfn.XLOOKUP(Table3[[#This Row],[instant]],Table1[instant],Table1[holiday], ,0,1)</f>
        <v>0</v>
      </c>
      <c r="E324" s="44">
        <f>_xlfn.XLOOKUP(Table3[[#This Row],[instant]],Table1[instant],Table1[weekday], ,0,1)</f>
        <v>5</v>
      </c>
      <c r="F324" s="44">
        <f>_xlfn.XLOOKUP(Table3[[#This Row],[instant]],Table1[instant],Table1[weathersit], ,0,1)</f>
        <v>2</v>
      </c>
      <c r="G324" s="44">
        <f>_xlfn.XLOOKUP(Table3[[#This Row],[instant]],Table1[instant],Table1[temp], ,0,1)</f>
        <v>0.16</v>
      </c>
      <c r="H324" s="45">
        <f>_xlfn.XLOOKUP(Table3[[#This Row],[instant]],Table2[instant],Table2[atemp], ,0,1)</f>
        <v>0.2273</v>
      </c>
      <c r="I324" s="42">
        <f>_xlfn.XLOOKUP(Table3[[#This Row],[instant]],Table2[instant],Table2[hum], ,0,1)</f>
        <v>0.69</v>
      </c>
      <c r="J324" s="42">
        <f>_xlfn.XLOOKUP(Table3[[#This Row],[instant]],Table2[instant],Table2[windspeed], ,0,1)</f>
        <v>0</v>
      </c>
      <c r="K324" s="42">
        <f>_xlfn.XLOOKUP(Table3[[#This Row],[instant]],Table2[instant],Table2[casual], ,0,1)</f>
        <v>2</v>
      </c>
      <c r="L324" s="42">
        <f>_xlfn.XLOOKUP(Table3[[#This Row],[instant]],Table2[instant],Table2[registered], ,0,1)</f>
        <v>34</v>
      </c>
      <c r="M324" s="46">
        <f>_xlfn.XLOOKUP(Table3[[#This Row],[instant]],Table2[instant],Table2[cnt], ,0,1)</f>
        <v>36</v>
      </c>
      <c r="N324" s="42" t="str">
        <f>IF(OR(Table3[[#This Row],[weekday]]=0,Table3[[#This Row],[weekday]]=6),"Weekend","Weekday")</f>
        <v>Weekday</v>
      </c>
    </row>
    <row r="325" spans="1:14" ht="15" thickBot="1" x14ac:dyDescent="0.35">
      <c r="A325" s="1">
        <v>324</v>
      </c>
      <c r="B325" s="3">
        <f>_xlfn.XLOOKUP(Table3[[#This Row],[instant]],DatSet1!A325:A934,DatSet1!B325:B934,_xlfn.XLOOKUP(Table3[[#This Row],[instant]],'Final Data'!A325:A714,'Final Data'!B325:B714, ,0,1),0,1)</f>
        <v>40557</v>
      </c>
      <c r="C325" s="1">
        <f>_xlfn.XLOOKUP(Table3[[#This Row],[instant]],Table1[instant],Table1[hr], ,0,1)</f>
        <v>23</v>
      </c>
      <c r="D325" s="2" t="b">
        <f>_xlfn.XLOOKUP(Table3[[#This Row],[instant]],Table1[instant],Table1[holiday], ,0,1)</f>
        <v>0</v>
      </c>
      <c r="E325" s="2">
        <f>_xlfn.XLOOKUP(Table3[[#This Row],[instant]],Table1[instant],Table1[weekday], ,0,1)</f>
        <v>5</v>
      </c>
      <c r="F325" s="2">
        <f>_xlfn.XLOOKUP(Table3[[#This Row],[instant]],Table1[instant],Table1[weathersit], ,0,1)</f>
        <v>2</v>
      </c>
      <c r="G325" s="2">
        <f>_xlfn.XLOOKUP(Table3[[#This Row],[instant]],Table1[instant],Table1[temp], ,0,1)</f>
        <v>0.18</v>
      </c>
      <c r="H325" s="24">
        <f>_xlfn.XLOOKUP(Table3[[#This Row],[instant]],Table2[instant],Table2[atemp], ,0,1)</f>
        <v>0.2424</v>
      </c>
      <c r="I325" s="1">
        <f>_xlfn.XLOOKUP(Table3[[#This Row],[instant]],Table2[instant],Table2[hum], ,0,1)</f>
        <v>0.55000000000000004</v>
      </c>
      <c r="J325" s="1">
        <f>_xlfn.XLOOKUP(Table3[[#This Row],[instant]],Table2[instant],Table2[windspeed], ,0,1)</f>
        <v>0</v>
      </c>
      <c r="K325" s="1">
        <f>_xlfn.XLOOKUP(Table3[[#This Row],[instant]],Table2[instant],Table2[casual], ,0,1)</f>
        <v>1</v>
      </c>
      <c r="L325" s="1">
        <f>_xlfn.XLOOKUP(Table3[[#This Row],[instant]],Table2[instant],Table2[registered], ,0,1)</f>
        <v>26</v>
      </c>
      <c r="M325" s="6">
        <f>_xlfn.XLOOKUP(Table3[[#This Row],[instant]],Table2[instant],Table2[cnt], ,0,1)</f>
        <v>27</v>
      </c>
      <c r="N325" s="1" t="str">
        <f>IF(OR(Table3[[#This Row],[weekday]]=0,Table3[[#This Row],[weekday]]=6),"Weekend","Weekday")</f>
        <v>Weekday</v>
      </c>
    </row>
    <row r="326" spans="1:14" ht="15" thickBot="1" x14ac:dyDescent="0.35">
      <c r="A326" s="42">
        <v>325</v>
      </c>
      <c r="B326" s="43">
        <f>_xlfn.XLOOKUP(Table3[[#This Row],[instant]],DatSet1!A326:A935,DatSet1!B326:B935,_xlfn.XLOOKUP(Table3[[#This Row],[instant]],'Final Data'!A326:A715,'Final Data'!B326:B715, ,0,1),0,1)</f>
        <v>40558</v>
      </c>
      <c r="C326" s="42">
        <f>_xlfn.XLOOKUP(Table3[[#This Row],[instant]],Table1[instant],Table1[hr], ,0,1)</f>
        <v>0</v>
      </c>
      <c r="D326" s="44" t="b">
        <f>_xlfn.XLOOKUP(Table3[[#This Row],[instant]],Table1[instant],Table1[holiday], ,0,1)</f>
        <v>0</v>
      </c>
      <c r="E326" s="44">
        <f>_xlfn.XLOOKUP(Table3[[#This Row],[instant]],Table1[instant],Table1[weekday], ,0,1)</f>
        <v>6</v>
      </c>
      <c r="F326" s="44">
        <f>_xlfn.XLOOKUP(Table3[[#This Row],[instant]],Table1[instant],Table1[weathersit], ,0,1)</f>
        <v>1</v>
      </c>
      <c r="G326" s="44">
        <f>_xlfn.XLOOKUP(Table3[[#This Row],[instant]],Table1[instant],Table1[temp], ,0,1)</f>
        <v>0.18</v>
      </c>
      <c r="H326" s="45">
        <f>_xlfn.XLOOKUP(Table3[[#This Row],[instant]],Table2[instant],Table2[atemp], ,0,1)</f>
        <v>0.2424</v>
      </c>
      <c r="I326" s="42">
        <f>_xlfn.XLOOKUP(Table3[[#This Row],[instant]],Table2[instant],Table2[hum], ,0,1)</f>
        <v>0.55000000000000004</v>
      </c>
      <c r="J326" s="42">
        <f>_xlfn.XLOOKUP(Table3[[#This Row],[instant]],Table2[instant],Table2[windspeed], ,0,1)</f>
        <v>0</v>
      </c>
      <c r="K326" s="42">
        <f>_xlfn.XLOOKUP(Table3[[#This Row],[instant]],Table2[instant],Table2[casual], ,0,1)</f>
        <v>3</v>
      </c>
      <c r="L326" s="42">
        <f>_xlfn.XLOOKUP(Table3[[#This Row],[instant]],Table2[instant],Table2[registered], ,0,1)</f>
        <v>25</v>
      </c>
      <c r="M326" s="46">
        <f>_xlfn.XLOOKUP(Table3[[#This Row],[instant]],Table2[instant],Table2[cnt], ,0,1)</f>
        <v>28</v>
      </c>
      <c r="N326" s="42" t="str">
        <f>IF(OR(Table3[[#This Row],[weekday]]=0,Table3[[#This Row],[weekday]]=6),"Weekend","Weekday")</f>
        <v>Weekend</v>
      </c>
    </row>
    <row r="327" spans="1:14" ht="15" thickBot="1" x14ac:dyDescent="0.35">
      <c r="A327" s="1">
        <v>326</v>
      </c>
      <c r="B327" s="3">
        <f>_xlfn.XLOOKUP(Table3[[#This Row],[instant]],DatSet1!A327:A936,DatSet1!B327:B936,_xlfn.XLOOKUP(Table3[[#This Row],[instant]],'Final Data'!A327:A716,'Final Data'!B327:B716, ,0,1),0,1)</f>
        <v>40558</v>
      </c>
      <c r="C327" s="1">
        <f>_xlfn.XLOOKUP(Table3[[#This Row],[instant]],Table1[instant],Table1[hr], ,0,1)</f>
        <v>1</v>
      </c>
      <c r="D327" s="2" t="b">
        <f>_xlfn.XLOOKUP(Table3[[#This Row],[instant]],Table1[instant],Table1[holiday], ,0,1)</f>
        <v>0</v>
      </c>
      <c r="E327" s="2">
        <f>_xlfn.XLOOKUP(Table3[[#This Row],[instant]],Table1[instant],Table1[weekday], ,0,1)</f>
        <v>6</v>
      </c>
      <c r="F327" s="2">
        <f>_xlfn.XLOOKUP(Table3[[#This Row],[instant]],Table1[instant],Table1[weathersit], ,0,1)</f>
        <v>2</v>
      </c>
      <c r="G327" s="2">
        <f>_xlfn.XLOOKUP(Table3[[#This Row],[instant]],Table1[instant],Table1[temp], ,0,1)</f>
        <v>0.16</v>
      </c>
      <c r="H327" s="24">
        <f>_xlfn.XLOOKUP(Table3[[#This Row],[instant]],Table2[instant],Table2[atemp], ,0,1)</f>
        <v>0.19700000000000001</v>
      </c>
      <c r="I327" s="1">
        <f>_xlfn.XLOOKUP(Table3[[#This Row],[instant]],Table2[instant],Table2[hum], ,0,1)</f>
        <v>0.59</v>
      </c>
      <c r="J327" s="1">
        <f>_xlfn.XLOOKUP(Table3[[#This Row],[instant]],Table2[instant],Table2[windspeed], ,0,1)</f>
        <v>8.9599999999999999E-2</v>
      </c>
      <c r="K327" s="1">
        <f>_xlfn.XLOOKUP(Table3[[#This Row],[instant]],Table2[instant],Table2[casual], ,0,1)</f>
        <v>2</v>
      </c>
      <c r="L327" s="1">
        <f>_xlfn.XLOOKUP(Table3[[#This Row],[instant]],Table2[instant],Table2[registered], ,0,1)</f>
        <v>18</v>
      </c>
      <c r="M327" s="6">
        <f>_xlfn.XLOOKUP(Table3[[#This Row],[instant]],Table2[instant],Table2[cnt], ,0,1)</f>
        <v>20</v>
      </c>
      <c r="N327" s="1" t="str">
        <f>IF(OR(Table3[[#This Row],[weekday]]=0,Table3[[#This Row],[weekday]]=6),"Weekend","Weekday")</f>
        <v>Weekend</v>
      </c>
    </row>
    <row r="328" spans="1:14" ht="15" thickBot="1" x14ac:dyDescent="0.35">
      <c r="A328" s="42">
        <v>327</v>
      </c>
      <c r="B328" s="43">
        <f>_xlfn.XLOOKUP(Table3[[#This Row],[instant]],DatSet1!A328:A937,DatSet1!B328:B937,_xlfn.XLOOKUP(Table3[[#This Row],[instant]],'Final Data'!A328:A717,'Final Data'!B328:B717, ,0,1),0,1)</f>
        <v>40558</v>
      </c>
      <c r="C328" s="42">
        <f>_xlfn.XLOOKUP(Table3[[#This Row],[instant]],Table1[instant],Table1[hr], ,0,1)</f>
        <v>2</v>
      </c>
      <c r="D328" s="44" t="b">
        <f>_xlfn.XLOOKUP(Table3[[#This Row],[instant]],Table1[instant],Table1[holiday], ,0,1)</f>
        <v>0</v>
      </c>
      <c r="E328" s="44">
        <f>_xlfn.XLOOKUP(Table3[[#This Row],[instant]],Table1[instant],Table1[weekday], ,0,1)</f>
        <v>6</v>
      </c>
      <c r="F328" s="44">
        <f>_xlfn.XLOOKUP(Table3[[#This Row],[instant]],Table1[instant],Table1[weathersit], ,0,1)</f>
        <v>2</v>
      </c>
      <c r="G328" s="44">
        <f>_xlfn.XLOOKUP(Table3[[#This Row],[instant]],Table1[instant],Table1[temp], ,0,1)</f>
        <v>0.16</v>
      </c>
      <c r="H328" s="45">
        <f>_xlfn.XLOOKUP(Table3[[#This Row],[instant]],Table2[instant],Table2[atemp], ,0,1)</f>
        <v>0.19700000000000001</v>
      </c>
      <c r="I328" s="42">
        <f>_xlfn.XLOOKUP(Table3[[#This Row],[instant]],Table2[instant],Table2[hum], ,0,1)</f>
        <v>0.59</v>
      </c>
      <c r="J328" s="42">
        <f>_xlfn.XLOOKUP(Table3[[#This Row],[instant]],Table2[instant],Table2[windspeed], ,0,1)</f>
        <v>8.9599999999999999E-2</v>
      </c>
      <c r="K328" s="42">
        <f>_xlfn.XLOOKUP(Table3[[#This Row],[instant]],Table2[instant],Table2[casual], ,0,1)</f>
        <v>0</v>
      </c>
      <c r="L328" s="42">
        <f>_xlfn.XLOOKUP(Table3[[#This Row],[instant]],Table2[instant],Table2[registered], ,0,1)</f>
        <v>12</v>
      </c>
      <c r="M328" s="46">
        <f>_xlfn.XLOOKUP(Table3[[#This Row],[instant]],Table2[instant],Table2[cnt], ,0,1)</f>
        <v>12</v>
      </c>
      <c r="N328" s="42" t="str">
        <f>IF(OR(Table3[[#This Row],[weekday]]=0,Table3[[#This Row],[weekday]]=6),"Weekend","Weekday")</f>
        <v>Weekend</v>
      </c>
    </row>
    <row r="329" spans="1:14" ht="15" thickBot="1" x14ac:dyDescent="0.35">
      <c r="A329" s="1">
        <v>328</v>
      </c>
      <c r="B329" s="3">
        <f>_xlfn.XLOOKUP(Table3[[#This Row],[instant]],DatSet1!A329:A938,DatSet1!B329:B938,_xlfn.XLOOKUP(Table3[[#This Row],[instant]],'Final Data'!A329:A718,'Final Data'!B329:B718, ,0,1),0,1)</f>
        <v>40558</v>
      </c>
      <c r="C329" s="1">
        <f>_xlfn.XLOOKUP(Table3[[#This Row],[instant]],Table1[instant],Table1[hr], ,0,1)</f>
        <v>3</v>
      </c>
      <c r="D329" s="2" t="b">
        <f>_xlfn.XLOOKUP(Table3[[#This Row],[instant]],Table1[instant],Table1[holiday], ,0,1)</f>
        <v>0</v>
      </c>
      <c r="E329" s="2">
        <f>_xlfn.XLOOKUP(Table3[[#This Row],[instant]],Table1[instant],Table1[weekday], ,0,1)</f>
        <v>6</v>
      </c>
      <c r="F329" s="2">
        <f>_xlfn.XLOOKUP(Table3[[#This Row],[instant]],Table1[instant],Table1[weathersit], ,0,1)</f>
        <v>2</v>
      </c>
      <c r="G329" s="2">
        <f>_xlfn.XLOOKUP(Table3[[#This Row],[instant]],Table1[instant],Table1[temp], ,0,1)</f>
        <v>0.16</v>
      </c>
      <c r="H329" s="24">
        <f>_xlfn.XLOOKUP(Table3[[#This Row],[instant]],Table2[instant],Table2[atemp], ,0,1)</f>
        <v>0.2273</v>
      </c>
      <c r="I329" s="1">
        <f>_xlfn.XLOOKUP(Table3[[#This Row],[instant]],Table2[instant],Table2[hum], ,0,1)</f>
        <v>0.59</v>
      </c>
      <c r="J329" s="1">
        <f>_xlfn.XLOOKUP(Table3[[#This Row],[instant]],Table2[instant],Table2[windspeed], ,0,1)</f>
        <v>0</v>
      </c>
      <c r="K329" s="1">
        <f>_xlfn.XLOOKUP(Table3[[#This Row],[instant]],Table2[instant],Table2[casual], ,0,1)</f>
        <v>1</v>
      </c>
      <c r="L329" s="1">
        <f>_xlfn.XLOOKUP(Table3[[#This Row],[instant]],Table2[instant],Table2[registered], ,0,1)</f>
        <v>7</v>
      </c>
      <c r="M329" s="6">
        <f>_xlfn.XLOOKUP(Table3[[#This Row],[instant]],Table2[instant],Table2[cnt], ,0,1)</f>
        <v>8</v>
      </c>
      <c r="N329" s="1" t="str">
        <f>IF(OR(Table3[[#This Row],[weekday]]=0,Table3[[#This Row],[weekday]]=6),"Weekend","Weekday")</f>
        <v>Weekend</v>
      </c>
    </row>
    <row r="330" spans="1:14" ht="15" thickBot="1" x14ac:dyDescent="0.35">
      <c r="A330" s="42">
        <v>329</v>
      </c>
      <c r="B330" s="43">
        <f>_xlfn.XLOOKUP(Table3[[#This Row],[instant]],DatSet1!A330:A939,DatSet1!B330:B939,_xlfn.XLOOKUP(Table3[[#This Row],[instant]],'Final Data'!A330:A719,'Final Data'!B330:B719, ,0,1),0,1)</f>
        <v>40558</v>
      </c>
      <c r="C330" s="42">
        <f>_xlfn.XLOOKUP(Table3[[#This Row],[instant]],Table1[instant],Table1[hr], ,0,1)</f>
        <v>4</v>
      </c>
      <c r="D330" s="44" t="b">
        <f>_xlfn.XLOOKUP(Table3[[#This Row],[instant]],Table1[instant],Table1[holiday], ,0,1)</f>
        <v>0</v>
      </c>
      <c r="E330" s="44">
        <f>_xlfn.XLOOKUP(Table3[[#This Row],[instant]],Table1[instant],Table1[weekday], ,0,1)</f>
        <v>6</v>
      </c>
      <c r="F330" s="44">
        <f>_xlfn.XLOOKUP(Table3[[#This Row],[instant]],Table1[instant],Table1[weathersit], ,0,1)</f>
        <v>2</v>
      </c>
      <c r="G330" s="44">
        <f>_xlfn.XLOOKUP(Table3[[#This Row],[instant]],Table1[instant],Table1[temp], ,0,1)</f>
        <v>0.16</v>
      </c>
      <c r="H330" s="45">
        <f>_xlfn.XLOOKUP(Table3[[#This Row],[instant]],Table2[instant],Table2[atemp], ,0,1)</f>
        <v>0.2273</v>
      </c>
      <c r="I330" s="42">
        <f>_xlfn.XLOOKUP(Table3[[#This Row],[instant]],Table2[instant],Table2[hum], ,0,1)</f>
        <v>0.59</v>
      </c>
      <c r="J330" s="42">
        <f>_xlfn.XLOOKUP(Table3[[#This Row],[instant]],Table2[instant],Table2[windspeed], ,0,1)</f>
        <v>0</v>
      </c>
      <c r="K330" s="42">
        <f>_xlfn.XLOOKUP(Table3[[#This Row],[instant]],Table2[instant],Table2[casual], ,0,1)</f>
        <v>0</v>
      </c>
      <c r="L330" s="42">
        <f>_xlfn.XLOOKUP(Table3[[#This Row],[instant]],Table2[instant],Table2[registered], ,0,1)</f>
        <v>5</v>
      </c>
      <c r="M330" s="46">
        <f>_xlfn.XLOOKUP(Table3[[#This Row],[instant]],Table2[instant],Table2[cnt], ,0,1)</f>
        <v>5</v>
      </c>
      <c r="N330" s="42" t="str">
        <f>IF(OR(Table3[[#This Row],[weekday]]=0,Table3[[#This Row],[weekday]]=6),"Weekend","Weekday")</f>
        <v>Weekend</v>
      </c>
    </row>
    <row r="331" spans="1:14" ht="15" thickBot="1" x14ac:dyDescent="0.35">
      <c r="A331" s="1">
        <v>330</v>
      </c>
      <c r="B331" s="3">
        <f>_xlfn.XLOOKUP(Table3[[#This Row],[instant]],DatSet1!A331:A940,DatSet1!B331:B940,_xlfn.XLOOKUP(Table3[[#This Row],[instant]],'Final Data'!A331:A720,'Final Data'!B331:B720, ,0,1),0,1)</f>
        <v>40558</v>
      </c>
      <c r="C331" s="1">
        <f>_xlfn.XLOOKUP(Table3[[#This Row],[instant]],Table1[instant],Table1[hr], ,0,1)</f>
        <v>5</v>
      </c>
      <c r="D331" s="2" t="b">
        <f>_xlfn.XLOOKUP(Table3[[#This Row],[instant]],Table1[instant],Table1[holiday], ,0,1)</f>
        <v>0</v>
      </c>
      <c r="E331" s="2">
        <f>_xlfn.XLOOKUP(Table3[[#This Row],[instant]],Table1[instant],Table1[weekday], ,0,1)</f>
        <v>6</v>
      </c>
      <c r="F331" s="2">
        <f>_xlfn.XLOOKUP(Table3[[#This Row],[instant]],Table1[instant],Table1[weathersit], ,0,1)</f>
        <v>1</v>
      </c>
      <c r="G331" s="2">
        <f>_xlfn.XLOOKUP(Table3[[#This Row],[instant]],Table1[instant],Table1[temp], ,0,1)</f>
        <v>0.16</v>
      </c>
      <c r="H331" s="24">
        <f>_xlfn.XLOOKUP(Table3[[#This Row],[instant]],Table2[instant],Table2[atemp], ,0,1)</f>
        <v>0.2273</v>
      </c>
      <c r="I331" s="1">
        <f>_xlfn.XLOOKUP(Table3[[#This Row],[instant]],Table2[instant],Table2[hum], ,0,1)</f>
        <v>0.59</v>
      </c>
      <c r="J331" s="1">
        <f>_xlfn.XLOOKUP(Table3[[#This Row],[instant]],Table2[instant],Table2[windspeed], ,0,1)</f>
        <v>0</v>
      </c>
      <c r="K331" s="1">
        <f>_xlfn.XLOOKUP(Table3[[#This Row],[instant]],Table2[instant],Table2[casual], ,0,1)</f>
        <v>0</v>
      </c>
      <c r="L331" s="1">
        <f>_xlfn.XLOOKUP(Table3[[#This Row],[instant]],Table2[instant],Table2[registered], ,0,1)</f>
        <v>1</v>
      </c>
      <c r="M331" s="6">
        <f>_xlfn.XLOOKUP(Table3[[#This Row],[instant]],Table2[instant],Table2[cnt], ,0,1)</f>
        <v>1</v>
      </c>
      <c r="N331" s="1" t="str">
        <f>IF(OR(Table3[[#This Row],[weekday]]=0,Table3[[#This Row],[weekday]]=6),"Weekend","Weekday")</f>
        <v>Weekend</v>
      </c>
    </row>
    <row r="332" spans="1:14" ht="15" thickBot="1" x14ac:dyDescent="0.35">
      <c r="A332" s="42">
        <v>331</v>
      </c>
      <c r="B332" s="43">
        <f>_xlfn.XLOOKUP(Table3[[#This Row],[instant]],DatSet1!A332:A941,DatSet1!B332:B941,_xlfn.XLOOKUP(Table3[[#This Row],[instant]],'Final Data'!A332:A721,'Final Data'!B332:B721, ,0,1),0,1)</f>
        <v>40558</v>
      </c>
      <c r="C332" s="42">
        <f>_xlfn.XLOOKUP(Table3[[#This Row],[instant]],Table1[instant],Table1[hr], ,0,1)</f>
        <v>6</v>
      </c>
      <c r="D332" s="44" t="b">
        <f>_xlfn.XLOOKUP(Table3[[#This Row],[instant]],Table1[instant],Table1[holiday], ,0,1)</f>
        <v>0</v>
      </c>
      <c r="E332" s="44">
        <f>_xlfn.XLOOKUP(Table3[[#This Row],[instant]],Table1[instant],Table1[weekday], ,0,1)</f>
        <v>6</v>
      </c>
      <c r="F332" s="44">
        <f>_xlfn.XLOOKUP(Table3[[#This Row],[instant]],Table1[instant],Table1[weathersit], ,0,1)</f>
        <v>1</v>
      </c>
      <c r="G332" s="44">
        <f>_xlfn.XLOOKUP(Table3[[#This Row],[instant]],Table1[instant],Table1[temp], ,0,1)</f>
        <v>0.14000000000000001</v>
      </c>
      <c r="H332" s="45">
        <f>_xlfn.XLOOKUP(Table3[[#This Row],[instant]],Table2[instant],Table2[atemp], ,0,1)</f>
        <v>0.16669999999999999</v>
      </c>
      <c r="I332" s="42">
        <f>_xlfn.XLOOKUP(Table3[[#This Row],[instant]],Table2[instant],Table2[hum], ,0,1)</f>
        <v>0.63</v>
      </c>
      <c r="J332" s="42">
        <f>_xlfn.XLOOKUP(Table3[[#This Row],[instant]],Table2[instant],Table2[windspeed], ,0,1)</f>
        <v>0.1045</v>
      </c>
      <c r="K332" s="42">
        <f>_xlfn.XLOOKUP(Table3[[#This Row],[instant]],Table2[instant],Table2[casual], ,0,1)</f>
        <v>1</v>
      </c>
      <c r="L332" s="42">
        <f>_xlfn.XLOOKUP(Table3[[#This Row],[instant]],Table2[instant],Table2[registered], ,0,1)</f>
        <v>2</v>
      </c>
      <c r="M332" s="46">
        <f>_xlfn.XLOOKUP(Table3[[#This Row],[instant]],Table2[instant],Table2[cnt], ,0,1)</f>
        <v>3</v>
      </c>
      <c r="N332" s="42" t="str">
        <f>IF(OR(Table3[[#This Row],[weekday]]=0,Table3[[#This Row],[weekday]]=6),"Weekend","Weekday")</f>
        <v>Weekend</v>
      </c>
    </row>
    <row r="333" spans="1:14" ht="15" thickBot="1" x14ac:dyDescent="0.35">
      <c r="A333" s="1">
        <v>332</v>
      </c>
      <c r="B333" s="3">
        <f>_xlfn.XLOOKUP(Table3[[#This Row],[instant]],DatSet1!A333:A942,DatSet1!B333:B942,_xlfn.XLOOKUP(Table3[[#This Row],[instant]],'Final Data'!A333:A722,'Final Data'!B333:B722, ,0,1),0,1)</f>
        <v>40558</v>
      </c>
      <c r="C333" s="1">
        <f>_xlfn.XLOOKUP(Table3[[#This Row],[instant]],Table1[instant],Table1[hr], ,0,1)</f>
        <v>7</v>
      </c>
      <c r="D333" s="2" t="b">
        <f>_xlfn.XLOOKUP(Table3[[#This Row],[instant]],Table1[instant],Table1[holiday], ,0,1)</f>
        <v>0</v>
      </c>
      <c r="E333" s="2">
        <f>_xlfn.XLOOKUP(Table3[[#This Row],[instant]],Table1[instant],Table1[weekday], ,0,1)</f>
        <v>6</v>
      </c>
      <c r="F333" s="2">
        <f>_xlfn.XLOOKUP(Table3[[#This Row],[instant]],Table1[instant],Table1[weathersit], ,0,1)</f>
        <v>1</v>
      </c>
      <c r="G333" s="2">
        <f>_xlfn.XLOOKUP(Table3[[#This Row],[instant]],Table1[instant],Table1[temp], ,0,1)</f>
        <v>0.14000000000000001</v>
      </c>
      <c r="H333" s="24">
        <f>_xlfn.XLOOKUP(Table3[[#This Row],[instant]],Table2[instant],Table2[atemp], ,0,1)</f>
        <v>0.21210000000000001</v>
      </c>
      <c r="I333" s="1">
        <f>_xlfn.XLOOKUP(Table3[[#This Row],[instant]],Table2[instant],Table2[hum], ,0,1)</f>
        <v>0.63</v>
      </c>
      <c r="J333" s="1">
        <f>_xlfn.XLOOKUP(Table3[[#This Row],[instant]],Table2[instant],Table2[windspeed], ,0,1)</f>
        <v>0</v>
      </c>
      <c r="K333" s="1">
        <f>_xlfn.XLOOKUP(Table3[[#This Row],[instant]],Table2[instant],Table2[casual], ,0,1)</f>
        <v>1</v>
      </c>
      <c r="L333" s="1">
        <f>_xlfn.XLOOKUP(Table3[[#This Row],[instant]],Table2[instant],Table2[registered], ,0,1)</f>
        <v>9</v>
      </c>
      <c r="M333" s="6">
        <f>_xlfn.XLOOKUP(Table3[[#This Row],[instant]],Table2[instant],Table2[cnt], ,0,1)</f>
        <v>10</v>
      </c>
      <c r="N333" s="1" t="str">
        <f>IF(OR(Table3[[#This Row],[weekday]]=0,Table3[[#This Row],[weekday]]=6),"Weekend","Weekday")</f>
        <v>Weekend</v>
      </c>
    </row>
    <row r="334" spans="1:14" ht="15" thickBot="1" x14ac:dyDescent="0.35">
      <c r="A334" s="42">
        <v>333</v>
      </c>
      <c r="B334" s="43">
        <f>_xlfn.XLOOKUP(Table3[[#This Row],[instant]],DatSet1!A334:A943,DatSet1!B334:B943,_xlfn.XLOOKUP(Table3[[#This Row],[instant]],'Final Data'!A334:A723,'Final Data'!B334:B723, ,0,1),0,1)</f>
        <v>40558</v>
      </c>
      <c r="C334" s="42">
        <f>_xlfn.XLOOKUP(Table3[[#This Row],[instant]],Table1[instant],Table1[hr], ,0,1)</f>
        <v>8</v>
      </c>
      <c r="D334" s="44" t="b">
        <f>_xlfn.XLOOKUP(Table3[[#This Row],[instant]],Table1[instant],Table1[holiday], ,0,1)</f>
        <v>0</v>
      </c>
      <c r="E334" s="44">
        <f>_xlfn.XLOOKUP(Table3[[#This Row],[instant]],Table1[instant],Table1[weekday], ,0,1)</f>
        <v>6</v>
      </c>
      <c r="F334" s="44">
        <f>_xlfn.XLOOKUP(Table3[[#This Row],[instant]],Table1[instant],Table1[weathersit], ,0,1)</f>
        <v>1</v>
      </c>
      <c r="G334" s="44">
        <f>_xlfn.XLOOKUP(Table3[[#This Row],[instant]],Table1[instant],Table1[temp], ,0,1)</f>
        <v>0.14000000000000001</v>
      </c>
      <c r="H334" s="45">
        <f>_xlfn.XLOOKUP(Table3[[#This Row],[instant]],Table2[instant],Table2[atemp], ,0,1)</f>
        <v>0.1515</v>
      </c>
      <c r="I334" s="42">
        <f>_xlfn.XLOOKUP(Table3[[#This Row],[instant]],Table2[instant],Table2[hum], ,0,1)</f>
        <v>0.63</v>
      </c>
      <c r="J334" s="42">
        <f>_xlfn.XLOOKUP(Table3[[#This Row],[instant]],Table2[instant],Table2[windspeed], ,0,1)</f>
        <v>0.1343</v>
      </c>
      <c r="K334" s="42">
        <f>_xlfn.XLOOKUP(Table3[[#This Row],[instant]],Table2[instant],Table2[casual], ,0,1)</f>
        <v>1</v>
      </c>
      <c r="L334" s="42">
        <f>_xlfn.XLOOKUP(Table3[[#This Row],[instant]],Table2[instant],Table2[registered], ,0,1)</f>
        <v>22</v>
      </c>
      <c r="M334" s="46">
        <f>_xlfn.XLOOKUP(Table3[[#This Row],[instant]],Table2[instant],Table2[cnt], ,0,1)</f>
        <v>23</v>
      </c>
      <c r="N334" s="42" t="str">
        <f>IF(OR(Table3[[#This Row],[weekday]]=0,Table3[[#This Row],[weekday]]=6),"Weekend","Weekday")</f>
        <v>Weekend</v>
      </c>
    </row>
    <row r="335" spans="1:14" ht="15" thickBot="1" x14ac:dyDescent="0.35">
      <c r="A335" s="1">
        <v>334</v>
      </c>
      <c r="B335" s="3">
        <f>_xlfn.XLOOKUP(Table3[[#This Row],[instant]],DatSet1!A335:A944,DatSet1!B335:B944,_xlfn.XLOOKUP(Table3[[#This Row],[instant]],'Final Data'!A335:A724,'Final Data'!B335:B724, ,0,1),0,1)</f>
        <v>40558</v>
      </c>
      <c r="C335" s="1">
        <f>_xlfn.XLOOKUP(Table3[[#This Row],[instant]],Table1[instant],Table1[hr], ,0,1)</f>
        <v>9</v>
      </c>
      <c r="D335" s="2" t="b">
        <f>_xlfn.XLOOKUP(Table3[[#This Row],[instant]],Table1[instant],Table1[holiday], ,0,1)</f>
        <v>0</v>
      </c>
      <c r="E335" s="2">
        <f>_xlfn.XLOOKUP(Table3[[#This Row],[instant]],Table1[instant],Table1[weekday], ,0,1)</f>
        <v>6</v>
      </c>
      <c r="F335" s="2">
        <f>_xlfn.XLOOKUP(Table3[[#This Row],[instant]],Table1[instant],Table1[weathersit], ,0,1)</f>
        <v>1</v>
      </c>
      <c r="G335" s="2">
        <f>_xlfn.XLOOKUP(Table3[[#This Row],[instant]],Table1[instant],Table1[temp], ,0,1)</f>
        <v>0.16</v>
      </c>
      <c r="H335" s="24">
        <f>_xlfn.XLOOKUP(Table3[[#This Row],[instant]],Table2[instant],Table2[atemp], ,0,1)</f>
        <v>0.18179999999999999</v>
      </c>
      <c r="I335" s="1">
        <f>_xlfn.XLOOKUP(Table3[[#This Row],[instant]],Table2[instant],Table2[hum], ,0,1)</f>
        <v>0.64</v>
      </c>
      <c r="J335" s="1">
        <f>_xlfn.XLOOKUP(Table3[[#This Row],[instant]],Table2[instant],Table2[windspeed], ,0,1)</f>
        <v>0.1343</v>
      </c>
      <c r="K335" s="1">
        <f>_xlfn.XLOOKUP(Table3[[#This Row],[instant]],Table2[instant],Table2[casual], ,0,1)</f>
        <v>2</v>
      </c>
      <c r="L335" s="1">
        <f>_xlfn.XLOOKUP(Table3[[#This Row],[instant]],Table2[instant],Table2[registered], ,0,1)</f>
        <v>31</v>
      </c>
      <c r="M335" s="6">
        <f>_xlfn.XLOOKUP(Table3[[#This Row],[instant]],Table2[instant],Table2[cnt], ,0,1)</f>
        <v>33</v>
      </c>
      <c r="N335" s="1" t="str">
        <f>IF(OR(Table3[[#This Row],[weekday]]=0,Table3[[#This Row],[weekday]]=6),"Weekend","Weekday")</f>
        <v>Weekend</v>
      </c>
    </row>
    <row r="336" spans="1:14" ht="15" thickBot="1" x14ac:dyDescent="0.35">
      <c r="A336" s="42">
        <v>335</v>
      </c>
      <c r="B336" s="43">
        <f>_xlfn.XLOOKUP(Table3[[#This Row],[instant]],DatSet1!A336:A945,DatSet1!B336:B945,_xlfn.XLOOKUP(Table3[[#This Row],[instant]],'Final Data'!A336:A725,'Final Data'!B336:B725, ,0,1),0,1)</f>
        <v>40558</v>
      </c>
      <c r="C336" s="42">
        <f>_xlfn.XLOOKUP(Table3[[#This Row],[instant]],Table1[instant],Table1[hr], ,0,1)</f>
        <v>10</v>
      </c>
      <c r="D336" s="44" t="b">
        <f>_xlfn.XLOOKUP(Table3[[#This Row],[instant]],Table1[instant],Table1[holiday], ,0,1)</f>
        <v>0</v>
      </c>
      <c r="E336" s="44">
        <f>_xlfn.XLOOKUP(Table3[[#This Row],[instant]],Table1[instant],Table1[weekday], ,0,1)</f>
        <v>6</v>
      </c>
      <c r="F336" s="44">
        <f>_xlfn.XLOOKUP(Table3[[#This Row],[instant]],Table1[instant],Table1[weathersit], ,0,1)</f>
        <v>1</v>
      </c>
      <c r="G336" s="44">
        <f>_xlfn.XLOOKUP(Table3[[#This Row],[instant]],Table1[instant],Table1[temp], ,0,1)</f>
        <v>0.18</v>
      </c>
      <c r="H336" s="45">
        <f>_xlfn.XLOOKUP(Table3[[#This Row],[instant]],Table2[instant],Table2[atemp], ,0,1)</f>
        <v>0.19700000000000001</v>
      </c>
      <c r="I336" s="42">
        <f>_xlfn.XLOOKUP(Table3[[#This Row],[instant]],Table2[instant],Table2[hum], ,0,1)</f>
        <v>0.59</v>
      </c>
      <c r="J336" s="42">
        <f>_xlfn.XLOOKUP(Table3[[#This Row],[instant]],Table2[instant],Table2[windspeed], ,0,1)</f>
        <v>0.16420000000000001</v>
      </c>
      <c r="K336" s="42">
        <f>_xlfn.XLOOKUP(Table3[[#This Row],[instant]],Table2[instant],Table2[casual], ,0,1)</f>
        <v>2</v>
      </c>
      <c r="L336" s="42">
        <f>_xlfn.XLOOKUP(Table3[[#This Row],[instant]],Table2[instant],Table2[registered], ,0,1)</f>
        <v>57</v>
      </c>
      <c r="M336" s="46">
        <f>_xlfn.XLOOKUP(Table3[[#This Row],[instant]],Table2[instant],Table2[cnt], ,0,1)</f>
        <v>59</v>
      </c>
      <c r="N336" s="42" t="str">
        <f>IF(OR(Table3[[#This Row],[weekday]]=0,Table3[[#This Row],[weekday]]=6),"Weekend","Weekday")</f>
        <v>Weekend</v>
      </c>
    </row>
    <row r="337" spans="1:14" ht="15" thickBot="1" x14ac:dyDescent="0.35">
      <c r="A337" s="1">
        <v>336</v>
      </c>
      <c r="B337" s="3">
        <f>_xlfn.XLOOKUP(Table3[[#This Row],[instant]],DatSet1!A337:A946,DatSet1!B337:B946,_xlfn.XLOOKUP(Table3[[#This Row],[instant]],'Final Data'!A337:A726,'Final Data'!B337:B726, ,0,1),0,1)</f>
        <v>40558</v>
      </c>
      <c r="C337" s="1">
        <f>_xlfn.XLOOKUP(Table3[[#This Row],[instant]],Table1[instant],Table1[hr], ,0,1)</f>
        <v>11</v>
      </c>
      <c r="D337" s="2" t="b">
        <f>_xlfn.XLOOKUP(Table3[[#This Row],[instant]],Table1[instant],Table1[holiday], ,0,1)</f>
        <v>0</v>
      </c>
      <c r="E337" s="2">
        <f>_xlfn.XLOOKUP(Table3[[#This Row],[instant]],Table1[instant],Table1[weekday], ,0,1)</f>
        <v>6</v>
      </c>
      <c r="F337" s="2">
        <f>_xlfn.XLOOKUP(Table3[[#This Row],[instant]],Table1[instant],Table1[weathersit], ,0,1)</f>
        <v>1</v>
      </c>
      <c r="G337" s="2">
        <f>_xlfn.XLOOKUP(Table3[[#This Row],[instant]],Table1[instant],Table1[temp], ,0,1)</f>
        <v>0.2</v>
      </c>
      <c r="H337" s="24">
        <f>_xlfn.XLOOKUP(Table3[[#This Row],[instant]],Table2[instant],Table2[atemp], ,0,1)</f>
        <v>0.19700000000000001</v>
      </c>
      <c r="I337" s="1">
        <f>_xlfn.XLOOKUP(Table3[[#This Row],[instant]],Table2[instant],Table2[hum], ,0,1)</f>
        <v>0.55000000000000004</v>
      </c>
      <c r="J337" s="1">
        <f>_xlfn.XLOOKUP(Table3[[#This Row],[instant]],Table2[instant],Table2[windspeed], ,0,1)</f>
        <v>0.22389999999999999</v>
      </c>
      <c r="K337" s="1">
        <f>_xlfn.XLOOKUP(Table3[[#This Row],[instant]],Table2[instant],Table2[casual], ,0,1)</f>
        <v>18</v>
      </c>
      <c r="L337" s="1">
        <f>_xlfn.XLOOKUP(Table3[[#This Row],[instant]],Table2[instant],Table2[registered], ,0,1)</f>
        <v>54</v>
      </c>
      <c r="M337" s="6">
        <f>_xlfn.XLOOKUP(Table3[[#This Row],[instant]],Table2[instant],Table2[cnt], ,0,1)</f>
        <v>72</v>
      </c>
      <c r="N337" s="1" t="str">
        <f>IF(OR(Table3[[#This Row],[weekday]]=0,Table3[[#This Row],[weekday]]=6),"Weekend","Weekday")</f>
        <v>Weekend</v>
      </c>
    </row>
    <row r="338" spans="1:14" ht="15" thickBot="1" x14ac:dyDescent="0.35">
      <c r="A338" s="42">
        <v>337</v>
      </c>
      <c r="B338" s="43">
        <f>_xlfn.XLOOKUP(Table3[[#This Row],[instant]],DatSet1!A338:A947,DatSet1!B338:B947,_xlfn.XLOOKUP(Table3[[#This Row],[instant]],'Final Data'!A338:A727,'Final Data'!B338:B727, ,0,1),0,1)</f>
        <v>40558</v>
      </c>
      <c r="C338" s="42">
        <f>_xlfn.XLOOKUP(Table3[[#This Row],[instant]],Table1[instant],Table1[hr], ,0,1)</f>
        <v>12</v>
      </c>
      <c r="D338" s="44" t="b">
        <f>_xlfn.XLOOKUP(Table3[[#This Row],[instant]],Table1[instant],Table1[holiday], ,0,1)</f>
        <v>0</v>
      </c>
      <c r="E338" s="44">
        <f>_xlfn.XLOOKUP(Table3[[#This Row],[instant]],Table1[instant],Table1[weekday], ,0,1)</f>
        <v>6</v>
      </c>
      <c r="F338" s="44">
        <f>_xlfn.XLOOKUP(Table3[[#This Row],[instant]],Table1[instant],Table1[weathersit], ,0,1)</f>
        <v>1</v>
      </c>
      <c r="G338" s="44">
        <f>_xlfn.XLOOKUP(Table3[[#This Row],[instant]],Table1[instant],Table1[temp], ,0,1)</f>
        <v>0.24</v>
      </c>
      <c r="H338" s="45">
        <f>_xlfn.XLOOKUP(Table3[[#This Row],[instant]],Table2[instant],Table2[atemp], ,0,1)</f>
        <v>0.2273</v>
      </c>
      <c r="I338" s="42">
        <f>_xlfn.XLOOKUP(Table3[[#This Row],[instant]],Table2[instant],Table2[hum], ,0,1)</f>
        <v>0.48</v>
      </c>
      <c r="J338" s="42">
        <f>_xlfn.XLOOKUP(Table3[[#This Row],[instant]],Table2[instant],Table2[windspeed], ,0,1)</f>
        <v>0.22389999999999999</v>
      </c>
      <c r="K338" s="42">
        <f>_xlfn.XLOOKUP(Table3[[#This Row],[instant]],Table2[instant],Table2[casual], ,0,1)</f>
        <v>15</v>
      </c>
      <c r="L338" s="42">
        <f>_xlfn.XLOOKUP(Table3[[#This Row],[instant]],Table2[instant],Table2[registered], ,0,1)</f>
        <v>74</v>
      </c>
      <c r="M338" s="46">
        <f>_xlfn.XLOOKUP(Table3[[#This Row],[instant]],Table2[instant],Table2[cnt], ,0,1)</f>
        <v>89</v>
      </c>
      <c r="N338" s="42" t="str">
        <f>IF(OR(Table3[[#This Row],[weekday]]=0,Table3[[#This Row],[weekday]]=6),"Weekend","Weekday")</f>
        <v>Weekend</v>
      </c>
    </row>
    <row r="339" spans="1:14" ht="15" thickBot="1" x14ac:dyDescent="0.35">
      <c r="A339" s="1">
        <v>338</v>
      </c>
      <c r="B339" s="3">
        <f>_xlfn.XLOOKUP(Table3[[#This Row],[instant]],DatSet1!A339:A948,DatSet1!B339:B948,_xlfn.XLOOKUP(Table3[[#This Row],[instant]],'Final Data'!A339:A728,'Final Data'!B339:B728, ,0,1),0,1)</f>
        <v>40558</v>
      </c>
      <c r="C339" s="1">
        <f>_xlfn.XLOOKUP(Table3[[#This Row],[instant]],Table1[instant],Table1[hr], ,0,1)</f>
        <v>13</v>
      </c>
      <c r="D339" s="2" t="b">
        <f>_xlfn.XLOOKUP(Table3[[#This Row],[instant]],Table1[instant],Table1[holiday], ,0,1)</f>
        <v>0</v>
      </c>
      <c r="E339" s="2">
        <f>_xlfn.XLOOKUP(Table3[[#This Row],[instant]],Table1[instant],Table1[weekday], ,0,1)</f>
        <v>6</v>
      </c>
      <c r="F339" s="2">
        <f>_xlfn.XLOOKUP(Table3[[#This Row],[instant]],Table1[instant],Table1[weathersit], ,0,1)</f>
        <v>1</v>
      </c>
      <c r="G339" s="2">
        <f>_xlfn.XLOOKUP(Table3[[#This Row],[instant]],Table1[instant],Table1[temp], ,0,1)</f>
        <v>0.28000000000000003</v>
      </c>
      <c r="H339" s="24">
        <f>_xlfn.XLOOKUP(Table3[[#This Row],[instant]],Table2[instant],Table2[atemp], ,0,1)</f>
        <v>0.2576</v>
      </c>
      <c r="I339" s="1">
        <f>_xlfn.XLOOKUP(Table3[[#This Row],[instant]],Table2[instant],Table2[hum], ,0,1)</f>
        <v>0.38</v>
      </c>
      <c r="J339" s="1">
        <f>_xlfn.XLOOKUP(Table3[[#This Row],[instant]],Table2[instant],Table2[windspeed], ,0,1)</f>
        <v>0.29849999999999999</v>
      </c>
      <c r="K339" s="1">
        <f>_xlfn.XLOOKUP(Table3[[#This Row],[instant]],Table2[instant],Table2[casual], ,0,1)</f>
        <v>21</v>
      </c>
      <c r="L339" s="1">
        <f>_xlfn.XLOOKUP(Table3[[#This Row],[instant]],Table2[instant],Table2[registered], ,0,1)</f>
        <v>80</v>
      </c>
      <c r="M339" s="6">
        <f>_xlfn.XLOOKUP(Table3[[#This Row],[instant]],Table2[instant],Table2[cnt], ,0,1)</f>
        <v>101</v>
      </c>
      <c r="N339" s="1" t="str">
        <f>IF(OR(Table3[[#This Row],[weekday]]=0,Table3[[#This Row],[weekday]]=6),"Weekend","Weekday")</f>
        <v>Weekend</v>
      </c>
    </row>
    <row r="340" spans="1:14" ht="15" thickBot="1" x14ac:dyDescent="0.35">
      <c r="A340" s="42">
        <v>339</v>
      </c>
      <c r="B340" s="43">
        <f>_xlfn.XLOOKUP(Table3[[#This Row],[instant]],DatSet1!A340:A949,DatSet1!B340:B949,_xlfn.XLOOKUP(Table3[[#This Row],[instant]],'Final Data'!A340:A729,'Final Data'!B340:B729, ,0,1),0,1)</f>
        <v>40558</v>
      </c>
      <c r="C340" s="42">
        <f>_xlfn.XLOOKUP(Table3[[#This Row],[instant]],Table1[instant],Table1[hr], ,0,1)</f>
        <v>14</v>
      </c>
      <c r="D340" s="44" t="b">
        <f>_xlfn.XLOOKUP(Table3[[#This Row],[instant]],Table1[instant],Table1[holiday], ,0,1)</f>
        <v>0</v>
      </c>
      <c r="E340" s="44">
        <f>_xlfn.XLOOKUP(Table3[[#This Row],[instant]],Table1[instant],Table1[weekday], ,0,1)</f>
        <v>6</v>
      </c>
      <c r="F340" s="44">
        <f>_xlfn.XLOOKUP(Table3[[#This Row],[instant]],Table1[instant],Table1[weathersit], ,0,1)</f>
        <v>1</v>
      </c>
      <c r="G340" s="44">
        <f>_xlfn.XLOOKUP(Table3[[#This Row],[instant]],Table1[instant],Table1[temp], ,0,1)</f>
        <v>0.3</v>
      </c>
      <c r="H340" s="45">
        <f>_xlfn.XLOOKUP(Table3[[#This Row],[instant]],Table2[instant],Table2[atemp], ,0,1)</f>
        <v>0.28789999999999999</v>
      </c>
      <c r="I340" s="42">
        <f>_xlfn.XLOOKUP(Table3[[#This Row],[instant]],Table2[instant],Table2[hum], ,0,1)</f>
        <v>0.39</v>
      </c>
      <c r="J340" s="42">
        <f>_xlfn.XLOOKUP(Table3[[#This Row],[instant]],Table2[instant],Table2[windspeed], ,0,1)</f>
        <v>0.28360000000000002</v>
      </c>
      <c r="K340" s="42">
        <f>_xlfn.XLOOKUP(Table3[[#This Row],[instant]],Table2[instant],Table2[casual], ,0,1)</f>
        <v>26</v>
      </c>
      <c r="L340" s="42">
        <f>_xlfn.XLOOKUP(Table3[[#This Row],[instant]],Table2[instant],Table2[registered], ,0,1)</f>
        <v>92</v>
      </c>
      <c r="M340" s="46">
        <f>_xlfn.XLOOKUP(Table3[[#This Row],[instant]],Table2[instant],Table2[cnt], ,0,1)</f>
        <v>118</v>
      </c>
      <c r="N340" s="42" t="str">
        <f>IF(OR(Table3[[#This Row],[weekday]]=0,Table3[[#This Row],[weekday]]=6),"Weekend","Weekday")</f>
        <v>Weekend</v>
      </c>
    </row>
    <row r="341" spans="1:14" ht="15" thickBot="1" x14ac:dyDescent="0.35">
      <c r="A341" s="1">
        <v>340</v>
      </c>
      <c r="B341" s="3">
        <f>_xlfn.XLOOKUP(Table3[[#This Row],[instant]],DatSet1!A341:A950,DatSet1!B341:B950,_xlfn.XLOOKUP(Table3[[#This Row],[instant]],'Final Data'!A341:A730,'Final Data'!B341:B730, ,0,1),0,1)</f>
        <v>40558</v>
      </c>
      <c r="C341" s="1">
        <f>_xlfn.XLOOKUP(Table3[[#This Row],[instant]],Table1[instant],Table1[hr], ,0,1)</f>
        <v>15</v>
      </c>
      <c r="D341" s="2" t="b">
        <f>_xlfn.XLOOKUP(Table3[[#This Row],[instant]],Table1[instant],Table1[holiday], ,0,1)</f>
        <v>0</v>
      </c>
      <c r="E341" s="2">
        <f>_xlfn.XLOOKUP(Table3[[#This Row],[instant]],Table1[instant],Table1[weekday], ,0,1)</f>
        <v>6</v>
      </c>
      <c r="F341" s="2">
        <f>_xlfn.XLOOKUP(Table3[[#This Row],[instant]],Table1[instant],Table1[weathersit], ,0,1)</f>
        <v>2</v>
      </c>
      <c r="G341" s="2">
        <f>_xlfn.XLOOKUP(Table3[[#This Row],[instant]],Table1[instant],Table1[temp], ,0,1)</f>
        <v>0.32</v>
      </c>
      <c r="H341" s="24">
        <f>_xlfn.XLOOKUP(Table3[[#This Row],[instant]],Table2[instant],Table2[atemp], ,0,1)</f>
        <v>0.31819999999999998</v>
      </c>
      <c r="I341" s="1">
        <f>_xlfn.XLOOKUP(Table3[[#This Row],[instant]],Table2[instant],Table2[hum], ,0,1)</f>
        <v>0.36</v>
      </c>
      <c r="J341" s="1">
        <f>_xlfn.XLOOKUP(Table3[[#This Row],[instant]],Table2[instant],Table2[windspeed], ,0,1)</f>
        <v>0.19400000000000001</v>
      </c>
      <c r="K341" s="1">
        <f>_xlfn.XLOOKUP(Table3[[#This Row],[instant]],Table2[instant],Table2[casual], ,0,1)</f>
        <v>21</v>
      </c>
      <c r="L341" s="1">
        <f>_xlfn.XLOOKUP(Table3[[#This Row],[instant]],Table2[instant],Table2[registered], ,0,1)</f>
        <v>108</v>
      </c>
      <c r="M341" s="6">
        <f>_xlfn.XLOOKUP(Table3[[#This Row],[instant]],Table2[instant],Table2[cnt], ,0,1)</f>
        <v>129</v>
      </c>
      <c r="N341" s="1" t="str">
        <f>IF(OR(Table3[[#This Row],[weekday]]=0,Table3[[#This Row],[weekday]]=6),"Weekend","Weekday")</f>
        <v>Weekend</v>
      </c>
    </row>
    <row r="342" spans="1:14" ht="15" thickBot="1" x14ac:dyDescent="0.35">
      <c r="A342" s="42">
        <v>341</v>
      </c>
      <c r="B342" s="43">
        <f>_xlfn.XLOOKUP(Table3[[#This Row],[instant]],DatSet1!A342:A951,DatSet1!B342:B951,_xlfn.XLOOKUP(Table3[[#This Row],[instant]],'Final Data'!A342:A731,'Final Data'!B342:B731, ,0,1),0,1)</f>
        <v>40558</v>
      </c>
      <c r="C342" s="42">
        <f>_xlfn.XLOOKUP(Table3[[#This Row],[instant]],Table1[instant],Table1[hr], ,0,1)</f>
        <v>16</v>
      </c>
      <c r="D342" s="44" t="b">
        <f>_xlfn.XLOOKUP(Table3[[#This Row],[instant]],Table1[instant],Table1[holiday], ,0,1)</f>
        <v>0</v>
      </c>
      <c r="E342" s="44">
        <f>_xlfn.XLOOKUP(Table3[[#This Row],[instant]],Table1[instant],Table1[weekday], ,0,1)</f>
        <v>6</v>
      </c>
      <c r="F342" s="44">
        <f>_xlfn.XLOOKUP(Table3[[#This Row],[instant]],Table1[instant],Table1[weathersit], ,0,1)</f>
        <v>2</v>
      </c>
      <c r="G342" s="44">
        <f>_xlfn.XLOOKUP(Table3[[#This Row],[instant]],Table1[instant],Table1[temp], ,0,1)</f>
        <v>0.34</v>
      </c>
      <c r="H342" s="45">
        <f>_xlfn.XLOOKUP(Table3[[#This Row],[instant]],Table2[instant],Table2[atemp], ,0,1)</f>
        <v>0.33329999999999999</v>
      </c>
      <c r="I342" s="42">
        <f>_xlfn.XLOOKUP(Table3[[#This Row],[instant]],Table2[instant],Table2[hum], ,0,1)</f>
        <v>0.34</v>
      </c>
      <c r="J342" s="42">
        <f>_xlfn.XLOOKUP(Table3[[#This Row],[instant]],Table2[instant],Table2[windspeed], ,0,1)</f>
        <v>0.19400000000000001</v>
      </c>
      <c r="K342" s="42">
        <f>_xlfn.XLOOKUP(Table3[[#This Row],[instant]],Table2[instant],Table2[casual], ,0,1)</f>
        <v>33</v>
      </c>
      <c r="L342" s="42">
        <f>_xlfn.XLOOKUP(Table3[[#This Row],[instant]],Table2[instant],Table2[registered], ,0,1)</f>
        <v>95</v>
      </c>
      <c r="M342" s="46">
        <f>_xlfn.XLOOKUP(Table3[[#This Row],[instant]],Table2[instant],Table2[cnt], ,0,1)</f>
        <v>128</v>
      </c>
      <c r="N342" s="42" t="str">
        <f>IF(OR(Table3[[#This Row],[weekday]]=0,Table3[[#This Row],[weekday]]=6),"Weekend","Weekday")</f>
        <v>Weekend</v>
      </c>
    </row>
    <row r="343" spans="1:14" ht="15" thickBot="1" x14ac:dyDescent="0.35">
      <c r="A343" s="1">
        <v>342</v>
      </c>
      <c r="B343" s="3">
        <f>_xlfn.XLOOKUP(Table3[[#This Row],[instant]],DatSet1!A343:A952,DatSet1!B343:B952,_xlfn.XLOOKUP(Table3[[#This Row],[instant]],'Final Data'!A343:A732,'Final Data'!B343:B732, ,0,1),0,1)</f>
        <v>40558</v>
      </c>
      <c r="C343" s="1">
        <f>_xlfn.XLOOKUP(Table3[[#This Row],[instant]],Table1[instant],Table1[hr], ,0,1)</f>
        <v>17</v>
      </c>
      <c r="D343" s="2" t="b">
        <f>_xlfn.XLOOKUP(Table3[[#This Row],[instant]],Table1[instant],Table1[holiday], ,0,1)</f>
        <v>0</v>
      </c>
      <c r="E343" s="2">
        <f>_xlfn.XLOOKUP(Table3[[#This Row],[instant]],Table1[instant],Table1[weekday], ,0,1)</f>
        <v>6</v>
      </c>
      <c r="F343" s="2">
        <f>_xlfn.XLOOKUP(Table3[[#This Row],[instant]],Table1[instant],Table1[weathersit], ,0,1)</f>
        <v>2</v>
      </c>
      <c r="G343" s="2">
        <f>_xlfn.XLOOKUP(Table3[[#This Row],[instant]],Table1[instant],Table1[temp], ,0,1)</f>
        <v>0.32</v>
      </c>
      <c r="H343" s="24">
        <f>_xlfn.XLOOKUP(Table3[[#This Row],[instant]],Table2[instant],Table2[atemp], ,0,1)</f>
        <v>0.30299999999999999</v>
      </c>
      <c r="I343" s="1">
        <f>_xlfn.XLOOKUP(Table3[[#This Row],[instant]],Table2[instant],Table2[hum], ,0,1)</f>
        <v>0.36</v>
      </c>
      <c r="J343" s="1">
        <f>_xlfn.XLOOKUP(Table3[[#This Row],[instant]],Table2[instant],Table2[windspeed], ,0,1)</f>
        <v>0.28360000000000002</v>
      </c>
      <c r="K343" s="1">
        <f>_xlfn.XLOOKUP(Table3[[#This Row],[instant]],Table2[instant],Table2[casual], ,0,1)</f>
        <v>29</v>
      </c>
      <c r="L343" s="1">
        <f>_xlfn.XLOOKUP(Table3[[#This Row],[instant]],Table2[instant],Table2[registered], ,0,1)</f>
        <v>54</v>
      </c>
      <c r="M343" s="6">
        <f>_xlfn.XLOOKUP(Table3[[#This Row],[instant]],Table2[instant],Table2[cnt], ,0,1)</f>
        <v>83</v>
      </c>
      <c r="N343" s="1" t="str">
        <f>IF(OR(Table3[[#This Row],[weekday]]=0,Table3[[#This Row],[weekday]]=6),"Weekend","Weekday")</f>
        <v>Weekend</v>
      </c>
    </row>
    <row r="344" spans="1:14" ht="15" thickBot="1" x14ac:dyDescent="0.35">
      <c r="A344" s="42">
        <v>343</v>
      </c>
      <c r="B344" s="43">
        <f>_xlfn.XLOOKUP(Table3[[#This Row],[instant]],DatSet1!A344:A953,DatSet1!B344:B953,_xlfn.XLOOKUP(Table3[[#This Row],[instant]],'Final Data'!A344:A733,'Final Data'!B344:B733, ,0,1),0,1)</f>
        <v>40558</v>
      </c>
      <c r="C344" s="42">
        <f>_xlfn.XLOOKUP(Table3[[#This Row],[instant]],Table1[instant],Table1[hr], ,0,1)</f>
        <v>18</v>
      </c>
      <c r="D344" s="44" t="b">
        <f>_xlfn.XLOOKUP(Table3[[#This Row],[instant]],Table1[instant],Table1[holiday], ,0,1)</f>
        <v>0</v>
      </c>
      <c r="E344" s="44">
        <f>_xlfn.XLOOKUP(Table3[[#This Row],[instant]],Table1[instant],Table1[weekday], ,0,1)</f>
        <v>6</v>
      </c>
      <c r="F344" s="44">
        <f>_xlfn.XLOOKUP(Table3[[#This Row],[instant]],Table1[instant],Table1[weathersit], ,0,1)</f>
        <v>2</v>
      </c>
      <c r="G344" s="44">
        <f>_xlfn.XLOOKUP(Table3[[#This Row],[instant]],Table1[instant],Table1[temp], ,0,1)</f>
        <v>0.3</v>
      </c>
      <c r="H344" s="45">
        <f>_xlfn.XLOOKUP(Table3[[#This Row],[instant]],Table2[instant],Table2[atemp], ,0,1)</f>
        <v>0.28789999999999999</v>
      </c>
      <c r="I344" s="42">
        <f>_xlfn.XLOOKUP(Table3[[#This Row],[instant]],Table2[instant],Table2[hum], ,0,1)</f>
        <v>0.45</v>
      </c>
      <c r="J344" s="42">
        <f>_xlfn.XLOOKUP(Table3[[#This Row],[instant]],Table2[instant],Table2[windspeed], ,0,1)</f>
        <v>0.25369999999999998</v>
      </c>
      <c r="K344" s="42">
        <f>_xlfn.XLOOKUP(Table3[[#This Row],[instant]],Table2[instant],Table2[casual], ,0,1)</f>
        <v>15</v>
      </c>
      <c r="L344" s="42">
        <f>_xlfn.XLOOKUP(Table3[[#This Row],[instant]],Table2[instant],Table2[registered], ,0,1)</f>
        <v>69</v>
      </c>
      <c r="M344" s="46">
        <f>_xlfn.XLOOKUP(Table3[[#This Row],[instant]],Table2[instant],Table2[cnt], ,0,1)</f>
        <v>84</v>
      </c>
      <c r="N344" s="42" t="str">
        <f>IF(OR(Table3[[#This Row],[weekday]]=0,Table3[[#This Row],[weekday]]=6),"Weekend","Weekday")</f>
        <v>Weekend</v>
      </c>
    </row>
    <row r="345" spans="1:14" ht="15" thickBot="1" x14ac:dyDescent="0.35">
      <c r="A345" s="1">
        <v>344</v>
      </c>
      <c r="B345" s="3">
        <f>_xlfn.XLOOKUP(Table3[[#This Row],[instant]],DatSet1!A345:A954,DatSet1!B345:B954,_xlfn.XLOOKUP(Table3[[#This Row],[instant]],'Final Data'!A345:A734,'Final Data'!B345:B734, ,0,1),0,1)</f>
        <v>40558</v>
      </c>
      <c r="C345" s="1">
        <f>_xlfn.XLOOKUP(Table3[[#This Row],[instant]],Table1[instant],Table1[hr], ,0,1)</f>
        <v>19</v>
      </c>
      <c r="D345" s="2" t="b">
        <f>_xlfn.XLOOKUP(Table3[[#This Row],[instant]],Table1[instant],Table1[holiday], ,0,1)</f>
        <v>0</v>
      </c>
      <c r="E345" s="2">
        <f>_xlfn.XLOOKUP(Table3[[#This Row],[instant]],Table1[instant],Table1[weekday], ,0,1)</f>
        <v>6</v>
      </c>
      <c r="F345" s="2">
        <f>_xlfn.XLOOKUP(Table3[[#This Row],[instant]],Table1[instant],Table1[weathersit], ,0,1)</f>
        <v>2</v>
      </c>
      <c r="G345" s="2">
        <f>_xlfn.XLOOKUP(Table3[[#This Row],[instant]],Table1[instant],Table1[temp], ,0,1)</f>
        <v>0.32</v>
      </c>
      <c r="H345" s="24">
        <f>_xlfn.XLOOKUP(Table3[[#This Row],[instant]],Table2[instant],Table2[atemp], ,0,1)</f>
        <v>0.30299999999999999</v>
      </c>
      <c r="I345" s="1">
        <f>_xlfn.XLOOKUP(Table3[[#This Row],[instant]],Table2[instant],Table2[hum], ,0,1)</f>
        <v>0.39</v>
      </c>
      <c r="J345" s="1">
        <f>_xlfn.XLOOKUP(Table3[[#This Row],[instant]],Table2[instant],Table2[windspeed], ,0,1)</f>
        <v>0.25369999999999998</v>
      </c>
      <c r="K345" s="1">
        <f>_xlfn.XLOOKUP(Table3[[#This Row],[instant]],Table2[instant],Table2[casual], ,0,1)</f>
        <v>14</v>
      </c>
      <c r="L345" s="1">
        <f>_xlfn.XLOOKUP(Table3[[#This Row],[instant]],Table2[instant],Table2[registered], ,0,1)</f>
        <v>60</v>
      </c>
      <c r="M345" s="6">
        <f>_xlfn.XLOOKUP(Table3[[#This Row],[instant]],Table2[instant],Table2[cnt], ,0,1)</f>
        <v>74</v>
      </c>
      <c r="N345" s="1" t="str">
        <f>IF(OR(Table3[[#This Row],[weekday]]=0,Table3[[#This Row],[weekday]]=6),"Weekend","Weekday")</f>
        <v>Weekend</v>
      </c>
    </row>
    <row r="346" spans="1:14" ht="15" thickBot="1" x14ac:dyDescent="0.35">
      <c r="A346" s="42">
        <v>345</v>
      </c>
      <c r="B346" s="43">
        <f>_xlfn.XLOOKUP(Table3[[#This Row],[instant]],DatSet1!A346:A955,DatSet1!B346:B955,_xlfn.XLOOKUP(Table3[[#This Row],[instant]],'Final Data'!A346:A735,'Final Data'!B346:B735, ,0,1),0,1)</f>
        <v>40558</v>
      </c>
      <c r="C346" s="42">
        <f>_xlfn.XLOOKUP(Table3[[#This Row],[instant]],Table1[instant],Table1[hr], ,0,1)</f>
        <v>20</v>
      </c>
      <c r="D346" s="44" t="b">
        <f>_xlfn.XLOOKUP(Table3[[#This Row],[instant]],Table1[instant],Table1[holiday], ,0,1)</f>
        <v>0</v>
      </c>
      <c r="E346" s="44">
        <f>_xlfn.XLOOKUP(Table3[[#This Row],[instant]],Table1[instant],Table1[weekday], ,0,1)</f>
        <v>6</v>
      </c>
      <c r="F346" s="44">
        <f>_xlfn.XLOOKUP(Table3[[#This Row],[instant]],Table1[instant],Table1[weathersit], ,0,1)</f>
        <v>2</v>
      </c>
      <c r="G346" s="44">
        <f>_xlfn.XLOOKUP(Table3[[#This Row],[instant]],Table1[instant],Table1[temp], ,0,1)</f>
        <v>0.32</v>
      </c>
      <c r="H346" s="45">
        <f>_xlfn.XLOOKUP(Table3[[#This Row],[instant]],Table2[instant],Table2[atemp], ,0,1)</f>
        <v>0.30299999999999999</v>
      </c>
      <c r="I346" s="42">
        <f>_xlfn.XLOOKUP(Table3[[#This Row],[instant]],Table2[instant],Table2[hum], ,0,1)</f>
        <v>0.39</v>
      </c>
      <c r="J346" s="42">
        <f>_xlfn.XLOOKUP(Table3[[#This Row],[instant]],Table2[instant],Table2[windspeed], ,0,1)</f>
        <v>0.25369999999999998</v>
      </c>
      <c r="K346" s="42">
        <f>_xlfn.XLOOKUP(Table3[[#This Row],[instant]],Table2[instant],Table2[casual], ,0,1)</f>
        <v>6</v>
      </c>
      <c r="L346" s="42">
        <f>_xlfn.XLOOKUP(Table3[[#This Row],[instant]],Table2[instant],Table2[registered], ,0,1)</f>
        <v>35</v>
      </c>
      <c r="M346" s="46">
        <f>_xlfn.XLOOKUP(Table3[[#This Row],[instant]],Table2[instant],Table2[cnt], ,0,1)</f>
        <v>41</v>
      </c>
      <c r="N346" s="42" t="str">
        <f>IF(OR(Table3[[#This Row],[weekday]]=0,Table3[[#This Row],[weekday]]=6),"Weekend","Weekday")</f>
        <v>Weekend</v>
      </c>
    </row>
    <row r="347" spans="1:14" ht="15" thickBot="1" x14ac:dyDescent="0.35">
      <c r="A347" s="1">
        <v>346</v>
      </c>
      <c r="B347" s="3">
        <f>_xlfn.XLOOKUP(Table3[[#This Row],[instant]],DatSet1!A347:A956,DatSet1!B347:B956,_xlfn.XLOOKUP(Table3[[#This Row],[instant]],'Final Data'!A347:A736,'Final Data'!B347:B736, ,0,1),0,1)</f>
        <v>40558</v>
      </c>
      <c r="C347" s="1">
        <f>_xlfn.XLOOKUP(Table3[[#This Row],[instant]],Table1[instant],Table1[hr], ,0,1)</f>
        <v>21</v>
      </c>
      <c r="D347" s="2" t="b">
        <f>_xlfn.XLOOKUP(Table3[[#This Row],[instant]],Table1[instant],Table1[holiday], ,0,1)</f>
        <v>0</v>
      </c>
      <c r="E347" s="2">
        <f>_xlfn.XLOOKUP(Table3[[#This Row],[instant]],Table1[instant],Table1[weekday], ,0,1)</f>
        <v>6</v>
      </c>
      <c r="F347" s="2">
        <f>_xlfn.XLOOKUP(Table3[[#This Row],[instant]],Table1[instant],Table1[weathersit], ,0,1)</f>
        <v>2</v>
      </c>
      <c r="G347" s="2">
        <f>_xlfn.XLOOKUP(Table3[[#This Row],[instant]],Table1[instant],Table1[temp], ,0,1)</f>
        <v>0.32</v>
      </c>
      <c r="H347" s="24">
        <f>_xlfn.XLOOKUP(Table3[[#This Row],[instant]],Table2[instant],Table2[atemp], ,0,1)</f>
        <v>0.30299999999999999</v>
      </c>
      <c r="I347" s="1">
        <f>_xlfn.XLOOKUP(Table3[[#This Row],[instant]],Table2[instant],Table2[hum], ,0,1)</f>
        <v>0.39</v>
      </c>
      <c r="J347" s="1">
        <f>_xlfn.XLOOKUP(Table3[[#This Row],[instant]],Table2[instant],Table2[windspeed], ,0,1)</f>
        <v>0.22389999999999999</v>
      </c>
      <c r="K347" s="1">
        <f>_xlfn.XLOOKUP(Table3[[#This Row],[instant]],Table2[instant],Table2[casual], ,0,1)</f>
        <v>6</v>
      </c>
      <c r="L347" s="1">
        <f>_xlfn.XLOOKUP(Table3[[#This Row],[instant]],Table2[instant],Table2[registered], ,0,1)</f>
        <v>51</v>
      </c>
      <c r="M347" s="6">
        <f>_xlfn.XLOOKUP(Table3[[#This Row],[instant]],Table2[instant],Table2[cnt], ,0,1)</f>
        <v>57</v>
      </c>
      <c r="N347" s="1" t="str">
        <f>IF(OR(Table3[[#This Row],[weekday]]=0,Table3[[#This Row],[weekday]]=6),"Weekend","Weekday")</f>
        <v>Weekend</v>
      </c>
    </row>
    <row r="348" spans="1:14" ht="15" thickBot="1" x14ac:dyDescent="0.35">
      <c r="A348" s="42">
        <v>347</v>
      </c>
      <c r="B348" s="43">
        <f>_xlfn.XLOOKUP(Table3[[#This Row],[instant]],DatSet1!A348:A957,DatSet1!B348:B957,_xlfn.XLOOKUP(Table3[[#This Row],[instant]],'Final Data'!A348:A737,'Final Data'!B348:B737, ,0,1),0,1)</f>
        <v>40558</v>
      </c>
      <c r="C348" s="42">
        <f>_xlfn.XLOOKUP(Table3[[#This Row],[instant]],Table1[instant],Table1[hr], ,0,1)</f>
        <v>22</v>
      </c>
      <c r="D348" s="44" t="b">
        <f>_xlfn.XLOOKUP(Table3[[#This Row],[instant]],Table1[instant],Table1[holiday], ,0,1)</f>
        <v>0</v>
      </c>
      <c r="E348" s="44">
        <f>_xlfn.XLOOKUP(Table3[[#This Row],[instant]],Table1[instant],Table1[weekday], ,0,1)</f>
        <v>6</v>
      </c>
      <c r="F348" s="44">
        <f>_xlfn.XLOOKUP(Table3[[#This Row],[instant]],Table1[instant],Table1[weathersit], ,0,1)</f>
        <v>2</v>
      </c>
      <c r="G348" s="44">
        <f>_xlfn.XLOOKUP(Table3[[#This Row],[instant]],Table1[instant],Table1[temp], ,0,1)</f>
        <v>0.3</v>
      </c>
      <c r="H348" s="45">
        <f>_xlfn.XLOOKUP(Table3[[#This Row],[instant]],Table2[instant],Table2[atemp], ,0,1)</f>
        <v>0.31819999999999998</v>
      </c>
      <c r="I348" s="42">
        <f>_xlfn.XLOOKUP(Table3[[#This Row],[instant]],Table2[instant],Table2[hum], ,0,1)</f>
        <v>0.42</v>
      </c>
      <c r="J348" s="42">
        <f>_xlfn.XLOOKUP(Table3[[#This Row],[instant]],Table2[instant],Table2[windspeed], ,0,1)</f>
        <v>0.1045</v>
      </c>
      <c r="K348" s="42">
        <f>_xlfn.XLOOKUP(Table3[[#This Row],[instant]],Table2[instant],Table2[casual], ,0,1)</f>
        <v>0</v>
      </c>
      <c r="L348" s="42">
        <f>_xlfn.XLOOKUP(Table3[[#This Row],[instant]],Table2[instant],Table2[registered], ,0,1)</f>
        <v>26</v>
      </c>
      <c r="M348" s="46">
        <f>_xlfn.XLOOKUP(Table3[[#This Row],[instant]],Table2[instant],Table2[cnt], ,0,1)</f>
        <v>26</v>
      </c>
      <c r="N348" s="42" t="str">
        <f>IF(OR(Table3[[#This Row],[weekday]]=0,Table3[[#This Row],[weekday]]=6),"Weekend","Weekday")</f>
        <v>Weekend</v>
      </c>
    </row>
    <row r="349" spans="1:14" ht="15" thickBot="1" x14ac:dyDescent="0.35">
      <c r="A349" s="1">
        <v>348</v>
      </c>
      <c r="B349" s="3">
        <f>_xlfn.XLOOKUP(Table3[[#This Row],[instant]],DatSet1!A349:A958,DatSet1!B349:B958,_xlfn.XLOOKUP(Table3[[#This Row],[instant]],'Final Data'!A349:A738,'Final Data'!B349:B738, ,0,1),0,1)</f>
        <v>40558</v>
      </c>
      <c r="C349" s="1">
        <f>_xlfn.XLOOKUP(Table3[[#This Row],[instant]],Table1[instant],Table1[hr], ,0,1)</f>
        <v>23</v>
      </c>
      <c r="D349" s="2" t="b">
        <f>_xlfn.XLOOKUP(Table3[[#This Row],[instant]],Table1[instant],Table1[holiday], ,0,1)</f>
        <v>0</v>
      </c>
      <c r="E349" s="2">
        <f>_xlfn.XLOOKUP(Table3[[#This Row],[instant]],Table1[instant],Table1[weekday], ,0,1)</f>
        <v>6</v>
      </c>
      <c r="F349" s="2">
        <f>_xlfn.XLOOKUP(Table3[[#This Row],[instant]],Table1[instant],Table1[weathersit], ,0,1)</f>
        <v>1</v>
      </c>
      <c r="G349" s="2">
        <f>_xlfn.XLOOKUP(Table3[[#This Row],[instant]],Table1[instant],Table1[temp], ,0,1)</f>
        <v>0.3</v>
      </c>
      <c r="H349" s="24">
        <f>_xlfn.XLOOKUP(Table3[[#This Row],[instant]],Table2[instant],Table2[atemp], ,0,1)</f>
        <v>0.28789999999999999</v>
      </c>
      <c r="I349" s="1">
        <f>_xlfn.XLOOKUP(Table3[[#This Row],[instant]],Table2[instant],Table2[hum], ,0,1)</f>
        <v>0.45</v>
      </c>
      <c r="J349" s="1">
        <f>_xlfn.XLOOKUP(Table3[[#This Row],[instant]],Table2[instant],Table2[windspeed], ,0,1)</f>
        <v>0.28360000000000002</v>
      </c>
      <c r="K349" s="1">
        <f>_xlfn.XLOOKUP(Table3[[#This Row],[instant]],Table2[instant],Table2[casual], ,0,1)</f>
        <v>5</v>
      </c>
      <c r="L349" s="1">
        <f>_xlfn.XLOOKUP(Table3[[#This Row],[instant]],Table2[instant],Table2[registered], ,0,1)</f>
        <v>39</v>
      </c>
      <c r="M349" s="6">
        <f>_xlfn.XLOOKUP(Table3[[#This Row],[instant]],Table2[instant],Table2[cnt], ,0,1)</f>
        <v>44</v>
      </c>
      <c r="N349" s="1" t="str">
        <f>IF(OR(Table3[[#This Row],[weekday]]=0,Table3[[#This Row],[weekday]]=6),"Weekend","Weekday")</f>
        <v>Weekend</v>
      </c>
    </row>
    <row r="350" spans="1:14" ht="15" thickBot="1" x14ac:dyDescent="0.35">
      <c r="A350" s="42">
        <v>349</v>
      </c>
      <c r="B350" s="43">
        <f>_xlfn.XLOOKUP(Table3[[#This Row],[instant]],DatSet1!A350:A959,DatSet1!B350:B959,_xlfn.XLOOKUP(Table3[[#This Row],[instant]],'Final Data'!A350:A739,'Final Data'!B350:B739, ,0,1),0,1)</f>
        <v>40559</v>
      </c>
      <c r="C350" s="42">
        <f>_xlfn.XLOOKUP(Table3[[#This Row],[instant]],Table1[instant],Table1[hr], ,0,1)</f>
        <v>0</v>
      </c>
      <c r="D350" s="44" t="b">
        <f>_xlfn.XLOOKUP(Table3[[#This Row],[instant]],Table1[instant],Table1[holiday], ,0,1)</f>
        <v>0</v>
      </c>
      <c r="E350" s="44">
        <f>_xlfn.XLOOKUP(Table3[[#This Row],[instant]],Table1[instant],Table1[weekday], ,0,1)</f>
        <v>0</v>
      </c>
      <c r="F350" s="44">
        <f>_xlfn.XLOOKUP(Table3[[#This Row],[instant]],Table1[instant],Table1[weathersit], ,0,1)</f>
        <v>1</v>
      </c>
      <c r="G350" s="44">
        <f>_xlfn.XLOOKUP(Table3[[#This Row],[instant]],Table1[instant],Table1[temp], ,0,1)</f>
        <v>0.26</v>
      </c>
      <c r="H350" s="45">
        <f>_xlfn.XLOOKUP(Table3[[#This Row],[instant]],Table2[instant],Table2[atemp], ,0,1)</f>
        <v>0.30299999999999999</v>
      </c>
      <c r="I350" s="42">
        <f>_xlfn.XLOOKUP(Table3[[#This Row],[instant]],Table2[instant],Table2[hum], ,0,1)</f>
        <v>0.56000000000000005</v>
      </c>
      <c r="J350" s="42">
        <f>_xlfn.XLOOKUP(Table3[[#This Row],[instant]],Table2[instant],Table2[windspeed], ,0,1)</f>
        <v>0</v>
      </c>
      <c r="K350" s="42">
        <f>_xlfn.XLOOKUP(Table3[[#This Row],[instant]],Table2[instant],Table2[casual], ,0,1)</f>
        <v>6</v>
      </c>
      <c r="L350" s="42">
        <f>_xlfn.XLOOKUP(Table3[[#This Row],[instant]],Table2[instant],Table2[registered], ,0,1)</f>
        <v>33</v>
      </c>
      <c r="M350" s="46">
        <f>_xlfn.XLOOKUP(Table3[[#This Row],[instant]],Table2[instant],Table2[cnt], ,0,1)</f>
        <v>39</v>
      </c>
      <c r="N350" s="42" t="str">
        <f>IF(OR(Table3[[#This Row],[weekday]]=0,Table3[[#This Row],[weekday]]=6),"Weekend","Weekday")</f>
        <v>Weekend</v>
      </c>
    </row>
    <row r="351" spans="1:14" ht="15" thickBot="1" x14ac:dyDescent="0.35">
      <c r="A351" s="1">
        <v>350</v>
      </c>
      <c r="B351" s="3">
        <f>_xlfn.XLOOKUP(Table3[[#This Row],[instant]],DatSet1!A351:A960,DatSet1!B351:B960,_xlfn.XLOOKUP(Table3[[#This Row],[instant]],'Final Data'!A351:A740,'Final Data'!B351:B740, ,0,1),0,1)</f>
        <v>40559</v>
      </c>
      <c r="C351" s="1">
        <f>_xlfn.XLOOKUP(Table3[[#This Row],[instant]],Table1[instant],Table1[hr], ,0,1)</f>
        <v>1</v>
      </c>
      <c r="D351" s="2" t="b">
        <f>_xlfn.XLOOKUP(Table3[[#This Row],[instant]],Table1[instant],Table1[holiday], ,0,1)</f>
        <v>0</v>
      </c>
      <c r="E351" s="2">
        <f>_xlfn.XLOOKUP(Table3[[#This Row],[instant]],Table1[instant],Table1[weekday], ,0,1)</f>
        <v>0</v>
      </c>
      <c r="F351" s="2">
        <f>_xlfn.XLOOKUP(Table3[[#This Row],[instant]],Table1[instant],Table1[weathersit], ,0,1)</f>
        <v>1</v>
      </c>
      <c r="G351" s="2">
        <f>_xlfn.XLOOKUP(Table3[[#This Row],[instant]],Table1[instant],Table1[temp], ,0,1)</f>
        <v>0.26</v>
      </c>
      <c r="H351" s="24">
        <f>_xlfn.XLOOKUP(Table3[[#This Row],[instant]],Table2[instant],Table2[atemp], ,0,1)</f>
        <v>0.2727</v>
      </c>
      <c r="I351" s="1">
        <f>_xlfn.XLOOKUP(Table3[[#This Row],[instant]],Table2[instant],Table2[hum], ,0,1)</f>
        <v>0.56000000000000005</v>
      </c>
      <c r="J351" s="1">
        <f>_xlfn.XLOOKUP(Table3[[#This Row],[instant]],Table2[instant],Table2[windspeed], ,0,1)</f>
        <v>0.1343</v>
      </c>
      <c r="K351" s="1">
        <f>_xlfn.XLOOKUP(Table3[[#This Row],[instant]],Table2[instant],Table2[casual], ,0,1)</f>
        <v>4</v>
      </c>
      <c r="L351" s="1">
        <f>_xlfn.XLOOKUP(Table3[[#This Row],[instant]],Table2[instant],Table2[registered], ,0,1)</f>
        <v>19</v>
      </c>
      <c r="M351" s="6">
        <f>_xlfn.XLOOKUP(Table3[[#This Row],[instant]],Table2[instant],Table2[cnt], ,0,1)</f>
        <v>23</v>
      </c>
      <c r="N351" s="1" t="str">
        <f>IF(OR(Table3[[#This Row],[weekday]]=0,Table3[[#This Row],[weekday]]=6),"Weekend","Weekday")</f>
        <v>Weekend</v>
      </c>
    </row>
    <row r="352" spans="1:14" ht="15" thickBot="1" x14ac:dyDescent="0.35">
      <c r="A352" s="42">
        <v>351</v>
      </c>
      <c r="B352" s="43">
        <f>_xlfn.XLOOKUP(Table3[[#This Row],[instant]],DatSet1!A352:A961,DatSet1!B352:B961,_xlfn.XLOOKUP(Table3[[#This Row],[instant]],'Final Data'!A352:A741,'Final Data'!B352:B741, ,0,1),0,1)</f>
        <v>40559</v>
      </c>
      <c r="C352" s="42">
        <f>_xlfn.XLOOKUP(Table3[[#This Row],[instant]],Table1[instant],Table1[hr], ,0,1)</f>
        <v>2</v>
      </c>
      <c r="D352" s="44" t="b">
        <f>_xlfn.XLOOKUP(Table3[[#This Row],[instant]],Table1[instant],Table1[holiday], ,0,1)</f>
        <v>0</v>
      </c>
      <c r="E352" s="44">
        <f>_xlfn.XLOOKUP(Table3[[#This Row],[instant]],Table1[instant],Table1[weekday], ,0,1)</f>
        <v>0</v>
      </c>
      <c r="F352" s="44">
        <f>_xlfn.XLOOKUP(Table3[[#This Row],[instant]],Table1[instant],Table1[weathersit], ,0,1)</f>
        <v>1</v>
      </c>
      <c r="G352" s="44">
        <f>_xlfn.XLOOKUP(Table3[[#This Row],[instant]],Table1[instant],Table1[temp], ,0,1)</f>
        <v>0.26</v>
      </c>
      <c r="H352" s="45">
        <f>_xlfn.XLOOKUP(Table3[[#This Row],[instant]],Table2[instant],Table2[atemp], ,0,1)</f>
        <v>0.28789999999999999</v>
      </c>
      <c r="I352" s="42">
        <f>_xlfn.XLOOKUP(Table3[[#This Row],[instant]],Table2[instant],Table2[hum], ,0,1)</f>
        <v>0.56000000000000005</v>
      </c>
      <c r="J352" s="42">
        <f>_xlfn.XLOOKUP(Table3[[#This Row],[instant]],Table2[instant],Table2[windspeed], ,0,1)</f>
        <v>8.9599999999999999E-2</v>
      </c>
      <c r="K352" s="42">
        <f>_xlfn.XLOOKUP(Table3[[#This Row],[instant]],Table2[instant],Table2[casual], ,0,1)</f>
        <v>3</v>
      </c>
      <c r="L352" s="42">
        <f>_xlfn.XLOOKUP(Table3[[#This Row],[instant]],Table2[instant],Table2[registered], ,0,1)</f>
        <v>13</v>
      </c>
      <c r="M352" s="46">
        <f>_xlfn.XLOOKUP(Table3[[#This Row],[instant]],Table2[instant],Table2[cnt], ,0,1)</f>
        <v>16</v>
      </c>
      <c r="N352" s="42" t="str">
        <f>IF(OR(Table3[[#This Row],[weekday]]=0,Table3[[#This Row],[weekday]]=6),"Weekend","Weekday")</f>
        <v>Weekend</v>
      </c>
    </row>
    <row r="353" spans="1:14" ht="15" thickBot="1" x14ac:dyDescent="0.35">
      <c r="A353" s="1">
        <v>352</v>
      </c>
      <c r="B353" s="3">
        <f>_xlfn.XLOOKUP(Table3[[#This Row],[instant]],DatSet1!A353:A962,DatSet1!B353:B962,_xlfn.XLOOKUP(Table3[[#This Row],[instant]],'Final Data'!A353:A742,'Final Data'!B353:B742, ,0,1),0,1)</f>
        <v>40559</v>
      </c>
      <c r="C353" s="1">
        <f>_xlfn.XLOOKUP(Table3[[#This Row],[instant]],Table1[instant],Table1[hr], ,0,1)</f>
        <v>3</v>
      </c>
      <c r="D353" s="2" t="b">
        <f>_xlfn.XLOOKUP(Table3[[#This Row],[instant]],Table1[instant],Table1[holiday], ,0,1)</f>
        <v>0</v>
      </c>
      <c r="E353" s="2">
        <f>_xlfn.XLOOKUP(Table3[[#This Row],[instant]],Table1[instant],Table1[weekday], ,0,1)</f>
        <v>0</v>
      </c>
      <c r="F353" s="2">
        <f>_xlfn.XLOOKUP(Table3[[#This Row],[instant]],Table1[instant],Table1[weathersit], ,0,1)</f>
        <v>1</v>
      </c>
      <c r="G353" s="2">
        <f>_xlfn.XLOOKUP(Table3[[#This Row],[instant]],Table1[instant],Table1[temp], ,0,1)</f>
        <v>0.22</v>
      </c>
      <c r="H353" s="24">
        <f>_xlfn.XLOOKUP(Table3[[#This Row],[instant]],Table2[instant],Table2[atemp], ,0,1)</f>
        <v>0.2727</v>
      </c>
      <c r="I353" s="1">
        <f>_xlfn.XLOOKUP(Table3[[#This Row],[instant]],Table2[instant],Table2[hum], ,0,1)</f>
        <v>0.69</v>
      </c>
      <c r="J353" s="1">
        <f>_xlfn.XLOOKUP(Table3[[#This Row],[instant]],Table2[instant],Table2[windspeed], ,0,1)</f>
        <v>0</v>
      </c>
      <c r="K353" s="1">
        <f>_xlfn.XLOOKUP(Table3[[#This Row],[instant]],Table2[instant],Table2[casual], ,0,1)</f>
        <v>9</v>
      </c>
      <c r="L353" s="1">
        <f>_xlfn.XLOOKUP(Table3[[#This Row],[instant]],Table2[instant],Table2[registered], ,0,1)</f>
        <v>6</v>
      </c>
      <c r="M353" s="6">
        <f>_xlfn.XLOOKUP(Table3[[#This Row],[instant]],Table2[instant],Table2[cnt], ,0,1)</f>
        <v>15</v>
      </c>
      <c r="N353" s="1" t="str">
        <f>IF(OR(Table3[[#This Row],[weekday]]=0,Table3[[#This Row],[weekday]]=6),"Weekend","Weekday")</f>
        <v>Weekend</v>
      </c>
    </row>
    <row r="354" spans="1:14" ht="15" thickBot="1" x14ac:dyDescent="0.35">
      <c r="A354" s="42">
        <v>353</v>
      </c>
      <c r="B354" s="43">
        <f>_xlfn.XLOOKUP(Table3[[#This Row],[instant]],DatSet1!A354:A963,DatSet1!B354:B963,_xlfn.XLOOKUP(Table3[[#This Row],[instant]],'Final Data'!A354:A743,'Final Data'!B354:B743, ,0,1),0,1)</f>
        <v>40559</v>
      </c>
      <c r="C354" s="42">
        <f>_xlfn.XLOOKUP(Table3[[#This Row],[instant]],Table1[instant],Table1[hr], ,0,1)</f>
        <v>4</v>
      </c>
      <c r="D354" s="44" t="b">
        <f>_xlfn.XLOOKUP(Table3[[#This Row],[instant]],Table1[instant],Table1[holiday], ,0,1)</f>
        <v>0</v>
      </c>
      <c r="E354" s="44">
        <f>_xlfn.XLOOKUP(Table3[[#This Row],[instant]],Table1[instant],Table1[weekday], ,0,1)</f>
        <v>0</v>
      </c>
      <c r="F354" s="44">
        <f>_xlfn.XLOOKUP(Table3[[#This Row],[instant]],Table1[instant],Table1[weathersit], ,0,1)</f>
        <v>1</v>
      </c>
      <c r="G354" s="44">
        <f>_xlfn.XLOOKUP(Table3[[#This Row],[instant]],Table1[instant],Table1[temp], ,0,1)</f>
        <v>0.26</v>
      </c>
      <c r="H354" s="45">
        <f>_xlfn.XLOOKUP(Table3[[#This Row],[instant]],Table2[instant],Table2[atemp], ,0,1)</f>
        <v>0.2576</v>
      </c>
      <c r="I354" s="42">
        <f>_xlfn.XLOOKUP(Table3[[#This Row],[instant]],Table2[instant],Table2[hum], ,0,1)</f>
        <v>0.56000000000000005</v>
      </c>
      <c r="J354" s="42">
        <f>_xlfn.XLOOKUP(Table3[[#This Row],[instant]],Table2[instant],Table2[windspeed], ,0,1)</f>
        <v>0.16420000000000001</v>
      </c>
      <c r="K354" s="42">
        <f>_xlfn.XLOOKUP(Table3[[#This Row],[instant]],Table2[instant],Table2[casual], ,0,1)</f>
        <v>0</v>
      </c>
      <c r="L354" s="42">
        <f>_xlfn.XLOOKUP(Table3[[#This Row],[instant]],Table2[instant],Table2[registered], ,0,1)</f>
        <v>1</v>
      </c>
      <c r="M354" s="46">
        <f>_xlfn.XLOOKUP(Table3[[#This Row],[instant]],Table2[instant],Table2[cnt], ,0,1)</f>
        <v>1</v>
      </c>
      <c r="N354" s="42" t="str">
        <f>IF(OR(Table3[[#This Row],[weekday]]=0,Table3[[#This Row],[weekday]]=6),"Weekend","Weekday")</f>
        <v>Weekend</v>
      </c>
    </row>
    <row r="355" spans="1:14" ht="15" thickBot="1" x14ac:dyDescent="0.35">
      <c r="A355" s="1">
        <v>354</v>
      </c>
      <c r="B355" s="3">
        <f>_xlfn.XLOOKUP(Table3[[#This Row],[instant]],DatSet1!A355:A964,DatSet1!B355:B964,_xlfn.XLOOKUP(Table3[[#This Row],[instant]],'Final Data'!A355:A744,'Final Data'!B355:B744, ,0,1),0,1)</f>
        <v>40559</v>
      </c>
      <c r="C355" s="1">
        <f>_xlfn.XLOOKUP(Table3[[#This Row],[instant]],Table1[instant],Table1[hr], ,0,1)</f>
        <v>5</v>
      </c>
      <c r="D355" s="2" t="b">
        <f>_xlfn.XLOOKUP(Table3[[#This Row],[instant]],Table1[instant],Table1[holiday], ,0,1)</f>
        <v>0</v>
      </c>
      <c r="E355" s="2">
        <f>_xlfn.XLOOKUP(Table3[[#This Row],[instant]],Table1[instant],Table1[weekday], ,0,1)</f>
        <v>0</v>
      </c>
      <c r="F355" s="2">
        <f>_xlfn.XLOOKUP(Table3[[#This Row],[instant]],Table1[instant],Table1[weathersit], ,0,1)</f>
        <v>2</v>
      </c>
      <c r="G355" s="2">
        <f>_xlfn.XLOOKUP(Table3[[#This Row],[instant]],Table1[instant],Table1[temp], ,0,1)</f>
        <v>0.26</v>
      </c>
      <c r="H355" s="24">
        <f>_xlfn.XLOOKUP(Table3[[#This Row],[instant]],Table2[instant],Table2[atemp], ,0,1)</f>
        <v>0.2576</v>
      </c>
      <c r="I355" s="1">
        <f>_xlfn.XLOOKUP(Table3[[#This Row],[instant]],Table2[instant],Table2[hum], ,0,1)</f>
        <v>0.56000000000000005</v>
      </c>
      <c r="J355" s="1">
        <f>_xlfn.XLOOKUP(Table3[[#This Row],[instant]],Table2[instant],Table2[windspeed], ,0,1)</f>
        <v>0.16420000000000001</v>
      </c>
      <c r="K355" s="1">
        <f>_xlfn.XLOOKUP(Table3[[#This Row],[instant]],Table2[instant],Table2[casual], ,0,1)</f>
        <v>1</v>
      </c>
      <c r="L355" s="1">
        <f>_xlfn.XLOOKUP(Table3[[#This Row],[instant]],Table2[instant],Table2[registered], ,0,1)</f>
        <v>1</v>
      </c>
      <c r="M355" s="6">
        <f>_xlfn.XLOOKUP(Table3[[#This Row],[instant]],Table2[instant],Table2[cnt], ,0,1)</f>
        <v>2</v>
      </c>
      <c r="N355" s="1" t="str">
        <f>IF(OR(Table3[[#This Row],[weekday]]=0,Table3[[#This Row],[weekday]]=6),"Weekend","Weekday")</f>
        <v>Weekend</v>
      </c>
    </row>
    <row r="356" spans="1:14" ht="15" thickBot="1" x14ac:dyDescent="0.35">
      <c r="A356" s="42">
        <v>355</v>
      </c>
      <c r="B356" s="43">
        <f>_xlfn.XLOOKUP(Table3[[#This Row],[instant]],DatSet1!A356:A965,DatSet1!B356:B965,_xlfn.XLOOKUP(Table3[[#This Row],[instant]],'Final Data'!A356:A745,'Final Data'!B356:B745, ,0,1),0,1)</f>
        <v>40559</v>
      </c>
      <c r="C356" s="42">
        <f>_xlfn.XLOOKUP(Table3[[#This Row],[instant]],Table1[instant],Table1[hr], ,0,1)</f>
        <v>6</v>
      </c>
      <c r="D356" s="44" t="b">
        <f>_xlfn.XLOOKUP(Table3[[#This Row],[instant]],Table1[instant],Table1[holiday], ,0,1)</f>
        <v>0</v>
      </c>
      <c r="E356" s="44">
        <f>_xlfn.XLOOKUP(Table3[[#This Row],[instant]],Table1[instant],Table1[weekday], ,0,1)</f>
        <v>0</v>
      </c>
      <c r="F356" s="44">
        <f>_xlfn.XLOOKUP(Table3[[#This Row],[instant]],Table1[instant],Table1[weathersit], ,0,1)</f>
        <v>2</v>
      </c>
      <c r="G356" s="44">
        <f>_xlfn.XLOOKUP(Table3[[#This Row],[instant]],Table1[instant],Table1[temp], ,0,1)</f>
        <v>0.26</v>
      </c>
      <c r="H356" s="45">
        <f>_xlfn.XLOOKUP(Table3[[#This Row],[instant]],Table2[instant],Table2[atemp], ,0,1)</f>
        <v>0.2576</v>
      </c>
      <c r="I356" s="42">
        <f>_xlfn.XLOOKUP(Table3[[#This Row],[instant]],Table2[instant],Table2[hum], ,0,1)</f>
        <v>0.56000000000000005</v>
      </c>
      <c r="J356" s="42">
        <f>_xlfn.XLOOKUP(Table3[[#This Row],[instant]],Table2[instant],Table2[windspeed], ,0,1)</f>
        <v>0.16420000000000001</v>
      </c>
      <c r="K356" s="42">
        <f>_xlfn.XLOOKUP(Table3[[#This Row],[instant]],Table2[instant],Table2[casual], ,0,1)</f>
        <v>0</v>
      </c>
      <c r="L356" s="42">
        <f>_xlfn.XLOOKUP(Table3[[#This Row],[instant]],Table2[instant],Table2[registered], ,0,1)</f>
        <v>1</v>
      </c>
      <c r="M356" s="46">
        <f>_xlfn.XLOOKUP(Table3[[#This Row],[instant]],Table2[instant],Table2[cnt], ,0,1)</f>
        <v>1</v>
      </c>
      <c r="N356" s="42" t="str">
        <f>IF(OR(Table3[[#This Row],[weekday]]=0,Table3[[#This Row],[weekday]]=6),"Weekend","Weekday")</f>
        <v>Weekend</v>
      </c>
    </row>
    <row r="357" spans="1:14" ht="15" thickBot="1" x14ac:dyDescent="0.35">
      <c r="A357" s="1">
        <v>356</v>
      </c>
      <c r="B357" s="3">
        <f>_xlfn.XLOOKUP(Table3[[#This Row],[instant]],DatSet1!A357:A966,DatSet1!B357:B966,_xlfn.XLOOKUP(Table3[[#This Row],[instant]],'Final Data'!A357:A746,'Final Data'!B357:B746, ,0,1),0,1)</f>
        <v>40559</v>
      </c>
      <c r="C357" s="1">
        <f>_xlfn.XLOOKUP(Table3[[#This Row],[instant]],Table1[instant],Table1[hr], ,0,1)</f>
        <v>7</v>
      </c>
      <c r="D357" s="2" t="b">
        <f>_xlfn.XLOOKUP(Table3[[#This Row],[instant]],Table1[instant],Table1[holiday], ,0,1)</f>
        <v>0</v>
      </c>
      <c r="E357" s="2">
        <f>_xlfn.XLOOKUP(Table3[[#This Row],[instant]],Table1[instant],Table1[weekday], ,0,1)</f>
        <v>0</v>
      </c>
      <c r="F357" s="2">
        <f>_xlfn.XLOOKUP(Table3[[#This Row],[instant]],Table1[instant],Table1[weathersit], ,0,1)</f>
        <v>2</v>
      </c>
      <c r="G357" s="2">
        <f>_xlfn.XLOOKUP(Table3[[#This Row],[instant]],Table1[instant],Table1[temp], ,0,1)</f>
        <v>0.24</v>
      </c>
      <c r="H357" s="24">
        <f>_xlfn.XLOOKUP(Table3[[#This Row],[instant]],Table2[instant],Table2[atemp], ,0,1)</f>
        <v>0.21210000000000001</v>
      </c>
      <c r="I357" s="1">
        <f>_xlfn.XLOOKUP(Table3[[#This Row],[instant]],Table2[instant],Table2[hum], ,0,1)</f>
        <v>0.56000000000000005</v>
      </c>
      <c r="J357" s="1">
        <f>_xlfn.XLOOKUP(Table3[[#This Row],[instant]],Table2[instant],Table2[windspeed], ,0,1)</f>
        <v>0.29849999999999999</v>
      </c>
      <c r="K357" s="1">
        <f>_xlfn.XLOOKUP(Table3[[#This Row],[instant]],Table2[instant],Table2[casual], ,0,1)</f>
        <v>0</v>
      </c>
      <c r="L357" s="1">
        <f>_xlfn.XLOOKUP(Table3[[#This Row],[instant]],Table2[instant],Table2[registered], ,0,1)</f>
        <v>3</v>
      </c>
      <c r="M357" s="6">
        <f>_xlfn.XLOOKUP(Table3[[#This Row],[instant]],Table2[instant],Table2[cnt], ,0,1)</f>
        <v>3</v>
      </c>
      <c r="N357" s="1" t="str">
        <f>IF(OR(Table3[[#This Row],[weekday]]=0,Table3[[#This Row],[weekday]]=6),"Weekend","Weekday")</f>
        <v>Weekend</v>
      </c>
    </row>
    <row r="358" spans="1:14" ht="15" thickBot="1" x14ac:dyDescent="0.35">
      <c r="A358" s="42">
        <v>357</v>
      </c>
      <c r="B358" s="43">
        <f>_xlfn.XLOOKUP(Table3[[#This Row],[instant]],DatSet1!A358:A967,DatSet1!B358:B967,_xlfn.XLOOKUP(Table3[[#This Row],[instant]],'Final Data'!A358:A747,'Final Data'!B358:B747, ,0,1),0,1)</f>
        <v>40559</v>
      </c>
      <c r="C358" s="42">
        <f>_xlfn.XLOOKUP(Table3[[#This Row],[instant]],Table1[instant],Table1[hr], ,0,1)</f>
        <v>8</v>
      </c>
      <c r="D358" s="44" t="b">
        <f>_xlfn.XLOOKUP(Table3[[#This Row],[instant]],Table1[instant],Table1[holiday], ,0,1)</f>
        <v>0</v>
      </c>
      <c r="E358" s="44">
        <f>_xlfn.XLOOKUP(Table3[[#This Row],[instant]],Table1[instant],Table1[weekday], ,0,1)</f>
        <v>0</v>
      </c>
      <c r="F358" s="44">
        <f>_xlfn.XLOOKUP(Table3[[#This Row],[instant]],Table1[instant],Table1[weathersit], ,0,1)</f>
        <v>1</v>
      </c>
      <c r="G358" s="44">
        <f>_xlfn.XLOOKUP(Table3[[#This Row],[instant]],Table1[instant],Table1[temp], ,0,1)</f>
        <v>0.22</v>
      </c>
      <c r="H358" s="45">
        <f>_xlfn.XLOOKUP(Table3[[#This Row],[instant]],Table2[instant],Table2[atemp], ,0,1)</f>
        <v>0.21210000000000001</v>
      </c>
      <c r="I358" s="42">
        <f>_xlfn.XLOOKUP(Table3[[#This Row],[instant]],Table2[instant],Table2[hum], ,0,1)</f>
        <v>0.55000000000000004</v>
      </c>
      <c r="J358" s="42">
        <f>_xlfn.XLOOKUP(Table3[[#This Row],[instant]],Table2[instant],Table2[windspeed], ,0,1)</f>
        <v>0.28360000000000002</v>
      </c>
      <c r="K358" s="42">
        <f>_xlfn.XLOOKUP(Table3[[#This Row],[instant]],Table2[instant],Table2[casual], ,0,1)</f>
        <v>0</v>
      </c>
      <c r="L358" s="42">
        <f>_xlfn.XLOOKUP(Table3[[#This Row],[instant]],Table2[instant],Table2[registered], ,0,1)</f>
        <v>18</v>
      </c>
      <c r="M358" s="46">
        <f>_xlfn.XLOOKUP(Table3[[#This Row],[instant]],Table2[instant],Table2[cnt], ,0,1)</f>
        <v>18</v>
      </c>
      <c r="N358" s="42" t="str">
        <f>IF(OR(Table3[[#This Row],[weekday]]=0,Table3[[#This Row],[weekday]]=6),"Weekend","Weekday")</f>
        <v>Weekend</v>
      </c>
    </row>
    <row r="359" spans="1:14" ht="15" thickBot="1" x14ac:dyDescent="0.35">
      <c r="A359" s="1">
        <v>358</v>
      </c>
      <c r="B359" s="3">
        <f>_xlfn.XLOOKUP(Table3[[#This Row],[instant]],DatSet1!A359:A968,DatSet1!B359:B968,_xlfn.XLOOKUP(Table3[[#This Row],[instant]],'Final Data'!A359:A748,'Final Data'!B359:B748, ,0,1),0,1)</f>
        <v>40559</v>
      </c>
      <c r="C359" s="1">
        <f>_xlfn.XLOOKUP(Table3[[#This Row],[instant]],Table1[instant],Table1[hr], ,0,1)</f>
        <v>9</v>
      </c>
      <c r="D359" s="2" t="b">
        <f>_xlfn.XLOOKUP(Table3[[#This Row],[instant]],Table1[instant],Table1[holiday], ,0,1)</f>
        <v>0</v>
      </c>
      <c r="E359" s="2">
        <f>_xlfn.XLOOKUP(Table3[[#This Row],[instant]],Table1[instant],Table1[weekday], ,0,1)</f>
        <v>0</v>
      </c>
      <c r="F359" s="2">
        <f>_xlfn.XLOOKUP(Table3[[#This Row],[instant]],Table1[instant],Table1[weathersit], ,0,1)</f>
        <v>1</v>
      </c>
      <c r="G359" s="2">
        <f>_xlfn.XLOOKUP(Table3[[#This Row],[instant]],Table1[instant],Table1[temp], ,0,1)</f>
        <v>0.22</v>
      </c>
      <c r="H359" s="24">
        <f>_xlfn.XLOOKUP(Table3[[#This Row],[instant]],Table2[instant],Table2[atemp], ,0,1)</f>
        <v>0.21210000000000001</v>
      </c>
      <c r="I359" s="1">
        <f>_xlfn.XLOOKUP(Table3[[#This Row],[instant]],Table2[instant],Table2[hum], ,0,1)</f>
        <v>0.51</v>
      </c>
      <c r="J359" s="1">
        <f>_xlfn.XLOOKUP(Table3[[#This Row],[instant]],Table2[instant],Table2[windspeed], ,0,1)</f>
        <v>0.25369999999999998</v>
      </c>
      <c r="K359" s="1">
        <f>_xlfn.XLOOKUP(Table3[[#This Row],[instant]],Table2[instant],Table2[casual], ,0,1)</f>
        <v>3</v>
      </c>
      <c r="L359" s="1">
        <f>_xlfn.XLOOKUP(Table3[[#This Row],[instant]],Table2[instant],Table2[registered], ,0,1)</f>
        <v>29</v>
      </c>
      <c r="M359" s="6">
        <f>_xlfn.XLOOKUP(Table3[[#This Row],[instant]],Table2[instant],Table2[cnt], ,0,1)</f>
        <v>32</v>
      </c>
      <c r="N359" s="1" t="str">
        <f>IF(OR(Table3[[#This Row],[weekday]]=0,Table3[[#This Row],[weekday]]=6),"Weekend","Weekday")</f>
        <v>Weekend</v>
      </c>
    </row>
    <row r="360" spans="1:14" ht="15" thickBot="1" x14ac:dyDescent="0.35">
      <c r="A360" s="42">
        <v>359</v>
      </c>
      <c r="B360" s="43">
        <f>_xlfn.XLOOKUP(Table3[[#This Row],[instant]],DatSet1!A360:A969,DatSet1!B360:B969,_xlfn.XLOOKUP(Table3[[#This Row],[instant]],'Final Data'!A360:A749,'Final Data'!B360:B749, ,0,1),0,1)</f>
        <v>40559</v>
      </c>
      <c r="C360" s="42">
        <f>_xlfn.XLOOKUP(Table3[[#This Row],[instant]],Table1[instant],Table1[hr], ,0,1)</f>
        <v>10</v>
      </c>
      <c r="D360" s="44" t="b">
        <f>_xlfn.XLOOKUP(Table3[[#This Row],[instant]],Table1[instant],Table1[holiday], ,0,1)</f>
        <v>0</v>
      </c>
      <c r="E360" s="44">
        <f>_xlfn.XLOOKUP(Table3[[#This Row],[instant]],Table1[instant],Table1[weekday], ,0,1)</f>
        <v>0</v>
      </c>
      <c r="F360" s="44">
        <f>_xlfn.XLOOKUP(Table3[[#This Row],[instant]],Table1[instant],Table1[weathersit], ,0,1)</f>
        <v>1</v>
      </c>
      <c r="G360" s="44">
        <f>_xlfn.XLOOKUP(Table3[[#This Row],[instant]],Table1[instant],Table1[temp], ,0,1)</f>
        <v>0.22</v>
      </c>
      <c r="H360" s="45">
        <f>_xlfn.XLOOKUP(Table3[[#This Row],[instant]],Table2[instant],Table2[atemp], ,0,1)</f>
        <v>0.21210000000000001</v>
      </c>
      <c r="I360" s="42">
        <f>_xlfn.XLOOKUP(Table3[[#This Row],[instant]],Table2[instant],Table2[hum], ,0,1)</f>
        <v>0.51</v>
      </c>
      <c r="J360" s="42">
        <f>_xlfn.XLOOKUP(Table3[[#This Row],[instant]],Table2[instant],Table2[windspeed], ,0,1)</f>
        <v>0.28360000000000002</v>
      </c>
      <c r="K360" s="42">
        <f>_xlfn.XLOOKUP(Table3[[#This Row],[instant]],Table2[instant],Table2[casual], ,0,1)</f>
        <v>8</v>
      </c>
      <c r="L360" s="42">
        <f>_xlfn.XLOOKUP(Table3[[#This Row],[instant]],Table2[instant],Table2[registered], ,0,1)</f>
        <v>71</v>
      </c>
      <c r="M360" s="46">
        <f>_xlfn.XLOOKUP(Table3[[#This Row],[instant]],Table2[instant],Table2[cnt], ,0,1)</f>
        <v>79</v>
      </c>
      <c r="N360" s="42" t="str">
        <f>IF(OR(Table3[[#This Row],[weekday]]=0,Table3[[#This Row],[weekday]]=6),"Weekend","Weekday")</f>
        <v>Weekend</v>
      </c>
    </row>
    <row r="361" spans="1:14" ht="15" thickBot="1" x14ac:dyDescent="0.35">
      <c r="A361" s="1">
        <v>360</v>
      </c>
      <c r="B361" s="3">
        <f>_xlfn.XLOOKUP(Table3[[#This Row],[instant]],DatSet1!A361:A970,DatSet1!B361:B970,_xlfn.XLOOKUP(Table3[[#This Row],[instant]],'Final Data'!A361:A750,'Final Data'!B361:B750, ,0,1),0,1)</f>
        <v>40559</v>
      </c>
      <c r="C361" s="1">
        <f>_xlfn.XLOOKUP(Table3[[#This Row],[instant]],Table1[instant],Table1[hr], ,0,1)</f>
        <v>11</v>
      </c>
      <c r="D361" s="2" t="b">
        <f>_xlfn.XLOOKUP(Table3[[#This Row],[instant]],Table1[instant],Table1[holiday], ,0,1)</f>
        <v>0</v>
      </c>
      <c r="E361" s="2">
        <f>_xlfn.XLOOKUP(Table3[[#This Row],[instant]],Table1[instant],Table1[weekday], ,0,1)</f>
        <v>0</v>
      </c>
      <c r="F361" s="2">
        <f>_xlfn.XLOOKUP(Table3[[#This Row],[instant]],Table1[instant],Table1[weathersit], ,0,1)</f>
        <v>1</v>
      </c>
      <c r="G361" s="2">
        <f>_xlfn.XLOOKUP(Table3[[#This Row],[instant]],Table1[instant],Table1[temp], ,0,1)</f>
        <v>0.24</v>
      </c>
      <c r="H361" s="24">
        <f>_xlfn.XLOOKUP(Table3[[#This Row],[instant]],Table2[instant],Table2[atemp], ,0,1)</f>
        <v>0.2273</v>
      </c>
      <c r="I361" s="1">
        <f>_xlfn.XLOOKUP(Table3[[#This Row],[instant]],Table2[instant],Table2[hum], ,0,1)</f>
        <v>0.44</v>
      </c>
      <c r="J361" s="1">
        <f>_xlfn.XLOOKUP(Table3[[#This Row],[instant]],Table2[instant],Table2[windspeed], ,0,1)</f>
        <v>0.25369999999999998</v>
      </c>
      <c r="K361" s="1">
        <f>_xlfn.XLOOKUP(Table3[[#This Row],[instant]],Table2[instant],Table2[casual], ,0,1)</f>
        <v>23</v>
      </c>
      <c r="L361" s="1">
        <f>_xlfn.XLOOKUP(Table3[[#This Row],[instant]],Table2[instant],Table2[registered], ,0,1)</f>
        <v>70</v>
      </c>
      <c r="M361" s="6">
        <f>_xlfn.XLOOKUP(Table3[[#This Row],[instant]],Table2[instant],Table2[cnt], ,0,1)</f>
        <v>93</v>
      </c>
      <c r="N361" s="1" t="str">
        <f>IF(OR(Table3[[#This Row],[weekday]]=0,Table3[[#This Row],[weekday]]=6),"Weekend","Weekday")</f>
        <v>Weekend</v>
      </c>
    </row>
    <row r="362" spans="1:14" ht="15" thickBot="1" x14ac:dyDescent="0.35">
      <c r="A362" s="42">
        <v>361</v>
      </c>
      <c r="B362" s="43">
        <f>_xlfn.XLOOKUP(Table3[[#This Row],[instant]],DatSet1!A362:A971,DatSet1!B362:B971,_xlfn.XLOOKUP(Table3[[#This Row],[instant]],'Final Data'!A362:A751,'Final Data'!B362:B751, ,0,1),0,1)</f>
        <v>40559</v>
      </c>
      <c r="C362" s="42">
        <f>_xlfn.XLOOKUP(Table3[[#This Row],[instant]],Table1[instant],Table1[hr], ,0,1)</f>
        <v>12</v>
      </c>
      <c r="D362" s="44" t="b">
        <f>_xlfn.XLOOKUP(Table3[[#This Row],[instant]],Table1[instant],Table1[holiday], ,0,1)</f>
        <v>0</v>
      </c>
      <c r="E362" s="44">
        <f>_xlfn.XLOOKUP(Table3[[#This Row],[instant]],Table1[instant],Table1[weekday], ,0,1)</f>
        <v>0</v>
      </c>
      <c r="F362" s="44">
        <f>_xlfn.XLOOKUP(Table3[[#This Row],[instant]],Table1[instant],Table1[weathersit], ,0,1)</f>
        <v>1</v>
      </c>
      <c r="G362" s="44">
        <f>_xlfn.XLOOKUP(Table3[[#This Row],[instant]],Table1[instant],Table1[temp], ,0,1)</f>
        <v>0.24</v>
      </c>
      <c r="H362" s="45">
        <f>_xlfn.XLOOKUP(Table3[[#This Row],[instant]],Table2[instant],Table2[atemp], ,0,1)</f>
        <v>0.21210000000000001</v>
      </c>
      <c r="I362" s="42">
        <f>_xlfn.XLOOKUP(Table3[[#This Row],[instant]],Table2[instant],Table2[hum], ,0,1)</f>
        <v>0.41</v>
      </c>
      <c r="J362" s="42">
        <f>_xlfn.XLOOKUP(Table3[[#This Row],[instant]],Table2[instant],Table2[windspeed], ,0,1)</f>
        <v>0.28360000000000002</v>
      </c>
      <c r="K362" s="42">
        <f>_xlfn.XLOOKUP(Table3[[#This Row],[instant]],Table2[instant],Table2[casual], ,0,1)</f>
        <v>29</v>
      </c>
      <c r="L362" s="42">
        <f>_xlfn.XLOOKUP(Table3[[#This Row],[instant]],Table2[instant],Table2[registered], ,0,1)</f>
        <v>75</v>
      </c>
      <c r="M362" s="46">
        <f>_xlfn.XLOOKUP(Table3[[#This Row],[instant]],Table2[instant],Table2[cnt], ,0,1)</f>
        <v>104</v>
      </c>
      <c r="N362" s="42" t="str">
        <f>IF(OR(Table3[[#This Row],[weekday]]=0,Table3[[#This Row],[weekday]]=6),"Weekend","Weekday")</f>
        <v>Weekend</v>
      </c>
    </row>
    <row r="363" spans="1:14" ht="15" thickBot="1" x14ac:dyDescent="0.35">
      <c r="A363" s="1">
        <v>362</v>
      </c>
      <c r="B363" s="3">
        <f>_xlfn.XLOOKUP(Table3[[#This Row],[instant]],DatSet1!A363:A972,DatSet1!B363:B972,_xlfn.XLOOKUP(Table3[[#This Row],[instant]],'Final Data'!A363:A752,'Final Data'!B363:B752, ,0,1),0,1)</f>
        <v>40559</v>
      </c>
      <c r="C363" s="1">
        <f>_xlfn.XLOOKUP(Table3[[#This Row],[instant]],Table1[instant],Table1[hr], ,0,1)</f>
        <v>13</v>
      </c>
      <c r="D363" s="2" t="b">
        <f>_xlfn.XLOOKUP(Table3[[#This Row],[instant]],Table1[instant],Table1[holiday], ,0,1)</f>
        <v>0</v>
      </c>
      <c r="E363" s="2">
        <f>_xlfn.XLOOKUP(Table3[[#This Row],[instant]],Table1[instant],Table1[weekday], ,0,1)</f>
        <v>0</v>
      </c>
      <c r="F363" s="2">
        <f>_xlfn.XLOOKUP(Table3[[#This Row],[instant]],Table1[instant],Table1[weathersit], ,0,1)</f>
        <v>1</v>
      </c>
      <c r="G363" s="2">
        <f>_xlfn.XLOOKUP(Table3[[#This Row],[instant]],Table1[instant],Table1[temp], ,0,1)</f>
        <v>0.26</v>
      </c>
      <c r="H363" s="24">
        <f>_xlfn.XLOOKUP(Table3[[#This Row],[instant]],Table2[instant],Table2[atemp], ,0,1)</f>
        <v>0.2273</v>
      </c>
      <c r="I363" s="1">
        <f>_xlfn.XLOOKUP(Table3[[#This Row],[instant]],Table2[instant],Table2[hum], ,0,1)</f>
        <v>0.35</v>
      </c>
      <c r="J363" s="1">
        <f>_xlfn.XLOOKUP(Table3[[#This Row],[instant]],Table2[instant],Table2[windspeed], ,0,1)</f>
        <v>0.29849999999999999</v>
      </c>
      <c r="K363" s="1">
        <f>_xlfn.XLOOKUP(Table3[[#This Row],[instant]],Table2[instant],Table2[casual], ,0,1)</f>
        <v>23</v>
      </c>
      <c r="L363" s="1">
        <f>_xlfn.XLOOKUP(Table3[[#This Row],[instant]],Table2[instant],Table2[registered], ,0,1)</f>
        <v>95</v>
      </c>
      <c r="M363" s="6">
        <f>_xlfn.XLOOKUP(Table3[[#This Row],[instant]],Table2[instant],Table2[cnt], ,0,1)</f>
        <v>118</v>
      </c>
      <c r="N363" s="1" t="str">
        <f>IF(OR(Table3[[#This Row],[weekday]]=0,Table3[[#This Row],[weekday]]=6),"Weekend","Weekday")</f>
        <v>Weekend</v>
      </c>
    </row>
    <row r="364" spans="1:14" ht="15" thickBot="1" x14ac:dyDescent="0.35">
      <c r="A364" s="42">
        <v>363</v>
      </c>
      <c r="B364" s="43">
        <f>_xlfn.XLOOKUP(Table3[[#This Row],[instant]],DatSet1!A364:A973,DatSet1!B364:B973,_xlfn.XLOOKUP(Table3[[#This Row],[instant]],'Final Data'!A364:A753,'Final Data'!B364:B753, ,0,1),0,1)</f>
        <v>40559</v>
      </c>
      <c r="C364" s="42">
        <f>_xlfn.XLOOKUP(Table3[[#This Row],[instant]],Table1[instant],Table1[hr], ,0,1)</f>
        <v>14</v>
      </c>
      <c r="D364" s="44" t="b">
        <f>_xlfn.XLOOKUP(Table3[[#This Row],[instant]],Table1[instant],Table1[holiday], ,0,1)</f>
        <v>0</v>
      </c>
      <c r="E364" s="44">
        <f>_xlfn.XLOOKUP(Table3[[#This Row],[instant]],Table1[instant],Table1[weekday], ,0,1)</f>
        <v>0</v>
      </c>
      <c r="F364" s="44">
        <f>_xlfn.XLOOKUP(Table3[[#This Row],[instant]],Table1[instant],Table1[weathersit], ,0,1)</f>
        <v>1</v>
      </c>
      <c r="G364" s="44">
        <f>_xlfn.XLOOKUP(Table3[[#This Row],[instant]],Table1[instant],Table1[temp], ,0,1)</f>
        <v>0.28000000000000003</v>
      </c>
      <c r="H364" s="45">
        <f>_xlfn.XLOOKUP(Table3[[#This Row],[instant]],Table2[instant],Table2[atemp], ,0,1)</f>
        <v>0.2727</v>
      </c>
      <c r="I364" s="42">
        <f>_xlfn.XLOOKUP(Table3[[#This Row],[instant]],Table2[instant],Table2[hum], ,0,1)</f>
        <v>0.36</v>
      </c>
      <c r="J364" s="42">
        <f>_xlfn.XLOOKUP(Table3[[#This Row],[instant]],Table2[instant],Table2[windspeed], ,0,1)</f>
        <v>0.25369999999999998</v>
      </c>
      <c r="K364" s="42">
        <f>_xlfn.XLOOKUP(Table3[[#This Row],[instant]],Table2[instant],Table2[casual], ,0,1)</f>
        <v>22</v>
      </c>
      <c r="L364" s="42">
        <f>_xlfn.XLOOKUP(Table3[[#This Row],[instant]],Table2[instant],Table2[registered], ,0,1)</f>
        <v>69</v>
      </c>
      <c r="M364" s="46">
        <f>_xlfn.XLOOKUP(Table3[[#This Row],[instant]],Table2[instant],Table2[cnt], ,0,1)</f>
        <v>91</v>
      </c>
      <c r="N364" s="42" t="str">
        <f>IF(OR(Table3[[#This Row],[weekday]]=0,Table3[[#This Row],[weekday]]=6),"Weekend","Weekday")</f>
        <v>Weekend</v>
      </c>
    </row>
    <row r="365" spans="1:14" ht="15" thickBot="1" x14ac:dyDescent="0.35">
      <c r="A365" s="1">
        <v>364</v>
      </c>
      <c r="B365" s="3">
        <f>_xlfn.XLOOKUP(Table3[[#This Row],[instant]],DatSet1!A365:A974,DatSet1!B365:B974,_xlfn.XLOOKUP(Table3[[#This Row],[instant]],'Final Data'!A365:A754,'Final Data'!B365:B754, ,0,1),0,1)</f>
        <v>40559</v>
      </c>
      <c r="C365" s="1">
        <f>_xlfn.XLOOKUP(Table3[[#This Row],[instant]],Table1[instant],Table1[hr], ,0,1)</f>
        <v>15</v>
      </c>
      <c r="D365" s="2" t="b">
        <f>_xlfn.XLOOKUP(Table3[[#This Row],[instant]],Table1[instant],Table1[holiday], ,0,1)</f>
        <v>0</v>
      </c>
      <c r="E365" s="2">
        <f>_xlfn.XLOOKUP(Table3[[#This Row],[instant]],Table1[instant],Table1[weekday], ,0,1)</f>
        <v>0</v>
      </c>
      <c r="F365" s="2">
        <f>_xlfn.XLOOKUP(Table3[[#This Row],[instant]],Table1[instant],Table1[weathersit], ,0,1)</f>
        <v>1</v>
      </c>
      <c r="G365" s="2">
        <f>_xlfn.XLOOKUP(Table3[[#This Row],[instant]],Table1[instant],Table1[temp], ,0,1)</f>
        <v>0.26</v>
      </c>
      <c r="H365" s="24">
        <f>_xlfn.XLOOKUP(Table3[[#This Row],[instant]],Table2[instant],Table2[atemp], ,0,1)</f>
        <v>0.2424</v>
      </c>
      <c r="I365" s="1">
        <f>_xlfn.XLOOKUP(Table3[[#This Row],[instant]],Table2[instant],Table2[hum], ,0,1)</f>
        <v>0.38</v>
      </c>
      <c r="J365" s="1">
        <f>_xlfn.XLOOKUP(Table3[[#This Row],[instant]],Table2[instant],Table2[windspeed], ,0,1)</f>
        <v>0.25369999999999998</v>
      </c>
      <c r="K365" s="1">
        <f>_xlfn.XLOOKUP(Table3[[#This Row],[instant]],Table2[instant],Table2[casual], ,0,1)</f>
        <v>35</v>
      </c>
      <c r="L365" s="1">
        <f>_xlfn.XLOOKUP(Table3[[#This Row],[instant]],Table2[instant],Table2[registered], ,0,1)</f>
        <v>78</v>
      </c>
      <c r="M365" s="6">
        <f>_xlfn.XLOOKUP(Table3[[#This Row],[instant]],Table2[instant],Table2[cnt], ,0,1)</f>
        <v>113</v>
      </c>
      <c r="N365" s="1" t="str">
        <f>IF(OR(Table3[[#This Row],[weekday]]=0,Table3[[#This Row],[weekday]]=6),"Weekend","Weekday")</f>
        <v>Weekend</v>
      </c>
    </row>
    <row r="366" spans="1:14" ht="15" thickBot="1" x14ac:dyDescent="0.35">
      <c r="A366" s="42">
        <v>365</v>
      </c>
      <c r="B366" s="43">
        <f>_xlfn.XLOOKUP(Table3[[#This Row],[instant]],DatSet1!A366:A975,DatSet1!B366:B975,_xlfn.XLOOKUP(Table3[[#This Row],[instant]],'Final Data'!A366:A755,'Final Data'!B366:B755, ,0,1),0,1)</f>
        <v>40559</v>
      </c>
      <c r="C366" s="42">
        <f>_xlfn.XLOOKUP(Table3[[#This Row],[instant]],Table1[instant],Table1[hr], ,0,1)</f>
        <v>16</v>
      </c>
      <c r="D366" s="44" t="b">
        <f>_xlfn.XLOOKUP(Table3[[#This Row],[instant]],Table1[instant],Table1[holiday], ,0,1)</f>
        <v>0</v>
      </c>
      <c r="E366" s="44">
        <f>_xlfn.XLOOKUP(Table3[[#This Row],[instant]],Table1[instant],Table1[weekday], ,0,1)</f>
        <v>0</v>
      </c>
      <c r="F366" s="44">
        <f>_xlfn.XLOOKUP(Table3[[#This Row],[instant]],Table1[instant],Table1[weathersit], ,0,1)</f>
        <v>1</v>
      </c>
      <c r="G366" s="44">
        <f>_xlfn.XLOOKUP(Table3[[#This Row],[instant]],Table1[instant],Table1[temp], ,0,1)</f>
        <v>0.24</v>
      </c>
      <c r="H366" s="45">
        <f>_xlfn.XLOOKUP(Table3[[#This Row],[instant]],Table2[instant],Table2[atemp], ,0,1)</f>
        <v>0.2273</v>
      </c>
      <c r="I366" s="42">
        <f>_xlfn.XLOOKUP(Table3[[#This Row],[instant]],Table2[instant],Table2[hum], ,0,1)</f>
        <v>0.38</v>
      </c>
      <c r="J366" s="42">
        <f>_xlfn.XLOOKUP(Table3[[#This Row],[instant]],Table2[instant],Table2[windspeed], ,0,1)</f>
        <v>0.22389999999999999</v>
      </c>
      <c r="K366" s="42">
        <f>_xlfn.XLOOKUP(Table3[[#This Row],[instant]],Table2[instant],Table2[casual], ,0,1)</f>
        <v>22</v>
      </c>
      <c r="L366" s="42">
        <f>_xlfn.XLOOKUP(Table3[[#This Row],[instant]],Table2[instant],Table2[registered], ,0,1)</f>
        <v>77</v>
      </c>
      <c r="M366" s="46">
        <f>_xlfn.XLOOKUP(Table3[[#This Row],[instant]],Table2[instant],Table2[cnt], ,0,1)</f>
        <v>99</v>
      </c>
      <c r="N366" s="42" t="str">
        <f>IF(OR(Table3[[#This Row],[weekday]]=0,Table3[[#This Row],[weekday]]=6),"Weekend","Weekday")</f>
        <v>Weekend</v>
      </c>
    </row>
    <row r="367" spans="1:14" ht="15" thickBot="1" x14ac:dyDescent="0.35">
      <c r="A367" s="1">
        <v>366</v>
      </c>
      <c r="B367" s="3">
        <f>_xlfn.XLOOKUP(Table3[[#This Row],[instant]],DatSet1!A367:A976,DatSet1!B367:B976,_xlfn.XLOOKUP(Table3[[#This Row],[instant]],'Final Data'!A367:A756,'Final Data'!B367:B756, ,0,1),0,1)</f>
        <v>40559</v>
      </c>
      <c r="C367" s="1">
        <f>_xlfn.XLOOKUP(Table3[[#This Row],[instant]],Table1[instant],Table1[hr], ,0,1)</f>
        <v>17</v>
      </c>
      <c r="D367" s="2" t="b">
        <f>_xlfn.XLOOKUP(Table3[[#This Row],[instant]],Table1[instant],Table1[holiday], ,0,1)</f>
        <v>0</v>
      </c>
      <c r="E367" s="2">
        <f>_xlfn.XLOOKUP(Table3[[#This Row],[instant]],Table1[instant],Table1[weekday], ,0,1)</f>
        <v>0</v>
      </c>
      <c r="F367" s="2">
        <f>_xlfn.XLOOKUP(Table3[[#This Row],[instant]],Table1[instant],Table1[weathersit], ,0,1)</f>
        <v>1</v>
      </c>
      <c r="G367" s="2">
        <f>_xlfn.XLOOKUP(Table3[[#This Row],[instant]],Table1[instant],Table1[temp], ,0,1)</f>
        <v>0.22</v>
      </c>
      <c r="H367" s="24">
        <f>_xlfn.XLOOKUP(Table3[[#This Row],[instant]],Table2[instant],Table2[atemp], ,0,1)</f>
        <v>0.21210000000000001</v>
      </c>
      <c r="I367" s="1">
        <f>_xlfn.XLOOKUP(Table3[[#This Row],[instant]],Table2[instant],Table2[hum], ,0,1)</f>
        <v>0.37</v>
      </c>
      <c r="J367" s="1">
        <f>_xlfn.XLOOKUP(Table3[[#This Row],[instant]],Table2[instant],Table2[windspeed], ,0,1)</f>
        <v>0.25369999999999998</v>
      </c>
      <c r="K367" s="1">
        <f>_xlfn.XLOOKUP(Table3[[#This Row],[instant]],Table2[instant],Table2[casual], ,0,1)</f>
        <v>23</v>
      </c>
      <c r="L367" s="1">
        <f>_xlfn.XLOOKUP(Table3[[#This Row],[instant]],Table2[instant],Table2[registered], ,0,1)</f>
        <v>82</v>
      </c>
      <c r="M367" s="6">
        <f>_xlfn.XLOOKUP(Table3[[#This Row],[instant]],Table2[instant],Table2[cnt], ,0,1)</f>
        <v>105</v>
      </c>
      <c r="N367" s="1" t="str">
        <f>IF(OR(Table3[[#This Row],[weekday]]=0,Table3[[#This Row],[weekday]]=6),"Weekend","Weekday")</f>
        <v>Weekend</v>
      </c>
    </row>
    <row r="368" spans="1:14" ht="15" thickBot="1" x14ac:dyDescent="0.35">
      <c r="A368" s="42">
        <v>367</v>
      </c>
      <c r="B368" s="43">
        <f>_xlfn.XLOOKUP(Table3[[#This Row],[instant]],DatSet1!A368:A977,DatSet1!B368:B977,_xlfn.XLOOKUP(Table3[[#This Row],[instant]],'Final Data'!A368:A757,'Final Data'!B368:B757, ,0,1),0,1)</f>
        <v>40559</v>
      </c>
      <c r="C368" s="42">
        <f>_xlfn.XLOOKUP(Table3[[#This Row],[instant]],Table1[instant],Table1[hr], ,0,1)</f>
        <v>18</v>
      </c>
      <c r="D368" s="44" t="b">
        <f>_xlfn.XLOOKUP(Table3[[#This Row],[instant]],Table1[instant],Table1[holiday], ,0,1)</f>
        <v>0</v>
      </c>
      <c r="E368" s="44">
        <f>_xlfn.XLOOKUP(Table3[[#This Row],[instant]],Table1[instant],Table1[weekday], ,0,1)</f>
        <v>0</v>
      </c>
      <c r="F368" s="44">
        <f>_xlfn.XLOOKUP(Table3[[#This Row],[instant]],Table1[instant],Table1[weathersit], ,0,1)</f>
        <v>1</v>
      </c>
      <c r="G368" s="44">
        <f>_xlfn.XLOOKUP(Table3[[#This Row],[instant]],Table1[instant],Table1[temp], ,0,1)</f>
        <v>0.2</v>
      </c>
      <c r="H368" s="45">
        <f>_xlfn.XLOOKUP(Table3[[#This Row],[instant]],Table2[instant],Table2[atemp], ,0,1)</f>
        <v>0.21210000000000001</v>
      </c>
      <c r="I368" s="42">
        <f>_xlfn.XLOOKUP(Table3[[#This Row],[instant]],Table2[instant],Table2[hum], ,0,1)</f>
        <v>0.4</v>
      </c>
      <c r="J368" s="42">
        <f>_xlfn.XLOOKUP(Table3[[#This Row],[instant]],Table2[instant],Table2[windspeed], ,0,1)</f>
        <v>0.16420000000000001</v>
      </c>
      <c r="K368" s="42">
        <f>_xlfn.XLOOKUP(Table3[[#This Row],[instant]],Table2[instant],Table2[casual], ,0,1)</f>
        <v>11</v>
      </c>
      <c r="L368" s="42">
        <f>_xlfn.XLOOKUP(Table3[[#This Row],[instant]],Table2[instant],Table2[registered], ,0,1)</f>
        <v>56</v>
      </c>
      <c r="M368" s="46">
        <f>_xlfn.XLOOKUP(Table3[[#This Row],[instant]],Table2[instant],Table2[cnt], ,0,1)</f>
        <v>67</v>
      </c>
      <c r="N368" s="42" t="str">
        <f>IF(OR(Table3[[#This Row],[weekday]]=0,Table3[[#This Row],[weekday]]=6),"Weekend","Weekday")</f>
        <v>Weekend</v>
      </c>
    </row>
    <row r="369" spans="1:14" ht="15" thickBot="1" x14ac:dyDescent="0.35">
      <c r="A369" s="1">
        <v>368</v>
      </c>
      <c r="B369" s="3">
        <f>_xlfn.XLOOKUP(Table3[[#This Row],[instant]],DatSet1!A369:A978,DatSet1!B369:B978,_xlfn.XLOOKUP(Table3[[#This Row],[instant]],'Final Data'!A369:A758,'Final Data'!B369:B758, ,0,1),0,1)</f>
        <v>40559</v>
      </c>
      <c r="C369" s="1">
        <f>_xlfn.XLOOKUP(Table3[[#This Row],[instant]],Table1[instant],Table1[hr], ,0,1)</f>
        <v>19</v>
      </c>
      <c r="D369" s="2" t="b">
        <f>_xlfn.XLOOKUP(Table3[[#This Row],[instant]],Table1[instant],Table1[holiday], ,0,1)</f>
        <v>0</v>
      </c>
      <c r="E369" s="2">
        <f>_xlfn.XLOOKUP(Table3[[#This Row],[instant]],Table1[instant],Table1[weekday], ,0,1)</f>
        <v>0</v>
      </c>
      <c r="F369" s="2">
        <f>_xlfn.XLOOKUP(Table3[[#This Row],[instant]],Table1[instant],Table1[weathersit], ,0,1)</f>
        <v>1</v>
      </c>
      <c r="G369" s="2">
        <f>_xlfn.XLOOKUP(Table3[[#This Row],[instant]],Table1[instant],Table1[temp], ,0,1)</f>
        <v>0.18</v>
      </c>
      <c r="H369" s="24">
        <f>_xlfn.XLOOKUP(Table3[[#This Row],[instant]],Table2[instant],Table2[atemp], ,0,1)</f>
        <v>0.19700000000000001</v>
      </c>
      <c r="I369" s="1">
        <f>_xlfn.XLOOKUP(Table3[[#This Row],[instant]],Table2[instant],Table2[hum], ,0,1)</f>
        <v>0.47</v>
      </c>
      <c r="J369" s="1">
        <f>_xlfn.XLOOKUP(Table3[[#This Row],[instant]],Table2[instant],Table2[windspeed], ,0,1)</f>
        <v>0.1343</v>
      </c>
      <c r="K369" s="1">
        <f>_xlfn.XLOOKUP(Table3[[#This Row],[instant]],Table2[instant],Table2[casual], ,0,1)</f>
        <v>14</v>
      </c>
      <c r="L369" s="1">
        <f>_xlfn.XLOOKUP(Table3[[#This Row],[instant]],Table2[instant],Table2[registered], ,0,1)</f>
        <v>47</v>
      </c>
      <c r="M369" s="6">
        <f>_xlfn.XLOOKUP(Table3[[#This Row],[instant]],Table2[instant],Table2[cnt], ,0,1)</f>
        <v>61</v>
      </c>
      <c r="N369" s="1" t="str">
        <f>IF(OR(Table3[[#This Row],[weekday]]=0,Table3[[#This Row],[weekday]]=6),"Weekend","Weekday")</f>
        <v>Weekend</v>
      </c>
    </row>
    <row r="370" spans="1:14" ht="15" thickBot="1" x14ac:dyDescent="0.35">
      <c r="A370" s="42">
        <v>369</v>
      </c>
      <c r="B370" s="43">
        <f>_xlfn.XLOOKUP(Table3[[#This Row],[instant]],DatSet1!A370:A979,DatSet1!B370:B979,_xlfn.XLOOKUP(Table3[[#This Row],[instant]],'Final Data'!A370:A759,'Final Data'!B370:B759, ,0,1),0,1)</f>
        <v>40559</v>
      </c>
      <c r="C370" s="42">
        <f>_xlfn.XLOOKUP(Table3[[#This Row],[instant]],Table1[instant],Table1[hr], ,0,1)</f>
        <v>20</v>
      </c>
      <c r="D370" s="44" t="b">
        <f>_xlfn.XLOOKUP(Table3[[#This Row],[instant]],Table1[instant],Table1[holiday], ,0,1)</f>
        <v>0</v>
      </c>
      <c r="E370" s="44">
        <f>_xlfn.XLOOKUP(Table3[[#This Row],[instant]],Table1[instant],Table1[weekday], ,0,1)</f>
        <v>0</v>
      </c>
      <c r="F370" s="44">
        <f>_xlfn.XLOOKUP(Table3[[#This Row],[instant]],Table1[instant],Table1[weathersit], ,0,1)</f>
        <v>1</v>
      </c>
      <c r="G370" s="44">
        <f>_xlfn.XLOOKUP(Table3[[#This Row],[instant]],Table1[instant],Table1[temp], ,0,1)</f>
        <v>0.18</v>
      </c>
      <c r="H370" s="45">
        <f>_xlfn.XLOOKUP(Table3[[#This Row],[instant]],Table2[instant],Table2[atemp], ,0,1)</f>
        <v>0.19700000000000001</v>
      </c>
      <c r="I370" s="42">
        <f>_xlfn.XLOOKUP(Table3[[#This Row],[instant]],Table2[instant],Table2[hum], ,0,1)</f>
        <v>0.47</v>
      </c>
      <c r="J370" s="42">
        <f>_xlfn.XLOOKUP(Table3[[#This Row],[instant]],Table2[instant],Table2[windspeed], ,0,1)</f>
        <v>0.16420000000000001</v>
      </c>
      <c r="K370" s="42">
        <f>_xlfn.XLOOKUP(Table3[[#This Row],[instant]],Table2[instant],Table2[casual], ,0,1)</f>
        <v>7</v>
      </c>
      <c r="L370" s="42">
        <f>_xlfn.XLOOKUP(Table3[[#This Row],[instant]],Table2[instant],Table2[registered], ,0,1)</f>
        <v>50</v>
      </c>
      <c r="M370" s="46">
        <f>_xlfn.XLOOKUP(Table3[[#This Row],[instant]],Table2[instant],Table2[cnt], ,0,1)</f>
        <v>57</v>
      </c>
      <c r="N370" s="42" t="str">
        <f>IF(OR(Table3[[#This Row],[weekday]]=0,Table3[[#This Row],[weekday]]=6),"Weekend","Weekday")</f>
        <v>Weekend</v>
      </c>
    </row>
    <row r="371" spans="1:14" ht="15" thickBot="1" x14ac:dyDescent="0.35">
      <c r="A371" s="1">
        <v>370</v>
      </c>
      <c r="B371" s="3">
        <f>_xlfn.XLOOKUP(Table3[[#This Row],[instant]],DatSet1!A371:A980,DatSet1!B371:B980,_xlfn.XLOOKUP(Table3[[#This Row],[instant]],'Final Data'!A371:A760,'Final Data'!B371:B760, ,0,1),0,1)</f>
        <v>40559</v>
      </c>
      <c r="C371" s="1">
        <f>_xlfn.XLOOKUP(Table3[[#This Row],[instant]],Table1[instant],Table1[hr], ,0,1)</f>
        <v>21</v>
      </c>
      <c r="D371" s="2" t="b">
        <f>_xlfn.XLOOKUP(Table3[[#This Row],[instant]],Table1[instant],Table1[holiday], ,0,1)</f>
        <v>0</v>
      </c>
      <c r="E371" s="2">
        <f>_xlfn.XLOOKUP(Table3[[#This Row],[instant]],Table1[instant],Table1[weekday], ,0,1)</f>
        <v>0</v>
      </c>
      <c r="F371" s="2">
        <f>_xlfn.XLOOKUP(Table3[[#This Row],[instant]],Table1[instant],Table1[weathersit], ,0,1)</f>
        <v>1</v>
      </c>
      <c r="G371" s="2">
        <f>_xlfn.XLOOKUP(Table3[[#This Row],[instant]],Table1[instant],Table1[temp], ,0,1)</f>
        <v>0.18</v>
      </c>
      <c r="H371" s="24">
        <f>_xlfn.XLOOKUP(Table3[[#This Row],[instant]],Table2[instant],Table2[atemp], ,0,1)</f>
        <v>0.19700000000000001</v>
      </c>
      <c r="I371" s="1">
        <f>_xlfn.XLOOKUP(Table3[[#This Row],[instant]],Table2[instant],Table2[hum], ,0,1)</f>
        <v>0.51</v>
      </c>
      <c r="J371" s="1">
        <f>_xlfn.XLOOKUP(Table3[[#This Row],[instant]],Table2[instant],Table2[windspeed], ,0,1)</f>
        <v>0.16420000000000001</v>
      </c>
      <c r="K371" s="1">
        <f>_xlfn.XLOOKUP(Table3[[#This Row],[instant]],Table2[instant],Table2[casual], ,0,1)</f>
        <v>6</v>
      </c>
      <c r="L371" s="1">
        <f>_xlfn.XLOOKUP(Table3[[#This Row],[instant]],Table2[instant],Table2[registered], ,0,1)</f>
        <v>22</v>
      </c>
      <c r="M371" s="6">
        <f>_xlfn.XLOOKUP(Table3[[#This Row],[instant]],Table2[instant],Table2[cnt], ,0,1)</f>
        <v>28</v>
      </c>
      <c r="N371" s="1" t="str">
        <f>IF(OR(Table3[[#This Row],[weekday]]=0,Table3[[#This Row],[weekday]]=6),"Weekend","Weekday")</f>
        <v>Weekend</v>
      </c>
    </row>
    <row r="372" spans="1:14" ht="15" thickBot="1" x14ac:dyDescent="0.35">
      <c r="A372" s="42">
        <v>371</v>
      </c>
      <c r="B372" s="43">
        <f>_xlfn.XLOOKUP(Table3[[#This Row],[instant]],DatSet1!A372:A981,DatSet1!B372:B981,_xlfn.XLOOKUP(Table3[[#This Row],[instant]],'Final Data'!A372:A761,'Final Data'!B372:B761, ,0,1),0,1)</f>
        <v>40559</v>
      </c>
      <c r="C372" s="42">
        <f>_xlfn.XLOOKUP(Table3[[#This Row],[instant]],Table1[instant],Table1[hr], ,0,1)</f>
        <v>22</v>
      </c>
      <c r="D372" s="44" t="b">
        <f>_xlfn.XLOOKUP(Table3[[#This Row],[instant]],Table1[instant],Table1[holiday], ,0,1)</f>
        <v>0</v>
      </c>
      <c r="E372" s="44">
        <f>_xlfn.XLOOKUP(Table3[[#This Row],[instant]],Table1[instant],Table1[weekday], ,0,1)</f>
        <v>0</v>
      </c>
      <c r="F372" s="44">
        <f>_xlfn.XLOOKUP(Table3[[#This Row],[instant]],Table1[instant],Table1[weathersit], ,0,1)</f>
        <v>2</v>
      </c>
      <c r="G372" s="44">
        <f>_xlfn.XLOOKUP(Table3[[#This Row],[instant]],Table1[instant],Table1[temp], ,0,1)</f>
        <v>0.2</v>
      </c>
      <c r="H372" s="45">
        <f>_xlfn.XLOOKUP(Table3[[#This Row],[instant]],Table2[instant],Table2[atemp], ,0,1)</f>
        <v>0.21210000000000001</v>
      </c>
      <c r="I372" s="42">
        <f>_xlfn.XLOOKUP(Table3[[#This Row],[instant]],Table2[instant],Table2[hum], ,0,1)</f>
        <v>0.49</v>
      </c>
      <c r="J372" s="42">
        <f>_xlfn.XLOOKUP(Table3[[#This Row],[instant]],Table2[instant],Table2[windspeed], ,0,1)</f>
        <v>0.1343</v>
      </c>
      <c r="K372" s="42">
        <f>_xlfn.XLOOKUP(Table3[[#This Row],[instant]],Table2[instant],Table2[casual], ,0,1)</f>
        <v>2</v>
      </c>
      <c r="L372" s="42">
        <f>_xlfn.XLOOKUP(Table3[[#This Row],[instant]],Table2[instant],Table2[registered], ,0,1)</f>
        <v>19</v>
      </c>
      <c r="M372" s="46">
        <f>_xlfn.XLOOKUP(Table3[[#This Row],[instant]],Table2[instant],Table2[cnt], ,0,1)</f>
        <v>21</v>
      </c>
      <c r="N372" s="42" t="str">
        <f>IF(OR(Table3[[#This Row],[weekday]]=0,Table3[[#This Row],[weekday]]=6),"Weekend","Weekday")</f>
        <v>Weekend</v>
      </c>
    </row>
    <row r="373" spans="1:14" ht="15" thickBot="1" x14ac:dyDescent="0.35">
      <c r="A373" s="1">
        <v>372</v>
      </c>
      <c r="B373" s="3">
        <f>_xlfn.XLOOKUP(Table3[[#This Row],[instant]],DatSet1!A373:A982,DatSet1!B373:B982,_xlfn.XLOOKUP(Table3[[#This Row],[instant]],'Final Data'!A373:A762,'Final Data'!B373:B762, ,0,1),0,1)</f>
        <v>40559</v>
      </c>
      <c r="C373" s="1">
        <f>_xlfn.XLOOKUP(Table3[[#This Row],[instant]],Table1[instant],Table1[hr], ,0,1)</f>
        <v>23</v>
      </c>
      <c r="D373" s="2" t="b">
        <f>_xlfn.XLOOKUP(Table3[[#This Row],[instant]],Table1[instant],Table1[holiday], ,0,1)</f>
        <v>0</v>
      </c>
      <c r="E373" s="2">
        <f>_xlfn.XLOOKUP(Table3[[#This Row],[instant]],Table1[instant],Table1[weekday], ,0,1)</f>
        <v>0</v>
      </c>
      <c r="F373" s="2">
        <f>_xlfn.XLOOKUP(Table3[[#This Row],[instant]],Table1[instant],Table1[weathersit], ,0,1)</f>
        <v>2</v>
      </c>
      <c r="G373" s="2">
        <f>_xlfn.XLOOKUP(Table3[[#This Row],[instant]],Table1[instant],Table1[temp], ,0,1)</f>
        <v>0.2</v>
      </c>
      <c r="H373" s="24">
        <f>_xlfn.XLOOKUP(Table3[[#This Row],[instant]],Table2[instant],Table2[atemp], ,0,1)</f>
        <v>0.2273</v>
      </c>
      <c r="I373" s="1">
        <f>_xlfn.XLOOKUP(Table3[[#This Row],[instant]],Table2[instant],Table2[hum], ,0,1)</f>
        <v>0.4</v>
      </c>
      <c r="J373" s="1">
        <f>_xlfn.XLOOKUP(Table3[[#This Row],[instant]],Table2[instant],Table2[windspeed], ,0,1)</f>
        <v>0.1045</v>
      </c>
      <c r="K373" s="1">
        <f>_xlfn.XLOOKUP(Table3[[#This Row],[instant]],Table2[instant],Table2[casual], ,0,1)</f>
        <v>0</v>
      </c>
      <c r="L373" s="1">
        <f>_xlfn.XLOOKUP(Table3[[#This Row],[instant]],Table2[instant],Table2[registered], ,0,1)</f>
        <v>18</v>
      </c>
      <c r="M373" s="6">
        <f>_xlfn.XLOOKUP(Table3[[#This Row],[instant]],Table2[instant],Table2[cnt], ,0,1)</f>
        <v>18</v>
      </c>
      <c r="N373" s="1" t="str">
        <f>IF(OR(Table3[[#This Row],[weekday]]=0,Table3[[#This Row],[weekday]]=6),"Weekend","Weekday")</f>
        <v>Weekend</v>
      </c>
    </row>
    <row r="374" spans="1:14" ht="15" thickBot="1" x14ac:dyDescent="0.35">
      <c r="A374" s="42">
        <v>373</v>
      </c>
      <c r="B374" s="43">
        <f>_xlfn.XLOOKUP(Table3[[#This Row],[instant]],DatSet1!A374:A983,DatSet1!B374:B983,_xlfn.XLOOKUP(Table3[[#This Row],[instant]],'Final Data'!A374:A763,'Final Data'!B374:B763, ,0,1),0,1)</f>
        <v>40560</v>
      </c>
      <c r="C374" s="42">
        <f>_xlfn.XLOOKUP(Table3[[#This Row],[instant]],Table1[instant],Table1[hr], ,0,1)</f>
        <v>0</v>
      </c>
      <c r="D374" s="44" t="b">
        <f>_xlfn.XLOOKUP(Table3[[#This Row],[instant]],Table1[instant],Table1[holiday], ,0,1)</f>
        <v>1</v>
      </c>
      <c r="E374" s="44">
        <f>_xlfn.XLOOKUP(Table3[[#This Row],[instant]],Table1[instant],Table1[weekday], ,0,1)</f>
        <v>1</v>
      </c>
      <c r="F374" s="44">
        <f>_xlfn.XLOOKUP(Table3[[#This Row],[instant]],Table1[instant],Table1[weathersit], ,0,1)</f>
        <v>2</v>
      </c>
      <c r="G374" s="44">
        <f>_xlfn.XLOOKUP(Table3[[#This Row],[instant]],Table1[instant],Table1[temp], ,0,1)</f>
        <v>0.2</v>
      </c>
      <c r="H374" s="45">
        <f>_xlfn.XLOOKUP(Table3[[#This Row],[instant]],Table2[instant],Table2[atemp], ,0,1)</f>
        <v>0.19700000000000001</v>
      </c>
      <c r="I374" s="42">
        <f>_xlfn.XLOOKUP(Table3[[#This Row],[instant]],Table2[instant],Table2[hum], ,0,1)</f>
        <v>0.47</v>
      </c>
      <c r="J374" s="42">
        <f>_xlfn.XLOOKUP(Table3[[#This Row],[instant]],Table2[instant],Table2[windspeed], ,0,1)</f>
        <v>0.22389999999999999</v>
      </c>
      <c r="K374" s="42">
        <f>_xlfn.XLOOKUP(Table3[[#This Row],[instant]],Table2[instant],Table2[casual], ,0,1)</f>
        <v>1</v>
      </c>
      <c r="L374" s="42">
        <f>_xlfn.XLOOKUP(Table3[[#This Row],[instant]],Table2[instant],Table2[registered], ,0,1)</f>
        <v>16</v>
      </c>
      <c r="M374" s="46">
        <f>_xlfn.XLOOKUP(Table3[[#This Row],[instant]],Table2[instant],Table2[cnt], ,0,1)</f>
        <v>17</v>
      </c>
      <c r="N374" s="42" t="str">
        <f>IF(OR(Table3[[#This Row],[weekday]]=0,Table3[[#This Row],[weekday]]=6),"Weekend","Weekday")</f>
        <v>Weekday</v>
      </c>
    </row>
    <row r="375" spans="1:14" ht="15" thickBot="1" x14ac:dyDescent="0.35">
      <c r="A375" s="1">
        <v>374</v>
      </c>
      <c r="B375" s="3">
        <f>_xlfn.XLOOKUP(Table3[[#This Row],[instant]],DatSet1!A375:A984,DatSet1!B375:B984,_xlfn.XLOOKUP(Table3[[#This Row],[instant]],'Final Data'!A375:A764,'Final Data'!B375:B764, ,0,1),0,1)</f>
        <v>40560</v>
      </c>
      <c r="C375" s="1">
        <f>_xlfn.XLOOKUP(Table3[[#This Row],[instant]],Table1[instant],Table1[hr], ,0,1)</f>
        <v>1</v>
      </c>
      <c r="D375" s="2" t="b">
        <f>_xlfn.XLOOKUP(Table3[[#This Row],[instant]],Table1[instant],Table1[holiday], ,0,1)</f>
        <v>1</v>
      </c>
      <c r="E375" s="2">
        <f>_xlfn.XLOOKUP(Table3[[#This Row],[instant]],Table1[instant],Table1[weekday], ,0,1)</f>
        <v>1</v>
      </c>
      <c r="F375" s="2">
        <f>_xlfn.XLOOKUP(Table3[[#This Row],[instant]],Table1[instant],Table1[weathersit], ,0,1)</f>
        <v>2</v>
      </c>
      <c r="G375" s="2">
        <f>_xlfn.XLOOKUP(Table3[[#This Row],[instant]],Table1[instant],Table1[temp], ,0,1)</f>
        <v>0.2</v>
      </c>
      <c r="H375" s="24">
        <f>_xlfn.XLOOKUP(Table3[[#This Row],[instant]],Table2[instant],Table2[atemp], ,0,1)</f>
        <v>0.19700000000000001</v>
      </c>
      <c r="I375" s="1">
        <f>_xlfn.XLOOKUP(Table3[[#This Row],[instant]],Table2[instant],Table2[hum], ,0,1)</f>
        <v>0.44</v>
      </c>
      <c r="J375" s="1">
        <f>_xlfn.XLOOKUP(Table3[[#This Row],[instant]],Table2[instant],Table2[windspeed], ,0,1)</f>
        <v>0.19400000000000001</v>
      </c>
      <c r="K375" s="1">
        <f>_xlfn.XLOOKUP(Table3[[#This Row],[instant]],Table2[instant],Table2[casual], ,0,1)</f>
        <v>1</v>
      </c>
      <c r="L375" s="1">
        <f>_xlfn.XLOOKUP(Table3[[#This Row],[instant]],Table2[instant],Table2[registered], ,0,1)</f>
        <v>15</v>
      </c>
      <c r="M375" s="6">
        <f>_xlfn.XLOOKUP(Table3[[#This Row],[instant]],Table2[instant],Table2[cnt], ,0,1)</f>
        <v>16</v>
      </c>
      <c r="N375" s="1" t="str">
        <f>IF(OR(Table3[[#This Row],[weekday]]=0,Table3[[#This Row],[weekday]]=6),"Weekend","Weekday")</f>
        <v>Weekday</v>
      </c>
    </row>
    <row r="376" spans="1:14" ht="15" thickBot="1" x14ac:dyDescent="0.35">
      <c r="A376" s="42">
        <v>375</v>
      </c>
      <c r="B376" s="43">
        <f>_xlfn.XLOOKUP(Table3[[#This Row],[instant]],DatSet1!A376:A985,DatSet1!B376:B985,_xlfn.XLOOKUP(Table3[[#This Row],[instant]],'Final Data'!A376:A765,'Final Data'!B376:B765, ,0,1),0,1)</f>
        <v>40560</v>
      </c>
      <c r="C376" s="42">
        <f>_xlfn.XLOOKUP(Table3[[#This Row],[instant]],Table1[instant],Table1[hr], ,0,1)</f>
        <v>2</v>
      </c>
      <c r="D376" s="44" t="b">
        <f>_xlfn.XLOOKUP(Table3[[#This Row],[instant]],Table1[instant],Table1[holiday], ,0,1)</f>
        <v>1</v>
      </c>
      <c r="E376" s="44">
        <f>_xlfn.XLOOKUP(Table3[[#This Row],[instant]],Table1[instant],Table1[weekday], ,0,1)</f>
        <v>1</v>
      </c>
      <c r="F376" s="44">
        <f>_xlfn.XLOOKUP(Table3[[#This Row],[instant]],Table1[instant],Table1[weathersit], ,0,1)</f>
        <v>2</v>
      </c>
      <c r="G376" s="44">
        <f>_xlfn.XLOOKUP(Table3[[#This Row],[instant]],Table1[instant],Table1[temp], ,0,1)</f>
        <v>0.18</v>
      </c>
      <c r="H376" s="45">
        <f>_xlfn.XLOOKUP(Table3[[#This Row],[instant]],Table2[instant],Table2[atemp], ,0,1)</f>
        <v>0.16669999999999999</v>
      </c>
      <c r="I376" s="42">
        <f>_xlfn.XLOOKUP(Table3[[#This Row],[instant]],Table2[instant],Table2[hum], ,0,1)</f>
        <v>0.43</v>
      </c>
      <c r="J376" s="42">
        <f>_xlfn.XLOOKUP(Table3[[#This Row],[instant]],Table2[instant],Table2[windspeed], ,0,1)</f>
        <v>0.25369999999999998</v>
      </c>
      <c r="K376" s="42">
        <f>_xlfn.XLOOKUP(Table3[[#This Row],[instant]],Table2[instant],Table2[casual], ,0,1)</f>
        <v>0</v>
      </c>
      <c r="L376" s="42">
        <f>_xlfn.XLOOKUP(Table3[[#This Row],[instant]],Table2[instant],Table2[registered], ,0,1)</f>
        <v>8</v>
      </c>
      <c r="M376" s="46">
        <f>_xlfn.XLOOKUP(Table3[[#This Row],[instant]],Table2[instant],Table2[cnt], ,0,1)</f>
        <v>8</v>
      </c>
      <c r="N376" s="42" t="str">
        <f>IF(OR(Table3[[#This Row],[weekday]]=0,Table3[[#This Row],[weekday]]=6),"Weekend","Weekday")</f>
        <v>Weekday</v>
      </c>
    </row>
    <row r="377" spans="1:14" ht="15" thickBot="1" x14ac:dyDescent="0.35">
      <c r="A377" s="1">
        <v>376</v>
      </c>
      <c r="B377" s="3">
        <f>_xlfn.XLOOKUP(Table3[[#This Row],[instant]],DatSet1!A377:A986,DatSet1!B377:B986,_xlfn.XLOOKUP(Table3[[#This Row],[instant]],'Final Data'!A377:A766,'Final Data'!B377:B766, ,0,1),0,1)</f>
        <v>40560</v>
      </c>
      <c r="C377" s="1">
        <f>_xlfn.XLOOKUP(Table3[[#This Row],[instant]],Table1[instant],Table1[hr], ,0,1)</f>
        <v>3</v>
      </c>
      <c r="D377" s="2" t="b">
        <f>_xlfn.XLOOKUP(Table3[[#This Row],[instant]],Table1[instant],Table1[holiday], ,0,1)</f>
        <v>1</v>
      </c>
      <c r="E377" s="2">
        <f>_xlfn.XLOOKUP(Table3[[#This Row],[instant]],Table1[instant],Table1[weekday], ,0,1)</f>
        <v>1</v>
      </c>
      <c r="F377" s="2">
        <f>_xlfn.XLOOKUP(Table3[[#This Row],[instant]],Table1[instant],Table1[weathersit], ,0,1)</f>
        <v>2</v>
      </c>
      <c r="G377" s="2">
        <f>_xlfn.XLOOKUP(Table3[[#This Row],[instant]],Table1[instant],Table1[temp], ,0,1)</f>
        <v>0.18</v>
      </c>
      <c r="H377" s="24">
        <f>_xlfn.XLOOKUP(Table3[[#This Row],[instant]],Table2[instant],Table2[atemp], ,0,1)</f>
        <v>0.18179999999999999</v>
      </c>
      <c r="I377" s="1">
        <f>_xlfn.XLOOKUP(Table3[[#This Row],[instant]],Table2[instant],Table2[hum], ,0,1)</f>
        <v>0.43</v>
      </c>
      <c r="J377" s="1">
        <f>_xlfn.XLOOKUP(Table3[[#This Row],[instant]],Table2[instant],Table2[windspeed], ,0,1)</f>
        <v>0.19400000000000001</v>
      </c>
      <c r="K377" s="1">
        <f>_xlfn.XLOOKUP(Table3[[#This Row],[instant]],Table2[instant],Table2[casual], ,0,1)</f>
        <v>0</v>
      </c>
      <c r="L377" s="1">
        <f>_xlfn.XLOOKUP(Table3[[#This Row],[instant]],Table2[instant],Table2[registered], ,0,1)</f>
        <v>2</v>
      </c>
      <c r="M377" s="6">
        <f>_xlfn.XLOOKUP(Table3[[#This Row],[instant]],Table2[instant],Table2[cnt], ,0,1)</f>
        <v>2</v>
      </c>
      <c r="N377" s="1" t="str">
        <f>IF(OR(Table3[[#This Row],[weekday]]=0,Table3[[#This Row],[weekday]]=6),"Weekend","Weekday")</f>
        <v>Weekday</v>
      </c>
    </row>
    <row r="378" spans="1:14" ht="15" thickBot="1" x14ac:dyDescent="0.35">
      <c r="A378" s="42">
        <v>377</v>
      </c>
      <c r="B378" s="43">
        <f>_xlfn.XLOOKUP(Table3[[#This Row],[instant]],DatSet1!A378:A987,DatSet1!B378:B987,_xlfn.XLOOKUP(Table3[[#This Row],[instant]],'Final Data'!A378:A767,'Final Data'!B378:B767, ,0,1),0,1)</f>
        <v>40560</v>
      </c>
      <c r="C378" s="42">
        <f>_xlfn.XLOOKUP(Table3[[#This Row],[instant]],Table1[instant],Table1[hr], ,0,1)</f>
        <v>4</v>
      </c>
      <c r="D378" s="44" t="b">
        <f>_xlfn.XLOOKUP(Table3[[#This Row],[instant]],Table1[instant],Table1[holiday], ,0,1)</f>
        <v>1</v>
      </c>
      <c r="E378" s="44">
        <f>_xlfn.XLOOKUP(Table3[[#This Row],[instant]],Table1[instant],Table1[weekday], ,0,1)</f>
        <v>1</v>
      </c>
      <c r="F378" s="44">
        <f>_xlfn.XLOOKUP(Table3[[#This Row],[instant]],Table1[instant],Table1[weathersit], ,0,1)</f>
        <v>2</v>
      </c>
      <c r="G378" s="44">
        <f>_xlfn.XLOOKUP(Table3[[#This Row],[instant]],Table1[instant],Table1[temp], ,0,1)</f>
        <v>0.18</v>
      </c>
      <c r="H378" s="45">
        <f>_xlfn.XLOOKUP(Table3[[#This Row],[instant]],Table2[instant],Table2[atemp], ,0,1)</f>
        <v>0.19700000000000001</v>
      </c>
      <c r="I378" s="42">
        <f>_xlfn.XLOOKUP(Table3[[#This Row],[instant]],Table2[instant],Table2[hum], ,0,1)</f>
        <v>0.43</v>
      </c>
      <c r="J378" s="42">
        <f>_xlfn.XLOOKUP(Table3[[#This Row],[instant]],Table2[instant],Table2[windspeed], ,0,1)</f>
        <v>0.1343</v>
      </c>
      <c r="K378" s="42">
        <f>_xlfn.XLOOKUP(Table3[[#This Row],[instant]],Table2[instant],Table2[casual], ,0,1)</f>
        <v>1</v>
      </c>
      <c r="L378" s="42">
        <f>_xlfn.XLOOKUP(Table3[[#This Row],[instant]],Table2[instant],Table2[registered], ,0,1)</f>
        <v>2</v>
      </c>
      <c r="M378" s="46">
        <f>_xlfn.XLOOKUP(Table3[[#This Row],[instant]],Table2[instant],Table2[cnt], ,0,1)</f>
        <v>3</v>
      </c>
      <c r="N378" s="42" t="str">
        <f>IF(OR(Table3[[#This Row],[weekday]]=0,Table3[[#This Row],[weekday]]=6),"Weekend","Weekday")</f>
        <v>Weekday</v>
      </c>
    </row>
    <row r="379" spans="1:14" ht="15" thickBot="1" x14ac:dyDescent="0.35">
      <c r="A379" s="1">
        <v>378</v>
      </c>
      <c r="B379" s="3">
        <f>_xlfn.XLOOKUP(Table3[[#This Row],[instant]],DatSet1!A379:A988,DatSet1!B379:B988,_xlfn.XLOOKUP(Table3[[#This Row],[instant]],'Final Data'!A379:A768,'Final Data'!B379:B768, ,0,1),0,1)</f>
        <v>40560</v>
      </c>
      <c r="C379" s="1">
        <f>_xlfn.XLOOKUP(Table3[[#This Row],[instant]],Table1[instant],Table1[hr], ,0,1)</f>
        <v>5</v>
      </c>
      <c r="D379" s="2" t="b">
        <f>_xlfn.XLOOKUP(Table3[[#This Row],[instant]],Table1[instant],Table1[holiday], ,0,1)</f>
        <v>1</v>
      </c>
      <c r="E379" s="2">
        <f>_xlfn.XLOOKUP(Table3[[#This Row],[instant]],Table1[instant],Table1[weekday], ,0,1)</f>
        <v>1</v>
      </c>
      <c r="F379" s="2">
        <f>_xlfn.XLOOKUP(Table3[[#This Row],[instant]],Table1[instant],Table1[weathersit], ,0,1)</f>
        <v>2</v>
      </c>
      <c r="G379" s="2">
        <f>_xlfn.XLOOKUP(Table3[[#This Row],[instant]],Table1[instant],Table1[temp], ,0,1)</f>
        <v>0.18</v>
      </c>
      <c r="H379" s="24">
        <f>_xlfn.XLOOKUP(Table3[[#This Row],[instant]],Table2[instant],Table2[atemp], ,0,1)</f>
        <v>0.19700000000000001</v>
      </c>
      <c r="I379" s="1">
        <f>_xlfn.XLOOKUP(Table3[[#This Row],[instant]],Table2[instant],Table2[hum], ,0,1)</f>
        <v>0.43</v>
      </c>
      <c r="J379" s="1">
        <f>_xlfn.XLOOKUP(Table3[[#This Row],[instant]],Table2[instant],Table2[windspeed], ,0,1)</f>
        <v>0.16420000000000001</v>
      </c>
      <c r="K379" s="1">
        <f>_xlfn.XLOOKUP(Table3[[#This Row],[instant]],Table2[instant],Table2[casual], ,0,1)</f>
        <v>0</v>
      </c>
      <c r="L379" s="1">
        <f>_xlfn.XLOOKUP(Table3[[#This Row],[instant]],Table2[instant],Table2[registered], ,0,1)</f>
        <v>1</v>
      </c>
      <c r="M379" s="6">
        <f>_xlfn.XLOOKUP(Table3[[#This Row],[instant]],Table2[instant],Table2[cnt], ,0,1)</f>
        <v>1</v>
      </c>
      <c r="N379" s="1" t="str">
        <f>IF(OR(Table3[[#This Row],[weekday]]=0,Table3[[#This Row],[weekday]]=6),"Weekend","Weekday")</f>
        <v>Weekday</v>
      </c>
    </row>
    <row r="380" spans="1:14" ht="15" thickBot="1" x14ac:dyDescent="0.35">
      <c r="A380" s="42">
        <v>379</v>
      </c>
      <c r="B380" s="43">
        <f>_xlfn.XLOOKUP(Table3[[#This Row],[instant]],DatSet1!A380:A989,DatSet1!B380:B989,_xlfn.XLOOKUP(Table3[[#This Row],[instant]],'Final Data'!A380:A769,'Final Data'!B380:B769, ,0,1),0,1)</f>
        <v>40560</v>
      </c>
      <c r="C380" s="42">
        <f>_xlfn.XLOOKUP(Table3[[#This Row],[instant]],Table1[instant],Table1[hr], ,0,1)</f>
        <v>6</v>
      </c>
      <c r="D380" s="44" t="b">
        <f>_xlfn.XLOOKUP(Table3[[#This Row],[instant]],Table1[instant],Table1[holiday], ,0,1)</f>
        <v>1</v>
      </c>
      <c r="E380" s="44">
        <f>_xlfn.XLOOKUP(Table3[[#This Row],[instant]],Table1[instant],Table1[weekday], ,0,1)</f>
        <v>1</v>
      </c>
      <c r="F380" s="44">
        <f>_xlfn.XLOOKUP(Table3[[#This Row],[instant]],Table1[instant],Table1[weathersit], ,0,1)</f>
        <v>2</v>
      </c>
      <c r="G380" s="44">
        <f>_xlfn.XLOOKUP(Table3[[#This Row],[instant]],Table1[instant],Table1[temp], ,0,1)</f>
        <v>0.18</v>
      </c>
      <c r="H380" s="45">
        <f>_xlfn.XLOOKUP(Table3[[#This Row],[instant]],Table2[instant],Table2[atemp], ,0,1)</f>
        <v>0.18179999999999999</v>
      </c>
      <c r="I380" s="42">
        <f>_xlfn.XLOOKUP(Table3[[#This Row],[instant]],Table2[instant],Table2[hum], ,0,1)</f>
        <v>0.43</v>
      </c>
      <c r="J380" s="42">
        <f>_xlfn.XLOOKUP(Table3[[#This Row],[instant]],Table2[instant],Table2[windspeed], ,0,1)</f>
        <v>0.19400000000000001</v>
      </c>
      <c r="K380" s="42">
        <f>_xlfn.XLOOKUP(Table3[[#This Row],[instant]],Table2[instant],Table2[casual], ,0,1)</f>
        <v>0</v>
      </c>
      <c r="L380" s="42">
        <f>_xlfn.XLOOKUP(Table3[[#This Row],[instant]],Table2[instant],Table2[registered], ,0,1)</f>
        <v>5</v>
      </c>
      <c r="M380" s="46">
        <f>_xlfn.XLOOKUP(Table3[[#This Row],[instant]],Table2[instant],Table2[cnt], ,0,1)</f>
        <v>5</v>
      </c>
      <c r="N380" s="42" t="str">
        <f>IF(OR(Table3[[#This Row],[weekday]]=0,Table3[[#This Row],[weekday]]=6),"Weekend","Weekday")</f>
        <v>Weekday</v>
      </c>
    </row>
    <row r="381" spans="1:14" ht="15" thickBot="1" x14ac:dyDescent="0.35">
      <c r="A381" s="1">
        <v>380</v>
      </c>
      <c r="B381" s="3">
        <f>_xlfn.XLOOKUP(Table3[[#This Row],[instant]],DatSet1!A381:A990,DatSet1!B381:B990,_xlfn.XLOOKUP(Table3[[#This Row],[instant]],'Final Data'!A381:A770,'Final Data'!B381:B770, ,0,1),0,1)</f>
        <v>40560</v>
      </c>
      <c r="C381" s="1">
        <f>_xlfn.XLOOKUP(Table3[[#This Row],[instant]],Table1[instant],Table1[hr], ,0,1)</f>
        <v>7</v>
      </c>
      <c r="D381" s="2" t="b">
        <f>_xlfn.XLOOKUP(Table3[[#This Row],[instant]],Table1[instant],Table1[holiday], ,0,1)</f>
        <v>1</v>
      </c>
      <c r="E381" s="2">
        <f>_xlfn.XLOOKUP(Table3[[#This Row],[instant]],Table1[instant],Table1[weekday], ,0,1)</f>
        <v>1</v>
      </c>
      <c r="F381" s="2">
        <f>_xlfn.XLOOKUP(Table3[[#This Row],[instant]],Table1[instant],Table1[weathersit], ,0,1)</f>
        <v>2</v>
      </c>
      <c r="G381" s="2">
        <f>_xlfn.XLOOKUP(Table3[[#This Row],[instant]],Table1[instant],Table1[temp], ,0,1)</f>
        <v>0.16</v>
      </c>
      <c r="H381" s="24">
        <f>_xlfn.XLOOKUP(Table3[[#This Row],[instant]],Table2[instant],Table2[atemp], ,0,1)</f>
        <v>0.18179999999999999</v>
      </c>
      <c r="I381" s="1">
        <f>_xlfn.XLOOKUP(Table3[[#This Row],[instant]],Table2[instant],Table2[hum], ,0,1)</f>
        <v>0.5</v>
      </c>
      <c r="J381" s="1">
        <f>_xlfn.XLOOKUP(Table3[[#This Row],[instant]],Table2[instant],Table2[windspeed], ,0,1)</f>
        <v>0.1343</v>
      </c>
      <c r="K381" s="1">
        <f>_xlfn.XLOOKUP(Table3[[#This Row],[instant]],Table2[instant],Table2[casual], ,0,1)</f>
        <v>4</v>
      </c>
      <c r="L381" s="1">
        <f>_xlfn.XLOOKUP(Table3[[#This Row],[instant]],Table2[instant],Table2[registered], ,0,1)</f>
        <v>9</v>
      </c>
      <c r="M381" s="6">
        <f>_xlfn.XLOOKUP(Table3[[#This Row],[instant]],Table2[instant],Table2[cnt], ,0,1)</f>
        <v>13</v>
      </c>
      <c r="N381" s="1" t="str">
        <f>IF(OR(Table3[[#This Row],[weekday]]=0,Table3[[#This Row],[weekday]]=6),"Weekend","Weekday")</f>
        <v>Weekday</v>
      </c>
    </row>
    <row r="382" spans="1:14" ht="15" thickBot="1" x14ac:dyDescent="0.35">
      <c r="A382" s="42">
        <v>381</v>
      </c>
      <c r="B382" s="43">
        <f>_xlfn.XLOOKUP(Table3[[#This Row],[instant]],DatSet1!A382:A991,DatSet1!B382:B991,_xlfn.XLOOKUP(Table3[[#This Row],[instant]],'Final Data'!A382:A771,'Final Data'!B382:B771, ,0,1),0,1)</f>
        <v>40560</v>
      </c>
      <c r="C382" s="42">
        <f>_xlfn.XLOOKUP(Table3[[#This Row],[instant]],Table1[instant],Table1[hr], ,0,1)</f>
        <v>8</v>
      </c>
      <c r="D382" s="44" t="b">
        <f>_xlfn.XLOOKUP(Table3[[#This Row],[instant]],Table1[instant],Table1[holiday], ,0,1)</f>
        <v>1</v>
      </c>
      <c r="E382" s="44">
        <f>_xlfn.XLOOKUP(Table3[[#This Row],[instant]],Table1[instant],Table1[weekday], ,0,1)</f>
        <v>1</v>
      </c>
      <c r="F382" s="44">
        <f>_xlfn.XLOOKUP(Table3[[#This Row],[instant]],Table1[instant],Table1[weathersit], ,0,1)</f>
        <v>2</v>
      </c>
      <c r="G382" s="44">
        <f>_xlfn.XLOOKUP(Table3[[#This Row],[instant]],Table1[instant],Table1[temp], ,0,1)</f>
        <v>0.16</v>
      </c>
      <c r="H382" s="45">
        <f>_xlfn.XLOOKUP(Table3[[#This Row],[instant]],Table2[instant],Table2[atemp], ,0,1)</f>
        <v>0.1515</v>
      </c>
      <c r="I382" s="42">
        <f>_xlfn.XLOOKUP(Table3[[#This Row],[instant]],Table2[instant],Table2[hum], ,0,1)</f>
        <v>0.47</v>
      </c>
      <c r="J382" s="42">
        <f>_xlfn.XLOOKUP(Table3[[#This Row],[instant]],Table2[instant],Table2[windspeed], ,0,1)</f>
        <v>0.22389999999999999</v>
      </c>
      <c r="K382" s="42">
        <f>_xlfn.XLOOKUP(Table3[[#This Row],[instant]],Table2[instant],Table2[casual], ,0,1)</f>
        <v>3</v>
      </c>
      <c r="L382" s="42">
        <f>_xlfn.XLOOKUP(Table3[[#This Row],[instant]],Table2[instant],Table2[registered], ,0,1)</f>
        <v>30</v>
      </c>
      <c r="M382" s="46">
        <f>_xlfn.XLOOKUP(Table3[[#This Row],[instant]],Table2[instant],Table2[cnt], ,0,1)</f>
        <v>33</v>
      </c>
      <c r="N382" s="42" t="str">
        <f>IF(OR(Table3[[#This Row],[weekday]]=0,Table3[[#This Row],[weekday]]=6),"Weekend","Weekday")</f>
        <v>Weekday</v>
      </c>
    </row>
    <row r="383" spans="1:14" ht="15" thickBot="1" x14ac:dyDescent="0.35">
      <c r="A383" s="1">
        <v>382</v>
      </c>
      <c r="B383" s="3">
        <f>_xlfn.XLOOKUP(Table3[[#This Row],[instant]],DatSet1!A383:A992,DatSet1!B383:B992,_xlfn.XLOOKUP(Table3[[#This Row],[instant]],'Final Data'!A383:A772,'Final Data'!B383:B772, ,0,1),0,1)</f>
        <v>40560</v>
      </c>
      <c r="C383" s="1">
        <f>_xlfn.XLOOKUP(Table3[[#This Row],[instant]],Table1[instant],Table1[hr], ,0,1)</f>
        <v>9</v>
      </c>
      <c r="D383" s="2" t="b">
        <f>_xlfn.XLOOKUP(Table3[[#This Row],[instant]],Table1[instant],Table1[holiday], ,0,1)</f>
        <v>1</v>
      </c>
      <c r="E383" s="2">
        <f>_xlfn.XLOOKUP(Table3[[#This Row],[instant]],Table1[instant],Table1[weekday], ,0,1)</f>
        <v>1</v>
      </c>
      <c r="F383" s="2">
        <f>_xlfn.XLOOKUP(Table3[[#This Row],[instant]],Table1[instant],Table1[weathersit], ,0,1)</f>
        <v>2</v>
      </c>
      <c r="G383" s="2">
        <f>_xlfn.XLOOKUP(Table3[[#This Row],[instant]],Table1[instant],Table1[temp], ,0,1)</f>
        <v>0.16</v>
      </c>
      <c r="H383" s="24">
        <f>_xlfn.XLOOKUP(Table3[[#This Row],[instant]],Table2[instant],Table2[atemp], ,0,1)</f>
        <v>0.1515</v>
      </c>
      <c r="I383" s="1">
        <f>_xlfn.XLOOKUP(Table3[[#This Row],[instant]],Table2[instant],Table2[hum], ,0,1)</f>
        <v>0.47</v>
      </c>
      <c r="J383" s="1">
        <f>_xlfn.XLOOKUP(Table3[[#This Row],[instant]],Table2[instant],Table2[windspeed], ,0,1)</f>
        <v>0.22389999999999999</v>
      </c>
      <c r="K383" s="1">
        <f>_xlfn.XLOOKUP(Table3[[#This Row],[instant]],Table2[instant],Table2[casual], ,0,1)</f>
        <v>8</v>
      </c>
      <c r="L383" s="1">
        <f>_xlfn.XLOOKUP(Table3[[#This Row],[instant]],Table2[instant],Table2[registered], ,0,1)</f>
        <v>39</v>
      </c>
      <c r="M383" s="6">
        <f>_xlfn.XLOOKUP(Table3[[#This Row],[instant]],Table2[instant],Table2[cnt], ,0,1)</f>
        <v>47</v>
      </c>
      <c r="N383" s="1" t="str">
        <f>IF(OR(Table3[[#This Row],[weekday]]=0,Table3[[#This Row],[weekday]]=6),"Weekend","Weekday")</f>
        <v>Weekday</v>
      </c>
    </row>
    <row r="384" spans="1:14" ht="15" thickBot="1" x14ac:dyDescent="0.35">
      <c r="A384" s="42">
        <v>383</v>
      </c>
      <c r="B384" s="43">
        <f>_xlfn.XLOOKUP(Table3[[#This Row],[instant]],DatSet1!A384:A993,DatSet1!B384:B993,_xlfn.XLOOKUP(Table3[[#This Row],[instant]],'Final Data'!A384:A773,'Final Data'!B384:B773, ,0,1),0,1)</f>
        <v>40560</v>
      </c>
      <c r="C384" s="42">
        <f>_xlfn.XLOOKUP(Table3[[#This Row],[instant]],Table1[instant],Table1[hr], ,0,1)</f>
        <v>10</v>
      </c>
      <c r="D384" s="44" t="b">
        <f>_xlfn.XLOOKUP(Table3[[#This Row],[instant]],Table1[instant],Table1[holiday], ,0,1)</f>
        <v>1</v>
      </c>
      <c r="E384" s="44">
        <f>_xlfn.XLOOKUP(Table3[[#This Row],[instant]],Table1[instant],Table1[weekday], ,0,1)</f>
        <v>1</v>
      </c>
      <c r="F384" s="44">
        <f>_xlfn.XLOOKUP(Table3[[#This Row],[instant]],Table1[instant],Table1[weathersit], ,0,1)</f>
        <v>2</v>
      </c>
      <c r="G384" s="44">
        <f>_xlfn.XLOOKUP(Table3[[#This Row],[instant]],Table1[instant],Table1[temp], ,0,1)</f>
        <v>0.16</v>
      </c>
      <c r="H384" s="45">
        <f>_xlfn.XLOOKUP(Table3[[#This Row],[instant]],Table2[instant],Table2[atemp], ,0,1)</f>
        <v>0.1515</v>
      </c>
      <c r="I384" s="42">
        <f>_xlfn.XLOOKUP(Table3[[#This Row],[instant]],Table2[instant],Table2[hum], ,0,1)</f>
        <v>0.5</v>
      </c>
      <c r="J384" s="42">
        <f>_xlfn.XLOOKUP(Table3[[#This Row],[instant]],Table2[instant],Table2[windspeed], ,0,1)</f>
        <v>0.25369999999999998</v>
      </c>
      <c r="K384" s="42">
        <f>_xlfn.XLOOKUP(Table3[[#This Row],[instant]],Table2[instant],Table2[casual], ,0,1)</f>
        <v>7</v>
      </c>
      <c r="L384" s="42">
        <f>_xlfn.XLOOKUP(Table3[[#This Row],[instant]],Table2[instant],Table2[registered], ,0,1)</f>
        <v>50</v>
      </c>
      <c r="M384" s="46">
        <f>_xlfn.XLOOKUP(Table3[[#This Row],[instant]],Table2[instant],Table2[cnt], ,0,1)</f>
        <v>57</v>
      </c>
      <c r="N384" s="42" t="str">
        <f>IF(OR(Table3[[#This Row],[weekday]]=0,Table3[[#This Row],[weekday]]=6),"Weekend","Weekday")</f>
        <v>Weekday</v>
      </c>
    </row>
    <row r="385" spans="1:14" ht="15" thickBot="1" x14ac:dyDescent="0.35">
      <c r="A385" s="1">
        <v>384</v>
      </c>
      <c r="B385" s="3">
        <f>_xlfn.XLOOKUP(Table3[[#This Row],[instant]],DatSet1!A385:A994,DatSet1!B385:B994,_xlfn.XLOOKUP(Table3[[#This Row],[instant]],'Final Data'!A385:A774,'Final Data'!B385:B774, ,0,1),0,1)</f>
        <v>40560</v>
      </c>
      <c r="C385" s="1">
        <f>_xlfn.XLOOKUP(Table3[[#This Row],[instant]],Table1[instant],Table1[hr], ,0,1)</f>
        <v>11</v>
      </c>
      <c r="D385" s="2" t="b">
        <f>_xlfn.XLOOKUP(Table3[[#This Row],[instant]],Table1[instant],Table1[holiday], ,0,1)</f>
        <v>1</v>
      </c>
      <c r="E385" s="2">
        <f>_xlfn.XLOOKUP(Table3[[#This Row],[instant]],Table1[instant],Table1[weekday], ,0,1)</f>
        <v>1</v>
      </c>
      <c r="F385" s="2">
        <f>_xlfn.XLOOKUP(Table3[[#This Row],[instant]],Table1[instant],Table1[weathersit], ,0,1)</f>
        <v>2</v>
      </c>
      <c r="G385" s="2">
        <f>_xlfn.XLOOKUP(Table3[[#This Row],[instant]],Table1[instant],Table1[temp], ,0,1)</f>
        <v>0.16</v>
      </c>
      <c r="H385" s="24">
        <f>_xlfn.XLOOKUP(Table3[[#This Row],[instant]],Table2[instant],Table2[atemp], ,0,1)</f>
        <v>0.1515</v>
      </c>
      <c r="I385" s="1">
        <f>_xlfn.XLOOKUP(Table3[[#This Row],[instant]],Table2[instant],Table2[hum], ,0,1)</f>
        <v>0.55000000000000004</v>
      </c>
      <c r="J385" s="1">
        <f>_xlfn.XLOOKUP(Table3[[#This Row],[instant]],Table2[instant],Table2[windspeed], ,0,1)</f>
        <v>0.19400000000000001</v>
      </c>
      <c r="K385" s="1">
        <f>_xlfn.XLOOKUP(Table3[[#This Row],[instant]],Table2[instant],Table2[casual], ,0,1)</f>
        <v>9</v>
      </c>
      <c r="L385" s="1">
        <f>_xlfn.XLOOKUP(Table3[[#This Row],[instant]],Table2[instant],Table2[registered], ,0,1)</f>
        <v>55</v>
      </c>
      <c r="M385" s="6">
        <f>_xlfn.XLOOKUP(Table3[[#This Row],[instant]],Table2[instant],Table2[cnt], ,0,1)</f>
        <v>64</v>
      </c>
      <c r="N385" s="1" t="str">
        <f>IF(OR(Table3[[#This Row],[weekday]]=0,Table3[[#This Row],[weekday]]=6),"Weekend","Weekday")</f>
        <v>Weekday</v>
      </c>
    </row>
    <row r="386" spans="1:14" ht="15" thickBot="1" x14ac:dyDescent="0.35">
      <c r="A386" s="42">
        <v>385</v>
      </c>
      <c r="B386" s="43">
        <f>_xlfn.XLOOKUP(Table3[[#This Row],[instant]],DatSet1!A386:A995,DatSet1!B386:B995,_xlfn.XLOOKUP(Table3[[#This Row],[instant]],'Final Data'!A386:A775,'Final Data'!B386:B775, ,0,1),0,1)</f>
        <v>40560</v>
      </c>
      <c r="C386" s="42">
        <f>_xlfn.XLOOKUP(Table3[[#This Row],[instant]],Table1[instant],Table1[hr], ,0,1)</f>
        <v>12</v>
      </c>
      <c r="D386" s="44" t="b">
        <f>_xlfn.XLOOKUP(Table3[[#This Row],[instant]],Table1[instant],Table1[holiday], ,0,1)</f>
        <v>1</v>
      </c>
      <c r="E386" s="44">
        <f>_xlfn.XLOOKUP(Table3[[#This Row],[instant]],Table1[instant],Table1[weekday], ,0,1)</f>
        <v>1</v>
      </c>
      <c r="F386" s="44">
        <f>_xlfn.XLOOKUP(Table3[[#This Row],[instant]],Table1[instant],Table1[weathersit], ,0,1)</f>
        <v>2</v>
      </c>
      <c r="G386" s="44">
        <f>_xlfn.XLOOKUP(Table3[[#This Row],[instant]],Table1[instant],Table1[temp], ,0,1)</f>
        <v>0.18</v>
      </c>
      <c r="H386" s="45">
        <f>_xlfn.XLOOKUP(Table3[[#This Row],[instant]],Table2[instant],Table2[atemp], ,0,1)</f>
        <v>0.19700000000000001</v>
      </c>
      <c r="I386" s="42">
        <f>_xlfn.XLOOKUP(Table3[[#This Row],[instant]],Table2[instant],Table2[hum], ,0,1)</f>
        <v>0.47</v>
      </c>
      <c r="J386" s="42">
        <f>_xlfn.XLOOKUP(Table3[[#This Row],[instant]],Table2[instant],Table2[windspeed], ,0,1)</f>
        <v>0.1343</v>
      </c>
      <c r="K386" s="42">
        <f>_xlfn.XLOOKUP(Table3[[#This Row],[instant]],Table2[instant],Table2[casual], ,0,1)</f>
        <v>10</v>
      </c>
      <c r="L386" s="42">
        <f>_xlfn.XLOOKUP(Table3[[#This Row],[instant]],Table2[instant],Table2[registered], ,0,1)</f>
        <v>70</v>
      </c>
      <c r="M386" s="46">
        <f>_xlfn.XLOOKUP(Table3[[#This Row],[instant]],Table2[instant],Table2[cnt], ,0,1)</f>
        <v>80</v>
      </c>
      <c r="N386" s="42" t="str">
        <f>IF(OR(Table3[[#This Row],[weekday]]=0,Table3[[#This Row],[weekday]]=6),"Weekend","Weekday")</f>
        <v>Weekday</v>
      </c>
    </row>
    <row r="387" spans="1:14" ht="15" thickBot="1" x14ac:dyDescent="0.35">
      <c r="A387" s="1">
        <v>386</v>
      </c>
      <c r="B387" s="3">
        <f>_xlfn.XLOOKUP(Table3[[#This Row],[instant]],DatSet1!A387:A996,DatSet1!B387:B996,_xlfn.XLOOKUP(Table3[[#This Row],[instant]],'Final Data'!A387:A776,'Final Data'!B387:B776, ,0,1),0,1)</f>
        <v>40560</v>
      </c>
      <c r="C387" s="1">
        <f>_xlfn.XLOOKUP(Table3[[#This Row],[instant]],Table1[instant],Table1[hr], ,0,1)</f>
        <v>13</v>
      </c>
      <c r="D387" s="2" t="b">
        <f>_xlfn.XLOOKUP(Table3[[#This Row],[instant]],Table1[instant],Table1[holiday], ,0,1)</f>
        <v>1</v>
      </c>
      <c r="E387" s="2">
        <f>_xlfn.XLOOKUP(Table3[[#This Row],[instant]],Table1[instant],Table1[weekday], ,0,1)</f>
        <v>1</v>
      </c>
      <c r="F387" s="2">
        <f>_xlfn.XLOOKUP(Table3[[#This Row],[instant]],Table1[instant],Table1[weathersit], ,0,1)</f>
        <v>2</v>
      </c>
      <c r="G387" s="2">
        <f>_xlfn.XLOOKUP(Table3[[#This Row],[instant]],Table1[instant],Table1[temp], ,0,1)</f>
        <v>0.18</v>
      </c>
      <c r="H387" s="24">
        <f>_xlfn.XLOOKUP(Table3[[#This Row],[instant]],Table2[instant],Table2[atemp], ,0,1)</f>
        <v>0.19700000000000001</v>
      </c>
      <c r="I387" s="1">
        <f>_xlfn.XLOOKUP(Table3[[#This Row],[instant]],Table2[instant],Table2[hum], ,0,1)</f>
        <v>0.47</v>
      </c>
      <c r="J387" s="1">
        <f>_xlfn.XLOOKUP(Table3[[#This Row],[instant]],Table2[instant],Table2[windspeed], ,0,1)</f>
        <v>0.1343</v>
      </c>
      <c r="K387" s="1">
        <f>_xlfn.XLOOKUP(Table3[[#This Row],[instant]],Table2[instant],Table2[casual], ,0,1)</f>
        <v>13</v>
      </c>
      <c r="L387" s="1">
        <f>_xlfn.XLOOKUP(Table3[[#This Row],[instant]],Table2[instant],Table2[registered], ,0,1)</f>
        <v>80</v>
      </c>
      <c r="M387" s="6">
        <f>_xlfn.XLOOKUP(Table3[[#This Row],[instant]],Table2[instant],Table2[cnt], ,0,1)</f>
        <v>93</v>
      </c>
      <c r="N387" s="1" t="str">
        <f>IF(OR(Table3[[#This Row],[weekday]]=0,Table3[[#This Row],[weekday]]=6),"Weekend","Weekday")</f>
        <v>Weekday</v>
      </c>
    </row>
    <row r="388" spans="1:14" ht="15" thickBot="1" x14ac:dyDescent="0.35">
      <c r="A388" s="42">
        <v>387</v>
      </c>
      <c r="B388" s="43">
        <f>_xlfn.XLOOKUP(Table3[[#This Row],[instant]],DatSet1!A388:A997,DatSet1!B388:B997,_xlfn.XLOOKUP(Table3[[#This Row],[instant]],'Final Data'!A388:A777,'Final Data'!B388:B777, ,0,1),0,1)</f>
        <v>40560</v>
      </c>
      <c r="C388" s="42">
        <f>_xlfn.XLOOKUP(Table3[[#This Row],[instant]],Table1[instant],Table1[hr], ,0,1)</f>
        <v>14</v>
      </c>
      <c r="D388" s="44" t="b">
        <f>_xlfn.XLOOKUP(Table3[[#This Row],[instant]],Table1[instant],Table1[holiday], ,0,1)</f>
        <v>1</v>
      </c>
      <c r="E388" s="44">
        <f>_xlfn.XLOOKUP(Table3[[#This Row],[instant]],Table1[instant],Table1[weekday], ,0,1)</f>
        <v>1</v>
      </c>
      <c r="F388" s="44">
        <f>_xlfn.XLOOKUP(Table3[[#This Row],[instant]],Table1[instant],Table1[weathersit], ,0,1)</f>
        <v>2</v>
      </c>
      <c r="G388" s="44">
        <f>_xlfn.XLOOKUP(Table3[[#This Row],[instant]],Table1[instant],Table1[temp], ,0,1)</f>
        <v>0.18</v>
      </c>
      <c r="H388" s="45">
        <f>_xlfn.XLOOKUP(Table3[[#This Row],[instant]],Table2[instant],Table2[atemp], ,0,1)</f>
        <v>0.21210000000000001</v>
      </c>
      <c r="I388" s="42">
        <f>_xlfn.XLOOKUP(Table3[[#This Row],[instant]],Table2[instant],Table2[hum], ,0,1)</f>
        <v>0.43</v>
      </c>
      <c r="J388" s="42">
        <f>_xlfn.XLOOKUP(Table3[[#This Row],[instant]],Table2[instant],Table2[windspeed], ,0,1)</f>
        <v>0.1045</v>
      </c>
      <c r="K388" s="42">
        <f>_xlfn.XLOOKUP(Table3[[#This Row],[instant]],Table2[instant],Table2[casual], ,0,1)</f>
        <v>12</v>
      </c>
      <c r="L388" s="42">
        <f>_xlfn.XLOOKUP(Table3[[#This Row],[instant]],Table2[instant],Table2[registered], ,0,1)</f>
        <v>74</v>
      </c>
      <c r="M388" s="46">
        <f>_xlfn.XLOOKUP(Table3[[#This Row],[instant]],Table2[instant],Table2[cnt], ,0,1)</f>
        <v>86</v>
      </c>
      <c r="N388" s="42" t="str">
        <f>IF(OR(Table3[[#This Row],[weekday]]=0,Table3[[#This Row],[weekday]]=6),"Weekend","Weekday")</f>
        <v>Weekday</v>
      </c>
    </row>
    <row r="389" spans="1:14" ht="15" thickBot="1" x14ac:dyDescent="0.35">
      <c r="A389" s="1">
        <v>388</v>
      </c>
      <c r="B389" s="3">
        <f>_xlfn.XLOOKUP(Table3[[#This Row],[instant]],DatSet1!A389:A998,DatSet1!B389:B998,_xlfn.XLOOKUP(Table3[[#This Row],[instant]],'Final Data'!A389:A778,'Final Data'!B389:B778, ,0,1),0,1)</f>
        <v>40560</v>
      </c>
      <c r="C389" s="1">
        <f>_xlfn.XLOOKUP(Table3[[#This Row],[instant]],Table1[instant],Table1[hr], ,0,1)</f>
        <v>15</v>
      </c>
      <c r="D389" s="2" t="b">
        <f>_xlfn.XLOOKUP(Table3[[#This Row],[instant]],Table1[instant],Table1[holiday], ,0,1)</f>
        <v>1</v>
      </c>
      <c r="E389" s="2">
        <f>_xlfn.XLOOKUP(Table3[[#This Row],[instant]],Table1[instant],Table1[weekday], ,0,1)</f>
        <v>1</v>
      </c>
      <c r="F389" s="2">
        <f>_xlfn.XLOOKUP(Table3[[#This Row],[instant]],Table1[instant],Table1[weathersit], ,0,1)</f>
        <v>2</v>
      </c>
      <c r="G389" s="2">
        <f>_xlfn.XLOOKUP(Table3[[#This Row],[instant]],Table1[instant],Table1[temp], ,0,1)</f>
        <v>0.2</v>
      </c>
      <c r="H389" s="24">
        <f>_xlfn.XLOOKUP(Table3[[#This Row],[instant]],Table2[instant],Table2[atemp], ,0,1)</f>
        <v>0.21210000000000001</v>
      </c>
      <c r="I389" s="1">
        <f>_xlfn.XLOOKUP(Table3[[#This Row],[instant]],Table2[instant],Table2[hum], ,0,1)</f>
        <v>0.47</v>
      </c>
      <c r="J389" s="1">
        <f>_xlfn.XLOOKUP(Table3[[#This Row],[instant]],Table2[instant],Table2[windspeed], ,0,1)</f>
        <v>0.16420000000000001</v>
      </c>
      <c r="K389" s="1">
        <f>_xlfn.XLOOKUP(Table3[[#This Row],[instant]],Table2[instant],Table2[casual], ,0,1)</f>
        <v>21</v>
      </c>
      <c r="L389" s="1">
        <f>_xlfn.XLOOKUP(Table3[[#This Row],[instant]],Table2[instant],Table2[registered], ,0,1)</f>
        <v>72</v>
      </c>
      <c r="M389" s="6">
        <f>_xlfn.XLOOKUP(Table3[[#This Row],[instant]],Table2[instant],Table2[cnt], ,0,1)</f>
        <v>93</v>
      </c>
      <c r="N389" s="1" t="str">
        <f>IF(OR(Table3[[#This Row],[weekday]]=0,Table3[[#This Row],[weekday]]=6),"Weekend","Weekday")</f>
        <v>Weekday</v>
      </c>
    </row>
    <row r="390" spans="1:14" ht="15" thickBot="1" x14ac:dyDescent="0.35">
      <c r="A390" s="42">
        <v>389</v>
      </c>
      <c r="B390" s="43">
        <f>_xlfn.XLOOKUP(Table3[[#This Row],[instant]],DatSet1!A390:A999,DatSet1!B390:B999,_xlfn.XLOOKUP(Table3[[#This Row],[instant]],'Final Data'!A390:A779,'Final Data'!B390:B779, ,0,1),0,1)</f>
        <v>40560</v>
      </c>
      <c r="C390" s="42">
        <f>_xlfn.XLOOKUP(Table3[[#This Row],[instant]],Table1[instant],Table1[hr], ,0,1)</f>
        <v>16</v>
      </c>
      <c r="D390" s="44" t="b">
        <f>_xlfn.XLOOKUP(Table3[[#This Row],[instant]],Table1[instant],Table1[holiday], ,0,1)</f>
        <v>1</v>
      </c>
      <c r="E390" s="44">
        <f>_xlfn.XLOOKUP(Table3[[#This Row],[instant]],Table1[instant],Table1[weekday], ,0,1)</f>
        <v>1</v>
      </c>
      <c r="F390" s="44">
        <f>_xlfn.XLOOKUP(Table3[[#This Row],[instant]],Table1[instant],Table1[weathersit], ,0,1)</f>
        <v>2</v>
      </c>
      <c r="G390" s="44">
        <f>_xlfn.XLOOKUP(Table3[[#This Row],[instant]],Table1[instant],Table1[temp], ,0,1)</f>
        <v>0.2</v>
      </c>
      <c r="H390" s="45">
        <f>_xlfn.XLOOKUP(Table3[[#This Row],[instant]],Table2[instant],Table2[atemp], ,0,1)</f>
        <v>0.21210000000000001</v>
      </c>
      <c r="I390" s="42">
        <f>_xlfn.XLOOKUP(Table3[[#This Row],[instant]],Table2[instant],Table2[hum], ,0,1)</f>
        <v>0.47</v>
      </c>
      <c r="J390" s="42">
        <f>_xlfn.XLOOKUP(Table3[[#This Row],[instant]],Table2[instant],Table2[windspeed], ,0,1)</f>
        <v>0.16420000000000001</v>
      </c>
      <c r="K390" s="42">
        <f>_xlfn.XLOOKUP(Table3[[#This Row],[instant]],Table2[instant],Table2[casual], ,0,1)</f>
        <v>6</v>
      </c>
      <c r="L390" s="42">
        <f>_xlfn.XLOOKUP(Table3[[#This Row],[instant]],Table2[instant],Table2[registered], ,0,1)</f>
        <v>76</v>
      </c>
      <c r="M390" s="46">
        <f>_xlfn.XLOOKUP(Table3[[#This Row],[instant]],Table2[instant],Table2[cnt], ,0,1)</f>
        <v>82</v>
      </c>
      <c r="N390" s="42" t="str">
        <f>IF(OR(Table3[[#This Row],[weekday]]=0,Table3[[#This Row],[weekday]]=6),"Weekend","Weekday")</f>
        <v>Weekday</v>
      </c>
    </row>
    <row r="391" spans="1:14" ht="15" thickBot="1" x14ac:dyDescent="0.35">
      <c r="A391" s="48">
        <v>390</v>
      </c>
      <c r="B391" s="49">
        <f>_xlfn.XLOOKUP(Table3[[#This Row],[instant]],DatSet1!A391:A1000,DatSet1!B391:B1000,_xlfn.XLOOKUP(Table3[[#This Row],[instant]],'Final Data'!A391:A780,'Final Data'!B391:B780, ,0,1),0,1)</f>
        <v>40560</v>
      </c>
      <c r="C391" s="48">
        <f>_xlfn.XLOOKUP(Table3[[#This Row],[instant]],Table1[instant],Table1[hr], ,0,1)</f>
        <v>17</v>
      </c>
      <c r="D391" s="50" t="b">
        <f>_xlfn.XLOOKUP(Table3[[#This Row],[instant]],Table1[instant],Table1[holiday], ,0,1)</f>
        <v>1</v>
      </c>
      <c r="E391" s="2">
        <f>_xlfn.XLOOKUP(Table3[[#This Row],[instant]],Table1[instant],Table1[weekday], ,0,1)</f>
        <v>1</v>
      </c>
      <c r="F391" s="2">
        <f>_xlfn.XLOOKUP(Table3[[#This Row],[instant]],Table1[instant],Table1[weathersit], ,0,1)</f>
        <v>1</v>
      </c>
      <c r="G391" s="2">
        <f>_xlfn.XLOOKUP(Table3[[#This Row],[instant]],Table1[instant],Table1[temp], ,0,1)</f>
        <v>0.2</v>
      </c>
      <c r="H391" s="24">
        <f>_xlfn.XLOOKUP(Table3[[#This Row],[instant]],Table2[instant],Table2[atemp], ,0,1)</f>
        <v>0.19700000000000001</v>
      </c>
      <c r="I391" s="1">
        <f>_xlfn.XLOOKUP(Table3[[#This Row],[instant]],Table2[instant],Table2[hum], ,0,1)</f>
        <v>0.51</v>
      </c>
      <c r="J391" s="1">
        <f>_xlfn.XLOOKUP(Table3[[#This Row],[instant]],Table2[instant],Table2[windspeed], ,0,1)</f>
        <v>0.19400000000000001</v>
      </c>
      <c r="K391" s="1">
        <f>_xlfn.XLOOKUP(Table3[[#This Row],[instant]],Table2[instant],Table2[casual], ,0,1)</f>
        <v>4</v>
      </c>
      <c r="L391" s="1">
        <f>_xlfn.XLOOKUP(Table3[[#This Row],[instant]],Table2[instant],Table2[registered], ,0,1)</f>
        <v>67</v>
      </c>
      <c r="M391" s="6">
        <f>_xlfn.XLOOKUP(Table3[[#This Row],[instant]],Table2[instant],Table2[cnt], ,0,1)</f>
        <v>71</v>
      </c>
      <c r="N391" s="1" t="str">
        <f>IF(OR(Table3[[#This Row],[weekday]]=0,Table3[[#This Row],[weekday]]=6),"Weekend","Weekday")</f>
        <v>Weekday</v>
      </c>
    </row>
    <row r="392" spans="1:14" ht="15" thickBot="1" x14ac:dyDescent="0.35">
      <c r="A392" s="51">
        <v>391</v>
      </c>
      <c r="B392" s="52">
        <f>_xlfn.XLOOKUP(Table3[[#This Row],[instant]],DatSet1!A392:A1001,DatSet1!B392:B1001,_xlfn.XLOOKUP(Table3[[#This Row],[instant]],'Final Data'!A392:A781,'Final Data'!B392:B781, ,0,1),0,1)</f>
        <v>40560</v>
      </c>
      <c r="C392" s="51">
        <f>_xlfn.XLOOKUP(Table3[[#This Row],[instant]],Table1[instant],Table1[hr], ,0,1)</f>
        <v>18</v>
      </c>
      <c r="D392" s="53" t="b">
        <f>_xlfn.XLOOKUP(Table3[[#This Row],[instant]],Table1[instant],Table1[holiday], ,0,1)</f>
        <v>1</v>
      </c>
      <c r="E392" s="44">
        <f>_xlfn.XLOOKUP(Table3[[#This Row],[instant]],Table1[instant],Table1[weekday], ,0,1)</f>
        <v>1</v>
      </c>
      <c r="F392" s="44">
        <f>_xlfn.XLOOKUP(Table3[[#This Row],[instant]],Table1[instant],Table1[weathersit], ,0,1)</f>
        <v>2</v>
      </c>
      <c r="G392" s="44">
        <f>_xlfn.XLOOKUP(Table3[[#This Row],[instant]],Table1[instant],Table1[temp], ,0,1)</f>
        <v>0.18</v>
      </c>
      <c r="H392" s="45">
        <f>_xlfn.XLOOKUP(Table3[[#This Row],[instant]],Table2[instant],Table2[atemp], ,0,1)</f>
        <v>0.16669999999999999</v>
      </c>
      <c r="I392" s="42">
        <f>_xlfn.XLOOKUP(Table3[[#This Row],[instant]],Table2[instant],Table2[hum], ,0,1)</f>
        <v>0.55000000000000004</v>
      </c>
      <c r="J392" s="42">
        <f>_xlfn.XLOOKUP(Table3[[#This Row],[instant]],Table2[instant],Table2[windspeed], ,0,1)</f>
        <v>0.25369999999999998</v>
      </c>
      <c r="K392" s="42">
        <f>_xlfn.XLOOKUP(Table3[[#This Row],[instant]],Table2[instant],Table2[casual], ,0,1)</f>
        <v>7</v>
      </c>
      <c r="L392" s="42">
        <f>_xlfn.XLOOKUP(Table3[[#This Row],[instant]],Table2[instant],Table2[registered], ,0,1)</f>
        <v>85</v>
      </c>
      <c r="M392" s="46">
        <f>_xlfn.XLOOKUP(Table3[[#This Row],[instant]],Table2[instant],Table2[cnt], ,0,1)</f>
        <v>92</v>
      </c>
      <c r="N392" s="42" t="str">
        <f>IF(OR(Table3[[#This Row],[weekday]]=0,Table3[[#This Row],[weekday]]=6),"Weekend","Weekday")</f>
        <v>Weekday</v>
      </c>
    </row>
    <row r="393" spans="1:14" ht="15" thickBot="1" x14ac:dyDescent="0.35">
      <c r="A393" s="48">
        <v>392</v>
      </c>
      <c r="B393" s="49">
        <f>_xlfn.XLOOKUP(Table3[[#This Row],[instant]],DatSet1!A393:A1002,DatSet1!B393:B1002,_xlfn.XLOOKUP(Table3[[#This Row],[instant]],'Final Data'!A393:A782,'Final Data'!B393:B782, ,0,1),0,1)</f>
        <v>40560</v>
      </c>
      <c r="C393" s="48">
        <f>_xlfn.XLOOKUP(Table3[[#This Row],[instant]],Table1[instant],Table1[hr], ,0,1)</f>
        <v>19</v>
      </c>
      <c r="D393" s="50" t="b">
        <f>_xlfn.XLOOKUP(Table3[[#This Row],[instant]],Table1[instant],Table1[holiday], ,0,1)</f>
        <v>1</v>
      </c>
      <c r="E393" s="2">
        <f>_xlfn.XLOOKUP(Table3[[#This Row],[instant]],Table1[instant],Table1[weekday], ,0,1)</f>
        <v>1</v>
      </c>
      <c r="F393" s="2">
        <f>_xlfn.XLOOKUP(Table3[[#This Row],[instant]],Table1[instant],Table1[weathersit], ,0,1)</f>
        <v>3</v>
      </c>
      <c r="G393" s="2">
        <f>_xlfn.XLOOKUP(Table3[[#This Row],[instant]],Table1[instant],Table1[temp], ,0,1)</f>
        <v>0.18</v>
      </c>
      <c r="H393" s="24">
        <f>_xlfn.XLOOKUP(Table3[[#This Row],[instant]],Table2[instant],Table2[atemp], ,0,1)</f>
        <v>0.18179999999999999</v>
      </c>
      <c r="I393" s="1">
        <f>_xlfn.XLOOKUP(Table3[[#This Row],[instant]],Table2[instant],Table2[hum], ,0,1)</f>
        <v>0.59</v>
      </c>
      <c r="J393" s="1">
        <f>_xlfn.XLOOKUP(Table3[[#This Row],[instant]],Table2[instant],Table2[windspeed], ,0,1)</f>
        <v>0.19400000000000001</v>
      </c>
      <c r="K393" s="1">
        <f>_xlfn.XLOOKUP(Table3[[#This Row],[instant]],Table2[instant],Table2[casual], ,0,1)</f>
        <v>2</v>
      </c>
      <c r="L393" s="1">
        <f>_xlfn.XLOOKUP(Table3[[#This Row],[instant]],Table2[instant],Table2[registered], ,0,1)</f>
        <v>58</v>
      </c>
      <c r="M393" s="6">
        <f>_xlfn.XLOOKUP(Table3[[#This Row],[instant]],Table2[instant],Table2[cnt], ,0,1)</f>
        <v>60</v>
      </c>
      <c r="N393" s="1" t="str">
        <f>IF(OR(Table3[[#This Row],[weekday]]=0,Table3[[#This Row],[weekday]]=6),"Weekend","Weekday")</f>
        <v>Weekday</v>
      </c>
    </row>
    <row r="394" spans="1:14" ht="15" thickBot="1" x14ac:dyDescent="0.35">
      <c r="A394" s="51">
        <v>393</v>
      </c>
      <c r="B394" s="52">
        <f>_xlfn.XLOOKUP(Table3[[#This Row],[instant]],DatSet1!A394:A1003,DatSet1!B394:B1003,_xlfn.XLOOKUP(Table3[[#This Row],[instant]],'Final Data'!A394:A783,'Final Data'!B394:B783, ,0,1),0,1)</f>
        <v>40560</v>
      </c>
      <c r="C394" s="51">
        <f>_xlfn.XLOOKUP(Table3[[#This Row],[instant]],Table1[instant],Table1[hr], ,0,1)</f>
        <v>20</v>
      </c>
      <c r="D394" s="53" t="b">
        <f>_xlfn.XLOOKUP(Table3[[#This Row],[instant]],Table1[instant],Table1[holiday], ,0,1)</f>
        <v>1</v>
      </c>
      <c r="E394" s="44">
        <f>_xlfn.XLOOKUP(Table3[[#This Row],[instant]],Table1[instant],Table1[weekday], ,0,1)</f>
        <v>1</v>
      </c>
      <c r="F394" s="44">
        <f>_xlfn.XLOOKUP(Table3[[#This Row],[instant]],Table1[instant],Table1[weathersit], ,0,1)</f>
        <v>3</v>
      </c>
      <c r="G394" s="44">
        <f>_xlfn.XLOOKUP(Table3[[#This Row],[instant]],Table1[instant],Table1[temp], ,0,1)</f>
        <v>0.16</v>
      </c>
      <c r="H394" s="45">
        <f>_xlfn.XLOOKUP(Table3[[#This Row],[instant]],Table2[instant],Table2[atemp], ,0,1)</f>
        <v>0.1515</v>
      </c>
      <c r="I394" s="42">
        <f>_xlfn.XLOOKUP(Table3[[#This Row],[instant]],Table2[instant],Table2[hum], ,0,1)</f>
        <v>0.8</v>
      </c>
      <c r="J394" s="42">
        <f>_xlfn.XLOOKUP(Table3[[#This Row],[instant]],Table2[instant],Table2[windspeed], ,0,1)</f>
        <v>0.19400000000000001</v>
      </c>
      <c r="K394" s="42">
        <f>_xlfn.XLOOKUP(Table3[[#This Row],[instant]],Table2[instant],Table2[casual], ,0,1)</f>
        <v>4</v>
      </c>
      <c r="L394" s="42">
        <f>_xlfn.XLOOKUP(Table3[[#This Row],[instant]],Table2[instant],Table2[registered], ,0,1)</f>
        <v>29</v>
      </c>
      <c r="M394" s="46">
        <f>_xlfn.XLOOKUP(Table3[[#This Row],[instant]],Table2[instant],Table2[cnt], ,0,1)</f>
        <v>33</v>
      </c>
      <c r="N394" s="42" t="str">
        <f>IF(OR(Table3[[#This Row],[weekday]]=0,Table3[[#This Row],[weekday]]=6),"Weekend","Weekday")</f>
        <v>Weekday</v>
      </c>
    </row>
    <row r="395" spans="1:14" ht="15" thickBot="1" x14ac:dyDescent="0.35">
      <c r="A395" s="48">
        <v>394</v>
      </c>
      <c r="B395" s="49">
        <f>_xlfn.XLOOKUP(Table3[[#This Row],[instant]],DatSet1!A395:A1004,DatSet1!B395:B1004,_xlfn.XLOOKUP(Table3[[#This Row],[instant]],'Final Data'!A395:A784,'Final Data'!B395:B784, ,0,1),0,1)</f>
        <v>40560</v>
      </c>
      <c r="C395" s="48">
        <f>_xlfn.XLOOKUP(Table3[[#This Row],[instant]],Table1[instant],Table1[hr], ,0,1)</f>
        <v>21</v>
      </c>
      <c r="D395" s="50" t="b">
        <f>_xlfn.XLOOKUP(Table3[[#This Row],[instant]],Table1[instant],Table1[holiday], ,0,1)</f>
        <v>1</v>
      </c>
      <c r="E395" s="2">
        <f>_xlfn.XLOOKUP(Table3[[#This Row],[instant]],Table1[instant],Table1[weekday], ,0,1)</f>
        <v>1</v>
      </c>
      <c r="F395" s="2">
        <f>_xlfn.XLOOKUP(Table3[[#This Row],[instant]],Table1[instant],Table1[weathersit], ,0,1)</f>
        <v>3</v>
      </c>
      <c r="G395" s="2">
        <f>_xlfn.XLOOKUP(Table3[[#This Row],[instant]],Table1[instant],Table1[temp], ,0,1)</f>
        <v>0.16</v>
      </c>
      <c r="H395" s="24">
        <f>_xlfn.XLOOKUP(Table3[[#This Row],[instant]],Table2[instant],Table2[atemp], ,0,1)</f>
        <v>0.1515</v>
      </c>
      <c r="I395" s="1">
        <f>_xlfn.XLOOKUP(Table3[[#This Row],[instant]],Table2[instant],Table2[hum], ,0,1)</f>
        <v>0.8</v>
      </c>
      <c r="J395" s="1">
        <f>_xlfn.XLOOKUP(Table3[[#This Row],[instant]],Table2[instant],Table2[windspeed], ,0,1)</f>
        <v>0.19400000000000001</v>
      </c>
      <c r="K395" s="1">
        <f>_xlfn.XLOOKUP(Table3[[#This Row],[instant]],Table2[instant],Table2[casual], ,0,1)</f>
        <v>3</v>
      </c>
      <c r="L395" s="1">
        <f>_xlfn.XLOOKUP(Table3[[#This Row],[instant]],Table2[instant],Table2[registered], ,0,1)</f>
        <v>24</v>
      </c>
      <c r="M395" s="6">
        <f>_xlfn.XLOOKUP(Table3[[#This Row],[instant]],Table2[instant],Table2[cnt], ,0,1)</f>
        <v>27</v>
      </c>
      <c r="N395" s="1" t="str">
        <f>IF(OR(Table3[[#This Row],[weekday]]=0,Table3[[#This Row],[weekday]]=6),"Weekend","Weekday")</f>
        <v>Weekday</v>
      </c>
    </row>
    <row r="396" spans="1:14" ht="15" thickBot="1" x14ac:dyDescent="0.35">
      <c r="A396" s="51">
        <v>395</v>
      </c>
      <c r="B396" s="52">
        <f>_xlfn.XLOOKUP(Table3[[#This Row],[instant]],DatSet1!A396:A1005,DatSet1!B396:B1005,_xlfn.XLOOKUP(Table3[[#This Row],[instant]],'Final Data'!A396:A785,'Final Data'!B396:B785, ,0,1),0,1)</f>
        <v>40560</v>
      </c>
      <c r="C396" s="51">
        <f>_xlfn.XLOOKUP(Table3[[#This Row],[instant]],Table1[instant],Table1[hr], ,0,1)</f>
        <v>22</v>
      </c>
      <c r="D396" s="53" t="b">
        <f>_xlfn.XLOOKUP(Table3[[#This Row],[instant]],Table1[instant],Table1[holiday], ,0,1)</f>
        <v>1</v>
      </c>
      <c r="E396" s="44">
        <f>_xlfn.XLOOKUP(Table3[[#This Row],[instant]],Table1[instant],Table1[weekday], ,0,1)</f>
        <v>1</v>
      </c>
      <c r="F396" s="44">
        <f>_xlfn.XLOOKUP(Table3[[#This Row],[instant]],Table1[instant],Table1[weathersit], ,0,1)</f>
        <v>3</v>
      </c>
      <c r="G396" s="44">
        <f>_xlfn.XLOOKUP(Table3[[#This Row],[instant]],Table1[instant],Table1[temp], ,0,1)</f>
        <v>0.14000000000000001</v>
      </c>
      <c r="H396" s="45">
        <f>_xlfn.XLOOKUP(Table3[[#This Row],[instant]],Table2[instant],Table2[atemp], ,0,1)</f>
        <v>0.1212</v>
      </c>
      <c r="I396" s="42">
        <f>_xlfn.XLOOKUP(Table3[[#This Row],[instant]],Table2[instant],Table2[hum], ,0,1)</f>
        <v>0.93</v>
      </c>
      <c r="J396" s="42">
        <f>_xlfn.XLOOKUP(Table3[[#This Row],[instant]],Table2[instant],Table2[windspeed], ,0,1)</f>
        <v>0.25369999999999998</v>
      </c>
      <c r="K396" s="42">
        <f>_xlfn.XLOOKUP(Table3[[#This Row],[instant]],Table2[instant],Table2[casual], ,0,1)</f>
        <v>0</v>
      </c>
      <c r="L396" s="42">
        <f>_xlfn.XLOOKUP(Table3[[#This Row],[instant]],Table2[instant],Table2[registered], ,0,1)</f>
        <v>13</v>
      </c>
      <c r="M396" s="46">
        <f>_xlfn.XLOOKUP(Table3[[#This Row],[instant]],Table2[instant],Table2[cnt], ,0,1)</f>
        <v>13</v>
      </c>
      <c r="N396" s="42" t="str">
        <f>IF(OR(Table3[[#This Row],[weekday]]=0,Table3[[#This Row],[weekday]]=6),"Weekend","Weekday")</f>
        <v>Weekday</v>
      </c>
    </row>
    <row r="397" spans="1:14" ht="15" thickBot="1" x14ac:dyDescent="0.35">
      <c r="A397" s="48">
        <v>396</v>
      </c>
      <c r="B397" s="49">
        <f>_xlfn.XLOOKUP(Table3[[#This Row],[instant]],DatSet1!A397:A1006,DatSet1!B397:B1006,_xlfn.XLOOKUP(Table3[[#This Row],[instant]],'Final Data'!A397:A786,'Final Data'!B397:B786, ,0,1),0,1)</f>
        <v>40560</v>
      </c>
      <c r="C397" s="48">
        <f>_xlfn.XLOOKUP(Table3[[#This Row],[instant]],Table1[instant],Table1[hr], ,0,1)</f>
        <v>23</v>
      </c>
      <c r="D397" s="50" t="b">
        <f>_xlfn.XLOOKUP(Table3[[#This Row],[instant]],Table1[instant],Table1[holiday], ,0,1)</f>
        <v>1</v>
      </c>
      <c r="E397" s="2">
        <f>_xlfn.XLOOKUP(Table3[[#This Row],[instant]],Table1[instant],Table1[weekday], ,0,1)</f>
        <v>1</v>
      </c>
      <c r="F397" s="2">
        <f>_xlfn.XLOOKUP(Table3[[#This Row],[instant]],Table1[instant],Table1[weathersit], ,0,1)</f>
        <v>3</v>
      </c>
      <c r="G397" s="2">
        <f>_xlfn.XLOOKUP(Table3[[#This Row],[instant]],Table1[instant],Table1[temp], ,0,1)</f>
        <v>0.16</v>
      </c>
      <c r="H397" s="24">
        <f>_xlfn.XLOOKUP(Table3[[#This Row],[instant]],Table2[instant],Table2[atemp], ,0,1)</f>
        <v>0.13639999999999999</v>
      </c>
      <c r="I397" s="1">
        <f>_xlfn.XLOOKUP(Table3[[#This Row],[instant]],Table2[instant],Table2[hum], ,0,1)</f>
        <v>0.86</v>
      </c>
      <c r="J397" s="1">
        <f>_xlfn.XLOOKUP(Table3[[#This Row],[instant]],Table2[instant],Table2[windspeed], ,0,1)</f>
        <v>0.28360000000000002</v>
      </c>
      <c r="K397" s="1">
        <f>_xlfn.XLOOKUP(Table3[[#This Row],[instant]],Table2[instant],Table2[casual], ,0,1)</f>
        <v>1</v>
      </c>
      <c r="L397" s="1">
        <f>_xlfn.XLOOKUP(Table3[[#This Row],[instant]],Table2[instant],Table2[registered], ,0,1)</f>
        <v>3</v>
      </c>
      <c r="M397" s="6">
        <f>_xlfn.XLOOKUP(Table3[[#This Row],[instant]],Table2[instant],Table2[cnt], ,0,1)</f>
        <v>4</v>
      </c>
      <c r="N397" s="1" t="str">
        <f>IF(OR(Table3[[#This Row],[weekday]]=0,Table3[[#This Row],[weekday]]=6),"Weekend","Weekday")</f>
        <v>Weekday</v>
      </c>
    </row>
    <row r="398" spans="1:14" ht="15" thickBot="1" x14ac:dyDescent="0.35">
      <c r="A398" s="51">
        <v>397</v>
      </c>
      <c r="B398" s="52">
        <f>_xlfn.XLOOKUP(Table3[[#This Row],[instant]],DatSet1!A398:A1007,DatSet1!B398:B1007,_xlfn.XLOOKUP(Table3[[#This Row],[instant]],'Final Data'!A398:A787,'Final Data'!B398:B787, ,0,1),0,1)</f>
        <v>40561</v>
      </c>
      <c r="C398" s="51">
        <f>_xlfn.XLOOKUP(Table3[[#This Row],[instant]],Table1[instant],Table1[hr], ,0,1)</f>
        <v>12</v>
      </c>
      <c r="D398" s="53" t="b">
        <f>_xlfn.XLOOKUP(Table3[[#This Row],[instant]],Table1[instant],Table1[holiday], ,0,1)</f>
        <v>0</v>
      </c>
      <c r="E398" s="44">
        <f>_xlfn.XLOOKUP(Table3[[#This Row],[instant]],Table1[instant],Table1[weekday], ,0,1)</f>
        <v>2</v>
      </c>
      <c r="F398" s="44">
        <f>_xlfn.XLOOKUP(Table3[[#This Row],[instant]],Table1[instant],Table1[weathersit], ,0,1)</f>
        <v>2</v>
      </c>
      <c r="G398" s="44">
        <f>_xlfn.XLOOKUP(Table3[[#This Row],[instant]],Table1[instant],Table1[temp], ,0,1)</f>
        <v>0.2</v>
      </c>
      <c r="H398" s="45">
        <f>_xlfn.XLOOKUP(Table3[[#This Row],[instant]],Table2[instant],Table2[atemp], ,0,1)</f>
        <v>0.18179999999999999</v>
      </c>
      <c r="I398" s="42">
        <f>_xlfn.XLOOKUP(Table3[[#This Row],[instant]],Table2[instant],Table2[hum], ,0,1)</f>
        <v>0.86</v>
      </c>
      <c r="J398" s="42">
        <f>_xlfn.XLOOKUP(Table3[[#This Row],[instant]],Table2[instant],Table2[windspeed], ,0,1)</f>
        <v>0.32840000000000003</v>
      </c>
      <c r="K398" s="42">
        <f>_xlfn.XLOOKUP(Table3[[#This Row],[instant]],Table2[instant],Table2[casual], ,0,1)</f>
        <v>0</v>
      </c>
      <c r="L398" s="42">
        <f>_xlfn.XLOOKUP(Table3[[#This Row],[instant]],Table2[instant],Table2[registered], ,0,1)</f>
        <v>3</v>
      </c>
      <c r="M398" s="46">
        <f>_xlfn.XLOOKUP(Table3[[#This Row],[instant]],Table2[instant],Table2[cnt], ,0,1)</f>
        <v>3</v>
      </c>
      <c r="N398" s="42" t="str">
        <f>IF(OR(Table3[[#This Row],[weekday]]=0,Table3[[#This Row],[weekday]]=6),"Weekend","Weekday")</f>
        <v>Weekday</v>
      </c>
    </row>
    <row r="399" spans="1:14" ht="15" thickBot="1" x14ac:dyDescent="0.35">
      <c r="A399" s="48">
        <v>398</v>
      </c>
      <c r="B399" s="49">
        <f>_xlfn.XLOOKUP(Table3[[#This Row],[instant]],DatSet1!A399:A1008,DatSet1!B399:B1008,_xlfn.XLOOKUP(Table3[[#This Row],[instant]],'Final Data'!A399:A788,'Final Data'!B399:B788, ,0,1),0,1)</f>
        <v>40561</v>
      </c>
      <c r="C399" s="48">
        <f>_xlfn.XLOOKUP(Table3[[#This Row],[instant]],Table1[instant],Table1[hr], ,0,1)</f>
        <v>13</v>
      </c>
      <c r="D399" s="50" t="b">
        <f>_xlfn.XLOOKUP(Table3[[#This Row],[instant]],Table1[instant],Table1[holiday], ,0,1)</f>
        <v>0</v>
      </c>
      <c r="E399" s="2">
        <f>_xlfn.XLOOKUP(Table3[[#This Row],[instant]],Table1[instant],Table1[weekday], ,0,1)</f>
        <v>2</v>
      </c>
      <c r="F399" s="2">
        <f>_xlfn.XLOOKUP(Table3[[#This Row],[instant]],Table1[instant],Table1[weathersit], ,0,1)</f>
        <v>2</v>
      </c>
      <c r="G399" s="2">
        <f>_xlfn.XLOOKUP(Table3[[#This Row],[instant]],Table1[instant],Table1[temp], ,0,1)</f>
        <v>0.2</v>
      </c>
      <c r="H399" s="24">
        <f>_xlfn.XLOOKUP(Table3[[#This Row],[instant]],Table2[instant],Table2[atemp], ,0,1)</f>
        <v>0.19700000000000001</v>
      </c>
      <c r="I399" s="1">
        <f>_xlfn.XLOOKUP(Table3[[#This Row],[instant]],Table2[instant],Table2[hum], ,0,1)</f>
        <v>0.86</v>
      </c>
      <c r="J399" s="1">
        <f>_xlfn.XLOOKUP(Table3[[#This Row],[instant]],Table2[instant],Table2[windspeed], ,0,1)</f>
        <v>0.22389999999999999</v>
      </c>
      <c r="K399" s="1">
        <f>_xlfn.XLOOKUP(Table3[[#This Row],[instant]],Table2[instant],Table2[casual], ,0,1)</f>
        <v>0</v>
      </c>
      <c r="L399" s="1">
        <f>_xlfn.XLOOKUP(Table3[[#This Row],[instant]],Table2[instant],Table2[registered], ,0,1)</f>
        <v>22</v>
      </c>
      <c r="M399" s="6">
        <f>_xlfn.XLOOKUP(Table3[[#This Row],[instant]],Table2[instant],Table2[cnt], ,0,1)</f>
        <v>22</v>
      </c>
      <c r="N399" s="1" t="str">
        <f>IF(OR(Table3[[#This Row],[weekday]]=0,Table3[[#This Row],[weekday]]=6),"Weekend","Weekday")</f>
        <v>Weekday</v>
      </c>
    </row>
    <row r="400" spans="1:14" ht="15" thickBot="1" x14ac:dyDescent="0.35">
      <c r="A400" s="51">
        <v>399</v>
      </c>
      <c r="B400" s="52">
        <f>_xlfn.XLOOKUP(Table3[[#This Row],[instant]],DatSet1!A400:A1009,DatSet1!B400:B1009,_xlfn.XLOOKUP(Table3[[#This Row],[instant]],'Final Data'!A400:A789,'Final Data'!B400:B789, ,0,1),0,1)</f>
        <v>40561</v>
      </c>
      <c r="C400" s="51">
        <f>_xlfn.XLOOKUP(Table3[[#This Row],[instant]],Table1[instant],Table1[hr], ,0,1)</f>
        <v>14</v>
      </c>
      <c r="D400" s="53" t="b">
        <f>_xlfn.XLOOKUP(Table3[[#This Row],[instant]],Table1[instant],Table1[holiday], ,0,1)</f>
        <v>0</v>
      </c>
      <c r="E400" s="44">
        <f>_xlfn.XLOOKUP(Table3[[#This Row],[instant]],Table1[instant],Table1[weekday], ,0,1)</f>
        <v>2</v>
      </c>
      <c r="F400" s="44">
        <f>_xlfn.XLOOKUP(Table3[[#This Row],[instant]],Table1[instant],Table1[weathersit], ,0,1)</f>
        <v>2</v>
      </c>
      <c r="G400" s="44">
        <f>_xlfn.XLOOKUP(Table3[[#This Row],[instant]],Table1[instant],Table1[temp], ,0,1)</f>
        <v>0.22</v>
      </c>
      <c r="H400" s="45">
        <f>_xlfn.XLOOKUP(Table3[[#This Row],[instant]],Table2[instant],Table2[atemp], ,0,1)</f>
        <v>0.2273</v>
      </c>
      <c r="I400" s="42">
        <f>_xlfn.XLOOKUP(Table3[[#This Row],[instant]],Table2[instant],Table2[hum], ,0,1)</f>
        <v>0.8</v>
      </c>
      <c r="J400" s="42">
        <f>_xlfn.XLOOKUP(Table3[[#This Row],[instant]],Table2[instant],Table2[windspeed], ,0,1)</f>
        <v>0.16420000000000001</v>
      </c>
      <c r="K400" s="42">
        <f>_xlfn.XLOOKUP(Table3[[#This Row],[instant]],Table2[instant],Table2[casual], ,0,1)</f>
        <v>2</v>
      </c>
      <c r="L400" s="42">
        <f>_xlfn.XLOOKUP(Table3[[#This Row],[instant]],Table2[instant],Table2[registered], ,0,1)</f>
        <v>26</v>
      </c>
      <c r="M400" s="46">
        <f>_xlfn.XLOOKUP(Table3[[#This Row],[instant]],Table2[instant],Table2[cnt], ,0,1)</f>
        <v>28</v>
      </c>
      <c r="N400" s="42" t="str">
        <f>IF(OR(Table3[[#This Row],[weekday]]=0,Table3[[#This Row],[weekday]]=6),"Weekend","Weekday")</f>
        <v>Weekday</v>
      </c>
    </row>
    <row r="401" spans="1:14" ht="15" thickBot="1" x14ac:dyDescent="0.35">
      <c r="A401" s="48">
        <v>400</v>
      </c>
      <c r="B401" s="49">
        <f>_xlfn.XLOOKUP(Table3[[#This Row],[instant]],DatSet1!A401:A1010,DatSet1!B401:B1010,_xlfn.XLOOKUP(Table3[[#This Row],[instant]],'Final Data'!A401:A790,'Final Data'!B401:B790, ,0,1),0,1)</f>
        <v>40561</v>
      </c>
      <c r="C401" s="48">
        <f>_xlfn.XLOOKUP(Table3[[#This Row],[instant]],Table1[instant],Table1[hr], ,0,1)</f>
        <v>15</v>
      </c>
      <c r="D401" s="50" t="b">
        <f>_xlfn.XLOOKUP(Table3[[#This Row],[instant]],Table1[instant],Table1[holiday], ,0,1)</f>
        <v>0</v>
      </c>
      <c r="E401" s="2">
        <f>_xlfn.XLOOKUP(Table3[[#This Row],[instant]],Table1[instant],Table1[weekday], ,0,1)</f>
        <v>2</v>
      </c>
      <c r="F401" s="2">
        <f>_xlfn.XLOOKUP(Table3[[#This Row],[instant]],Table1[instant],Table1[weathersit], ,0,1)</f>
        <v>2</v>
      </c>
      <c r="G401" s="2">
        <f>_xlfn.XLOOKUP(Table3[[#This Row],[instant]],Table1[instant],Table1[temp], ,0,1)</f>
        <v>0.22</v>
      </c>
      <c r="H401" s="24">
        <f>_xlfn.XLOOKUP(Table3[[#This Row],[instant]],Table2[instant],Table2[atemp], ,0,1)</f>
        <v>0.2273</v>
      </c>
      <c r="I401" s="1">
        <f>_xlfn.XLOOKUP(Table3[[#This Row],[instant]],Table2[instant],Table2[hum], ,0,1)</f>
        <v>0.87</v>
      </c>
      <c r="J401" s="1">
        <f>_xlfn.XLOOKUP(Table3[[#This Row],[instant]],Table2[instant],Table2[windspeed], ,0,1)</f>
        <v>0.16420000000000001</v>
      </c>
      <c r="K401" s="1">
        <f>_xlfn.XLOOKUP(Table3[[#This Row],[instant]],Table2[instant],Table2[casual], ,0,1)</f>
        <v>3</v>
      </c>
      <c r="L401" s="1">
        <f>_xlfn.XLOOKUP(Table3[[#This Row],[instant]],Table2[instant],Table2[registered], ,0,1)</f>
        <v>32</v>
      </c>
      <c r="M401" s="6">
        <f>_xlfn.XLOOKUP(Table3[[#This Row],[instant]],Table2[instant],Table2[cnt], ,0,1)</f>
        <v>35</v>
      </c>
      <c r="N401" s="1" t="str">
        <f>IF(OR(Table3[[#This Row],[weekday]]=0,Table3[[#This Row],[weekday]]=6),"Weekend","Weekday")</f>
        <v>Weekday</v>
      </c>
    </row>
    <row r="402" spans="1:14" ht="15" thickBot="1" x14ac:dyDescent="0.35">
      <c r="A402" s="51">
        <v>401</v>
      </c>
      <c r="B402" s="52">
        <f>_xlfn.XLOOKUP(Table3[[#This Row],[instant]],DatSet1!A402:A1011,DatSet1!B402:B1011,_xlfn.XLOOKUP(Table3[[#This Row],[instant]],'Final Data'!A402:A791,'Final Data'!B402:B791, ,0,1),0,1)</f>
        <v>40561</v>
      </c>
      <c r="C402" s="51">
        <f>_xlfn.XLOOKUP(Table3[[#This Row],[instant]],Table1[instant],Table1[hr], ,0,1)</f>
        <v>16</v>
      </c>
      <c r="D402" s="53" t="b">
        <f>_xlfn.XLOOKUP(Table3[[#This Row],[instant]],Table1[instant],Table1[holiday], ,0,1)</f>
        <v>0</v>
      </c>
      <c r="E402" s="44">
        <f>_xlfn.XLOOKUP(Table3[[#This Row],[instant]],Table1[instant],Table1[weekday], ,0,1)</f>
        <v>2</v>
      </c>
      <c r="F402" s="44">
        <f>_xlfn.XLOOKUP(Table3[[#This Row],[instant]],Table1[instant],Table1[weathersit], ,0,1)</f>
        <v>2</v>
      </c>
      <c r="G402" s="44">
        <f>_xlfn.XLOOKUP(Table3[[#This Row],[instant]],Table1[instant],Table1[temp], ,0,1)</f>
        <v>0.22</v>
      </c>
      <c r="H402" s="45">
        <f>_xlfn.XLOOKUP(Table3[[#This Row],[instant]],Table2[instant],Table2[atemp], ,0,1)</f>
        <v>0.2273</v>
      </c>
      <c r="I402" s="42">
        <f>_xlfn.XLOOKUP(Table3[[#This Row],[instant]],Table2[instant],Table2[hum], ,0,1)</f>
        <v>0.87</v>
      </c>
      <c r="J402" s="42">
        <f>_xlfn.XLOOKUP(Table3[[#This Row],[instant]],Table2[instant],Table2[windspeed], ,0,1)</f>
        <v>0.19400000000000001</v>
      </c>
      <c r="K402" s="42">
        <f>_xlfn.XLOOKUP(Table3[[#This Row],[instant]],Table2[instant],Table2[casual], ,0,1)</f>
        <v>0</v>
      </c>
      <c r="L402" s="42">
        <f>_xlfn.XLOOKUP(Table3[[#This Row],[instant]],Table2[instant],Table2[registered], ,0,1)</f>
        <v>61</v>
      </c>
      <c r="M402" s="46">
        <f>_xlfn.XLOOKUP(Table3[[#This Row],[instant]],Table2[instant],Table2[cnt], ,0,1)</f>
        <v>61</v>
      </c>
      <c r="N402" s="42" t="str">
        <f>IF(OR(Table3[[#This Row],[weekday]]=0,Table3[[#This Row],[weekday]]=6),"Weekend","Weekday")</f>
        <v>Weekday</v>
      </c>
    </row>
    <row r="403" spans="1:14" ht="15" thickBot="1" x14ac:dyDescent="0.35">
      <c r="A403" s="48">
        <v>402</v>
      </c>
      <c r="B403" s="49">
        <f>_xlfn.XLOOKUP(Table3[[#This Row],[instant]],DatSet1!A403:A1012,DatSet1!B403:B1012,_xlfn.XLOOKUP(Table3[[#This Row],[instant]],'Final Data'!A403:A792,'Final Data'!B403:B792, ,0,1),0,1)</f>
        <v>40561</v>
      </c>
      <c r="C403" s="48">
        <f>_xlfn.XLOOKUP(Table3[[#This Row],[instant]],Table1[instant],Table1[hr], ,0,1)</f>
        <v>17</v>
      </c>
      <c r="D403" s="50" t="b">
        <f>_xlfn.XLOOKUP(Table3[[#This Row],[instant]],Table1[instant],Table1[holiday], ,0,1)</f>
        <v>0</v>
      </c>
      <c r="E403" s="2">
        <f>_xlfn.XLOOKUP(Table3[[#This Row],[instant]],Table1[instant],Table1[weekday], ,0,1)</f>
        <v>2</v>
      </c>
      <c r="F403" s="2">
        <f>_xlfn.XLOOKUP(Table3[[#This Row],[instant]],Table1[instant],Table1[weathersit], ,0,1)</f>
        <v>2</v>
      </c>
      <c r="G403" s="2">
        <f>_xlfn.XLOOKUP(Table3[[#This Row],[instant]],Table1[instant],Table1[temp], ,0,1)</f>
        <v>0.22</v>
      </c>
      <c r="H403" s="24">
        <f>_xlfn.XLOOKUP(Table3[[#This Row],[instant]],Table2[instant],Table2[atemp], ,0,1)</f>
        <v>0.2273</v>
      </c>
      <c r="I403" s="1">
        <f>_xlfn.XLOOKUP(Table3[[#This Row],[instant]],Table2[instant],Table2[hum], ,0,1)</f>
        <v>0.82</v>
      </c>
      <c r="J403" s="1">
        <f>_xlfn.XLOOKUP(Table3[[#This Row],[instant]],Table2[instant],Table2[windspeed], ,0,1)</f>
        <v>0.19400000000000001</v>
      </c>
      <c r="K403" s="1">
        <f>_xlfn.XLOOKUP(Table3[[#This Row],[instant]],Table2[instant],Table2[casual], ,0,1)</f>
        <v>1</v>
      </c>
      <c r="L403" s="1">
        <f>_xlfn.XLOOKUP(Table3[[#This Row],[instant]],Table2[instant],Table2[registered], ,0,1)</f>
        <v>124</v>
      </c>
      <c r="M403" s="6">
        <f>_xlfn.XLOOKUP(Table3[[#This Row],[instant]],Table2[instant],Table2[cnt], ,0,1)</f>
        <v>125</v>
      </c>
      <c r="N403" s="1" t="str">
        <f>IF(OR(Table3[[#This Row],[weekday]]=0,Table3[[#This Row],[weekday]]=6),"Weekend","Weekday")</f>
        <v>Weekday</v>
      </c>
    </row>
    <row r="404" spans="1:14" ht="15" thickBot="1" x14ac:dyDescent="0.35">
      <c r="A404" s="51">
        <v>403</v>
      </c>
      <c r="B404" s="52">
        <f>_xlfn.XLOOKUP(Table3[[#This Row],[instant]],DatSet1!A404:A1013,DatSet1!B404:B1013,_xlfn.XLOOKUP(Table3[[#This Row],[instant]],'Final Data'!A404:A793,'Final Data'!B404:B793, ,0,1),0,1)</f>
        <v>40561</v>
      </c>
      <c r="C404" s="51">
        <f>_xlfn.XLOOKUP(Table3[[#This Row],[instant]],Table1[instant],Table1[hr], ,0,1)</f>
        <v>18</v>
      </c>
      <c r="D404" s="53" t="b">
        <f>_xlfn.XLOOKUP(Table3[[#This Row],[instant]],Table1[instant],Table1[holiday], ,0,1)</f>
        <v>0</v>
      </c>
      <c r="E404" s="44">
        <f>_xlfn.XLOOKUP(Table3[[#This Row],[instant]],Table1[instant],Table1[weekday], ,0,1)</f>
        <v>2</v>
      </c>
      <c r="F404" s="44">
        <f>_xlfn.XLOOKUP(Table3[[#This Row],[instant]],Table1[instant],Table1[weathersit], ,0,1)</f>
        <v>2</v>
      </c>
      <c r="G404" s="44">
        <f>_xlfn.XLOOKUP(Table3[[#This Row],[instant]],Table1[instant],Table1[temp], ,0,1)</f>
        <v>0.22</v>
      </c>
      <c r="H404" s="45">
        <f>_xlfn.XLOOKUP(Table3[[#This Row],[instant]],Table2[instant],Table2[atemp], ,0,1)</f>
        <v>0.2273</v>
      </c>
      <c r="I404" s="42">
        <f>_xlfn.XLOOKUP(Table3[[#This Row],[instant]],Table2[instant],Table2[hum], ,0,1)</f>
        <v>0.8</v>
      </c>
      <c r="J404" s="42">
        <f>_xlfn.XLOOKUP(Table3[[#This Row],[instant]],Table2[instant],Table2[windspeed], ,0,1)</f>
        <v>0.16420000000000001</v>
      </c>
      <c r="K404" s="42">
        <f>_xlfn.XLOOKUP(Table3[[#This Row],[instant]],Table2[instant],Table2[casual], ,0,1)</f>
        <v>1</v>
      </c>
      <c r="L404" s="42">
        <f>_xlfn.XLOOKUP(Table3[[#This Row],[instant]],Table2[instant],Table2[registered], ,0,1)</f>
        <v>132</v>
      </c>
      <c r="M404" s="46">
        <f>_xlfn.XLOOKUP(Table3[[#This Row],[instant]],Table2[instant],Table2[cnt], ,0,1)</f>
        <v>133</v>
      </c>
      <c r="N404" s="42" t="str">
        <f>IF(OR(Table3[[#This Row],[weekday]]=0,Table3[[#This Row],[weekday]]=6),"Weekend","Weekday")</f>
        <v>Weekday</v>
      </c>
    </row>
    <row r="405" spans="1:14" ht="15" thickBot="1" x14ac:dyDescent="0.35">
      <c r="A405" s="48">
        <v>404</v>
      </c>
      <c r="B405" s="49">
        <f>_xlfn.XLOOKUP(Table3[[#This Row],[instant]],DatSet1!A405:A1014,DatSet1!B405:B1014,_xlfn.XLOOKUP(Table3[[#This Row],[instant]],'Final Data'!A405:A794,'Final Data'!B405:B794, ,0,1),0,1)</f>
        <v>40561</v>
      </c>
      <c r="C405" s="48">
        <f>_xlfn.XLOOKUP(Table3[[#This Row],[instant]],Table1[instant],Table1[hr], ,0,1)</f>
        <v>19</v>
      </c>
      <c r="D405" s="50" t="b">
        <f>_xlfn.XLOOKUP(Table3[[#This Row],[instant]],Table1[instant],Table1[holiday], ,0,1)</f>
        <v>0</v>
      </c>
      <c r="E405" s="2">
        <f>_xlfn.XLOOKUP(Table3[[#This Row],[instant]],Table1[instant],Table1[weekday], ,0,1)</f>
        <v>2</v>
      </c>
      <c r="F405" s="2">
        <f>_xlfn.XLOOKUP(Table3[[#This Row],[instant]],Table1[instant],Table1[weathersit], ,0,1)</f>
        <v>2</v>
      </c>
      <c r="G405" s="2">
        <f>_xlfn.XLOOKUP(Table3[[#This Row],[instant]],Table1[instant],Table1[temp], ,0,1)</f>
        <v>0.22</v>
      </c>
      <c r="H405" s="24">
        <f>_xlfn.XLOOKUP(Table3[[#This Row],[instant]],Table2[instant],Table2[atemp], ,0,1)</f>
        <v>0.2273</v>
      </c>
      <c r="I405" s="1">
        <f>_xlfn.XLOOKUP(Table3[[#This Row],[instant]],Table2[instant],Table2[hum], ,0,1)</f>
        <v>0.8</v>
      </c>
      <c r="J405" s="1">
        <f>_xlfn.XLOOKUP(Table3[[#This Row],[instant]],Table2[instant],Table2[windspeed], ,0,1)</f>
        <v>0.1343</v>
      </c>
      <c r="K405" s="1">
        <f>_xlfn.XLOOKUP(Table3[[#This Row],[instant]],Table2[instant],Table2[casual], ,0,1)</f>
        <v>1</v>
      </c>
      <c r="L405" s="1">
        <f>_xlfn.XLOOKUP(Table3[[#This Row],[instant]],Table2[instant],Table2[registered], ,0,1)</f>
        <v>98</v>
      </c>
      <c r="M405" s="6">
        <f>_xlfn.XLOOKUP(Table3[[#This Row],[instant]],Table2[instant],Table2[cnt], ,0,1)</f>
        <v>99</v>
      </c>
      <c r="N405" s="1" t="str">
        <f>IF(OR(Table3[[#This Row],[weekday]]=0,Table3[[#This Row],[weekday]]=6),"Weekend","Weekday")</f>
        <v>Weekday</v>
      </c>
    </row>
    <row r="406" spans="1:14" ht="15" thickBot="1" x14ac:dyDescent="0.35">
      <c r="A406" s="51">
        <v>405</v>
      </c>
      <c r="B406" s="52">
        <f>_xlfn.XLOOKUP(Table3[[#This Row],[instant]],DatSet1!A406:A1015,DatSet1!B406:B1015,_xlfn.XLOOKUP(Table3[[#This Row],[instant]],'Final Data'!A406:A795,'Final Data'!B406:B795, ,0,1),0,1)</f>
        <v>40561</v>
      </c>
      <c r="C406" s="51">
        <f>_xlfn.XLOOKUP(Table3[[#This Row],[instant]],Table1[instant],Table1[hr], ,0,1)</f>
        <v>20</v>
      </c>
      <c r="D406" s="53" t="b">
        <f>_xlfn.XLOOKUP(Table3[[#This Row],[instant]],Table1[instant],Table1[holiday], ,0,1)</f>
        <v>0</v>
      </c>
      <c r="E406" s="44">
        <f>_xlfn.XLOOKUP(Table3[[#This Row],[instant]],Table1[instant],Table1[weekday], ,0,1)</f>
        <v>2</v>
      </c>
      <c r="F406" s="44">
        <f>_xlfn.XLOOKUP(Table3[[#This Row],[instant]],Table1[instant],Table1[weathersit], ,0,1)</f>
        <v>2</v>
      </c>
      <c r="G406" s="44">
        <f>_xlfn.XLOOKUP(Table3[[#This Row],[instant]],Table1[instant],Table1[temp], ,0,1)</f>
        <v>0.22</v>
      </c>
      <c r="H406" s="45">
        <f>_xlfn.XLOOKUP(Table3[[#This Row],[instant]],Table2[instant],Table2[atemp], ,0,1)</f>
        <v>0.2727</v>
      </c>
      <c r="I406" s="42">
        <f>_xlfn.XLOOKUP(Table3[[#This Row],[instant]],Table2[instant],Table2[hum], ,0,1)</f>
        <v>0.87</v>
      </c>
      <c r="J406" s="42">
        <f>_xlfn.XLOOKUP(Table3[[#This Row],[instant]],Table2[instant],Table2[windspeed], ,0,1)</f>
        <v>0</v>
      </c>
      <c r="K406" s="42">
        <f>_xlfn.XLOOKUP(Table3[[#This Row],[instant]],Table2[instant],Table2[casual], ,0,1)</f>
        <v>0</v>
      </c>
      <c r="L406" s="42">
        <f>_xlfn.XLOOKUP(Table3[[#This Row],[instant]],Table2[instant],Table2[registered], ,0,1)</f>
        <v>83</v>
      </c>
      <c r="M406" s="46">
        <f>_xlfn.XLOOKUP(Table3[[#This Row],[instant]],Table2[instant],Table2[cnt], ,0,1)</f>
        <v>83</v>
      </c>
      <c r="N406" s="42" t="str">
        <f>IF(OR(Table3[[#This Row],[weekday]]=0,Table3[[#This Row],[weekday]]=6),"Weekend","Weekday")</f>
        <v>Weekday</v>
      </c>
    </row>
    <row r="407" spans="1:14" ht="15" thickBot="1" x14ac:dyDescent="0.35">
      <c r="A407" s="48">
        <v>406</v>
      </c>
      <c r="B407" s="49">
        <f>_xlfn.XLOOKUP(Table3[[#This Row],[instant]],DatSet1!A407:A1016,DatSet1!B407:B1016,_xlfn.XLOOKUP(Table3[[#This Row],[instant]],'Final Data'!A407:A796,'Final Data'!B407:B796, ,0,1),0,1)</f>
        <v>40561</v>
      </c>
      <c r="C407" s="48">
        <f>_xlfn.XLOOKUP(Table3[[#This Row],[instant]],Table1[instant],Table1[hr], ,0,1)</f>
        <v>21</v>
      </c>
      <c r="D407" s="50" t="b">
        <f>_xlfn.XLOOKUP(Table3[[#This Row],[instant]],Table1[instant],Table1[holiday], ,0,1)</f>
        <v>0</v>
      </c>
      <c r="E407" s="2">
        <f>_xlfn.XLOOKUP(Table3[[#This Row],[instant]],Table1[instant],Table1[weekday], ,0,1)</f>
        <v>2</v>
      </c>
      <c r="F407" s="2">
        <f>_xlfn.XLOOKUP(Table3[[#This Row],[instant]],Table1[instant],Table1[weathersit], ,0,1)</f>
        <v>2</v>
      </c>
      <c r="G407" s="2">
        <f>_xlfn.XLOOKUP(Table3[[#This Row],[instant]],Table1[instant],Table1[temp], ,0,1)</f>
        <v>0.22</v>
      </c>
      <c r="H407" s="24">
        <f>_xlfn.XLOOKUP(Table3[[#This Row],[instant]],Table2[instant],Table2[atemp], ,0,1)</f>
        <v>0.2424</v>
      </c>
      <c r="I407" s="1">
        <f>_xlfn.XLOOKUP(Table3[[#This Row],[instant]],Table2[instant],Table2[hum], ,0,1)</f>
        <v>0.93</v>
      </c>
      <c r="J407" s="1">
        <f>_xlfn.XLOOKUP(Table3[[#This Row],[instant]],Table2[instant],Table2[windspeed], ,0,1)</f>
        <v>0.1045</v>
      </c>
      <c r="K407" s="1">
        <f>_xlfn.XLOOKUP(Table3[[#This Row],[instant]],Table2[instant],Table2[casual], ,0,1)</f>
        <v>0</v>
      </c>
      <c r="L407" s="1">
        <f>_xlfn.XLOOKUP(Table3[[#This Row],[instant]],Table2[instant],Table2[registered], ,0,1)</f>
        <v>41</v>
      </c>
      <c r="M407" s="6">
        <f>_xlfn.XLOOKUP(Table3[[#This Row],[instant]],Table2[instant],Table2[cnt], ,0,1)</f>
        <v>41</v>
      </c>
      <c r="N407" s="1" t="str">
        <f>IF(OR(Table3[[#This Row],[weekday]]=0,Table3[[#This Row],[weekday]]=6),"Weekend","Weekday")</f>
        <v>Weekday</v>
      </c>
    </row>
    <row r="408" spans="1:14" ht="15" thickBot="1" x14ac:dyDescent="0.35">
      <c r="A408" s="51">
        <v>407</v>
      </c>
      <c r="B408" s="52">
        <f>_xlfn.XLOOKUP(Table3[[#This Row],[instant]],DatSet1!A408:A1017,DatSet1!B408:B1017,_xlfn.XLOOKUP(Table3[[#This Row],[instant]],'Final Data'!A408:A797,'Final Data'!B408:B797, ,0,1),0,1)</f>
        <v>40561</v>
      </c>
      <c r="C408" s="51">
        <f>_xlfn.XLOOKUP(Table3[[#This Row],[instant]],Table1[instant],Table1[hr], ,0,1)</f>
        <v>22</v>
      </c>
      <c r="D408" s="53" t="b">
        <f>_xlfn.XLOOKUP(Table3[[#This Row],[instant]],Table1[instant],Table1[holiday], ,0,1)</f>
        <v>0</v>
      </c>
      <c r="E408" s="44">
        <f>_xlfn.XLOOKUP(Table3[[#This Row],[instant]],Table1[instant],Table1[weekday], ,0,1)</f>
        <v>2</v>
      </c>
      <c r="F408" s="44">
        <f>_xlfn.XLOOKUP(Table3[[#This Row],[instant]],Table1[instant],Table1[weathersit], ,0,1)</f>
        <v>2</v>
      </c>
      <c r="G408" s="44">
        <f>_xlfn.XLOOKUP(Table3[[#This Row],[instant]],Table1[instant],Table1[temp], ,0,1)</f>
        <v>0.22</v>
      </c>
      <c r="H408" s="45">
        <f>_xlfn.XLOOKUP(Table3[[#This Row],[instant]],Table2[instant],Table2[atemp], ,0,1)</f>
        <v>0.2576</v>
      </c>
      <c r="I408" s="42">
        <f>_xlfn.XLOOKUP(Table3[[#This Row],[instant]],Table2[instant],Table2[hum], ,0,1)</f>
        <v>0.93</v>
      </c>
      <c r="J408" s="42">
        <f>_xlfn.XLOOKUP(Table3[[#This Row],[instant]],Table2[instant],Table2[windspeed], ,0,1)</f>
        <v>8.9599999999999999E-2</v>
      </c>
      <c r="K408" s="42">
        <f>_xlfn.XLOOKUP(Table3[[#This Row],[instant]],Table2[instant],Table2[casual], ,0,1)</f>
        <v>0</v>
      </c>
      <c r="L408" s="42">
        <f>_xlfn.XLOOKUP(Table3[[#This Row],[instant]],Table2[instant],Table2[registered], ,0,1)</f>
        <v>33</v>
      </c>
      <c r="M408" s="46">
        <f>_xlfn.XLOOKUP(Table3[[#This Row],[instant]],Table2[instant],Table2[cnt], ,0,1)</f>
        <v>33</v>
      </c>
      <c r="N408" s="42" t="str">
        <f>IF(OR(Table3[[#This Row],[weekday]]=0,Table3[[#This Row],[weekday]]=6),"Weekend","Weekday")</f>
        <v>Weekday</v>
      </c>
    </row>
    <row r="409" spans="1:14" ht="15" thickBot="1" x14ac:dyDescent="0.35">
      <c r="A409" s="48">
        <v>408</v>
      </c>
      <c r="B409" s="49">
        <f>_xlfn.XLOOKUP(Table3[[#This Row],[instant]],DatSet1!A409:A1018,DatSet1!B409:B1018,_xlfn.XLOOKUP(Table3[[#This Row],[instant]],'Final Data'!A409:A798,'Final Data'!B409:B798, ,0,1),0,1)</f>
        <v>40561</v>
      </c>
      <c r="C409" s="48">
        <f>_xlfn.XLOOKUP(Table3[[#This Row],[instant]],Table1[instant],Table1[hr], ,0,1)</f>
        <v>23</v>
      </c>
      <c r="D409" s="50" t="b">
        <f>_xlfn.XLOOKUP(Table3[[#This Row],[instant]],Table1[instant],Table1[holiday], ,0,1)</f>
        <v>0</v>
      </c>
      <c r="E409" s="2">
        <f>_xlfn.XLOOKUP(Table3[[#This Row],[instant]],Table1[instant],Table1[weekday], ,0,1)</f>
        <v>2</v>
      </c>
      <c r="F409" s="2">
        <f>_xlfn.XLOOKUP(Table3[[#This Row],[instant]],Table1[instant],Table1[weathersit], ,0,1)</f>
        <v>2</v>
      </c>
      <c r="G409" s="2">
        <f>_xlfn.XLOOKUP(Table3[[#This Row],[instant]],Table1[instant],Table1[temp], ,0,1)</f>
        <v>0.22</v>
      </c>
      <c r="H409" s="24">
        <f>_xlfn.XLOOKUP(Table3[[#This Row],[instant]],Table2[instant],Table2[atemp], ,0,1)</f>
        <v>0.2727</v>
      </c>
      <c r="I409" s="1">
        <f>_xlfn.XLOOKUP(Table3[[#This Row],[instant]],Table2[instant],Table2[hum], ,0,1)</f>
        <v>0.93</v>
      </c>
      <c r="J409" s="1">
        <f>_xlfn.XLOOKUP(Table3[[#This Row],[instant]],Table2[instant],Table2[windspeed], ,0,1)</f>
        <v>0</v>
      </c>
      <c r="K409" s="1">
        <f>_xlfn.XLOOKUP(Table3[[#This Row],[instant]],Table2[instant],Table2[casual], ,0,1)</f>
        <v>1</v>
      </c>
      <c r="L409" s="1">
        <f>_xlfn.XLOOKUP(Table3[[#This Row],[instant]],Table2[instant],Table2[registered], ,0,1)</f>
        <v>19</v>
      </c>
      <c r="M409" s="6">
        <f>_xlfn.XLOOKUP(Table3[[#This Row],[instant]],Table2[instant],Table2[cnt], ,0,1)</f>
        <v>20</v>
      </c>
      <c r="N409" s="1" t="str">
        <f>IF(OR(Table3[[#This Row],[weekday]]=0,Table3[[#This Row],[weekday]]=6),"Weekend","Weekday")</f>
        <v>Weekday</v>
      </c>
    </row>
    <row r="410" spans="1:14" ht="15" thickBot="1" x14ac:dyDescent="0.35">
      <c r="A410" s="51">
        <v>409</v>
      </c>
      <c r="B410" s="52">
        <f>_xlfn.XLOOKUP(Table3[[#This Row],[instant]],DatSet1!A410:A1019,DatSet1!B410:B1019,_xlfn.XLOOKUP(Table3[[#This Row],[instant]],'Final Data'!A410:A799,'Final Data'!B410:B799, ,0,1),0,1)</f>
        <v>40562</v>
      </c>
      <c r="C410" s="51">
        <f>_xlfn.XLOOKUP(Table3[[#This Row],[instant]],Table1[instant],Table1[hr], ,0,1)</f>
        <v>0</v>
      </c>
      <c r="D410" s="53" t="b">
        <f>_xlfn.XLOOKUP(Table3[[#This Row],[instant]],Table1[instant],Table1[holiday], ,0,1)</f>
        <v>0</v>
      </c>
      <c r="E410" s="44">
        <f>_xlfn.XLOOKUP(Table3[[#This Row],[instant]],Table1[instant],Table1[weekday], ,0,1)</f>
        <v>3</v>
      </c>
      <c r="F410" s="44">
        <f>_xlfn.XLOOKUP(Table3[[#This Row],[instant]],Table1[instant],Table1[weathersit], ,0,1)</f>
        <v>2</v>
      </c>
      <c r="G410" s="44">
        <f>_xlfn.XLOOKUP(Table3[[#This Row],[instant]],Table1[instant],Table1[temp], ,0,1)</f>
        <v>0.22</v>
      </c>
      <c r="H410" s="45">
        <f>_xlfn.XLOOKUP(Table3[[#This Row],[instant]],Table2[instant],Table2[atemp], ,0,1)</f>
        <v>0.2727</v>
      </c>
      <c r="I410" s="42">
        <f>_xlfn.XLOOKUP(Table3[[#This Row],[instant]],Table2[instant],Table2[hum], ,0,1)</f>
        <v>0.93</v>
      </c>
      <c r="J410" s="42">
        <f>_xlfn.XLOOKUP(Table3[[#This Row],[instant]],Table2[instant],Table2[windspeed], ,0,1)</f>
        <v>0</v>
      </c>
      <c r="K410" s="42">
        <f>_xlfn.XLOOKUP(Table3[[#This Row],[instant]],Table2[instant],Table2[casual], ,0,1)</f>
        <v>0</v>
      </c>
      <c r="L410" s="42">
        <f>_xlfn.XLOOKUP(Table3[[#This Row],[instant]],Table2[instant],Table2[registered], ,0,1)</f>
        <v>3</v>
      </c>
      <c r="M410" s="46">
        <f>_xlfn.XLOOKUP(Table3[[#This Row],[instant]],Table2[instant],Table2[cnt], ,0,1)</f>
        <v>3</v>
      </c>
      <c r="N410" s="42" t="str">
        <f>IF(OR(Table3[[#This Row],[weekday]]=0,Table3[[#This Row],[weekday]]=6),"Weekend","Weekday")</f>
        <v>Weekday</v>
      </c>
    </row>
    <row r="411" spans="1:14" ht="15" thickBot="1" x14ac:dyDescent="0.35">
      <c r="A411" s="48">
        <v>410</v>
      </c>
      <c r="B411" s="49">
        <f>_xlfn.XLOOKUP(Table3[[#This Row],[instant]],DatSet1!A411:A1020,DatSet1!B411:B1020,_xlfn.XLOOKUP(Table3[[#This Row],[instant]],'Final Data'!A411:A800,'Final Data'!B411:B800, ,0,1),0,1)</f>
        <v>40562</v>
      </c>
      <c r="C411" s="48">
        <f>_xlfn.XLOOKUP(Table3[[#This Row],[instant]],Table1[instant],Table1[hr], ,0,1)</f>
        <v>1</v>
      </c>
      <c r="D411" s="50" t="b">
        <f>_xlfn.XLOOKUP(Table3[[#This Row],[instant]],Table1[instant],Table1[holiday], ,0,1)</f>
        <v>0</v>
      </c>
      <c r="E411" s="2">
        <f>_xlfn.XLOOKUP(Table3[[#This Row],[instant]],Table1[instant],Table1[weekday], ,0,1)</f>
        <v>3</v>
      </c>
      <c r="F411" s="2">
        <f>_xlfn.XLOOKUP(Table3[[#This Row],[instant]],Table1[instant],Table1[weathersit], ,0,1)</f>
        <v>3</v>
      </c>
      <c r="G411" s="2">
        <f>_xlfn.XLOOKUP(Table3[[#This Row],[instant]],Table1[instant],Table1[temp], ,0,1)</f>
        <v>0.22</v>
      </c>
      <c r="H411" s="24">
        <f>_xlfn.XLOOKUP(Table3[[#This Row],[instant]],Table2[instant],Table2[atemp], ,0,1)</f>
        <v>0.2273</v>
      </c>
      <c r="I411" s="1">
        <f>_xlfn.XLOOKUP(Table3[[#This Row],[instant]],Table2[instant],Table2[hum], ,0,1)</f>
        <v>0.93</v>
      </c>
      <c r="J411" s="1">
        <f>_xlfn.XLOOKUP(Table3[[#This Row],[instant]],Table2[instant],Table2[windspeed], ,0,1)</f>
        <v>0.1343</v>
      </c>
      <c r="K411" s="1">
        <f>_xlfn.XLOOKUP(Table3[[#This Row],[instant]],Table2[instant],Table2[casual], ,0,1)</f>
        <v>1</v>
      </c>
      <c r="L411" s="1">
        <f>_xlfn.XLOOKUP(Table3[[#This Row],[instant]],Table2[instant],Table2[registered], ,0,1)</f>
        <v>6</v>
      </c>
      <c r="M411" s="6">
        <f>_xlfn.XLOOKUP(Table3[[#This Row],[instant]],Table2[instant],Table2[cnt], ,0,1)</f>
        <v>7</v>
      </c>
      <c r="N411" s="1" t="str">
        <f>IF(OR(Table3[[#This Row],[weekday]]=0,Table3[[#This Row],[weekday]]=6),"Weekend","Weekday")</f>
        <v>Weekday</v>
      </c>
    </row>
    <row r="412" spans="1:14" ht="15" thickBot="1" x14ac:dyDescent="0.35">
      <c r="A412" s="51">
        <v>411</v>
      </c>
      <c r="B412" s="52">
        <f>_xlfn.XLOOKUP(Table3[[#This Row],[instant]],DatSet1!A412:A1021,DatSet1!B412:B1021,_xlfn.XLOOKUP(Table3[[#This Row],[instant]],'Final Data'!A412:A801,'Final Data'!B412:B801, ,0,1),0,1)</f>
        <v>40562</v>
      </c>
      <c r="C412" s="51">
        <f>_xlfn.XLOOKUP(Table3[[#This Row],[instant]],Table1[instant],Table1[hr], ,0,1)</f>
        <v>2</v>
      </c>
      <c r="D412" s="53" t="b">
        <f>_xlfn.XLOOKUP(Table3[[#This Row],[instant]],Table1[instant],Table1[holiday], ,0,1)</f>
        <v>0</v>
      </c>
      <c r="E412" s="44">
        <f>_xlfn.XLOOKUP(Table3[[#This Row],[instant]],Table1[instant],Table1[weekday], ,0,1)</f>
        <v>3</v>
      </c>
      <c r="F412" s="44">
        <f>_xlfn.XLOOKUP(Table3[[#This Row],[instant]],Table1[instant],Table1[weathersit], ,0,1)</f>
        <v>3</v>
      </c>
      <c r="G412" s="44">
        <f>_xlfn.XLOOKUP(Table3[[#This Row],[instant]],Table1[instant],Table1[temp], ,0,1)</f>
        <v>0.22</v>
      </c>
      <c r="H412" s="45">
        <f>_xlfn.XLOOKUP(Table3[[#This Row],[instant]],Table2[instant],Table2[atemp], ,0,1)</f>
        <v>0.2273</v>
      </c>
      <c r="I412" s="42">
        <f>_xlfn.XLOOKUP(Table3[[#This Row],[instant]],Table2[instant],Table2[hum], ,0,1)</f>
        <v>0.93</v>
      </c>
      <c r="J412" s="42">
        <f>_xlfn.XLOOKUP(Table3[[#This Row],[instant]],Table2[instant],Table2[windspeed], ,0,1)</f>
        <v>0.1343</v>
      </c>
      <c r="K412" s="42">
        <f>_xlfn.XLOOKUP(Table3[[#This Row],[instant]],Table2[instant],Table2[casual], ,0,1)</f>
        <v>0</v>
      </c>
      <c r="L412" s="42">
        <f>_xlfn.XLOOKUP(Table3[[#This Row],[instant]],Table2[instant],Table2[registered], ,0,1)</f>
        <v>3</v>
      </c>
      <c r="M412" s="46">
        <f>_xlfn.XLOOKUP(Table3[[#This Row],[instant]],Table2[instant],Table2[cnt], ,0,1)</f>
        <v>3</v>
      </c>
      <c r="N412" s="42" t="str">
        <f>IF(OR(Table3[[#This Row],[weekday]]=0,Table3[[#This Row],[weekday]]=6),"Weekend","Weekday")</f>
        <v>Weekday</v>
      </c>
    </row>
    <row r="413" spans="1:14" ht="15" thickBot="1" x14ac:dyDescent="0.35">
      <c r="A413" s="48">
        <v>412</v>
      </c>
      <c r="B413" s="49">
        <f>_xlfn.XLOOKUP(Table3[[#This Row],[instant]],DatSet1!A413:A1022,DatSet1!B413:B1022,_xlfn.XLOOKUP(Table3[[#This Row],[instant]],'Final Data'!A413:A802,'Final Data'!B413:B802, ,0,1),0,1)</f>
        <v>40562</v>
      </c>
      <c r="C413" s="48">
        <f>_xlfn.XLOOKUP(Table3[[#This Row],[instant]],Table1[instant],Table1[hr], ,0,1)</f>
        <v>4</v>
      </c>
      <c r="D413" s="50" t="b">
        <f>_xlfn.XLOOKUP(Table3[[#This Row],[instant]],Table1[instant],Table1[holiday], ,0,1)</f>
        <v>0</v>
      </c>
      <c r="E413" s="2">
        <f>_xlfn.XLOOKUP(Table3[[#This Row],[instant]],Table1[instant],Table1[weekday], ,0,1)</f>
        <v>3</v>
      </c>
      <c r="F413" s="2">
        <f>_xlfn.XLOOKUP(Table3[[#This Row],[instant]],Table1[instant],Table1[weathersit], ,0,1)</f>
        <v>3</v>
      </c>
      <c r="G413" s="2">
        <f>_xlfn.XLOOKUP(Table3[[#This Row],[instant]],Table1[instant],Table1[temp], ,0,1)</f>
        <v>0.22</v>
      </c>
      <c r="H413" s="24">
        <f>_xlfn.XLOOKUP(Table3[[#This Row],[instant]],Table2[instant],Table2[atemp], ,0,1)</f>
        <v>0.2273</v>
      </c>
      <c r="I413" s="1">
        <f>_xlfn.XLOOKUP(Table3[[#This Row],[instant]],Table2[instant],Table2[hum], ,0,1)</f>
        <v>0.93</v>
      </c>
      <c r="J413" s="1">
        <f>_xlfn.XLOOKUP(Table3[[#This Row],[instant]],Table2[instant],Table2[windspeed], ,0,1)</f>
        <v>0.1343</v>
      </c>
      <c r="K413" s="1">
        <f>_xlfn.XLOOKUP(Table3[[#This Row],[instant]],Table2[instant],Table2[casual], ,0,1)</f>
        <v>1</v>
      </c>
      <c r="L413" s="1">
        <f>_xlfn.XLOOKUP(Table3[[#This Row],[instant]],Table2[instant],Table2[registered], ,0,1)</f>
        <v>1</v>
      </c>
      <c r="M413" s="6">
        <f>_xlfn.XLOOKUP(Table3[[#This Row],[instant]],Table2[instant],Table2[cnt], ,0,1)</f>
        <v>2</v>
      </c>
      <c r="N413" s="1" t="str">
        <f>IF(OR(Table3[[#This Row],[weekday]]=0,Table3[[#This Row],[weekday]]=6),"Weekend","Weekday")</f>
        <v>Weekday</v>
      </c>
    </row>
    <row r="414" spans="1:14" ht="15" thickBot="1" x14ac:dyDescent="0.35">
      <c r="A414" s="51">
        <v>413</v>
      </c>
      <c r="B414" s="52">
        <f>_xlfn.XLOOKUP(Table3[[#This Row],[instant]],DatSet1!A414:A1023,DatSet1!B414:B1023,_xlfn.XLOOKUP(Table3[[#This Row],[instant]],'Final Data'!A414:A803,'Final Data'!B414:B803, ,0,1),0,1)</f>
        <v>40562</v>
      </c>
      <c r="C414" s="51">
        <f>_xlfn.XLOOKUP(Table3[[#This Row],[instant]],Table1[instant],Table1[hr], ,0,1)</f>
        <v>5</v>
      </c>
      <c r="D414" s="53" t="b">
        <f>_xlfn.XLOOKUP(Table3[[#This Row],[instant]],Table1[instant],Table1[holiday], ,0,1)</f>
        <v>0</v>
      </c>
      <c r="E414" s="44">
        <f>_xlfn.XLOOKUP(Table3[[#This Row],[instant]],Table1[instant],Table1[weekday], ,0,1)</f>
        <v>3</v>
      </c>
      <c r="F414" s="44">
        <f>_xlfn.XLOOKUP(Table3[[#This Row],[instant]],Table1[instant],Table1[weathersit], ,0,1)</f>
        <v>2</v>
      </c>
      <c r="G414" s="44">
        <f>_xlfn.XLOOKUP(Table3[[#This Row],[instant]],Table1[instant],Table1[temp], ,0,1)</f>
        <v>0.22</v>
      </c>
      <c r="H414" s="45">
        <f>_xlfn.XLOOKUP(Table3[[#This Row],[instant]],Table2[instant],Table2[atemp], ,0,1)</f>
        <v>0.2576</v>
      </c>
      <c r="I414" s="42">
        <f>_xlfn.XLOOKUP(Table3[[#This Row],[instant]],Table2[instant],Table2[hum], ,0,1)</f>
        <v>0.93</v>
      </c>
      <c r="J414" s="42">
        <f>_xlfn.XLOOKUP(Table3[[#This Row],[instant]],Table2[instant],Table2[windspeed], ,0,1)</f>
        <v>8.9599999999999999E-2</v>
      </c>
      <c r="K414" s="42">
        <f>_xlfn.XLOOKUP(Table3[[#This Row],[instant]],Table2[instant],Table2[casual], ,0,1)</f>
        <v>0</v>
      </c>
      <c r="L414" s="42">
        <f>_xlfn.XLOOKUP(Table3[[#This Row],[instant]],Table2[instant],Table2[registered], ,0,1)</f>
        <v>7</v>
      </c>
      <c r="M414" s="46">
        <f>_xlfn.XLOOKUP(Table3[[#This Row],[instant]],Table2[instant],Table2[cnt], ,0,1)</f>
        <v>7</v>
      </c>
      <c r="N414" s="42" t="str">
        <f>IF(OR(Table3[[#This Row],[weekday]]=0,Table3[[#This Row],[weekday]]=6),"Weekend","Weekday")</f>
        <v>Weekday</v>
      </c>
    </row>
    <row r="415" spans="1:14" ht="15" thickBot="1" x14ac:dyDescent="0.35">
      <c r="A415" s="48">
        <v>414</v>
      </c>
      <c r="B415" s="49">
        <f>_xlfn.XLOOKUP(Table3[[#This Row],[instant]],DatSet1!A415:A1024,DatSet1!B415:B1024,_xlfn.XLOOKUP(Table3[[#This Row],[instant]],'Final Data'!A415:A804,'Final Data'!B415:B804, ,0,1),0,1)</f>
        <v>40562</v>
      </c>
      <c r="C415" s="48">
        <f>_xlfn.XLOOKUP(Table3[[#This Row],[instant]],Table1[instant],Table1[hr], ,0,1)</f>
        <v>6</v>
      </c>
      <c r="D415" s="50" t="b">
        <f>_xlfn.XLOOKUP(Table3[[#This Row],[instant]],Table1[instant],Table1[holiday], ,0,1)</f>
        <v>0</v>
      </c>
      <c r="E415" s="2">
        <f>_xlfn.XLOOKUP(Table3[[#This Row],[instant]],Table1[instant],Table1[weekday], ,0,1)</f>
        <v>3</v>
      </c>
      <c r="F415" s="2">
        <f>_xlfn.XLOOKUP(Table3[[#This Row],[instant]],Table1[instant],Table1[weathersit], ,0,1)</f>
        <v>2</v>
      </c>
      <c r="G415" s="2">
        <f>_xlfn.XLOOKUP(Table3[[#This Row],[instant]],Table1[instant],Table1[temp], ,0,1)</f>
        <v>0.22</v>
      </c>
      <c r="H415" s="24">
        <f>_xlfn.XLOOKUP(Table3[[#This Row],[instant]],Table2[instant],Table2[atemp], ,0,1)</f>
        <v>0.2576</v>
      </c>
      <c r="I415" s="1">
        <f>_xlfn.XLOOKUP(Table3[[#This Row],[instant]],Table2[instant],Table2[hum], ,0,1)</f>
        <v>0.93</v>
      </c>
      <c r="J415" s="1">
        <f>_xlfn.XLOOKUP(Table3[[#This Row],[instant]],Table2[instant],Table2[windspeed], ,0,1)</f>
        <v>8.9599999999999999E-2</v>
      </c>
      <c r="K415" s="1">
        <f>_xlfn.XLOOKUP(Table3[[#This Row],[instant]],Table2[instant],Table2[casual], ,0,1)</f>
        <v>0</v>
      </c>
      <c r="L415" s="1">
        <f>_xlfn.XLOOKUP(Table3[[#This Row],[instant]],Table2[instant],Table2[registered], ,0,1)</f>
        <v>32</v>
      </c>
      <c r="M415" s="6">
        <f>_xlfn.XLOOKUP(Table3[[#This Row],[instant]],Table2[instant],Table2[cnt], ,0,1)</f>
        <v>32</v>
      </c>
      <c r="N415" s="1" t="str">
        <f>IF(OR(Table3[[#This Row],[weekday]]=0,Table3[[#This Row],[weekday]]=6),"Weekend","Weekday")</f>
        <v>Weekday</v>
      </c>
    </row>
    <row r="416" spans="1:14" ht="15" thickBot="1" x14ac:dyDescent="0.35">
      <c r="A416" s="51">
        <v>415</v>
      </c>
      <c r="B416" s="52">
        <f>_xlfn.XLOOKUP(Table3[[#This Row],[instant]],DatSet1!A416:A1025,DatSet1!B416:B1025,_xlfn.XLOOKUP(Table3[[#This Row],[instant]],'Final Data'!A416:A805,'Final Data'!B416:B805, ,0,1),0,1)</f>
        <v>40562</v>
      </c>
      <c r="C416" s="51">
        <f>_xlfn.XLOOKUP(Table3[[#This Row],[instant]],Table1[instant],Table1[hr], ,0,1)</f>
        <v>7</v>
      </c>
      <c r="D416" s="53" t="b">
        <f>_xlfn.XLOOKUP(Table3[[#This Row],[instant]],Table1[instant],Table1[holiday], ,0,1)</f>
        <v>0</v>
      </c>
      <c r="E416" s="44">
        <f>_xlfn.XLOOKUP(Table3[[#This Row],[instant]],Table1[instant],Table1[weekday], ,0,1)</f>
        <v>3</v>
      </c>
      <c r="F416" s="44">
        <f>_xlfn.XLOOKUP(Table3[[#This Row],[instant]],Table1[instant],Table1[weathersit], ,0,1)</f>
        <v>2</v>
      </c>
      <c r="G416" s="44">
        <f>_xlfn.XLOOKUP(Table3[[#This Row],[instant]],Table1[instant],Table1[temp], ,0,1)</f>
        <v>0.24</v>
      </c>
      <c r="H416" s="45">
        <f>_xlfn.XLOOKUP(Table3[[#This Row],[instant]],Table2[instant],Table2[atemp], ,0,1)</f>
        <v>0.2576</v>
      </c>
      <c r="I416" s="42">
        <f>_xlfn.XLOOKUP(Table3[[#This Row],[instant]],Table2[instant],Table2[hum], ,0,1)</f>
        <v>0.92</v>
      </c>
      <c r="J416" s="42">
        <f>_xlfn.XLOOKUP(Table3[[#This Row],[instant]],Table2[instant],Table2[windspeed], ,0,1)</f>
        <v>0.1045</v>
      </c>
      <c r="K416" s="42">
        <f>_xlfn.XLOOKUP(Table3[[#This Row],[instant]],Table2[instant],Table2[casual], ,0,1)</f>
        <v>1</v>
      </c>
      <c r="L416" s="42">
        <f>_xlfn.XLOOKUP(Table3[[#This Row],[instant]],Table2[instant],Table2[registered], ,0,1)</f>
        <v>89</v>
      </c>
      <c r="M416" s="46">
        <f>_xlfn.XLOOKUP(Table3[[#This Row],[instant]],Table2[instant],Table2[cnt], ,0,1)</f>
        <v>90</v>
      </c>
      <c r="N416" s="42" t="str">
        <f>IF(OR(Table3[[#This Row],[weekday]]=0,Table3[[#This Row],[weekday]]=6),"Weekend","Weekday")</f>
        <v>Weekday</v>
      </c>
    </row>
    <row r="417" spans="1:14" ht="15" thickBot="1" x14ac:dyDescent="0.35">
      <c r="A417" s="48">
        <v>416</v>
      </c>
      <c r="B417" s="49">
        <f>_xlfn.XLOOKUP(Table3[[#This Row],[instant]],DatSet1!A417:A1026,DatSet1!B417:B1026,_xlfn.XLOOKUP(Table3[[#This Row],[instant]],'Final Data'!A417:A806,'Final Data'!B417:B806, ,0,1),0,1)</f>
        <v>40562</v>
      </c>
      <c r="C417" s="48">
        <f>_xlfn.XLOOKUP(Table3[[#This Row],[instant]],Table1[instant],Table1[hr], ,0,1)</f>
        <v>8</v>
      </c>
      <c r="D417" s="50" t="b">
        <f>_xlfn.XLOOKUP(Table3[[#This Row],[instant]],Table1[instant],Table1[holiday], ,0,1)</f>
        <v>0</v>
      </c>
      <c r="E417" s="2">
        <f>_xlfn.XLOOKUP(Table3[[#This Row],[instant]],Table1[instant],Table1[weekday], ,0,1)</f>
        <v>3</v>
      </c>
      <c r="F417" s="2">
        <f>_xlfn.XLOOKUP(Table3[[#This Row],[instant]],Table1[instant],Table1[weathersit], ,0,1)</f>
        <v>2</v>
      </c>
      <c r="G417" s="2">
        <f>_xlfn.XLOOKUP(Table3[[#This Row],[instant]],Table1[instant],Table1[temp], ,0,1)</f>
        <v>0.24</v>
      </c>
      <c r="H417" s="24">
        <f>_xlfn.XLOOKUP(Table3[[#This Row],[instant]],Table2[instant],Table2[atemp], ,0,1)</f>
        <v>0.2576</v>
      </c>
      <c r="I417" s="1">
        <f>_xlfn.XLOOKUP(Table3[[#This Row],[instant]],Table2[instant],Table2[hum], ,0,1)</f>
        <v>0.93</v>
      </c>
      <c r="J417" s="1">
        <f>_xlfn.XLOOKUP(Table3[[#This Row],[instant]],Table2[instant],Table2[windspeed], ,0,1)</f>
        <v>0.1045</v>
      </c>
      <c r="K417" s="1">
        <f>_xlfn.XLOOKUP(Table3[[#This Row],[instant]],Table2[instant],Table2[casual], ,0,1)</f>
        <v>1</v>
      </c>
      <c r="L417" s="1">
        <f>_xlfn.XLOOKUP(Table3[[#This Row],[instant]],Table2[instant],Table2[registered], ,0,1)</f>
        <v>196</v>
      </c>
      <c r="M417" s="6">
        <f>_xlfn.XLOOKUP(Table3[[#This Row],[instant]],Table2[instant],Table2[cnt], ,0,1)</f>
        <v>197</v>
      </c>
      <c r="N417" s="1" t="str">
        <f>IF(OR(Table3[[#This Row],[weekday]]=0,Table3[[#This Row],[weekday]]=6),"Weekend","Weekday")</f>
        <v>Weekday</v>
      </c>
    </row>
    <row r="418" spans="1:14" ht="15" thickBot="1" x14ac:dyDescent="0.35">
      <c r="A418" s="51">
        <v>417</v>
      </c>
      <c r="B418" s="52">
        <f>_xlfn.XLOOKUP(Table3[[#This Row],[instant]],DatSet1!A418:A1027,DatSet1!B418:B1027,_xlfn.XLOOKUP(Table3[[#This Row],[instant]],'Final Data'!A418:A807,'Final Data'!B418:B807, ,0,1),0,1)</f>
        <v>40562</v>
      </c>
      <c r="C418" s="51">
        <f>_xlfn.XLOOKUP(Table3[[#This Row],[instant]],Table1[instant],Table1[hr], ,0,1)</f>
        <v>9</v>
      </c>
      <c r="D418" s="53" t="b">
        <f>_xlfn.XLOOKUP(Table3[[#This Row],[instant]],Table1[instant],Table1[holiday], ,0,1)</f>
        <v>0</v>
      </c>
      <c r="E418" s="44">
        <f>_xlfn.XLOOKUP(Table3[[#This Row],[instant]],Table1[instant],Table1[weekday], ,0,1)</f>
        <v>3</v>
      </c>
      <c r="F418" s="44">
        <f>_xlfn.XLOOKUP(Table3[[#This Row],[instant]],Table1[instant],Table1[weathersit], ,0,1)</f>
        <v>2</v>
      </c>
      <c r="G418" s="44">
        <f>_xlfn.XLOOKUP(Table3[[#This Row],[instant]],Table1[instant],Table1[temp], ,0,1)</f>
        <v>0.24</v>
      </c>
      <c r="H418" s="45">
        <f>_xlfn.XLOOKUP(Table3[[#This Row],[instant]],Table2[instant],Table2[atemp], ,0,1)</f>
        <v>0.2576</v>
      </c>
      <c r="I418" s="42">
        <f>_xlfn.XLOOKUP(Table3[[#This Row],[instant]],Table2[instant],Table2[hum], ,0,1)</f>
        <v>0.93</v>
      </c>
      <c r="J418" s="42">
        <f>_xlfn.XLOOKUP(Table3[[#This Row],[instant]],Table2[instant],Table2[windspeed], ,0,1)</f>
        <v>0.1045</v>
      </c>
      <c r="K418" s="42">
        <f>_xlfn.XLOOKUP(Table3[[#This Row],[instant]],Table2[instant],Table2[casual], ,0,1)</f>
        <v>2</v>
      </c>
      <c r="L418" s="42">
        <f>_xlfn.XLOOKUP(Table3[[#This Row],[instant]],Table2[instant],Table2[registered], ,0,1)</f>
        <v>107</v>
      </c>
      <c r="M418" s="46">
        <f>_xlfn.XLOOKUP(Table3[[#This Row],[instant]],Table2[instant],Table2[cnt], ,0,1)</f>
        <v>109</v>
      </c>
      <c r="N418" s="42" t="str">
        <f>IF(OR(Table3[[#This Row],[weekday]]=0,Table3[[#This Row],[weekday]]=6),"Weekend","Weekday")</f>
        <v>Weekday</v>
      </c>
    </row>
    <row r="419" spans="1:14" ht="15" thickBot="1" x14ac:dyDescent="0.35">
      <c r="A419" s="48">
        <v>418</v>
      </c>
      <c r="B419" s="49">
        <f>_xlfn.XLOOKUP(Table3[[#This Row],[instant]],DatSet1!A419:A1028,DatSet1!B419:B1028,_xlfn.XLOOKUP(Table3[[#This Row],[instant]],'Final Data'!A419:A808,'Final Data'!B419:B808, ,0,1),0,1)</f>
        <v>40562</v>
      </c>
      <c r="C419" s="48">
        <f>_xlfn.XLOOKUP(Table3[[#This Row],[instant]],Table1[instant],Table1[hr], ,0,1)</f>
        <v>10</v>
      </c>
      <c r="D419" s="50" t="b">
        <f>_xlfn.XLOOKUP(Table3[[#This Row],[instant]],Table1[instant],Table1[holiday], ,0,1)</f>
        <v>0</v>
      </c>
      <c r="E419" s="2">
        <f>_xlfn.XLOOKUP(Table3[[#This Row],[instant]],Table1[instant],Table1[weekday], ,0,1)</f>
        <v>3</v>
      </c>
      <c r="F419" s="2">
        <f>_xlfn.XLOOKUP(Table3[[#This Row],[instant]],Table1[instant],Table1[weathersit], ,0,1)</f>
        <v>2</v>
      </c>
      <c r="G419" s="2">
        <f>_xlfn.XLOOKUP(Table3[[#This Row],[instant]],Table1[instant],Table1[temp], ,0,1)</f>
        <v>0.26</v>
      </c>
      <c r="H419" s="24">
        <f>_xlfn.XLOOKUP(Table3[[#This Row],[instant]],Table2[instant],Table2[atemp], ,0,1)</f>
        <v>0.2727</v>
      </c>
      <c r="I419" s="1">
        <f>_xlfn.XLOOKUP(Table3[[#This Row],[instant]],Table2[instant],Table2[hum], ,0,1)</f>
        <v>0.93</v>
      </c>
      <c r="J419" s="1">
        <f>_xlfn.XLOOKUP(Table3[[#This Row],[instant]],Table2[instant],Table2[windspeed], ,0,1)</f>
        <v>0.1343</v>
      </c>
      <c r="K419" s="1">
        <f>_xlfn.XLOOKUP(Table3[[#This Row],[instant]],Table2[instant],Table2[casual], ,0,1)</f>
        <v>1</v>
      </c>
      <c r="L419" s="1">
        <f>_xlfn.XLOOKUP(Table3[[#This Row],[instant]],Table2[instant],Table2[registered], ,0,1)</f>
        <v>46</v>
      </c>
      <c r="M419" s="6">
        <f>_xlfn.XLOOKUP(Table3[[#This Row],[instant]],Table2[instant],Table2[cnt], ,0,1)</f>
        <v>47</v>
      </c>
      <c r="N419" s="1" t="str">
        <f>IF(OR(Table3[[#This Row],[weekday]]=0,Table3[[#This Row],[weekday]]=6),"Weekend","Weekday")</f>
        <v>Weekday</v>
      </c>
    </row>
    <row r="420" spans="1:14" ht="15" thickBot="1" x14ac:dyDescent="0.35">
      <c r="A420" s="51">
        <v>419</v>
      </c>
      <c r="B420" s="52">
        <f>_xlfn.XLOOKUP(Table3[[#This Row],[instant]],DatSet1!A420:A1029,DatSet1!B420:B1029,_xlfn.XLOOKUP(Table3[[#This Row],[instant]],'Final Data'!A420:A809,'Final Data'!B420:B809, ,0,1),0,1)</f>
        <v>40562</v>
      </c>
      <c r="C420" s="51">
        <f>_xlfn.XLOOKUP(Table3[[#This Row],[instant]],Table1[instant],Table1[hr], ,0,1)</f>
        <v>11</v>
      </c>
      <c r="D420" s="53" t="b">
        <f>_xlfn.XLOOKUP(Table3[[#This Row],[instant]],Table1[instant],Table1[holiday], ,0,1)</f>
        <v>0</v>
      </c>
      <c r="E420" s="44">
        <f>_xlfn.XLOOKUP(Table3[[#This Row],[instant]],Table1[instant],Table1[weekday], ,0,1)</f>
        <v>3</v>
      </c>
      <c r="F420" s="44">
        <f>_xlfn.XLOOKUP(Table3[[#This Row],[instant]],Table1[instant],Table1[weathersit], ,0,1)</f>
        <v>2</v>
      </c>
      <c r="G420" s="44">
        <f>_xlfn.XLOOKUP(Table3[[#This Row],[instant]],Table1[instant],Table1[temp], ,0,1)</f>
        <v>0.28000000000000003</v>
      </c>
      <c r="H420" s="45">
        <f>_xlfn.XLOOKUP(Table3[[#This Row],[instant]],Table2[instant],Table2[atemp], ,0,1)</f>
        <v>0.30299999999999999</v>
      </c>
      <c r="I420" s="42">
        <f>_xlfn.XLOOKUP(Table3[[#This Row],[instant]],Table2[instant],Table2[hum], ,0,1)</f>
        <v>0.87</v>
      </c>
      <c r="J420" s="42">
        <f>_xlfn.XLOOKUP(Table3[[#This Row],[instant]],Table2[instant],Table2[windspeed], ,0,1)</f>
        <v>8.9599999999999999E-2</v>
      </c>
      <c r="K420" s="42">
        <f>_xlfn.XLOOKUP(Table3[[#This Row],[instant]],Table2[instant],Table2[casual], ,0,1)</f>
        <v>5</v>
      </c>
      <c r="L420" s="42">
        <f>_xlfn.XLOOKUP(Table3[[#This Row],[instant]],Table2[instant],Table2[registered], ,0,1)</f>
        <v>47</v>
      </c>
      <c r="M420" s="46">
        <f>_xlfn.XLOOKUP(Table3[[#This Row],[instant]],Table2[instant],Table2[cnt], ,0,1)</f>
        <v>52</v>
      </c>
      <c r="N420" s="42" t="str">
        <f>IF(OR(Table3[[#This Row],[weekday]]=0,Table3[[#This Row],[weekday]]=6),"Weekend","Weekday")</f>
        <v>Weekday</v>
      </c>
    </row>
    <row r="421" spans="1:14" ht="15" thickBot="1" x14ac:dyDescent="0.35">
      <c r="A421" s="48">
        <v>420</v>
      </c>
      <c r="B421" s="49">
        <f>_xlfn.XLOOKUP(Table3[[#This Row],[instant]],DatSet1!A421:A1030,DatSet1!B421:B1030,_xlfn.XLOOKUP(Table3[[#This Row],[instant]],'Final Data'!A421:A810,'Final Data'!B421:B810, ,0,1),0,1)</f>
        <v>40562</v>
      </c>
      <c r="C421" s="48">
        <f>_xlfn.XLOOKUP(Table3[[#This Row],[instant]],Table1[instant],Table1[hr], ,0,1)</f>
        <v>12</v>
      </c>
      <c r="D421" s="50" t="b">
        <f>_xlfn.XLOOKUP(Table3[[#This Row],[instant]],Table1[instant],Table1[holiday], ,0,1)</f>
        <v>0</v>
      </c>
      <c r="E421" s="2">
        <f>_xlfn.XLOOKUP(Table3[[#This Row],[instant]],Table1[instant],Table1[weekday], ,0,1)</f>
        <v>3</v>
      </c>
      <c r="F421" s="2">
        <f>_xlfn.XLOOKUP(Table3[[#This Row],[instant]],Table1[instant],Table1[weathersit], ,0,1)</f>
        <v>2</v>
      </c>
      <c r="G421" s="2">
        <f>_xlfn.XLOOKUP(Table3[[#This Row],[instant]],Table1[instant],Table1[temp], ,0,1)</f>
        <v>0.3</v>
      </c>
      <c r="H421" s="24">
        <f>_xlfn.XLOOKUP(Table3[[#This Row],[instant]],Table2[instant],Table2[atemp], ,0,1)</f>
        <v>0.31819999999999998</v>
      </c>
      <c r="I421" s="1">
        <f>_xlfn.XLOOKUP(Table3[[#This Row],[instant]],Table2[instant],Table2[hum], ,0,1)</f>
        <v>0.81</v>
      </c>
      <c r="J421" s="1">
        <f>_xlfn.XLOOKUP(Table3[[#This Row],[instant]],Table2[instant],Table2[windspeed], ,0,1)</f>
        <v>8.9599999999999999E-2</v>
      </c>
      <c r="K421" s="1">
        <f>_xlfn.XLOOKUP(Table3[[#This Row],[instant]],Table2[instant],Table2[casual], ,0,1)</f>
        <v>5</v>
      </c>
      <c r="L421" s="1">
        <f>_xlfn.XLOOKUP(Table3[[#This Row],[instant]],Table2[instant],Table2[registered], ,0,1)</f>
        <v>65</v>
      </c>
      <c r="M421" s="6">
        <f>_xlfn.XLOOKUP(Table3[[#This Row],[instant]],Table2[instant],Table2[cnt], ,0,1)</f>
        <v>70</v>
      </c>
      <c r="N421" s="1" t="str">
        <f>IF(OR(Table3[[#This Row],[weekday]]=0,Table3[[#This Row],[weekday]]=6),"Weekend","Weekday")</f>
        <v>Weekday</v>
      </c>
    </row>
    <row r="422" spans="1:14" ht="15" thickBot="1" x14ac:dyDescent="0.35">
      <c r="A422" s="51">
        <v>421</v>
      </c>
      <c r="B422" s="52">
        <f>_xlfn.XLOOKUP(Table3[[#This Row],[instant]],DatSet1!A422:A1031,DatSet1!B422:B1031,_xlfn.XLOOKUP(Table3[[#This Row],[instant]],'Final Data'!A422:A811,'Final Data'!B422:B811, ,0,1),0,1)</f>
        <v>40562</v>
      </c>
      <c r="C422" s="51">
        <f>_xlfn.XLOOKUP(Table3[[#This Row],[instant]],Table1[instant],Table1[hr], ,0,1)</f>
        <v>13</v>
      </c>
      <c r="D422" s="53" t="b">
        <f>_xlfn.XLOOKUP(Table3[[#This Row],[instant]],Table1[instant],Table1[holiday], ,0,1)</f>
        <v>0</v>
      </c>
      <c r="E422" s="44">
        <f>_xlfn.XLOOKUP(Table3[[#This Row],[instant]],Table1[instant],Table1[weekday], ,0,1)</f>
        <v>3</v>
      </c>
      <c r="F422" s="44">
        <f>_xlfn.XLOOKUP(Table3[[#This Row],[instant]],Table1[instant],Table1[weathersit], ,0,1)</f>
        <v>1</v>
      </c>
      <c r="G422" s="44">
        <f>_xlfn.XLOOKUP(Table3[[#This Row],[instant]],Table1[instant],Table1[temp], ,0,1)</f>
        <v>0.4</v>
      </c>
      <c r="H422" s="45">
        <f>_xlfn.XLOOKUP(Table3[[#This Row],[instant]],Table2[instant],Table2[atemp], ,0,1)</f>
        <v>0.40910000000000002</v>
      </c>
      <c r="I422" s="42">
        <f>_xlfn.XLOOKUP(Table3[[#This Row],[instant]],Table2[instant],Table2[hum], ,0,1)</f>
        <v>0.62</v>
      </c>
      <c r="J422" s="42">
        <f>_xlfn.XLOOKUP(Table3[[#This Row],[instant]],Table2[instant],Table2[windspeed], ,0,1)</f>
        <v>0.28360000000000002</v>
      </c>
      <c r="K422" s="42">
        <f>_xlfn.XLOOKUP(Table3[[#This Row],[instant]],Table2[instant],Table2[casual], ,0,1)</f>
        <v>11</v>
      </c>
      <c r="L422" s="42">
        <f>_xlfn.XLOOKUP(Table3[[#This Row],[instant]],Table2[instant],Table2[registered], ,0,1)</f>
        <v>67</v>
      </c>
      <c r="M422" s="46">
        <f>_xlfn.XLOOKUP(Table3[[#This Row],[instant]],Table2[instant],Table2[cnt], ,0,1)</f>
        <v>78</v>
      </c>
      <c r="N422" s="42" t="str">
        <f>IF(OR(Table3[[#This Row],[weekday]]=0,Table3[[#This Row],[weekday]]=6),"Weekend","Weekday")</f>
        <v>Weekday</v>
      </c>
    </row>
    <row r="423" spans="1:14" ht="15" thickBot="1" x14ac:dyDescent="0.35">
      <c r="A423" s="48">
        <v>422</v>
      </c>
      <c r="B423" s="49">
        <f>_xlfn.XLOOKUP(Table3[[#This Row],[instant]],DatSet1!A423:A1032,DatSet1!B423:B1032,_xlfn.XLOOKUP(Table3[[#This Row],[instant]],'Final Data'!A423:A812,'Final Data'!B423:B812, ,0,1),0,1)</f>
        <v>40562</v>
      </c>
      <c r="C423" s="48">
        <f>_xlfn.XLOOKUP(Table3[[#This Row],[instant]],Table1[instant],Table1[hr], ,0,1)</f>
        <v>14</v>
      </c>
      <c r="D423" s="50" t="b">
        <f>_xlfn.XLOOKUP(Table3[[#This Row],[instant]],Table1[instant],Table1[holiday], ,0,1)</f>
        <v>0</v>
      </c>
      <c r="E423" s="2">
        <f>_xlfn.XLOOKUP(Table3[[#This Row],[instant]],Table1[instant],Table1[weekday], ,0,1)</f>
        <v>3</v>
      </c>
      <c r="F423" s="2">
        <f>_xlfn.XLOOKUP(Table3[[#This Row],[instant]],Table1[instant],Table1[weathersit], ,0,1)</f>
        <v>1</v>
      </c>
      <c r="G423" s="2">
        <f>_xlfn.XLOOKUP(Table3[[#This Row],[instant]],Table1[instant],Table1[temp], ,0,1)</f>
        <v>0.4</v>
      </c>
      <c r="H423" s="24">
        <f>_xlfn.XLOOKUP(Table3[[#This Row],[instant]],Table2[instant],Table2[atemp], ,0,1)</f>
        <v>0.40910000000000002</v>
      </c>
      <c r="I423" s="1">
        <f>_xlfn.XLOOKUP(Table3[[#This Row],[instant]],Table2[instant],Table2[hum], ,0,1)</f>
        <v>0.57999999999999996</v>
      </c>
      <c r="J423" s="1">
        <f>_xlfn.XLOOKUP(Table3[[#This Row],[instant]],Table2[instant],Table2[windspeed], ,0,1)</f>
        <v>0.25369999999999998</v>
      </c>
      <c r="K423" s="1">
        <f>_xlfn.XLOOKUP(Table3[[#This Row],[instant]],Table2[instant],Table2[casual], ,0,1)</f>
        <v>7</v>
      </c>
      <c r="L423" s="1">
        <f>_xlfn.XLOOKUP(Table3[[#This Row],[instant]],Table2[instant],Table2[registered], ,0,1)</f>
        <v>68</v>
      </c>
      <c r="M423" s="6">
        <f>_xlfn.XLOOKUP(Table3[[#This Row],[instant]],Table2[instant],Table2[cnt], ,0,1)</f>
        <v>75</v>
      </c>
      <c r="N423" s="1" t="str">
        <f>IF(OR(Table3[[#This Row],[weekday]]=0,Table3[[#This Row],[weekday]]=6),"Weekend","Weekday")</f>
        <v>Weekday</v>
      </c>
    </row>
    <row r="424" spans="1:14" ht="15" thickBot="1" x14ac:dyDescent="0.35">
      <c r="A424" s="51">
        <v>423</v>
      </c>
      <c r="B424" s="52">
        <f>_xlfn.XLOOKUP(Table3[[#This Row],[instant]],DatSet1!A424:A1033,DatSet1!B424:B1033,_xlfn.XLOOKUP(Table3[[#This Row],[instant]],'Final Data'!A424:A813,'Final Data'!B424:B813, ,0,1),0,1)</f>
        <v>40562</v>
      </c>
      <c r="C424" s="51">
        <f>_xlfn.XLOOKUP(Table3[[#This Row],[instant]],Table1[instant],Table1[hr], ,0,1)</f>
        <v>15</v>
      </c>
      <c r="D424" s="53" t="b">
        <f>_xlfn.XLOOKUP(Table3[[#This Row],[instant]],Table1[instant],Table1[holiday], ,0,1)</f>
        <v>0</v>
      </c>
      <c r="E424" s="44">
        <f>_xlfn.XLOOKUP(Table3[[#This Row],[instant]],Table1[instant],Table1[weekday], ,0,1)</f>
        <v>3</v>
      </c>
      <c r="F424" s="44">
        <f>_xlfn.XLOOKUP(Table3[[#This Row],[instant]],Table1[instant],Table1[weathersit], ,0,1)</f>
        <v>1</v>
      </c>
      <c r="G424" s="44">
        <f>_xlfn.XLOOKUP(Table3[[#This Row],[instant]],Table1[instant],Table1[temp], ,0,1)</f>
        <v>0.4</v>
      </c>
      <c r="H424" s="45">
        <f>_xlfn.XLOOKUP(Table3[[#This Row],[instant]],Table2[instant],Table2[atemp], ,0,1)</f>
        <v>0.40910000000000002</v>
      </c>
      <c r="I424" s="42">
        <f>_xlfn.XLOOKUP(Table3[[#This Row],[instant]],Table2[instant],Table2[hum], ,0,1)</f>
        <v>0.54</v>
      </c>
      <c r="J424" s="42">
        <f>_xlfn.XLOOKUP(Table3[[#This Row],[instant]],Table2[instant],Table2[windspeed], ,0,1)</f>
        <v>0.28360000000000002</v>
      </c>
      <c r="K424" s="42">
        <f>_xlfn.XLOOKUP(Table3[[#This Row],[instant]],Table2[instant],Table2[casual], ,0,1)</f>
        <v>4</v>
      </c>
      <c r="L424" s="42">
        <f>_xlfn.XLOOKUP(Table3[[#This Row],[instant]],Table2[instant],Table2[registered], ,0,1)</f>
        <v>78</v>
      </c>
      <c r="M424" s="46">
        <f>_xlfn.XLOOKUP(Table3[[#This Row],[instant]],Table2[instant],Table2[cnt], ,0,1)</f>
        <v>82</v>
      </c>
      <c r="N424" s="42" t="str">
        <f>IF(OR(Table3[[#This Row],[weekday]]=0,Table3[[#This Row],[weekday]]=6),"Weekend","Weekday")</f>
        <v>Weekday</v>
      </c>
    </row>
    <row r="425" spans="1:14" ht="15" thickBot="1" x14ac:dyDescent="0.35">
      <c r="A425" s="48">
        <v>424</v>
      </c>
      <c r="B425" s="49">
        <f>_xlfn.XLOOKUP(Table3[[#This Row],[instant]],DatSet1!A425:A1034,DatSet1!B425:B1034,_xlfn.XLOOKUP(Table3[[#This Row],[instant]],'Final Data'!A425:A814,'Final Data'!B425:B814, ,0,1),0,1)</f>
        <v>40562</v>
      </c>
      <c r="C425" s="48">
        <f>_xlfn.XLOOKUP(Table3[[#This Row],[instant]],Table1[instant],Table1[hr], ,0,1)</f>
        <v>16</v>
      </c>
      <c r="D425" s="50" t="b">
        <f>_xlfn.XLOOKUP(Table3[[#This Row],[instant]],Table1[instant],Table1[holiday], ,0,1)</f>
        <v>0</v>
      </c>
      <c r="E425" s="2">
        <f>_xlfn.XLOOKUP(Table3[[#This Row],[instant]],Table1[instant],Table1[weekday], ,0,1)</f>
        <v>3</v>
      </c>
      <c r="F425" s="2">
        <f>_xlfn.XLOOKUP(Table3[[#This Row],[instant]],Table1[instant],Table1[weathersit], ,0,1)</f>
        <v>1</v>
      </c>
      <c r="G425" s="2">
        <f>_xlfn.XLOOKUP(Table3[[#This Row],[instant]],Table1[instant],Table1[temp], ,0,1)</f>
        <v>0.38</v>
      </c>
      <c r="H425" s="24">
        <f>_xlfn.XLOOKUP(Table3[[#This Row],[instant]],Table2[instant],Table2[atemp], ,0,1)</f>
        <v>0.39389999999999997</v>
      </c>
      <c r="I425" s="1">
        <f>_xlfn.XLOOKUP(Table3[[#This Row],[instant]],Table2[instant],Table2[hum], ,0,1)</f>
        <v>0.57999999999999996</v>
      </c>
      <c r="J425" s="1">
        <f>_xlfn.XLOOKUP(Table3[[#This Row],[instant]],Table2[instant],Table2[windspeed], ,0,1)</f>
        <v>0.3881</v>
      </c>
      <c r="K425" s="1">
        <f>_xlfn.XLOOKUP(Table3[[#This Row],[instant]],Table2[instant],Table2[casual], ,0,1)</f>
        <v>10</v>
      </c>
      <c r="L425" s="1">
        <f>_xlfn.XLOOKUP(Table3[[#This Row],[instant]],Table2[instant],Table2[registered], ,0,1)</f>
        <v>94</v>
      </c>
      <c r="M425" s="6">
        <f>_xlfn.XLOOKUP(Table3[[#This Row],[instant]],Table2[instant],Table2[cnt], ,0,1)</f>
        <v>104</v>
      </c>
      <c r="N425" s="1" t="str">
        <f>IF(OR(Table3[[#This Row],[weekday]]=0,Table3[[#This Row],[weekday]]=6),"Weekend","Weekday")</f>
        <v>Weekday</v>
      </c>
    </row>
    <row r="426" spans="1:14" ht="15" thickBot="1" x14ac:dyDescent="0.35">
      <c r="A426" s="51">
        <v>425</v>
      </c>
      <c r="B426" s="52">
        <f>_xlfn.XLOOKUP(Table3[[#This Row],[instant]],DatSet1!A426:A1035,DatSet1!B426:B1035,_xlfn.XLOOKUP(Table3[[#This Row],[instant]],'Final Data'!A426:A815,'Final Data'!B426:B815, ,0,1),0,1)</f>
        <v>40562</v>
      </c>
      <c r="C426" s="51">
        <f>_xlfn.XLOOKUP(Table3[[#This Row],[instant]],Table1[instant],Table1[hr], ,0,1)</f>
        <v>17</v>
      </c>
      <c r="D426" s="53" t="b">
        <f>_xlfn.XLOOKUP(Table3[[#This Row],[instant]],Table1[instant],Table1[holiday], ,0,1)</f>
        <v>0</v>
      </c>
      <c r="E426" s="44">
        <f>_xlfn.XLOOKUP(Table3[[#This Row],[instant]],Table1[instant],Table1[weekday], ,0,1)</f>
        <v>3</v>
      </c>
      <c r="F426" s="44">
        <f>_xlfn.XLOOKUP(Table3[[#This Row],[instant]],Table1[instant],Table1[weathersit], ,0,1)</f>
        <v>1</v>
      </c>
      <c r="G426" s="44">
        <f>_xlfn.XLOOKUP(Table3[[#This Row],[instant]],Table1[instant],Table1[temp], ,0,1)</f>
        <v>0.36</v>
      </c>
      <c r="H426" s="45">
        <f>_xlfn.XLOOKUP(Table3[[#This Row],[instant]],Table2[instant],Table2[atemp], ,0,1)</f>
        <v>0.33329999999999999</v>
      </c>
      <c r="I426" s="42">
        <f>_xlfn.XLOOKUP(Table3[[#This Row],[instant]],Table2[instant],Table2[hum], ,0,1)</f>
        <v>0.56999999999999995</v>
      </c>
      <c r="J426" s="42">
        <f>_xlfn.XLOOKUP(Table3[[#This Row],[instant]],Table2[instant],Table2[windspeed], ,0,1)</f>
        <v>0.32840000000000003</v>
      </c>
      <c r="K426" s="42">
        <f>_xlfn.XLOOKUP(Table3[[#This Row],[instant]],Table2[instant],Table2[casual], ,0,1)</f>
        <v>7</v>
      </c>
      <c r="L426" s="42">
        <f>_xlfn.XLOOKUP(Table3[[#This Row],[instant]],Table2[instant],Table2[registered], ,0,1)</f>
        <v>190</v>
      </c>
      <c r="M426" s="46">
        <f>_xlfn.XLOOKUP(Table3[[#This Row],[instant]],Table2[instant],Table2[cnt], ,0,1)</f>
        <v>197</v>
      </c>
      <c r="N426" s="42" t="str">
        <f>IF(OR(Table3[[#This Row],[weekday]]=0,Table3[[#This Row],[weekday]]=6),"Weekend","Weekday")</f>
        <v>Weekday</v>
      </c>
    </row>
    <row r="427" spans="1:14" ht="15" thickBot="1" x14ac:dyDescent="0.35">
      <c r="A427" s="48">
        <v>426</v>
      </c>
      <c r="B427" s="49">
        <f>_xlfn.XLOOKUP(Table3[[#This Row],[instant]],DatSet1!A427:A1036,DatSet1!B427:B1036,_xlfn.XLOOKUP(Table3[[#This Row],[instant]],'Final Data'!A427:A816,'Final Data'!B427:B816, ,0,1),0,1)</f>
        <v>40562</v>
      </c>
      <c r="C427" s="48">
        <f>_xlfn.XLOOKUP(Table3[[#This Row],[instant]],Table1[instant],Table1[hr], ,0,1)</f>
        <v>18</v>
      </c>
      <c r="D427" s="50" t="b">
        <f>_xlfn.XLOOKUP(Table3[[#This Row],[instant]],Table1[instant],Table1[holiday], ,0,1)</f>
        <v>0</v>
      </c>
      <c r="E427" s="2">
        <f>_xlfn.XLOOKUP(Table3[[#This Row],[instant]],Table1[instant],Table1[weekday], ,0,1)</f>
        <v>3</v>
      </c>
      <c r="F427" s="2">
        <f>_xlfn.XLOOKUP(Table3[[#This Row],[instant]],Table1[instant],Table1[weathersit], ,0,1)</f>
        <v>1</v>
      </c>
      <c r="G427" s="2">
        <f>_xlfn.XLOOKUP(Table3[[#This Row],[instant]],Table1[instant],Table1[temp], ,0,1)</f>
        <v>0.34</v>
      </c>
      <c r="H427" s="24">
        <f>_xlfn.XLOOKUP(Table3[[#This Row],[instant]],Table2[instant],Table2[atemp], ,0,1)</f>
        <v>0.31819999999999998</v>
      </c>
      <c r="I427" s="1">
        <f>_xlfn.XLOOKUP(Table3[[#This Row],[instant]],Table2[instant],Table2[hum], ,0,1)</f>
        <v>0.61</v>
      </c>
      <c r="J427" s="1">
        <f>_xlfn.XLOOKUP(Table3[[#This Row],[instant]],Table2[instant],Table2[windspeed], ,0,1)</f>
        <v>0.28360000000000002</v>
      </c>
      <c r="K427" s="1">
        <f>_xlfn.XLOOKUP(Table3[[#This Row],[instant]],Table2[instant],Table2[casual], ,0,1)</f>
        <v>5</v>
      </c>
      <c r="L427" s="1">
        <f>_xlfn.XLOOKUP(Table3[[#This Row],[instant]],Table2[instant],Table2[registered], ,0,1)</f>
        <v>156</v>
      </c>
      <c r="M427" s="6">
        <f>_xlfn.XLOOKUP(Table3[[#This Row],[instant]],Table2[instant],Table2[cnt], ,0,1)</f>
        <v>161</v>
      </c>
      <c r="N427" s="1" t="str">
        <f>IF(OR(Table3[[#This Row],[weekday]]=0,Table3[[#This Row],[weekday]]=6),"Weekend","Weekday")</f>
        <v>Weekday</v>
      </c>
    </row>
    <row r="428" spans="1:14" ht="15" thickBot="1" x14ac:dyDescent="0.35">
      <c r="A428" s="51">
        <v>427</v>
      </c>
      <c r="B428" s="52">
        <f>_xlfn.XLOOKUP(Table3[[#This Row],[instant]],DatSet1!A428:A1037,DatSet1!B428:B1037,_xlfn.XLOOKUP(Table3[[#This Row],[instant]],'Final Data'!A428:A817,'Final Data'!B428:B817, ,0,1),0,1)</f>
        <v>40562</v>
      </c>
      <c r="C428" s="51">
        <f>_xlfn.XLOOKUP(Table3[[#This Row],[instant]],Table1[instant],Table1[hr], ,0,1)</f>
        <v>19</v>
      </c>
      <c r="D428" s="53" t="b">
        <f>_xlfn.XLOOKUP(Table3[[#This Row],[instant]],Table1[instant],Table1[holiday], ,0,1)</f>
        <v>0</v>
      </c>
      <c r="E428" s="44">
        <f>_xlfn.XLOOKUP(Table3[[#This Row],[instant]],Table1[instant],Table1[weekday], ,0,1)</f>
        <v>3</v>
      </c>
      <c r="F428" s="44">
        <f>_xlfn.XLOOKUP(Table3[[#This Row],[instant]],Table1[instant],Table1[weathersit], ,0,1)</f>
        <v>1</v>
      </c>
      <c r="G428" s="44">
        <f>_xlfn.XLOOKUP(Table3[[#This Row],[instant]],Table1[instant],Table1[temp], ,0,1)</f>
        <v>0.32</v>
      </c>
      <c r="H428" s="45">
        <f>_xlfn.XLOOKUP(Table3[[#This Row],[instant]],Table2[instant],Table2[atemp], ,0,1)</f>
        <v>0.28789999999999999</v>
      </c>
      <c r="I428" s="42">
        <f>_xlfn.XLOOKUP(Table3[[#This Row],[instant]],Table2[instant],Table2[hum], ,0,1)</f>
        <v>0.56999999999999995</v>
      </c>
      <c r="J428" s="42">
        <f>_xlfn.XLOOKUP(Table3[[#This Row],[instant]],Table2[instant],Table2[windspeed], ,0,1)</f>
        <v>0.41789999999999999</v>
      </c>
      <c r="K428" s="42">
        <f>_xlfn.XLOOKUP(Table3[[#This Row],[instant]],Table2[instant],Table2[casual], ,0,1)</f>
        <v>4</v>
      </c>
      <c r="L428" s="42">
        <f>_xlfn.XLOOKUP(Table3[[#This Row],[instant]],Table2[instant],Table2[registered], ,0,1)</f>
        <v>108</v>
      </c>
      <c r="M428" s="46">
        <f>_xlfn.XLOOKUP(Table3[[#This Row],[instant]],Table2[instant],Table2[cnt], ,0,1)</f>
        <v>112</v>
      </c>
      <c r="N428" s="42" t="str">
        <f>IF(OR(Table3[[#This Row],[weekday]]=0,Table3[[#This Row],[weekday]]=6),"Weekend","Weekday")</f>
        <v>Weekday</v>
      </c>
    </row>
    <row r="429" spans="1:14" ht="15" thickBot="1" x14ac:dyDescent="0.35">
      <c r="A429" s="48">
        <v>428</v>
      </c>
      <c r="B429" s="49">
        <f>_xlfn.XLOOKUP(Table3[[#This Row],[instant]],DatSet1!A429:A1038,DatSet1!B429:B1038,_xlfn.XLOOKUP(Table3[[#This Row],[instant]],'Final Data'!A429:A818,'Final Data'!B429:B818, ,0,1),0,1)</f>
        <v>40562</v>
      </c>
      <c r="C429" s="48">
        <f>_xlfn.XLOOKUP(Table3[[#This Row],[instant]],Table1[instant],Table1[hr], ,0,1)</f>
        <v>20</v>
      </c>
      <c r="D429" s="50" t="b">
        <f>_xlfn.XLOOKUP(Table3[[#This Row],[instant]],Table1[instant],Table1[holiday], ,0,1)</f>
        <v>0</v>
      </c>
      <c r="E429" s="2">
        <f>_xlfn.XLOOKUP(Table3[[#This Row],[instant]],Table1[instant],Table1[weekday], ,0,1)</f>
        <v>3</v>
      </c>
      <c r="F429" s="2">
        <f>_xlfn.XLOOKUP(Table3[[#This Row],[instant]],Table1[instant],Table1[weathersit], ,0,1)</f>
        <v>1</v>
      </c>
      <c r="G429" s="2">
        <f>_xlfn.XLOOKUP(Table3[[#This Row],[instant]],Table1[instant],Table1[temp], ,0,1)</f>
        <v>0.32</v>
      </c>
      <c r="H429" s="24">
        <f>_xlfn.XLOOKUP(Table3[[#This Row],[instant]],Table2[instant],Table2[atemp], ,0,1)</f>
        <v>0.30299999999999999</v>
      </c>
      <c r="I429" s="1">
        <f>_xlfn.XLOOKUP(Table3[[#This Row],[instant]],Table2[instant],Table2[hum], ,0,1)</f>
        <v>0.49</v>
      </c>
      <c r="J429" s="1">
        <f>_xlfn.XLOOKUP(Table3[[#This Row],[instant]],Table2[instant],Table2[windspeed], ,0,1)</f>
        <v>0.29849999999999999</v>
      </c>
      <c r="K429" s="1">
        <f>_xlfn.XLOOKUP(Table3[[#This Row],[instant]],Table2[instant],Table2[casual], ,0,1)</f>
        <v>2</v>
      </c>
      <c r="L429" s="1">
        <f>_xlfn.XLOOKUP(Table3[[#This Row],[instant]],Table2[instant],Table2[registered], ,0,1)</f>
        <v>74</v>
      </c>
      <c r="M429" s="6">
        <f>_xlfn.XLOOKUP(Table3[[#This Row],[instant]],Table2[instant],Table2[cnt], ,0,1)</f>
        <v>76</v>
      </c>
      <c r="N429" s="1" t="str">
        <f>IF(OR(Table3[[#This Row],[weekday]]=0,Table3[[#This Row],[weekday]]=6),"Weekend","Weekday")</f>
        <v>Weekday</v>
      </c>
    </row>
    <row r="430" spans="1:14" ht="15" thickBot="1" x14ac:dyDescent="0.35">
      <c r="A430" s="51">
        <v>429</v>
      </c>
      <c r="B430" s="52">
        <f>_xlfn.XLOOKUP(Table3[[#This Row],[instant]],DatSet1!A430:A1039,DatSet1!B430:B1039,_xlfn.XLOOKUP(Table3[[#This Row],[instant]],'Final Data'!A430:A819,'Final Data'!B430:B819, ,0,1),0,1)</f>
        <v>40562</v>
      </c>
      <c r="C430" s="51">
        <f>_xlfn.XLOOKUP(Table3[[#This Row],[instant]],Table1[instant],Table1[hr], ,0,1)</f>
        <v>21</v>
      </c>
      <c r="D430" s="53" t="b">
        <f>_xlfn.XLOOKUP(Table3[[#This Row],[instant]],Table1[instant],Table1[holiday], ,0,1)</f>
        <v>0</v>
      </c>
      <c r="E430" s="44">
        <f>_xlfn.XLOOKUP(Table3[[#This Row],[instant]],Table1[instant],Table1[weekday], ,0,1)</f>
        <v>3</v>
      </c>
      <c r="F430" s="44">
        <f>_xlfn.XLOOKUP(Table3[[#This Row],[instant]],Table1[instant],Table1[weathersit], ,0,1)</f>
        <v>1</v>
      </c>
      <c r="G430" s="44">
        <f>_xlfn.XLOOKUP(Table3[[#This Row],[instant]],Table1[instant],Table1[temp], ,0,1)</f>
        <v>0.32</v>
      </c>
      <c r="H430" s="45">
        <f>_xlfn.XLOOKUP(Table3[[#This Row],[instant]],Table2[instant],Table2[atemp], ,0,1)</f>
        <v>0.28789999999999999</v>
      </c>
      <c r="I430" s="42">
        <f>_xlfn.XLOOKUP(Table3[[#This Row],[instant]],Table2[instant],Table2[hum], ,0,1)</f>
        <v>0.49</v>
      </c>
      <c r="J430" s="42">
        <f>_xlfn.XLOOKUP(Table3[[#This Row],[instant]],Table2[instant],Table2[windspeed], ,0,1)</f>
        <v>0.41789999999999999</v>
      </c>
      <c r="K430" s="42">
        <f>_xlfn.XLOOKUP(Table3[[#This Row],[instant]],Table2[instant],Table2[casual], ,0,1)</f>
        <v>4</v>
      </c>
      <c r="L430" s="42">
        <f>_xlfn.XLOOKUP(Table3[[#This Row],[instant]],Table2[instant],Table2[registered], ,0,1)</f>
        <v>55</v>
      </c>
      <c r="M430" s="46">
        <f>_xlfn.XLOOKUP(Table3[[#This Row],[instant]],Table2[instant],Table2[cnt], ,0,1)</f>
        <v>59</v>
      </c>
      <c r="N430" s="42" t="str">
        <f>IF(OR(Table3[[#This Row],[weekday]]=0,Table3[[#This Row],[weekday]]=6),"Weekend","Weekday")</f>
        <v>Weekday</v>
      </c>
    </row>
    <row r="431" spans="1:14" ht="15" thickBot="1" x14ac:dyDescent="0.35">
      <c r="A431" s="48">
        <v>430</v>
      </c>
      <c r="B431" s="49">
        <f>_xlfn.XLOOKUP(Table3[[#This Row],[instant]],DatSet1!A431:A1040,DatSet1!B431:B1040,_xlfn.XLOOKUP(Table3[[#This Row],[instant]],'Final Data'!A431:A820,'Final Data'!B431:B820, ,0,1),0,1)</f>
        <v>40562</v>
      </c>
      <c r="C431" s="48">
        <f>_xlfn.XLOOKUP(Table3[[#This Row],[instant]],Table1[instant],Table1[hr], ,0,1)</f>
        <v>22</v>
      </c>
      <c r="D431" s="50" t="b">
        <f>_xlfn.XLOOKUP(Table3[[#This Row],[instant]],Table1[instant],Table1[holiday], ,0,1)</f>
        <v>0</v>
      </c>
      <c r="E431" s="2">
        <f>_xlfn.XLOOKUP(Table3[[#This Row],[instant]],Table1[instant],Table1[weekday], ,0,1)</f>
        <v>3</v>
      </c>
      <c r="F431" s="2">
        <f>_xlfn.XLOOKUP(Table3[[#This Row],[instant]],Table1[instant],Table1[weathersit], ,0,1)</f>
        <v>1</v>
      </c>
      <c r="G431" s="2">
        <f>_xlfn.XLOOKUP(Table3[[#This Row],[instant]],Table1[instant],Table1[temp], ,0,1)</f>
        <v>0.3</v>
      </c>
      <c r="H431" s="24">
        <f>_xlfn.XLOOKUP(Table3[[#This Row],[instant]],Table2[instant],Table2[atemp], ,0,1)</f>
        <v>0.30299999999999999</v>
      </c>
      <c r="I431" s="1">
        <f>_xlfn.XLOOKUP(Table3[[#This Row],[instant]],Table2[instant],Table2[hum], ,0,1)</f>
        <v>0.52</v>
      </c>
      <c r="J431" s="1">
        <f>_xlfn.XLOOKUP(Table3[[#This Row],[instant]],Table2[instant],Table2[windspeed], ,0,1)</f>
        <v>0.16420000000000001</v>
      </c>
      <c r="K431" s="1">
        <f>_xlfn.XLOOKUP(Table3[[#This Row],[instant]],Table2[instant],Table2[casual], ,0,1)</f>
        <v>6</v>
      </c>
      <c r="L431" s="1">
        <f>_xlfn.XLOOKUP(Table3[[#This Row],[instant]],Table2[instant],Table2[registered], ,0,1)</f>
        <v>53</v>
      </c>
      <c r="M431" s="6">
        <f>_xlfn.XLOOKUP(Table3[[#This Row],[instant]],Table2[instant],Table2[cnt], ,0,1)</f>
        <v>59</v>
      </c>
      <c r="N431" s="1" t="str">
        <f>IF(OR(Table3[[#This Row],[weekday]]=0,Table3[[#This Row],[weekday]]=6),"Weekend","Weekday")</f>
        <v>Weekday</v>
      </c>
    </row>
    <row r="432" spans="1:14" ht="15" thickBot="1" x14ac:dyDescent="0.35">
      <c r="A432" s="51">
        <v>431</v>
      </c>
      <c r="B432" s="52">
        <f>_xlfn.XLOOKUP(Table3[[#This Row],[instant]],DatSet1!A432:A1041,DatSet1!B432:B1041,_xlfn.XLOOKUP(Table3[[#This Row],[instant]],'Final Data'!A432:A821,'Final Data'!B432:B821, ,0,1),0,1)</f>
        <v>40562</v>
      </c>
      <c r="C432" s="51">
        <f>_xlfn.XLOOKUP(Table3[[#This Row],[instant]],Table1[instant],Table1[hr], ,0,1)</f>
        <v>23</v>
      </c>
      <c r="D432" s="53" t="b">
        <f>_xlfn.XLOOKUP(Table3[[#This Row],[instant]],Table1[instant],Table1[holiday], ,0,1)</f>
        <v>0</v>
      </c>
      <c r="E432" s="44">
        <f>_xlfn.XLOOKUP(Table3[[#This Row],[instant]],Table1[instant],Table1[weekday], ,0,1)</f>
        <v>3</v>
      </c>
      <c r="F432" s="44">
        <f>_xlfn.XLOOKUP(Table3[[#This Row],[instant]],Table1[instant],Table1[weathersit], ,0,1)</f>
        <v>1</v>
      </c>
      <c r="G432" s="44">
        <f>_xlfn.XLOOKUP(Table3[[#This Row],[instant]],Table1[instant],Table1[temp], ,0,1)</f>
        <v>0.3</v>
      </c>
      <c r="H432" s="45">
        <f>_xlfn.XLOOKUP(Table3[[#This Row],[instant]],Table2[instant],Table2[atemp], ,0,1)</f>
        <v>0.2727</v>
      </c>
      <c r="I432" s="42">
        <f>_xlfn.XLOOKUP(Table3[[#This Row],[instant]],Table2[instant],Table2[hum], ,0,1)</f>
        <v>0.52</v>
      </c>
      <c r="J432" s="42">
        <f>_xlfn.XLOOKUP(Table3[[#This Row],[instant]],Table2[instant],Table2[windspeed], ,0,1)</f>
        <v>0.4627</v>
      </c>
      <c r="K432" s="42">
        <f>_xlfn.XLOOKUP(Table3[[#This Row],[instant]],Table2[instant],Table2[casual], ,0,1)</f>
        <v>1</v>
      </c>
      <c r="L432" s="42">
        <f>_xlfn.XLOOKUP(Table3[[#This Row],[instant]],Table2[instant],Table2[registered], ,0,1)</f>
        <v>27</v>
      </c>
      <c r="M432" s="46">
        <f>_xlfn.XLOOKUP(Table3[[#This Row],[instant]],Table2[instant],Table2[cnt], ,0,1)</f>
        <v>28</v>
      </c>
      <c r="N432" s="42" t="str">
        <f>IF(OR(Table3[[#This Row],[weekday]]=0,Table3[[#This Row],[weekday]]=6),"Weekend","Weekday")</f>
        <v>Weekday</v>
      </c>
    </row>
    <row r="433" spans="1:14" ht="15" thickBot="1" x14ac:dyDescent="0.35">
      <c r="A433" s="48">
        <v>432</v>
      </c>
      <c r="B433" s="49">
        <f>_xlfn.XLOOKUP(Table3[[#This Row],[instant]],DatSet1!A433:A1042,DatSet1!B433:B1042,_xlfn.XLOOKUP(Table3[[#This Row],[instant]],'Final Data'!A433:A822,'Final Data'!B433:B822, ,0,1),0,1)</f>
        <v>40563</v>
      </c>
      <c r="C433" s="48">
        <f>_xlfn.XLOOKUP(Table3[[#This Row],[instant]],Table1[instant],Table1[hr], ,0,1)</f>
        <v>0</v>
      </c>
      <c r="D433" s="50" t="b">
        <f>_xlfn.XLOOKUP(Table3[[#This Row],[instant]],Table1[instant],Table1[holiday], ,0,1)</f>
        <v>0</v>
      </c>
      <c r="E433" s="2">
        <f>_xlfn.XLOOKUP(Table3[[#This Row],[instant]],Table1[instant],Table1[weekday], ,0,1)</f>
        <v>4</v>
      </c>
      <c r="F433" s="2">
        <f>_xlfn.XLOOKUP(Table3[[#This Row],[instant]],Table1[instant],Table1[weathersit], ,0,1)</f>
        <v>1</v>
      </c>
      <c r="G433" s="2">
        <f>_xlfn.XLOOKUP(Table3[[#This Row],[instant]],Table1[instant],Table1[temp], ,0,1)</f>
        <v>0.26</v>
      </c>
      <c r="H433" s="24">
        <f>_xlfn.XLOOKUP(Table3[[#This Row],[instant]],Table2[instant],Table2[atemp], ,0,1)</f>
        <v>0.2273</v>
      </c>
      <c r="I433" s="1">
        <f>_xlfn.XLOOKUP(Table3[[#This Row],[instant]],Table2[instant],Table2[hum], ,0,1)</f>
        <v>0.56000000000000005</v>
      </c>
      <c r="J433" s="1">
        <f>_xlfn.XLOOKUP(Table3[[#This Row],[instant]],Table2[instant],Table2[windspeed], ,0,1)</f>
        <v>0.3881</v>
      </c>
      <c r="K433" s="1">
        <f>_xlfn.XLOOKUP(Table3[[#This Row],[instant]],Table2[instant],Table2[casual], ,0,1)</f>
        <v>5</v>
      </c>
      <c r="L433" s="1">
        <f>_xlfn.XLOOKUP(Table3[[#This Row],[instant]],Table2[instant],Table2[registered], ,0,1)</f>
        <v>8</v>
      </c>
      <c r="M433" s="6">
        <f>_xlfn.XLOOKUP(Table3[[#This Row],[instant]],Table2[instant],Table2[cnt], ,0,1)</f>
        <v>13</v>
      </c>
      <c r="N433" s="1" t="str">
        <f>IF(OR(Table3[[#This Row],[weekday]]=0,Table3[[#This Row],[weekday]]=6),"Weekend","Weekday")</f>
        <v>Weekday</v>
      </c>
    </row>
    <row r="434" spans="1:14" ht="15" thickBot="1" x14ac:dyDescent="0.35">
      <c r="A434" s="51">
        <v>433</v>
      </c>
      <c r="B434" s="52">
        <f>_xlfn.XLOOKUP(Table3[[#This Row],[instant]],DatSet1!A434:A1043,DatSet1!B434:B1043,_xlfn.XLOOKUP(Table3[[#This Row],[instant]],'Final Data'!A434:A823,'Final Data'!B434:B823, ,0,1),0,1)</f>
        <v>40563</v>
      </c>
      <c r="C434" s="51">
        <f>_xlfn.XLOOKUP(Table3[[#This Row],[instant]],Table1[instant],Table1[hr], ,0,1)</f>
        <v>1</v>
      </c>
      <c r="D434" s="53" t="b">
        <f>_xlfn.XLOOKUP(Table3[[#This Row],[instant]],Table1[instant],Table1[holiday], ,0,1)</f>
        <v>0</v>
      </c>
      <c r="E434" s="44">
        <f>_xlfn.XLOOKUP(Table3[[#This Row],[instant]],Table1[instant],Table1[weekday], ,0,1)</f>
        <v>4</v>
      </c>
      <c r="F434" s="44">
        <f>_xlfn.XLOOKUP(Table3[[#This Row],[instant]],Table1[instant],Table1[weathersit], ,0,1)</f>
        <v>1</v>
      </c>
      <c r="G434" s="44">
        <f>_xlfn.XLOOKUP(Table3[[#This Row],[instant]],Table1[instant],Table1[temp], ,0,1)</f>
        <v>0.26</v>
      </c>
      <c r="H434" s="45">
        <f>_xlfn.XLOOKUP(Table3[[#This Row],[instant]],Table2[instant],Table2[atemp], ,0,1)</f>
        <v>0.2727</v>
      </c>
      <c r="I434" s="42">
        <f>_xlfn.XLOOKUP(Table3[[#This Row],[instant]],Table2[instant],Table2[hum], ,0,1)</f>
        <v>0.56000000000000005</v>
      </c>
      <c r="J434" s="42">
        <f>_xlfn.XLOOKUP(Table3[[#This Row],[instant]],Table2[instant],Table2[windspeed], ,0,1)</f>
        <v>0</v>
      </c>
      <c r="K434" s="42">
        <f>_xlfn.XLOOKUP(Table3[[#This Row],[instant]],Table2[instant],Table2[casual], ,0,1)</f>
        <v>2</v>
      </c>
      <c r="L434" s="42">
        <f>_xlfn.XLOOKUP(Table3[[#This Row],[instant]],Table2[instant],Table2[registered], ,0,1)</f>
        <v>3</v>
      </c>
      <c r="M434" s="46">
        <f>_xlfn.XLOOKUP(Table3[[#This Row],[instant]],Table2[instant],Table2[cnt], ,0,1)</f>
        <v>5</v>
      </c>
      <c r="N434" s="42" t="str">
        <f>IF(OR(Table3[[#This Row],[weekday]]=0,Table3[[#This Row],[weekday]]=6),"Weekend","Weekday")</f>
        <v>Weekday</v>
      </c>
    </row>
    <row r="435" spans="1:14" ht="15" thickBot="1" x14ac:dyDescent="0.35">
      <c r="A435" s="48">
        <v>434</v>
      </c>
      <c r="B435" s="49">
        <f>_xlfn.XLOOKUP(Table3[[#This Row],[instant]],DatSet1!A435:A1044,DatSet1!B435:B1044,_xlfn.XLOOKUP(Table3[[#This Row],[instant]],'Final Data'!A435:A824,'Final Data'!B435:B824, ,0,1),0,1)</f>
        <v>40563</v>
      </c>
      <c r="C435" s="48">
        <f>_xlfn.XLOOKUP(Table3[[#This Row],[instant]],Table1[instant],Table1[hr], ,0,1)</f>
        <v>2</v>
      </c>
      <c r="D435" s="50" t="b">
        <f>_xlfn.XLOOKUP(Table3[[#This Row],[instant]],Table1[instant],Table1[holiday], ,0,1)</f>
        <v>0</v>
      </c>
      <c r="E435" s="2">
        <f>_xlfn.XLOOKUP(Table3[[#This Row],[instant]],Table1[instant],Table1[weekday], ,0,1)</f>
        <v>4</v>
      </c>
      <c r="F435" s="2">
        <f>_xlfn.XLOOKUP(Table3[[#This Row],[instant]],Table1[instant],Table1[weathersit], ,0,1)</f>
        <v>1</v>
      </c>
      <c r="G435" s="2">
        <f>_xlfn.XLOOKUP(Table3[[#This Row],[instant]],Table1[instant],Table1[temp], ,0,1)</f>
        <v>0.26</v>
      </c>
      <c r="H435" s="24">
        <f>_xlfn.XLOOKUP(Table3[[#This Row],[instant]],Table2[instant],Table2[atemp], ,0,1)</f>
        <v>0.2727</v>
      </c>
      <c r="I435" s="1">
        <f>_xlfn.XLOOKUP(Table3[[#This Row],[instant]],Table2[instant],Table2[hum], ,0,1)</f>
        <v>0.56000000000000005</v>
      </c>
      <c r="J435" s="1">
        <f>_xlfn.XLOOKUP(Table3[[#This Row],[instant]],Table2[instant],Table2[windspeed], ,0,1)</f>
        <v>0</v>
      </c>
      <c r="K435" s="1">
        <f>_xlfn.XLOOKUP(Table3[[#This Row],[instant]],Table2[instant],Table2[casual], ,0,1)</f>
        <v>0</v>
      </c>
      <c r="L435" s="1">
        <f>_xlfn.XLOOKUP(Table3[[#This Row],[instant]],Table2[instant],Table2[registered], ,0,1)</f>
        <v>2</v>
      </c>
      <c r="M435" s="6">
        <f>_xlfn.XLOOKUP(Table3[[#This Row],[instant]],Table2[instant],Table2[cnt], ,0,1)</f>
        <v>2</v>
      </c>
      <c r="N435" s="1" t="str">
        <f>IF(OR(Table3[[#This Row],[weekday]]=0,Table3[[#This Row],[weekday]]=6),"Weekend","Weekday")</f>
        <v>Weekday</v>
      </c>
    </row>
    <row r="436" spans="1:14" ht="15" thickBot="1" x14ac:dyDescent="0.35">
      <c r="A436" s="51">
        <v>435</v>
      </c>
      <c r="B436" s="52">
        <f>_xlfn.XLOOKUP(Table3[[#This Row],[instant]],DatSet1!A436:A1045,DatSet1!B436:B1045,_xlfn.XLOOKUP(Table3[[#This Row],[instant]],'Final Data'!A436:A825,'Final Data'!B436:B825, ,0,1),0,1)</f>
        <v>40563</v>
      </c>
      <c r="C436" s="51">
        <f>_xlfn.XLOOKUP(Table3[[#This Row],[instant]],Table1[instant],Table1[hr], ,0,1)</f>
        <v>3</v>
      </c>
      <c r="D436" s="53" t="b">
        <f>_xlfn.XLOOKUP(Table3[[#This Row],[instant]],Table1[instant],Table1[holiday], ,0,1)</f>
        <v>0</v>
      </c>
      <c r="E436" s="44">
        <f>_xlfn.XLOOKUP(Table3[[#This Row],[instant]],Table1[instant],Table1[weekday], ,0,1)</f>
        <v>4</v>
      </c>
      <c r="F436" s="44">
        <f>_xlfn.XLOOKUP(Table3[[#This Row],[instant]],Table1[instant],Table1[weathersit], ,0,1)</f>
        <v>1</v>
      </c>
      <c r="G436" s="44">
        <f>_xlfn.XLOOKUP(Table3[[#This Row],[instant]],Table1[instant],Table1[temp], ,0,1)</f>
        <v>0.26</v>
      </c>
      <c r="H436" s="45">
        <f>_xlfn.XLOOKUP(Table3[[#This Row],[instant]],Table2[instant],Table2[atemp], ,0,1)</f>
        <v>0.2576</v>
      </c>
      <c r="I436" s="42">
        <f>_xlfn.XLOOKUP(Table3[[#This Row],[instant]],Table2[instant],Table2[hum], ,0,1)</f>
        <v>0.56000000000000005</v>
      </c>
      <c r="J436" s="42">
        <f>_xlfn.XLOOKUP(Table3[[#This Row],[instant]],Table2[instant],Table2[windspeed], ,0,1)</f>
        <v>0.16420000000000001</v>
      </c>
      <c r="K436" s="42">
        <f>_xlfn.XLOOKUP(Table3[[#This Row],[instant]],Table2[instant],Table2[casual], ,0,1)</f>
        <v>0</v>
      </c>
      <c r="L436" s="42">
        <f>_xlfn.XLOOKUP(Table3[[#This Row],[instant]],Table2[instant],Table2[registered], ,0,1)</f>
        <v>1</v>
      </c>
      <c r="M436" s="46">
        <f>_xlfn.XLOOKUP(Table3[[#This Row],[instant]],Table2[instant],Table2[cnt], ,0,1)</f>
        <v>1</v>
      </c>
      <c r="N436" s="42" t="str">
        <f>IF(OR(Table3[[#This Row],[weekday]]=0,Table3[[#This Row],[weekday]]=6),"Weekend","Weekday")</f>
        <v>Weekday</v>
      </c>
    </row>
    <row r="437" spans="1:14" ht="15" thickBot="1" x14ac:dyDescent="0.35">
      <c r="A437" s="48">
        <v>436</v>
      </c>
      <c r="B437" s="49">
        <f>_xlfn.XLOOKUP(Table3[[#This Row],[instant]],DatSet1!A437:A1046,DatSet1!B437:B1046,_xlfn.XLOOKUP(Table3[[#This Row],[instant]],'Final Data'!A437:A826,'Final Data'!B437:B826, ,0,1),0,1)</f>
        <v>40563</v>
      </c>
      <c r="C437" s="48">
        <f>_xlfn.XLOOKUP(Table3[[#This Row],[instant]],Table1[instant],Table1[hr], ,0,1)</f>
        <v>4</v>
      </c>
      <c r="D437" s="50" t="b">
        <f>_xlfn.XLOOKUP(Table3[[#This Row],[instant]],Table1[instant],Table1[holiday], ,0,1)</f>
        <v>0</v>
      </c>
      <c r="E437" s="2">
        <f>_xlfn.XLOOKUP(Table3[[#This Row],[instant]],Table1[instant],Table1[weekday], ,0,1)</f>
        <v>4</v>
      </c>
      <c r="F437" s="2">
        <f>_xlfn.XLOOKUP(Table3[[#This Row],[instant]],Table1[instant],Table1[weathersit], ,0,1)</f>
        <v>1</v>
      </c>
      <c r="G437" s="2">
        <f>_xlfn.XLOOKUP(Table3[[#This Row],[instant]],Table1[instant],Table1[temp], ,0,1)</f>
        <v>0.26</v>
      </c>
      <c r="H437" s="24">
        <f>_xlfn.XLOOKUP(Table3[[#This Row],[instant]],Table2[instant],Table2[atemp], ,0,1)</f>
        <v>0.2576</v>
      </c>
      <c r="I437" s="1">
        <f>_xlfn.XLOOKUP(Table3[[#This Row],[instant]],Table2[instant],Table2[hum], ,0,1)</f>
        <v>0.56000000000000005</v>
      </c>
      <c r="J437" s="1">
        <f>_xlfn.XLOOKUP(Table3[[#This Row],[instant]],Table2[instant],Table2[windspeed], ,0,1)</f>
        <v>0.16420000000000001</v>
      </c>
      <c r="K437" s="1">
        <f>_xlfn.XLOOKUP(Table3[[#This Row],[instant]],Table2[instant],Table2[casual], ,0,1)</f>
        <v>0</v>
      </c>
      <c r="L437" s="1">
        <f>_xlfn.XLOOKUP(Table3[[#This Row],[instant]],Table2[instant],Table2[registered], ,0,1)</f>
        <v>1</v>
      </c>
      <c r="M437" s="6">
        <f>_xlfn.XLOOKUP(Table3[[#This Row],[instant]],Table2[instant],Table2[cnt], ,0,1)</f>
        <v>1</v>
      </c>
      <c r="N437" s="1" t="str">
        <f>IF(OR(Table3[[#This Row],[weekday]]=0,Table3[[#This Row],[weekday]]=6),"Weekend","Weekday")</f>
        <v>Weekday</v>
      </c>
    </row>
    <row r="438" spans="1:14" ht="15" thickBot="1" x14ac:dyDescent="0.35">
      <c r="A438" s="51">
        <v>437</v>
      </c>
      <c r="B438" s="52">
        <f>_xlfn.XLOOKUP(Table3[[#This Row],[instant]],DatSet1!A438:A1047,DatSet1!B438:B1047,_xlfn.XLOOKUP(Table3[[#This Row],[instant]],'Final Data'!A438:A827,'Final Data'!B438:B827, ,0,1),0,1)</f>
        <v>40563</v>
      </c>
      <c r="C438" s="51">
        <f>_xlfn.XLOOKUP(Table3[[#This Row],[instant]],Table1[instant],Table1[hr], ,0,1)</f>
        <v>5</v>
      </c>
      <c r="D438" s="53" t="b">
        <f>_xlfn.XLOOKUP(Table3[[#This Row],[instant]],Table1[instant],Table1[holiday], ,0,1)</f>
        <v>0</v>
      </c>
      <c r="E438" s="44">
        <f>_xlfn.XLOOKUP(Table3[[#This Row],[instant]],Table1[instant],Table1[weekday], ,0,1)</f>
        <v>4</v>
      </c>
      <c r="F438" s="44">
        <f>_xlfn.XLOOKUP(Table3[[#This Row],[instant]],Table1[instant],Table1[weathersit], ,0,1)</f>
        <v>1</v>
      </c>
      <c r="G438" s="44">
        <f>_xlfn.XLOOKUP(Table3[[#This Row],[instant]],Table1[instant],Table1[temp], ,0,1)</f>
        <v>0.24</v>
      </c>
      <c r="H438" s="45">
        <f>_xlfn.XLOOKUP(Table3[[#This Row],[instant]],Table2[instant],Table2[atemp], ,0,1)</f>
        <v>0.2273</v>
      </c>
      <c r="I438" s="42">
        <f>_xlfn.XLOOKUP(Table3[[#This Row],[instant]],Table2[instant],Table2[hum], ,0,1)</f>
        <v>0.6</v>
      </c>
      <c r="J438" s="42">
        <f>_xlfn.XLOOKUP(Table3[[#This Row],[instant]],Table2[instant],Table2[windspeed], ,0,1)</f>
        <v>0.22389999999999999</v>
      </c>
      <c r="K438" s="42">
        <f>_xlfn.XLOOKUP(Table3[[#This Row],[instant]],Table2[instant],Table2[casual], ,0,1)</f>
        <v>0</v>
      </c>
      <c r="L438" s="42">
        <f>_xlfn.XLOOKUP(Table3[[#This Row],[instant]],Table2[instant],Table2[registered], ,0,1)</f>
        <v>6</v>
      </c>
      <c r="M438" s="46">
        <f>_xlfn.XLOOKUP(Table3[[#This Row],[instant]],Table2[instant],Table2[cnt], ,0,1)</f>
        <v>6</v>
      </c>
      <c r="N438" s="42" t="str">
        <f>IF(OR(Table3[[#This Row],[weekday]]=0,Table3[[#This Row],[weekday]]=6),"Weekend","Weekday")</f>
        <v>Weekday</v>
      </c>
    </row>
    <row r="439" spans="1:14" ht="15" thickBot="1" x14ac:dyDescent="0.35">
      <c r="A439" s="48">
        <v>438</v>
      </c>
      <c r="B439" s="49">
        <f>_xlfn.XLOOKUP(Table3[[#This Row],[instant]],DatSet1!A439:A1048,DatSet1!B439:B1048,_xlfn.XLOOKUP(Table3[[#This Row],[instant]],'Final Data'!A439:A828,'Final Data'!B439:B828, ,0,1),0,1)</f>
        <v>40563</v>
      </c>
      <c r="C439" s="48">
        <f>_xlfn.XLOOKUP(Table3[[#This Row],[instant]],Table1[instant],Table1[hr], ,0,1)</f>
        <v>6</v>
      </c>
      <c r="D439" s="50" t="b">
        <f>_xlfn.XLOOKUP(Table3[[#This Row],[instant]],Table1[instant],Table1[holiday], ,0,1)</f>
        <v>0</v>
      </c>
      <c r="E439" s="2">
        <f>_xlfn.XLOOKUP(Table3[[#This Row],[instant]],Table1[instant],Table1[weekday], ,0,1)</f>
        <v>4</v>
      </c>
      <c r="F439" s="2">
        <f>_xlfn.XLOOKUP(Table3[[#This Row],[instant]],Table1[instant],Table1[weathersit], ,0,1)</f>
        <v>1</v>
      </c>
      <c r="G439" s="2">
        <f>_xlfn.XLOOKUP(Table3[[#This Row],[instant]],Table1[instant],Table1[temp], ,0,1)</f>
        <v>0.22</v>
      </c>
      <c r="H439" s="24">
        <f>_xlfn.XLOOKUP(Table3[[#This Row],[instant]],Table2[instant],Table2[atemp], ,0,1)</f>
        <v>0.21210000000000001</v>
      </c>
      <c r="I439" s="1">
        <f>_xlfn.XLOOKUP(Table3[[#This Row],[instant]],Table2[instant],Table2[hum], ,0,1)</f>
        <v>0.6</v>
      </c>
      <c r="J439" s="1">
        <f>_xlfn.XLOOKUP(Table3[[#This Row],[instant]],Table2[instant],Table2[windspeed], ,0,1)</f>
        <v>0.22389999999999999</v>
      </c>
      <c r="K439" s="1">
        <f>_xlfn.XLOOKUP(Table3[[#This Row],[instant]],Table2[instant],Table2[casual], ,0,1)</f>
        <v>0</v>
      </c>
      <c r="L439" s="1">
        <f>_xlfn.XLOOKUP(Table3[[#This Row],[instant]],Table2[instant],Table2[registered], ,0,1)</f>
        <v>35</v>
      </c>
      <c r="M439" s="6">
        <f>_xlfn.XLOOKUP(Table3[[#This Row],[instant]],Table2[instant],Table2[cnt], ,0,1)</f>
        <v>35</v>
      </c>
      <c r="N439" s="1" t="str">
        <f>IF(OR(Table3[[#This Row],[weekday]]=0,Table3[[#This Row],[weekday]]=6),"Weekend","Weekday")</f>
        <v>Weekday</v>
      </c>
    </row>
    <row r="440" spans="1:14" ht="15" thickBot="1" x14ac:dyDescent="0.35">
      <c r="A440" s="51">
        <v>439</v>
      </c>
      <c r="B440" s="52">
        <f>_xlfn.XLOOKUP(Table3[[#This Row],[instant]],DatSet1!A440:A1049,DatSet1!B440:B1049,_xlfn.XLOOKUP(Table3[[#This Row],[instant]],'Final Data'!A440:A829,'Final Data'!B440:B829, ,0,1),0,1)</f>
        <v>40563</v>
      </c>
      <c r="C440" s="51">
        <f>_xlfn.XLOOKUP(Table3[[#This Row],[instant]],Table1[instant],Table1[hr], ,0,1)</f>
        <v>7</v>
      </c>
      <c r="D440" s="53" t="b">
        <f>_xlfn.XLOOKUP(Table3[[#This Row],[instant]],Table1[instant],Table1[holiday], ,0,1)</f>
        <v>0</v>
      </c>
      <c r="E440" s="44">
        <f>_xlfn.XLOOKUP(Table3[[#This Row],[instant]],Table1[instant],Table1[weekday], ,0,1)</f>
        <v>4</v>
      </c>
      <c r="F440" s="44">
        <f>_xlfn.XLOOKUP(Table3[[#This Row],[instant]],Table1[instant],Table1[weathersit], ,0,1)</f>
        <v>1</v>
      </c>
      <c r="G440" s="44">
        <f>_xlfn.XLOOKUP(Table3[[#This Row],[instant]],Table1[instant],Table1[temp], ,0,1)</f>
        <v>0.22</v>
      </c>
      <c r="H440" s="45">
        <f>_xlfn.XLOOKUP(Table3[[#This Row],[instant]],Table2[instant],Table2[atemp], ,0,1)</f>
        <v>0.21210000000000001</v>
      </c>
      <c r="I440" s="42">
        <f>_xlfn.XLOOKUP(Table3[[#This Row],[instant]],Table2[instant],Table2[hum], ,0,1)</f>
        <v>0.55000000000000004</v>
      </c>
      <c r="J440" s="42">
        <f>_xlfn.XLOOKUP(Table3[[#This Row],[instant]],Table2[instant],Table2[windspeed], ,0,1)</f>
        <v>0.22389999999999999</v>
      </c>
      <c r="K440" s="42">
        <f>_xlfn.XLOOKUP(Table3[[#This Row],[instant]],Table2[instant],Table2[casual], ,0,1)</f>
        <v>1</v>
      </c>
      <c r="L440" s="42">
        <f>_xlfn.XLOOKUP(Table3[[#This Row],[instant]],Table2[instant],Table2[registered], ,0,1)</f>
        <v>100</v>
      </c>
      <c r="M440" s="46">
        <f>_xlfn.XLOOKUP(Table3[[#This Row],[instant]],Table2[instant],Table2[cnt], ,0,1)</f>
        <v>101</v>
      </c>
      <c r="N440" s="42" t="str">
        <f>IF(OR(Table3[[#This Row],[weekday]]=0,Table3[[#This Row],[weekday]]=6),"Weekend","Weekday")</f>
        <v>Weekday</v>
      </c>
    </row>
    <row r="441" spans="1:14" ht="15" thickBot="1" x14ac:dyDescent="0.35">
      <c r="A441" s="48">
        <v>440</v>
      </c>
      <c r="B441" s="49">
        <f>_xlfn.XLOOKUP(Table3[[#This Row],[instant]],DatSet1!A441:A1050,DatSet1!B441:B1050,_xlfn.XLOOKUP(Table3[[#This Row],[instant]],'Final Data'!A441:A830,'Final Data'!B441:B830, ,0,1),0,1)</f>
        <v>40563</v>
      </c>
      <c r="C441" s="48">
        <f>_xlfn.XLOOKUP(Table3[[#This Row],[instant]],Table1[instant],Table1[hr], ,0,1)</f>
        <v>8</v>
      </c>
      <c r="D441" s="50" t="b">
        <f>_xlfn.XLOOKUP(Table3[[#This Row],[instant]],Table1[instant],Table1[holiday], ,0,1)</f>
        <v>0</v>
      </c>
      <c r="E441" s="2">
        <f>_xlfn.XLOOKUP(Table3[[#This Row],[instant]],Table1[instant],Table1[weekday], ,0,1)</f>
        <v>4</v>
      </c>
      <c r="F441" s="2">
        <f>_xlfn.XLOOKUP(Table3[[#This Row],[instant]],Table1[instant],Table1[weathersit], ,0,1)</f>
        <v>1</v>
      </c>
      <c r="G441" s="2">
        <f>_xlfn.XLOOKUP(Table3[[#This Row],[instant]],Table1[instant],Table1[temp], ,0,1)</f>
        <v>0.22</v>
      </c>
      <c r="H441" s="24">
        <f>_xlfn.XLOOKUP(Table3[[#This Row],[instant]],Table2[instant],Table2[atemp], ,0,1)</f>
        <v>0.21210000000000001</v>
      </c>
      <c r="I441" s="1">
        <f>_xlfn.XLOOKUP(Table3[[#This Row],[instant]],Table2[instant],Table2[hum], ,0,1)</f>
        <v>0.55000000000000004</v>
      </c>
      <c r="J441" s="1">
        <f>_xlfn.XLOOKUP(Table3[[#This Row],[instant]],Table2[instant],Table2[windspeed], ,0,1)</f>
        <v>0.28360000000000002</v>
      </c>
      <c r="K441" s="1">
        <f>_xlfn.XLOOKUP(Table3[[#This Row],[instant]],Table2[instant],Table2[casual], ,0,1)</f>
        <v>2</v>
      </c>
      <c r="L441" s="1">
        <f>_xlfn.XLOOKUP(Table3[[#This Row],[instant]],Table2[instant],Table2[registered], ,0,1)</f>
        <v>247</v>
      </c>
      <c r="M441" s="6">
        <f>_xlfn.XLOOKUP(Table3[[#This Row],[instant]],Table2[instant],Table2[cnt], ,0,1)</f>
        <v>249</v>
      </c>
      <c r="N441" s="1" t="str">
        <f>IF(OR(Table3[[#This Row],[weekday]]=0,Table3[[#This Row],[weekday]]=6),"Weekend","Weekday")</f>
        <v>Weekday</v>
      </c>
    </row>
    <row r="442" spans="1:14" ht="15" thickBot="1" x14ac:dyDescent="0.35">
      <c r="A442" s="51">
        <v>441</v>
      </c>
      <c r="B442" s="52">
        <f>_xlfn.XLOOKUP(Table3[[#This Row],[instant]],DatSet1!A442:A1051,DatSet1!B442:B1051,_xlfn.XLOOKUP(Table3[[#This Row],[instant]],'Final Data'!A442:A831,'Final Data'!B442:B831, ,0,1),0,1)</f>
        <v>40563</v>
      </c>
      <c r="C442" s="51">
        <f>_xlfn.XLOOKUP(Table3[[#This Row],[instant]],Table1[instant],Table1[hr], ,0,1)</f>
        <v>9</v>
      </c>
      <c r="D442" s="53" t="b">
        <f>_xlfn.XLOOKUP(Table3[[#This Row],[instant]],Table1[instant],Table1[holiday], ,0,1)</f>
        <v>0</v>
      </c>
      <c r="E442" s="44">
        <f>_xlfn.XLOOKUP(Table3[[#This Row],[instant]],Table1[instant],Table1[weekday], ,0,1)</f>
        <v>4</v>
      </c>
      <c r="F442" s="44">
        <f>_xlfn.XLOOKUP(Table3[[#This Row],[instant]],Table1[instant],Table1[weathersit], ,0,1)</f>
        <v>2</v>
      </c>
      <c r="G442" s="44">
        <f>_xlfn.XLOOKUP(Table3[[#This Row],[instant]],Table1[instant],Table1[temp], ,0,1)</f>
        <v>0.24</v>
      </c>
      <c r="H442" s="45">
        <f>_xlfn.XLOOKUP(Table3[[#This Row],[instant]],Table2[instant],Table2[atemp], ,0,1)</f>
        <v>0.2273</v>
      </c>
      <c r="I442" s="42">
        <f>_xlfn.XLOOKUP(Table3[[#This Row],[instant]],Table2[instant],Table2[hum], ,0,1)</f>
        <v>0.52</v>
      </c>
      <c r="J442" s="42">
        <f>_xlfn.XLOOKUP(Table3[[#This Row],[instant]],Table2[instant],Table2[windspeed], ,0,1)</f>
        <v>0.22389999999999999</v>
      </c>
      <c r="K442" s="42">
        <f>_xlfn.XLOOKUP(Table3[[#This Row],[instant]],Table2[instant],Table2[casual], ,0,1)</f>
        <v>3</v>
      </c>
      <c r="L442" s="42">
        <f>_xlfn.XLOOKUP(Table3[[#This Row],[instant]],Table2[instant],Table2[registered], ,0,1)</f>
        <v>140</v>
      </c>
      <c r="M442" s="46">
        <f>_xlfn.XLOOKUP(Table3[[#This Row],[instant]],Table2[instant],Table2[cnt], ,0,1)</f>
        <v>143</v>
      </c>
      <c r="N442" s="42" t="str">
        <f>IF(OR(Table3[[#This Row],[weekday]]=0,Table3[[#This Row],[weekday]]=6),"Weekend","Weekday")</f>
        <v>Weekday</v>
      </c>
    </row>
    <row r="443" spans="1:14" ht="15" thickBot="1" x14ac:dyDescent="0.35">
      <c r="A443" s="48">
        <v>442</v>
      </c>
      <c r="B443" s="49">
        <f>_xlfn.XLOOKUP(Table3[[#This Row],[instant]],DatSet1!A443:A1052,DatSet1!B443:B1052,_xlfn.XLOOKUP(Table3[[#This Row],[instant]],'Final Data'!A443:A832,'Final Data'!B443:B832, ,0,1),0,1)</f>
        <v>40563</v>
      </c>
      <c r="C443" s="48">
        <f>_xlfn.XLOOKUP(Table3[[#This Row],[instant]],Table1[instant],Table1[hr], ,0,1)</f>
        <v>10</v>
      </c>
      <c r="D443" s="50" t="b">
        <f>_xlfn.XLOOKUP(Table3[[#This Row],[instant]],Table1[instant],Table1[holiday], ,0,1)</f>
        <v>0</v>
      </c>
      <c r="E443" s="2">
        <f>_xlfn.XLOOKUP(Table3[[#This Row],[instant]],Table1[instant],Table1[weekday], ,0,1)</f>
        <v>4</v>
      </c>
      <c r="F443" s="2">
        <f>_xlfn.XLOOKUP(Table3[[#This Row],[instant]],Table1[instant],Table1[weathersit], ,0,1)</f>
        <v>1</v>
      </c>
      <c r="G443" s="2">
        <f>_xlfn.XLOOKUP(Table3[[#This Row],[instant]],Table1[instant],Table1[temp], ,0,1)</f>
        <v>0.26</v>
      </c>
      <c r="H443" s="24">
        <f>_xlfn.XLOOKUP(Table3[[#This Row],[instant]],Table2[instant],Table2[atemp], ,0,1)</f>
        <v>0.2273</v>
      </c>
      <c r="I443" s="1">
        <f>_xlfn.XLOOKUP(Table3[[#This Row],[instant]],Table2[instant],Table2[hum], ,0,1)</f>
        <v>0.48</v>
      </c>
      <c r="J443" s="1">
        <f>_xlfn.XLOOKUP(Table3[[#This Row],[instant]],Table2[instant],Table2[windspeed], ,0,1)</f>
        <v>0.29849999999999999</v>
      </c>
      <c r="K443" s="1">
        <f>_xlfn.XLOOKUP(Table3[[#This Row],[instant]],Table2[instant],Table2[casual], ,0,1)</f>
        <v>1</v>
      </c>
      <c r="L443" s="1">
        <f>_xlfn.XLOOKUP(Table3[[#This Row],[instant]],Table2[instant],Table2[registered], ,0,1)</f>
        <v>56</v>
      </c>
      <c r="M443" s="6">
        <f>_xlfn.XLOOKUP(Table3[[#This Row],[instant]],Table2[instant],Table2[cnt], ,0,1)</f>
        <v>57</v>
      </c>
      <c r="N443" s="1" t="str">
        <f>IF(OR(Table3[[#This Row],[weekday]]=0,Table3[[#This Row],[weekday]]=6),"Weekend","Weekday")</f>
        <v>Weekday</v>
      </c>
    </row>
    <row r="444" spans="1:14" ht="15" thickBot="1" x14ac:dyDescent="0.35">
      <c r="A444" s="51">
        <v>443</v>
      </c>
      <c r="B444" s="52">
        <f>_xlfn.XLOOKUP(Table3[[#This Row],[instant]],DatSet1!A444:A1053,DatSet1!B444:B1053,_xlfn.XLOOKUP(Table3[[#This Row],[instant]],'Final Data'!A444:A833,'Final Data'!B444:B833, ,0,1),0,1)</f>
        <v>40563</v>
      </c>
      <c r="C444" s="51">
        <f>_xlfn.XLOOKUP(Table3[[#This Row],[instant]],Table1[instant],Table1[hr], ,0,1)</f>
        <v>11</v>
      </c>
      <c r="D444" s="53" t="b">
        <f>_xlfn.XLOOKUP(Table3[[#This Row],[instant]],Table1[instant],Table1[holiday], ,0,1)</f>
        <v>0</v>
      </c>
      <c r="E444" s="44">
        <f>_xlfn.XLOOKUP(Table3[[#This Row],[instant]],Table1[instant],Table1[weekday], ,0,1)</f>
        <v>4</v>
      </c>
      <c r="F444" s="44">
        <f>_xlfn.XLOOKUP(Table3[[#This Row],[instant]],Table1[instant],Table1[weathersit], ,0,1)</f>
        <v>2</v>
      </c>
      <c r="G444" s="44">
        <f>_xlfn.XLOOKUP(Table3[[#This Row],[instant]],Table1[instant],Table1[temp], ,0,1)</f>
        <v>0.28000000000000003</v>
      </c>
      <c r="H444" s="45">
        <f>_xlfn.XLOOKUP(Table3[[#This Row],[instant]],Table2[instant],Table2[atemp], ,0,1)</f>
        <v>0.2727</v>
      </c>
      <c r="I444" s="42">
        <f>_xlfn.XLOOKUP(Table3[[#This Row],[instant]],Table2[instant],Table2[hum], ,0,1)</f>
        <v>0.45</v>
      </c>
      <c r="J444" s="42">
        <f>_xlfn.XLOOKUP(Table3[[#This Row],[instant]],Table2[instant],Table2[windspeed], ,0,1)</f>
        <v>0.16420000000000001</v>
      </c>
      <c r="K444" s="42">
        <f>_xlfn.XLOOKUP(Table3[[#This Row],[instant]],Table2[instant],Table2[casual], ,0,1)</f>
        <v>5</v>
      </c>
      <c r="L444" s="42">
        <f>_xlfn.XLOOKUP(Table3[[#This Row],[instant]],Table2[instant],Table2[registered], ,0,1)</f>
        <v>63</v>
      </c>
      <c r="M444" s="46">
        <f>_xlfn.XLOOKUP(Table3[[#This Row],[instant]],Table2[instant],Table2[cnt], ,0,1)</f>
        <v>68</v>
      </c>
      <c r="N444" s="42" t="str">
        <f>IF(OR(Table3[[#This Row],[weekday]]=0,Table3[[#This Row],[weekday]]=6),"Weekend","Weekday")</f>
        <v>Weekday</v>
      </c>
    </row>
    <row r="445" spans="1:14" ht="15" thickBot="1" x14ac:dyDescent="0.35">
      <c r="A445" s="48">
        <v>444</v>
      </c>
      <c r="B445" s="49">
        <f>_xlfn.XLOOKUP(Table3[[#This Row],[instant]],DatSet1!A445:A1054,DatSet1!B445:B1054,_xlfn.XLOOKUP(Table3[[#This Row],[instant]],'Final Data'!A445:A834,'Final Data'!B445:B834, ,0,1),0,1)</f>
        <v>40563</v>
      </c>
      <c r="C445" s="48">
        <f>_xlfn.XLOOKUP(Table3[[#This Row],[instant]],Table1[instant],Table1[hr], ,0,1)</f>
        <v>12</v>
      </c>
      <c r="D445" s="50" t="b">
        <f>_xlfn.XLOOKUP(Table3[[#This Row],[instant]],Table1[instant],Table1[holiday], ,0,1)</f>
        <v>0</v>
      </c>
      <c r="E445" s="2">
        <f>_xlfn.XLOOKUP(Table3[[#This Row],[instant]],Table1[instant],Table1[weekday], ,0,1)</f>
        <v>4</v>
      </c>
      <c r="F445" s="2">
        <f>_xlfn.XLOOKUP(Table3[[#This Row],[instant]],Table1[instant],Table1[weathersit], ,0,1)</f>
        <v>2</v>
      </c>
      <c r="G445" s="2">
        <f>_xlfn.XLOOKUP(Table3[[#This Row],[instant]],Table1[instant],Table1[temp], ,0,1)</f>
        <v>0.3</v>
      </c>
      <c r="H445" s="24">
        <f>_xlfn.XLOOKUP(Table3[[#This Row],[instant]],Table2[instant],Table2[atemp], ,0,1)</f>
        <v>0.33329999999999999</v>
      </c>
      <c r="I445" s="1">
        <f>_xlfn.XLOOKUP(Table3[[#This Row],[instant]],Table2[instant],Table2[hum], ,0,1)</f>
        <v>0.42</v>
      </c>
      <c r="J445" s="1">
        <f>_xlfn.XLOOKUP(Table3[[#This Row],[instant]],Table2[instant],Table2[windspeed], ,0,1)</f>
        <v>0</v>
      </c>
      <c r="K445" s="1">
        <f>_xlfn.XLOOKUP(Table3[[#This Row],[instant]],Table2[instant],Table2[casual], ,0,1)</f>
        <v>7</v>
      </c>
      <c r="L445" s="1">
        <f>_xlfn.XLOOKUP(Table3[[#This Row],[instant]],Table2[instant],Table2[registered], ,0,1)</f>
        <v>77</v>
      </c>
      <c r="M445" s="6">
        <f>_xlfn.XLOOKUP(Table3[[#This Row],[instant]],Table2[instant],Table2[cnt], ,0,1)</f>
        <v>84</v>
      </c>
      <c r="N445" s="1" t="str">
        <f>IF(OR(Table3[[#This Row],[weekday]]=0,Table3[[#This Row],[weekday]]=6),"Weekend","Weekday")</f>
        <v>Weekday</v>
      </c>
    </row>
    <row r="446" spans="1:14" ht="15" thickBot="1" x14ac:dyDescent="0.35">
      <c r="A446" s="51">
        <v>445</v>
      </c>
      <c r="B446" s="52">
        <f>_xlfn.XLOOKUP(Table3[[#This Row],[instant]],DatSet1!A446:A1055,DatSet1!B446:B1055,_xlfn.XLOOKUP(Table3[[#This Row],[instant]],'Final Data'!A446:A835,'Final Data'!B446:B835, ,0,1),0,1)</f>
        <v>40563</v>
      </c>
      <c r="C446" s="51">
        <f>_xlfn.XLOOKUP(Table3[[#This Row],[instant]],Table1[instant],Table1[hr], ,0,1)</f>
        <v>13</v>
      </c>
      <c r="D446" s="53" t="b">
        <f>_xlfn.XLOOKUP(Table3[[#This Row],[instant]],Table1[instant],Table1[holiday], ,0,1)</f>
        <v>0</v>
      </c>
      <c r="E446" s="44">
        <f>_xlfn.XLOOKUP(Table3[[#This Row],[instant]],Table1[instant],Table1[weekday], ,0,1)</f>
        <v>4</v>
      </c>
      <c r="F446" s="44">
        <f>_xlfn.XLOOKUP(Table3[[#This Row],[instant]],Table1[instant],Table1[weathersit], ,0,1)</f>
        <v>2</v>
      </c>
      <c r="G446" s="44">
        <f>_xlfn.XLOOKUP(Table3[[#This Row],[instant]],Table1[instant],Table1[temp], ,0,1)</f>
        <v>0.28000000000000003</v>
      </c>
      <c r="H446" s="45">
        <f>_xlfn.XLOOKUP(Table3[[#This Row],[instant]],Table2[instant],Table2[atemp], ,0,1)</f>
        <v>0.28789999999999999</v>
      </c>
      <c r="I446" s="42">
        <f>_xlfn.XLOOKUP(Table3[[#This Row],[instant]],Table2[instant],Table2[hum], ,0,1)</f>
        <v>0.45</v>
      </c>
      <c r="J446" s="42">
        <f>_xlfn.XLOOKUP(Table3[[#This Row],[instant]],Table2[instant],Table2[windspeed], ,0,1)</f>
        <v>0.1045</v>
      </c>
      <c r="K446" s="42">
        <f>_xlfn.XLOOKUP(Table3[[#This Row],[instant]],Table2[instant],Table2[casual], ,0,1)</f>
        <v>12</v>
      </c>
      <c r="L446" s="42">
        <f>_xlfn.XLOOKUP(Table3[[#This Row],[instant]],Table2[instant],Table2[registered], ,0,1)</f>
        <v>86</v>
      </c>
      <c r="M446" s="46">
        <f>_xlfn.XLOOKUP(Table3[[#This Row],[instant]],Table2[instant],Table2[cnt], ,0,1)</f>
        <v>98</v>
      </c>
      <c r="N446" s="42" t="str">
        <f>IF(OR(Table3[[#This Row],[weekday]]=0,Table3[[#This Row],[weekday]]=6),"Weekend","Weekday")</f>
        <v>Weekday</v>
      </c>
    </row>
    <row r="447" spans="1:14" ht="15" thickBot="1" x14ac:dyDescent="0.35">
      <c r="A447" s="48">
        <v>446</v>
      </c>
      <c r="B447" s="49">
        <f>_xlfn.XLOOKUP(Table3[[#This Row],[instant]],DatSet1!A447:A1056,DatSet1!B447:B1056,_xlfn.XLOOKUP(Table3[[#This Row],[instant]],'Final Data'!A447:A836,'Final Data'!B447:B836, ,0,1),0,1)</f>
        <v>40563</v>
      </c>
      <c r="C447" s="48">
        <f>_xlfn.XLOOKUP(Table3[[#This Row],[instant]],Table1[instant],Table1[hr], ,0,1)</f>
        <v>14</v>
      </c>
      <c r="D447" s="50" t="b">
        <f>_xlfn.XLOOKUP(Table3[[#This Row],[instant]],Table1[instant],Table1[holiday], ,0,1)</f>
        <v>0</v>
      </c>
      <c r="E447" s="2">
        <f>_xlfn.XLOOKUP(Table3[[#This Row],[instant]],Table1[instant],Table1[weekday], ,0,1)</f>
        <v>4</v>
      </c>
      <c r="F447" s="2">
        <f>_xlfn.XLOOKUP(Table3[[#This Row],[instant]],Table1[instant],Table1[weathersit], ,0,1)</f>
        <v>2</v>
      </c>
      <c r="G447" s="2">
        <f>_xlfn.XLOOKUP(Table3[[#This Row],[instant]],Table1[instant],Table1[temp], ,0,1)</f>
        <v>0.3</v>
      </c>
      <c r="H447" s="24">
        <f>_xlfn.XLOOKUP(Table3[[#This Row],[instant]],Table2[instant],Table2[atemp], ,0,1)</f>
        <v>0.30299999999999999</v>
      </c>
      <c r="I447" s="1">
        <f>_xlfn.XLOOKUP(Table3[[#This Row],[instant]],Table2[instant],Table2[hum], ,0,1)</f>
        <v>0.45</v>
      </c>
      <c r="J447" s="1">
        <f>_xlfn.XLOOKUP(Table3[[#This Row],[instant]],Table2[instant],Table2[windspeed], ,0,1)</f>
        <v>0.1343</v>
      </c>
      <c r="K447" s="1">
        <f>_xlfn.XLOOKUP(Table3[[#This Row],[instant]],Table2[instant],Table2[casual], ,0,1)</f>
        <v>6</v>
      </c>
      <c r="L447" s="1">
        <f>_xlfn.XLOOKUP(Table3[[#This Row],[instant]],Table2[instant],Table2[registered], ,0,1)</f>
        <v>75</v>
      </c>
      <c r="M447" s="6">
        <f>_xlfn.XLOOKUP(Table3[[#This Row],[instant]],Table2[instant],Table2[cnt], ,0,1)</f>
        <v>81</v>
      </c>
      <c r="N447" s="1" t="str">
        <f>IF(OR(Table3[[#This Row],[weekday]]=0,Table3[[#This Row],[weekday]]=6),"Weekend","Weekday")</f>
        <v>Weekday</v>
      </c>
    </row>
    <row r="448" spans="1:14" ht="15" thickBot="1" x14ac:dyDescent="0.35">
      <c r="A448" s="51">
        <v>447</v>
      </c>
      <c r="B448" s="52">
        <f>_xlfn.XLOOKUP(Table3[[#This Row],[instant]],DatSet1!A448:A1057,DatSet1!B448:B1057,_xlfn.XLOOKUP(Table3[[#This Row],[instant]],'Final Data'!A448:A837,'Final Data'!B448:B837, ,0,1),0,1)</f>
        <v>40563</v>
      </c>
      <c r="C448" s="51">
        <f>_xlfn.XLOOKUP(Table3[[#This Row],[instant]],Table1[instant],Table1[hr], ,0,1)</f>
        <v>15</v>
      </c>
      <c r="D448" s="53" t="b">
        <f>_xlfn.XLOOKUP(Table3[[#This Row],[instant]],Table1[instant],Table1[holiday], ,0,1)</f>
        <v>0</v>
      </c>
      <c r="E448" s="44">
        <f>_xlfn.XLOOKUP(Table3[[#This Row],[instant]],Table1[instant],Table1[weekday], ,0,1)</f>
        <v>4</v>
      </c>
      <c r="F448" s="44">
        <f>_xlfn.XLOOKUP(Table3[[#This Row],[instant]],Table1[instant],Table1[weathersit], ,0,1)</f>
        <v>2</v>
      </c>
      <c r="G448" s="44">
        <f>_xlfn.XLOOKUP(Table3[[#This Row],[instant]],Table1[instant],Table1[temp], ,0,1)</f>
        <v>0.32</v>
      </c>
      <c r="H448" s="45">
        <f>_xlfn.XLOOKUP(Table3[[#This Row],[instant]],Table2[instant],Table2[atemp], ,0,1)</f>
        <v>0.31819999999999998</v>
      </c>
      <c r="I448" s="42">
        <f>_xlfn.XLOOKUP(Table3[[#This Row],[instant]],Table2[instant],Table2[hum], ,0,1)</f>
        <v>0.45</v>
      </c>
      <c r="J448" s="42">
        <f>_xlfn.XLOOKUP(Table3[[#This Row],[instant]],Table2[instant],Table2[windspeed], ,0,1)</f>
        <v>0.19400000000000001</v>
      </c>
      <c r="K448" s="42">
        <f>_xlfn.XLOOKUP(Table3[[#This Row],[instant]],Table2[instant],Table2[casual], ,0,1)</f>
        <v>8</v>
      </c>
      <c r="L448" s="42">
        <f>_xlfn.XLOOKUP(Table3[[#This Row],[instant]],Table2[instant],Table2[registered], ,0,1)</f>
        <v>62</v>
      </c>
      <c r="M448" s="46">
        <f>_xlfn.XLOOKUP(Table3[[#This Row],[instant]],Table2[instant],Table2[cnt], ,0,1)</f>
        <v>70</v>
      </c>
      <c r="N448" s="42" t="str">
        <f>IF(OR(Table3[[#This Row],[weekday]]=0,Table3[[#This Row],[weekday]]=6),"Weekend","Weekday")</f>
        <v>Weekday</v>
      </c>
    </row>
    <row r="449" spans="1:14" ht="15" thickBot="1" x14ac:dyDescent="0.35">
      <c r="A449" s="48">
        <v>448</v>
      </c>
      <c r="B449" s="49">
        <f>_xlfn.XLOOKUP(Table3[[#This Row],[instant]],DatSet1!A449:A1058,DatSet1!B449:B1058,_xlfn.XLOOKUP(Table3[[#This Row],[instant]],'Final Data'!A449:A838,'Final Data'!B449:B838, ,0,1),0,1)</f>
        <v>40563</v>
      </c>
      <c r="C449" s="48">
        <f>_xlfn.XLOOKUP(Table3[[#This Row],[instant]],Table1[instant],Table1[hr], ,0,1)</f>
        <v>16</v>
      </c>
      <c r="D449" s="50" t="b">
        <f>_xlfn.XLOOKUP(Table3[[#This Row],[instant]],Table1[instant],Table1[holiday], ,0,1)</f>
        <v>0</v>
      </c>
      <c r="E449" s="2">
        <f>_xlfn.XLOOKUP(Table3[[#This Row],[instant]],Table1[instant],Table1[weekday], ,0,1)</f>
        <v>4</v>
      </c>
      <c r="F449" s="2">
        <f>_xlfn.XLOOKUP(Table3[[#This Row],[instant]],Table1[instant],Table1[weathersit], ,0,1)</f>
        <v>2</v>
      </c>
      <c r="G449" s="2">
        <f>_xlfn.XLOOKUP(Table3[[#This Row],[instant]],Table1[instant],Table1[temp], ,0,1)</f>
        <v>0.3</v>
      </c>
      <c r="H449" s="24">
        <f>_xlfn.XLOOKUP(Table3[[#This Row],[instant]],Table2[instant],Table2[atemp], ,0,1)</f>
        <v>0.30299999999999999</v>
      </c>
      <c r="I449" s="1">
        <f>_xlfn.XLOOKUP(Table3[[#This Row],[instant]],Table2[instant],Table2[hum], ,0,1)</f>
        <v>0.49</v>
      </c>
      <c r="J449" s="1">
        <f>_xlfn.XLOOKUP(Table3[[#This Row],[instant]],Table2[instant],Table2[windspeed], ,0,1)</f>
        <v>0.1343</v>
      </c>
      <c r="K449" s="1">
        <f>_xlfn.XLOOKUP(Table3[[#This Row],[instant]],Table2[instant],Table2[casual], ,0,1)</f>
        <v>8</v>
      </c>
      <c r="L449" s="1">
        <f>_xlfn.XLOOKUP(Table3[[#This Row],[instant]],Table2[instant],Table2[registered], ,0,1)</f>
        <v>83</v>
      </c>
      <c r="M449" s="6">
        <f>_xlfn.XLOOKUP(Table3[[#This Row],[instant]],Table2[instant],Table2[cnt], ,0,1)</f>
        <v>91</v>
      </c>
      <c r="N449" s="1" t="str">
        <f>IF(OR(Table3[[#This Row],[weekday]]=0,Table3[[#This Row],[weekday]]=6),"Weekend","Weekday")</f>
        <v>Weekday</v>
      </c>
    </row>
    <row r="450" spans="1:14" ht="15" thickBot="1" x14ac:dyDescent="0.35">
      <c r="A450" s="51">
        <v>449</v>
      </c>
      <c r="B450" s="52">
        <f>_xlfn.XLOOKUP(Table3[[#This Row],[instant]],DatSet1!A450:A1059,DatSet1!B450:B1059,_xlfn.XLOOKUP(Table3[[#This Row],[instant]],'Final Data'!A450:A839,'Final Data'!B450:B839, ,0,1),0,1)</f>
        <v>40563</v>
      </c>
      <c r="C450" s="51">
        <f>_xlfn.XLOOKUP(Table3[[#This Row],[instant]],Table1[instant],Table1[hr], ,0,1)</f>
        <v>17</v>
      </c>
      <c r="D450" s="53" t="b">
        <f>_xlfn.XLOOKUP(Table3[[#This Row],[instant]],Table1[instant],Table1[holiday], ,0,1)</f>
        <v>0</v>
      </c>
      <c r="E450" s="44">
        <f>_xlfn.XLOOKUP(Table3[[#This Row],[instant]],Table1[instant],Table1[weekday], ,0,1)</f>
        <v>4</v>
      </c>
      <c r="F450" s="44">
        <f>_xlfn.XLOOKUP(Table3[[#This Row],[instant]],Table1[instant],Table1[weathersit], ,0,1)</f>
        <v>2</v>
      </c>
      <c r="G450" s="44">
        <f>_xlfn.XLOOKUP(Table3[[#This Row],[instant]],Table1[instant],Table1[temp], ,0,1)</f>
        <v>0.3</v>
      </c>
      <c r="H450" s="45">
        <f>_xlfn.XLOOKUP(Table3[[#This Row],[instant]],Table2[instant],Table2[atemp], ,0,1)</f>
        <v>0.31819999999999998</v>
      </c>
      <c r="I450" s="42">
        <f>_xlfn.XLOOKUP(Table3[[#This Row],[instant]],Table2[instant],Table2[hum], ,0,1)</f>
        <v>0.49</v>
      </c>
      <c r="J450" s="42">
        <f>_xlfn.XLOOKUP(Table3[[#This Row],[instant]],Table2[instant],Table2[windspeed], ,0,1)</f>
        <v>0.1045</v>
      </c>
      <c r="K450" s="42">
        <f>_xlfn.XLOOKUP(Table3[[#This Row],[instant]],Table2[instant],Table2[casual], ,0,1)</f>
        <v>8</v>
      </c>
      <c r="L450" s="42">
        <f>_xlfn.XLOOKUP(Table3[[#This Row],[instant]],Table2[instant],Table2[registered], ,0,1)</f>
        <v>207</v>
      </c>
      <c r="M450" s="46">
        <f>_xlfn.XLOOKUP(Table3[[#This Row],[instant]],Table2[instant],Table2[cnt], ,0,1)</f>
        <v>215</v>
      </c>
      <c r="N450" s="42" t="str">
        <f>IF(OR(Table3[[#This Row],[weekday]]=0,Table3[[#This Row],[weekday]]=6),"Weekend","Weekday")</f>
        <v>Weekday</v>
      </c>
    </row>
    <row r="451" spans="1:14" ht="15" thickBot="1" x14ac:dyDescent="0.35">
      <c r="A451" s="48">
        <v>450</v>
      </c>
      <c r="B451" s="49">
        <f>_xlfn.XLOOKUP(Table3[[#This Row],[instant]],DatSet1!A451:A1060,DatSet1!B451:B1060,_xlfn.XLOOKUP(Table3[[#This Row],[instant]],'Final Data'!A451:A840,'Final Data'!B451:B840, ,0,1),0,1)</f>
        <v>40563</v>
      </c>
      <c r="C451" s="48">
        <f>_xlfn.XLOOKUP(Table3[[#This Row],[instant]],Table1[instant],Table1[hr], ,0,1)</f>
        <v>18</v>
      </c>
      <c r="D451" s="50" t="b">
        <f>_xlfn.XLOOKUP(Table3[[#This Row],[instant]],Table1[instant],Table1[holiday], ,0,1)</f>
        <v>0</v>
      </c>
      <c r="E451" s="2">
        <f>_xlfn.XLOOKUP(Table3[[#This Row],[instant]],Table1[instant],Table1[weekday], ,0,1)</f>
        <v>4</v>
      </c>
      <c r="F451" s="2">
        <f>_xlfn.XLOOKUP(Table3[[#This Row],[instant]],Table1[instant],Table1[weathersit], ,0,1)</f>
        <v>2</v>
      </c>
      <c r="G451" s="2">
        <f>_xlfn.XLOOKUP(Table3[[#This Row],[instant]],Table1[instant],Table1[temp], ,0,1)</f>
        <v>0.26</v>
      </c>
      <c r="H451" s="24">
        <f>_xlfn.XLOOKUP(Table3[[#This Row],[instant]],Table2[instant],Table2[atemp], ,0,1)</f>
        <v>0.2576</v>
      </c>
      <c r="I451" s="1">
        <f>_xlfn.XLOOKUP(Table3[[#This Row],[instant]],Table2[instant],Table2[hum], ,0,1)</f>
        <v>0.56000000000000005</v>
      </c>
      <c r="J451" s="1">
        <f>_xlfn.XLOOKUP(Table3[[#This Row],[instant]],Table2[instant],Table2[windspeed], ,0,1)</f>
        <v>0.19400000000000001</v>
      </c>
      <c r="K451" s="1">
        <f>_xlfn.XLOOKUP(Table3[[#This Row],[instant]],Table2[instant],Table2[casual], ,0,1)</f>
        <v>1</v>
      </c>
      <c r="L451" s="1">
        <f>_xlfn.XLOOKUP(Table3[[#This Row],[instant]],Table2[instant],Table2[registered], ,0,1)</f>
        <v>184</v>
      </c>
      <c r="M451" s="6">
        <f>_xlfn.XLOOKUP(Table3[[#This Row],[instant]],Table2[instant],Table2[cnt], ,0,1)</f>
        <v>185</v>
      </c>
      <c r="N451" s="1" t="str">
        <f>IF(OR(Table3[[#This Row],[weekday]]=0,Table3[[#This Row],[weekday]]=6),"Weekend","Weekday")</f>
        <v>Weekday</v>
      </c>
    </row>
    <row r="452" spans="1:14" ht="15" thickBot="1" x14ac:dyDescent="0.35">
      <c r="A452" s="51">
        <v>451</v>
      </c>
      <c r="B452" s="52">
        <f>_xlfn.XLOOKUP(Table3[[#This Row],[instant]],DatSet1!A452:A1061,DatSet1!B452:B1061,_xlfn.XLOOKUP(Table3[[#This Row],[instant]],'Final Data'!A452:A841,'Final Data'!B452:B841, ,0,1),0,1)</f>
        <v>40563</v>
      </c>
      <c r="C452" s="51">
        <f>_xlfn.XLOOKUP(Table3[[#This Row],[instant]],Table1[instant],Table1[hr], ,0,1)</f>
        <v>19</v>
      </c>
      <c r="D452" s="53" t="b">
        <f>_xlfn.XLOOKUP(Table3[[#This Row],[instant]],Table1[instant],Table1[holiday], ,0,1)</f>
        <v>0</v>
      </c>
      <c r="E452" s="44">
        <f>_xlfn.XLOOKUP(Table3[[#This Row],[instant]],Table1[instant],Table1[weekday], ,0,1)</f>
        <v>4</v>
      </c>
      <c r="F452" s="44">
        <f>_xlfn.XLOOKUP(Table3[[#This Row],[instant]],Table1[instant],Table1[weathersit], ,0,1)</f>
        <v>1</v>
      </c>
      <c r="G452" s="44">
        <f>_xlfn.XLOOKUP(Table3[[#This Row],[instant]],Table1[instant],Table1[temp], ,0,1)</f>
        <v>0.26</v>
      </c>
      <c r="H452" s="45">
        <f>_xlfn.XLOOKUP(Table3[[#This Row],[instant]],Table2[instant],Table2[atemp], ,0,1)</f>
        <v>0.2273</v>
      </c>
      <c r="I452" s="42">
        <f>_xlfn.XLOOKUP(Table3[[#This Row],[instant]],Table2[instant],Table2[hum], ,0,1)</f>
        <v>0.56000000000000005</v>
      </c>
      <c r="J452" s="42">
        <f>_xlfn.XLOOKUP(Table3[[#This Row],[instant]],Table2[instant],Table2[windspeed], ,0,1)</f>
        <v>0.32840000000000003</v>
      </c>
      <c r="K452" s="42">
        <f>_xlfn.XLOOKUP(Table3[[#This Row],[instant]],Table2[instant],Table2[casual], ,0,1)</f>
        <v>6</v>
      </c>
      <c r="L452" s="42">
        <f>_xlfn.XLOOKUP(Table3[[#This Row],[instant]],Table2[instant],Table2[registered], ,0,1)</f>
        <v>146</v>
      </c>
      <c r="M452" s="46">
        <f>_xlfn.XLOOKUP(Table3[[#This Row],[instant]],Table2[instant],Table2[cnt], ,0,1)</f>
        <v>152</v>
      </c>
      <c r="N452" s="42" t="str">
        <f>IF(OR(Table3[[#This Row],[weekday]]=0,Table3[[#This Row],[weekday]]=6),"Weekend","Weekday")</f>
        <v>Weekday</v>
      </c>
    </row>
    <row r="453" spans="1:14" ht="15" thickBot="1" x14ac:dyDescent="0.35">
      <c r="A453" s="48">
        <v>452</v>
      </c>
      <c r="B453" s="49">
        <f>_xlfn.XLOOKUP(Table3[[#This Row],[instant]],DatSet1!A453:A1062,DatSet1!B453:B1062,_xlfn.XLOOKUP(Table3[[#This Row],[instant]],'Final Data'!A453:A842,'Final Data'!B453:B842, ,0,1),0,1)</f>
        <v>40563</v>
      </c>
      <c r="C453" s="48">
        <f>_xlfn.XLOOKUP(Table3[[#This Row],[instant]],Table1[instant],Table1[hr], ,0,1)</f>
        <v>20</v>
      </c>
      <c r="D453" s="50" t="b">
        <f>_xlfn.XLOOKUP(Table3[[#This Row],[instant]],Table1[instant],Table1[holiday], ,0,1)</f>
        <v>0</v>
      </c>
      <c r="E453" s="2">
        <f>_xlfn.XLOOKUP(Table3[[#This Row],[instant]],Table1[instant],Table1[weekday], ,0,1)</f>
        <v>4</v>
      </c>
      <c r="F453" s="2">
        <f>_xlfn.XLOOKUP(Table3[[#This Row],[instant]],Table1[instant],Table1[weathersit], ,0,1)</f>
        <v>2</v>
      </c>
      <c r="G453" s="2">
        <f>_xlfn.XLOOKUP(Table3[[#This Row],[instant]],Table1[instant],Table1[temp], ,0,1)</f>
        <v>0.26</v>
      </c>
      <c r="H453" s="24">
        <f>_xlfn.XLOOKUP(Table3[[#This Row],[instant]],Table2[instant],Table2[atemp], ,0,1)</f>
        <v>0.2424</v>
      </c>
      <c r="I453" s="1">
        <f>_xlfn.XLOOKUP(Table3[[#This Row],[instant]],Table2[instant],Table2[hum], ,0,1)</f>
        <v>0.6</v>
      </c>
      <c r="J453" s="1">
        <f>_xlfn.XLOOKUP(Table3[[#This Row],[instant]],Table2[instant],Table2[windspeed], ,0,1)</f>
        <v>0.28360000000000002</v>
      </c>
      <c r="K453" s="1">
        <f>_xlfn.XLOOKUP(Table3[[#This Row],[instant]],Table2[instant],Table2[casual], ,0,1)</f>
        <v>2</v>
      </c>
      <c r="L453" s="1">
        <f>_xlfn.XLOOKUP(Table3[[#This Row],[instant]],Table2[instant],Table2[registered], ,0,1)</f>
        <v>124</v>
      </c>
      <c r="M453" s="6">
        <f>_xlfn.XLOOKUP(Table3[[#This Row],[instant]],Table2[instant],Table2[cnt], ,0,1)</f>
        <v>126</v>
      </c>
      <c r="N453" s="1" t="str">
        <f>IF(OR(Table3[[#This Row],[weekday]]=0,Table3[[#This Row],[weekday]]=6),"Weekend","Weekday")</f>
        <v>Weekday</v>
      </c>
    </row>
    <row r="454" spans="1:14" ht="15" thickBot="1" x14ac:dyDescent="0.35">
      <c r="A454" s="51">
        <v>453</v>
      </c>
      <c r="B454" s="52">
        <f>_xlfn.XLOOKUP(Table3[[#This Row],[instant]],DatSet1!A454:A1063,DatSet1!B454:B1063,_xlfn.XLOOKUP(Table3[[#This Row],[instant]],'Final Data'!A454:A843,'Final Data'!B454:B843, ,0,1),0,1)</f>
        <v>40563</v>
      </c>
      <c r="C454" s="51">
        <f>_xlfn.XLOOKUP(Table3[[#This Row],[instant]],Table1[instant],Table1[hr], ,0,1)</f>
        <v>21</v>
      </c>
      <c r="D454" s="53" t="b">
        <f>_xlfn.XLOOKUP(Table3[[#This Row],[instant]],Table1[instant],Table1[holiday], ,0,1)</f>
        <v>0</v>
      </c>
      <c r="E454" s="44">
        <f>_xlfn.XLOOKUP(Table3[[#This Row],[instant]],Table1[instant],Table1[weekday], ,0,1)</f>
        <v>4</v>
      </c>
      <c r="F454" s="44">
        <f>_xlfn.XLOOKUP(Table3[[#This Row],[instant]],Table1[instant],Table1[weathersit], ,0,1)</f>
        <v>2</v>
      </c>
      <c r="G454" s="44">
        <f>_xlfn.XLOOKUP(Table3[[#This Row],[instant]],Table1[instant],Table1[temp], ,0,1)</f>
        <v>0.24</v>
      </c>
      <c r="H454" s="45">
        <f>_xlfn.XLOOKUP(Table3[[#This Row],[instant]],Table2[instant],Table2[atemp], ,0,1)</f>
        <v>0.2273</v>
      </c>
      <c r="I454" s="42">
        <f>_xlfn.XLOOKUP(Table3[[#This Row],[instant]],Table2[instant],Table2[hum], ,0,1)</f>
        <v>0.6</v>
      </c>
      <c r="J454" s="42">
        <f>_xlfn.XLOOKUP(Table3[[#This Row],[instant]],Table2[instant],Table2[windspeed], ,0,1)</f>
        <v>0.25369999999999998</v>
      </c>
      <c r="K454" s="42">
        <f>_xlfn.XLOOKUP(Table3[[#This Row],[instant]],Table2[instant],Table2[casual], ,0,1)</f>
        <v>3</v>
      </c>
      <c r="L454" s="42">
        <f>_xlfn.XLOOKUP(Table3[[#This Row],[instant]],Table2[instant],Table2[registered], ,0,1)</f>
        <v>54</v>
      </c>
      <c r="M454" s="46">
        <f>_xlfn.XLOOKUP(Table3[[#This Row],[instant]],Table2[instant],Table2[cnt], ,0,1)</f>
        <v>57</v>
      </c>
      <c r="N454" s="42" t="str">
        <f>IF(OR(Table3[[#This Row],[weekday]]=0,Table3[[#This Row],[weekday]]=6),"Weekend","Weekday")</f>
        <v>Weekday</v>
      </c>
    </row>
    <row r="455" spans="1:14" ht="15" thickBot="1" x14ac:dyDescent="0.35">
      <c r="A455" s="48">
        <v>454</v>
      </c>
      <c r="B455" s="49">
        <f>_xlfn.XLOOKUP(Table3[[#This Row],[instant]],DatSet1!A455:A1064,DatSet1!B455:B1064,_xlfn.XLOOKUP(Table3[[#This Row],[instant]],'Final Data'!A455:A844,'Final Data'!B455:B844, ,0,1),0,1)</f>
        <v>40563</v>
      </c>
      <c r="C455" s="48">
        <f>_xlfn.XLOOKUP(Table3[[#This Row],[instant]],Table1[instant],Table1[hr], ,0,1)</f>
        <v>22</v>
      </c>
      <c r="D455" s="50" t="b">
        <f>_xlfn.XLOOKUP(Table3[[#This Row],[instant]],Table1[instant],Table1[holiday], ,0,1)</f>
        <v>0</v>
      </c>
      <c r="E455" s="2">
        <f>_xlfn.XLOOKUP(Table3[[#This Row],[instant]],Table1[instant],Table1[weekday], ,0,1)</f>
        <v>4</v>
      </c>
      <c r="F455" s="2">
        <f>_xlfn.XLOOKUP(Table3[[#This Row],[instant]],Table1[instant],Table1[weathersit], ,0,1)</f>
        <v>2</v>
      </c>
      <c r="G455" s="2">
        <f>_xlfn.XLOOKUP(Table3[[#This Row],[instant]],Table1[instant],Table1[temp], ,0,1)</f>
        <v>0.24</v>
      </c>
      <c r="H455" s="24">
        <f>_xlfn.XLOOKUP(Table3[[#This Row],[instant]],Table2[instant],Table2[atemp], ,0,1)</f>
        <v>0.21210000000000001</v>
      </c>
      <c r="I455" s="1">
        <f>_xlfn.XLOOKUP(Table3[[#This Row],[instant]],Table2[instant],Table2[hum], ,0,1)</f>
        <v>0.65</v>
      </c>
      <c r="J455" s="1">
        <f>_xlfn.XLOOKUP(Table3[[#This Row],[instant]],Table2[instant],Table2[windspeed], ,0,1)</f>
        <v>0.28360000000000002</v>
      </c>
      <c r="K455" s="1">
        <f>_xlfn.XLOOKUP(Table3[[#This Row],[instant]],Table2[instant],Table2[casual], ,0,1)</f>
        <v>0</v>
      </c>
      <c r="L455" s="1">
        <f>_xlfn.XLOOKUP(Table3[[#This Row],[instant]],Table2[instant],Table2[registered], ,0,1)</f>
        <v>56</v>
      </c>
      <c r="M455" s="6">
        <f>_xlfn.XLOOKUP(Table3[[#This Row],[instant]],Table2[instant],Table2[cnt], ,0,1)</f>
        <v>56</v>
      </c>
      <c r="N455" s="1" t="str">
        <f>IF(OR(Table3[[#This Row],[weekday]]=0,Table3[[#This Row],[weekday]]=6),"Weekend","Weekday")</f>
        <v>Weekday</v>
      </c>
    </row>
    <row r="456" spans="1:14" ht="15" thickBot="1" x14ac:dyDescent="0.35">
      <c r="A456" s="51">
        <v>455</v>
      </c>
      <c r="B456" s="52">
        <f>_xlfn.XLOOKUP(Table3[[#This Row],[instant]],DatSet1!A456:A1065,DatSet1!B456:B1065,_xlfn.XLOOKUP(Table3[[#This Row],[instant]],'Final Data'!A456:A845,'Final Data'!B456:B845, ,0,1),0,1)</f>
        <v>40563</v>
      </c>
      <c r="C456" s="51">
        <f>_xlfn.XLOOKUP(Table3[[#This Row],[instant]],Table1[instant],Table1[hr], ,0,1)</f>
        <v>23</v>
      </c>
      <c r="D456" s="53" t="b">
        <f>_xlfn.XLOOKUP(Table3[[#This Row],[instant]],Table1[instant],Table1[holiday], ,0,1)</f>
        <v>0</v>
      </c>
      <c r="E456" s="44">
        <f>_xlfn.XLOOKUP(Table3[[#This Row],[instant]],Table1[instant],Table1[weekday], ,0,1)</f>
        <v>4</v>
      </c>
      <c r="F456" s="44">
        <f>_xlfn.XLOOKUP(Table3[[#This Row],[instant]],Table1[instant],Table1[weathersit], ,0,1)</f>
        <v>2</v>
      </c>
      <c r="G456" s="44">
        <f>_xlfn.XLOOKUP(Table3[[#This Row],[instant]],Table1[instant],Table1[temp], ,0,1)</f>
        <v>0.24</v>
      </c>
      <c r="H456" s="45">
        <f>_xlfn.XLOOKUP(Table3[[#This Row],[instant]],Table2[instant],Table2[atemp], ,0,1)</f>
        <v>0.21210000000000001</v>
      </c>
      <c r="I456" s="42">
        <f>_xlfn.XLOOKUP(Table3[[#This Row],[instant]],Table2[instant],Table2[hum], ,0,1)</f>
        <v>0.65</v>
      </c>
      <c r="J456" s="42">
        <f>_xlfn.XLOOKUP(Table3[[#This Row],[instant]],Table2[instant],Table2[windspeed], ,0,1)</f>
        <v>0.32840000000000003</v>
      </c>
      <c r="K456" s="42">
        <f>_xlfn.XLOOKUP(Table3[[#This Row],[instant]],Table2[instant],Table2[casual], ,0,1)</f>
        <v>3</v>
      </c>
      <c r="L456" s="42">
        <f>_xlfn.XLOOKUP(Table3[[#This Row],[instant]],Table2[instant],Table2[registered], ,0,1)</f>
        <v>28</v>
      </c>
      <c r="M456" s="46">
        <f>_xlfn.XLOOKUP(Table3[[#This Row],[instant]],Table2[instant],Table2[cnt], ,0,1)</f>
        <v>31</v>
      </c>
      <c r="N456" s="42" t="str">
        <f>IF(OR(Table3[[#This Row],[weekday]]=0,Table3[[#This Row],[weekday]]=6),"Weekend","Weekday")</f>
        <v>Weekday</v>
      </c>
    </row>
    <row r="457" spans="1:14" ht="15" thickBot="1" x14ac:dyDescent="0.35">
      <c r="A457" s="48">
        <v>456</v>
      </c>
      <c r="B457" s="49">
        <f>_xlfn.XLOOKUP(Table3[[#This Row],[instant]],DatSet1!A457:A1066,DatSet1!B457:B1066,_xlfn.XLOOKUP(Table3[[#This Row],[instant]],'Final Data'!A457:A846,'Final Data'!B457:B846, ,0,1),0,1)</f>
        <v>40564</v>
      </c>
      <c r="C457" s="48">
        <f>_xlfn.XLOOKUP(Table3[[#This Row],[instant]],Table1[instant],Table1[hr], ,0,1)</f>
        <v>0</v>
      </c>
      <c r="D457" s="50" t="b">
        <f>_xlfn.XLOOKUP(Table3[[#This Row],[instant]],Table1[instant],Table1[holiday], ,0,1)</f>
        <v>0</v>
      </c>
      <c r="E457" s="2">
        <f>_xlfn.XLOOKUP(Table3[[#This Row],[instant]],Table1[instant],Table1[weekday], ,0,1)</f>
        <v>5</v>
      </c>
      <c r="F457" s="2">
        <f>_xlfn.XLOOKUP(Table3[[#This Row],[instant]],Table1[instant],Table1[weathersit], ,0,1)</f>
        <v>2</v>
      </c>
      <c r="G457" s="2">
        <f>_xlfn.XLOOKUP(Table3[[#This Row],[instant]],Table1[instant],Table1[temp], ,0,1)</f>
        <v>0.24</v>
      </c>
      <c r="H457" s="24">
        <f>_xlfn.XLOOKUP(Table3[[#This Row],[instant]],Table2[instant],Table2[atemp], ,0,1)</f>
        <v>0.2273</v>
      </c>
      <c r="I457" s="1">
        <f>_xlfn.XLOOKUP(Table3[[#This Row],[instant]],Table2[instant],Table2[hum], ,0,1)</f>
        <v>0.7</v>
      </c>
      <c r="J457" s="1">
        <f>_xlfn.XLOOKUP(Table3[[#This Row],[instant]],Table2[instant],Table2[windspeed], ,0,1)</f>
        <v>0.25369999999999998</v>
      </c>
      <c r="K457" s="1">
        <f>_xlfn.XLOOKUP(Table3[[#This Row],[instant]],Table2[instant],Table2[casual], ,0,1)</f>
        <v>1</v>
      </c>
      <c r="L457" s="1">
        <f>_xlfn.XLOOKUP(Table3[[#This Row],[instant]],Table2[instant],Table2[registered], ,0,1)</f>
        <v>20</v>
      </c>
      <c r="M457" s="6">
        <f>_xlfn.XLOOKUP(Table3[[#This Row],[instant]],Table2[instant],Table2[cnt], ,0,1)</f>
        <v>21</v>
      </c>
      <c r="N457" s="1" t="str">
        <f>IF(OR(Table3[[#This Row],[weekday]]=0,Table3[[#This Row],[weekday]]=6),"Weekend","Weekday")</f>
        <v>Weekday</v>
      </c>
    </row>
    <row r="458" spans="1:14" ht="15" thickBot="1" x14ac:dyDescent="0.35">
      <c r="A458" s="51">
        <v>457</v>
      </c>
      <c r="B458" s="52">
        <f>_xlfn.XLOOKUP(Table3[[#This Row],[instant]],DatSet1!A458:A1067,DatSet1!B458:B1067,_xlfn.XLOOKUP(Table3[[#This Row],[instant]],'Final Data'!A458:A847,'Final Data'!B458:B847, ,0,1),0,1)</f>
        <v>40564</v>
      </c>
      <c r="C458" s="51">
        <f>_xlfn.XLOOKUP(Table3[[#This Row],[instant]],Table1[instant],Table1[hr], ,0,1)</f>
        <v>1</v>
      </c>
      <c r="D458" s="53" t="b">
        <f>_xlfn.XLOOKUP(Table3[[#This Row],[instant]],Table1[instant],Table1[holiday], ,0,1)</f>
        <v>0</v>
      </c>
      <c r="E458" s="44">
        <f>_xlfn.XLOOKUP(Table3[[#This Row],[instant]],Table1[instant],Table1[weekday], ,0,1)</f>
        <v>5</v>
      </c>
      <c r="F458" s="44">
        <f>_xlfn.XLOOKUP(Table3[[#This Row],[instant]],Table1[instant],Table1[weathersit], ,0,1)</f>
        <v>2</v>
      </c>
      <c r="G458" s="44">
        <f>_xlfn.XLOOKUP(Table3[[#This Row],[instant]],Table1[instant],Table1[temp], ,0,1)</f>
        <v>0.24</v>
      </c>
      <c r="H458" s="45">
        <f>_xlfn.XLOOKUP(Table3[[#This Row],[instant]],Table2[instant],Table2[atemp], ,0,1)</f>
        <v>0.2273</v>
      </c>
      <c r="I458" s="42">
        <f>_xlfn.XLOOKUP(Table3[[#This Row],[instant]],Table2[instant],Table2[hum], ,0,1)</f>
        <v>0.7</v>
      </c>
      <c r="J458" s="42">
        <f>_xlfn.XLOOKUP(Table3[[#This Row],[instant]],Table2[instant],Table2[windspeed], ,0,1)</f>
        <v>0.25369999999999998</v>
      </c>
      <c r="K458" s="42">
        <f>_xlfn.XLOOKUP(Table3[[#This Row],[instant]],Table2[instant],Table2[casual], ,0,1)</f>
        <v>0</v>
      </c>
      <c r="L458" s="42">
        <f>_xlfn.XLOOKUP(Table3[[#This Row],[instant]],Table2[instant],Table2[registered], ,0,1)</f>
        <v>6</v>
      </c>
      <c r="M458" s="46">
        <f>_xlfn.XLOOKUP(Table3[[#This Row],[instant]],Table2[instant],Table2[cnt], ,0,1)</f>
        <v>6</v>
      </c>
      <c r="N458" s="42" t="str">
        <f>IF(OR(Table3[[#This Row],[weekday]]=0,Table3[[#This Row],[weekday]]=6),"Weekend","Weekday")</f>
        <v>Weekday</v>
      </c>
    </row>
    <row r="459" spans="1:14" ht="15" thickBot="1" x14ac:dyDescent="0.35">
      <c r="A459" s="48">
        <v>458</v>
      </c>
      <c r="B459" s="49">
        <f>_xlfn.XLOOKUP(Table3[[#This Row],[instant]],DatSet1!A459:A1068,DatSet1!B459:B1068,_xlfn.XLOOKUP(Table3[[#This Row],[instant]],'Final Data'!A459:A848,'Final Data'!B459:B848, ,0,1),0,1)</f>
        <v>40564</v>
      </c>
      <c r="C459" s="48">
        <f>_xlfn.XLOOKUP(Table3[[#This Row],[instant]],Table1[instant],Table1[hr], ,0,1)</f>
        <v>2</v>
      </c>
      <c r="D459" s="50" t="b">
        <f>_xlfn.XLOOKUP(Table3[[#This Row],[instant]],Table1[instant],Table1[holiday], ,0,1)</f>
        <v>0</v>
      </c>
      <c r="E459" s="2">
        <f>_xlfn.XLOOKUP(Table3[[#This Row],[instant]],Table1[instant],Table1[weekday], ,0,1)</f>
        <v>5</v>
      </c>
      <c r="F459" s="2">
        <f>_xlfn.XLOOKUP(Table3[[#This Row],[instant]],Table1[instant],Table1[weathersit], ,0,1)</f>
        <v>3</v>
      </c>
      <c r="G459" s="2">
        <f>_xlfn.XLOOKUP(Table3[[#This Row],[instant]],Table1[instant],Table1[temp], ,0,1)</f>
        <v>0.24</v>
      </c>
      <c r="H459" s="24">
        <f>_xlfn.XLOOKUP(Table3[[#This Row],[instant]],Table2[instant],Table2[atemp], ,0,1)</f>
        <v>0.2424</v>
      </c>
      <c r="I459" s="1">
        <f>_xlfn.XLOOKUP(Table3[[#This Row],[instant]],Table2[instant],Table2[hum], ,0,1)</f>
        <v>0.75</v>
      </c>
      <c r="J459" s="1">
        <f>_xlfn.XLOOKUP(Table3[[#This Row],[instant]],Table2[instant],Table2[windspeed], ,0,1)</f>
        <v>0.16420000000000001</v>
      </c>
      <c r="K459" s="1">
        <f>_xlfn.XLOOKUP(Table3[[#This Row],[instant]],Table2[instant],Table2[casual], ,0,1)</f>
        <v>0</v>
      </c>
      <c r="L459" s="1">
        <f>_xlfn.XLOOKUP(Table3[[#This Row],[instant]],Table2[instant],Table2[registered], ,0,1)</f>
        <v>2</v>
      </c>
      <c r="M459" s="6">
        <f>_xlfn.XLOOKUP(Table3[[#This Row],[instant]],Table2[instant],Table2[cnt], ,0,1)</f>
        <v>2</v>
      </c>
      <c r="N459" s="1" t="str">
        <f>IF(OR(Table3[[#This Row],[weekday]]=0,Table3[[#This Row],[weekday]]=6),"Weekend","Weekday")</f>
        <v>Weekday</v>
      </c>
    </row>
    <row r="460" spans="1:14" ht="15" thickBot="1" x14ac:dyDescent="0.35">
      <c r="A460" s="51">
        <v>459</v>
      </c>
      <c r="B460" s="52">
        <f>_xlfn.XLOOKUP(Table3[[#This Row],[instant]],DatSet1!A460:A1069,DatSet1!B460:B1069,_xlfn.XLOOKUP(Table3[[#This Row],[instant]],'Final Data'!A460:A849,'Final Data'!B460:B849, ,0,1),0,1)</f>
        <v>40564</v>
      </c>
      <c r="C460" s="51">
        <f>_xlfn.XLOOKUP(Table3[[#This Row],[instant]],Table1[instant],Table1[hr], ,0,1)</f>
        <v>3</v>
      </c>
      <c r="D460" s="53" t="b">
        <f>_xlfn.XLOOKUP(Table3[[#This Row],[instant]],Table1[instant],Table1[holiday], ,0,1)</f>
        <v>0</v>
      </c>
      <c r="E460" s="44">
        <f>_xlfn.XLOOKUP(Table3[[#This Row],[instant]],Table1[instant],Table1[weekday], ,0,1)</f>
        <v>5</v>
      </c>
      <c r="F460" s="44">
        <f>_xlfn.XLOOKUP(Table3[[#This Row],[instant]],Table1[instant],Table1[weathersit], ,0,1)</f>
        <v>3</v>
      </c>
      <c r="G460" s="44">
        <f>_xlfn.XLOOKUP(Table3[[#This Row],[instant]],Table1[instant],Table1[temp], ,0,1)</f>
        <v>0.22</v>
      </c>
      <c r="H460" s="45">
        <f>_xlfn.XLOOKUP(Table3[[#This Row],[instant]],Table2[instant],Table2[atemp], ,0,1)</f>
        <v>0.21210000000000001</v>
      </c>
      <c r="I460" s="42">
        <f>_xlfn.XLOOKUP(Table3[[#This Row],[instant]],Table2[instant],Table2[hum], ,0,1)</f>
        <v>0.8</v>
      </c>
      <c r="J460" s="42">
        <f>_xlfn.XLOOKUP(Table3[[#This Row],[instant]],Table2[instant],Table2[windspeed], ,0,1)</f>
        <v>0.29849999999999999</v>
      </c>
      <c r="K460" s="42">
        <f>_xlfn.XLOOKUP(Table3[[#This Row],[instant]],Table2[instant],Table2[casual], ,0,1)</f>
        <v>0</v>
      </c>
      <c r="L460" s="42">
        <f>_xlfn.XLOOKUP(Table3[[#This Row],[instant]],Table2[instant],Table2[registered], ,0,1)</f>
        <v>1</v>
      </c>
      <c r="M460" s="46">
        <f>_xlfn.XLOOKUP(Table3[[#This Row],[instant]],Table2[instant],Table2[cnt], ,0,1)</f>
        <v>1</v>
      </c>
      <c r="N460" s="42" t="str">
        <f>IF(OR(Table3[[#This Row],[weekday]]=0,Table3[[#This Row],[weekday]]=6),"Weekend","Weekday")</f>
        <v>Weekday</v>
      </c>
    </row>
    <row r="461" spans="1:14" ht="15" thickBot="1" x14ac:dyDescent="0.35">
      <c r="A461" s="48">
        <v>460</v>
      </c>
      <c r="B461" s="49">
        <f>_xlfn.XLOOKUP(Table3[[#This Row],[instant]],DatSet1!A461:A1070,DatSet1!B461:B1070,_xlfn.XLOOKUP(Table3[[#This Row],[instant]],'Final Data'!A461:A850,'Final Data'!B461:B850, ,0,1),0,1)</f>
        <v>40564</v>
      </c>
      <c r="C461" s="48">
        <f>_xlfn.XLOOKUP(Table3[[#This Row],[instant]],Table1[instant],Table1[hr], ,0,1)</f>
        <v>4</v>
      </c>
      <c r="D461" s="50" t="b">
        <f>_xlfn.XLOOKUP(Table3[[#This Row],[instant]],Table1[instant],Table1[holiday], ,0,1)</f>
        <v>0</v>
      </c>
      <c r="E461" s="2">
        <f>_xlfn.XLOOKUP(Table3[[#This Row],[instant]],Table1[instant],Table1[weekday], ,0,1)</f>
        <v>5</v>
      </c>
      <c r="F461" s="2">
        <f>_xlfn.XLOOKUP(Table3[[#This Row],[instant]],Table1[instant],Table1[weathersit], ,0,1)</f>
        <v>2</v>
      </c>
      <c r="G461" s="2">
        <f>_xlfn.XLOOKUP(Table3[[#This Row],[instant]],Table1[instant],Table1[temp], ,0,1)</f>
        <v>0.22</v>
      </c>
      <c r="H461" s="24">
        <f>_xlfn.XLOOKUP(Table3[[#This Row],[instant]],Table2[instant],Table2[atemp], ,0,1)</f>
        <v>0.2576</v>
      </c>
      <c r="I461" s="1">
        <f>_xlfn.XLOOKUP(Table3[[#This Row],[instant]],Table2[instant],Table2[hum], ,0,1)</f>
        <v>0.87</v>
      </c>
      <c r="J461" s="1">
        <f>_xlfn.XLOOKUP(Table3[[#This Row],[instant]],Table2[instant],Table2[windspeed], ,0,1)</f>
        <v>8.9599999999999999E-2</v>
      </c>
      <c r="K461" s="1">
        <f>_xlfn.XLOOKUP(Table3[[#This Row],[instant]],Table2[instant],Table2[casual], ,0,1)</f>
        <v>0</v>
      </c>
      <c r="L461" s="1">
        <f>_xlfn.XLOOKUP(Table3[[#This Row],[instant]],Table2[instant],Table2[registered], ,0,1)</f>
        <v>1</v>
      </c>
      <c r="M461" s="6">
        <f>_xlfn.XLOOKUP(Table3[[#This Row],[instant]],Table2[instant],Table2[cnt], ,0,1)</f>
        <v>1</v>
      </c>
      <c r="N461" s="1" t="str">
        <f>IF(OR(Table3[[#This Row],[weekday]]=0,Table3[[#This Row],[weekday]]=6),"Weekend","Weekday")</f>
        <v>Weekday</v>
      </c>
    </row>
    <row r="462" spans="1:14" ht="15" thickBot="1" x14ac:dyDescent="0.35">
      <c r="A462" s="51">
        <v>461</v>
      </c>
      <c r="B462" s="52">
        <f>_xlfn.XLOOKUP(Table3[[#This Row],[instant]],DatSet1!A462:A1071,DatSet1!B462:B1071,_xlfn.XLOOKUP(Table3[[#This Row],[instant]],'Final Data'!A462:A851,'Final Data'!B462:B851, ,0,1),0,1)</f>
        <v>40564</v>
      </c>
      <c r="C462" s="51">
        <f>_xlfn.XLOOKUP(Table3[[#This Row],[instant]],Table1[instant],Table1[hr], ,0,1)</f>
        <v>5</v>
      </c>
      <c r="D462" s="53" t="b">
        <f>_xlfn.XLOOKUP(Table3[[#This Row],[instant]],Table1[instant],Table1[holiday], ,0,1)</f>
        <v>0</v>
      </c>
      <c r="E462" s="44">
        <f>_xlfn.XLOOKUP(Table3[[#This Row],[instant]],Table1[instant],Table1[weekday], ,0,1)</f>
        <v>5</v>
      </c>
      <c r="F462" s="44">
        <f>_xlfn.XLOOKUP(Table3[[#This Row],[instant]],Table1[instant],Table1[weathersit], ,0,1)</f>
        <v>1</v>
      </c>
      <c r="G462" s="44">
        <f>_xlfn.XLOOKUP(Table3[[#This Row],[instant]],Table1[instant],Table1[temp], ,0,1)</f>
        <v>0.24</v>
      </c>
      <c r="H462" s="45">
        <f>_xlfn.XLOOKUP(Table3[[#This Row],[instant]],Table2[instant],Table2[atemp], ,0,1)</f>
        <v>0.19700000000000001</v>
      </c>
      <c r="I462" s="42">
        <f>_xlfn.XLOOKUP(Table3[[#This Row],[instant]],Table2[instant],Table2[hum], ,0,1)</f>
        <v>0.6</v>
      </c>
      <c r="J462" s="42">
        <f>_xlfn.XLOOKUP(Table3[[#This Row],[instant]],Table2[instant],Table2[windspeed], ,0,1)</f>
        <v>0.41789999999999999</v>
      </c>
      <c r="K462" s="42">
        <f>_xlfn.XLOOKUP(Table3[[#This Row],[instant]],Table2[instant],Table2[casual], ,0,1)</f>
        <v>1</v>
      </c>
      <c r="L462" s="42">
        <f>_xlfn.XLOOKUP(Table3[[#This Row],[instant]],Table2[instant],Table2[registered], ,0,1)</f>
        <v>4</v>
      </c>
      <c r="M462" s="46">
        <f>_xlfn.XLOOKUP(Table3[[#This Row],[instant]],Table2[instant],Table2[cnt], ,0,1)</f>
        <v>5</v>
      </c>
      <c r="N462" s="42" t="str">
        <f>IF(OR(Table3[[#This Row],[weekday]]=0,Table3[[#This Row],[weekday]]=6),"Weekend","Weekday")</f>
        <v>Weekday</v>
      </c>
    </row>
    <row r="463" spans="1:14" ht="15" thickBot="1" x14ac:dyDescent="0.35">
      <c r="A463" s="48">
        <v>462</v>
      </c>
      <c r="B463" s="49">
        <f>_xlfn.XLOOKUP(Table3[[#This Row],[instant]],DatSet1!A463:A1072,DatSet1!B463:B1072,_xlfn.XLOOKUP(Table3[[#This Row],[instant]],'Final Data'!A463:A852,'Final Data'!B463:B852, ,0,1),0,1)</f>
        <v>40564</v>
      </c>
      <c r="C463" s="48">
        <f>_xlfn.XLOOKUP(Table3[[#This Row],[instant]],Table1[instant],Table1[hr], ,0,1)</f>
        <v>6</v>
      </c>
      <c r="D463" s="50" t="b">
        <f>_xlfn.XLOOKUP(Table3[[#This Row],[instant]],Table1[instant],Table1[holiday], ,0,1)</f>
        <v>0</v>
      </c>
      <c r="E463" s="2">
        <f>_xlfn.XLOOKUP(Table3[[#This Row],[instant]],Table1[instant],Table1[weekday], ,0,1)</f>
        <v>5</v>
      </c>
      <c r="F463" s="2">
        <f>_xlfn.XLOOKUP(Table3[[#This Row],[instant]],Table1[instant],Table1[weathersit], ,0,1)</f>
        <v>1</v>
      </c>
      <c r="G463" s="2">
        <f>_xlfn.XLOOKUP(Table3[[#This Row],[instant]],Table1[instant],Table1[temp], ,0,1)</f>
        <v>0.22</v>
      </c>
      <c r="H463" s="24">
        <f>_xlfn.XLOOKUP(Table3[[#This Row],[instant]],Table2[instant],Table2[atemp], ,0,1)</f>
        <v>0.21210000000000001</v>
      </c>
      <c r="I463" s="1">
        <f>_xlfn.XLOOKUP(Table3[[#This Row],[instant]],Table2[instant],Table2[hum], ,0,1)</f>
        <v>0.55000000000000004</v>
      </c>
      <c r="J463" s="1">
        <f>_xlfn.XLOOKUP(Table3[[#This Row],[instant]],Table2[instant],Table2[windspeed], ,0,1)</f>
        <v>0.25369999999999998</v>
      </c>
      <c r="K463" s="1">
        <f>_xlfn.XLOOKUP(Table3[[#This Row],[instant]],Table2[instant],Table2[casual], ,0,1)</f>
        <v>0</v>
      </c>
      <c r="L463" s="1">
        <f>_xlfn.XLOOKUP(Table3[[#This Row],[instant]],Table2[instant],Table2[registered], ,0,1)</f>
        <v>27</v>
      </c>
      <c r="M463" s="6">
        <f>_xlfn.XLOOKUP(Table3[[#This Row],[instant]],Table2[instant],Table2[cnt], ,0,1)</f>
        <v>27</v>
      </c>
      <c r="N463" s="1" t="str">
        <f>IF(OR(Table3[[#This Row],[weekday]]=0,Table3[[#This Row],[weekday]]=6),"Weekend","Weekday")</f>
        <v>Weekday</v>
      </c>
    </row>
    <row r="464" spans="1:14" ht="15" thickBot="1" x14ac:dyDescent="0.35">
      <c r="A464" s="51">
        <v>463</v>
      </c>
      <c r="B464" s="52">
        <f>_xlfn.XLOOKUP(Table3[[#This Row],[instant]],DatSet1!A464:A1073,DatSet1!B464:B1073,_xlfn.XLOOKUP(Table3[[#This Row],[instant]],'Final Data'!A464:A853,'Final Data'!B464:B853, ,0,1),0,1)</f>
        <v>40564</v>
      </c>
      <c r="C464" s="51">
        <f>_xlfn.XLOOKUP(Table3[[#This Row],[instant]],Table1[instant],Table1[hr], ,0,1)</f>
        <v>7</v>
      </c>
      <c r="D464" s="53" t="b">
        <f>_xlfn.XLOOKUP(Table3[[#This Row],[instant]],Table1[instant],Table1[holiday], ,0,1)</f>
        <v>0</v>
      </c>
      <c r="E464" s="44">
        <f>_xlfn.XLOOKUP(Table3[[#This Row],[instant]],Table1[instant],Table1[weekday], ,0,1)</f>
        <v>5</v>
      </c>
      <c r="F464" s="44">
        <f>_xlfn.XLOOKUP(Table3[[#This Row],[instant]],Table1[instant],Table1[weathersit], ,0,1)</f>
        <v>1</v>
      </c>
      <c r="G464" s="44">
        <f>_xlfn.XLOOKUP(Table3[[#This Row],[instant]],Table1[instant],Table1[temp], ,0,1)</f>
        <v>0.2</v>
      </c>
      <c r="H464" s="45">
        <f>_xlfn.XLOOKUP(Table3[[#This Row],[instant]],Table2[instant],Table2[atemp], ,0,1)</f>
        <v>0.18179999999999999</v>
      </c>
      <c r="I464" s="42">
        <f>_xlfn.XLOOKUP(Table3[[#This Row],[instant]],Table2[instant],Table2[hum], ,0,1)</f>
        <v>0.51</v>
      </c>
      <c r="J464" s="42">
        <f>_xlfn.XLOOKUP(Table3[[#This Row],[instant]],Table2[instant],Table2[windspeed], ,0,1)</f>
        <v>0.28360000000000002</v>
      </c>
      <c r="K464" s="42">
        <f>_xlfn.XLOOKUP(Table3[[#This Row],[instant]],Table2[instant],Table2[casual], ,0,1)</f>
        <v>2</v>
      </c>
      <c r="L464" s="42">
        <f>_xlfn.XLOOKUP(Table3[[#This Row],[instant]],Table2[instant],Table2[registered], ,0,1)</f>
        <v>66</v>
      </c>
      <c r="M464" s="46">
        <f>_xlfn.XLOOKUP(Table3[[#This Row],[instant]],Table2[instant],Table2[cnt], ,0,1)</f>
        <v>68</v>
      </c>
      <c r="N464" s="42" t="str">
        <f>IF(OR(Table3[[#This Row],[weekday]]=0,Table3[[#This Row],[weekday]]=6),"Weekend","Weekday")</f>
        <v>Weekday</v>
      </c>
    </row>
    <row r="465" spans="1:14" ht="15" thickBot="1" x14ac:dyDescent="0.35">
      <c r="A465" s="48">
        <v>464</v>
      </c>
      <c r="B465" s="49">
        <f>_xlfn.XLOOKUP(Table3[[#This Row],[instant]],DatSet1!A465:A1074,DatSet1!B465:B1074,_xlfn.XLOOKUP(Table3[[#This Row],[instant]],'Final Data'!A465:A854,'Final Data'!B465:B854, ,0,1),0,1)</f>
        <v>40564</v>
      </c>
      <c r="C465" s="48">
        <f>_xlfn.XLOOKUP(Table3[[#This Row],[instant]],Table1[instant],Table1[hr], ,0,1)</f>
        <v>8</v>
      </c>
      <c r="D465" s="50" t="b">
        <f>_xlfn.XLOOKUP(Table3[[#This Row],[instant]],Table1[instant],Table1[holiday], ,0,1)</f>
        <v>0</v>
      </c>
      <c r="E465" s="2">
        <f>_xlfn.XLOOKUP(Table3[[#This Row],[instant]],Table1[instant],Table1[weekday], ,0,1)</f>
        <v>5</v>
      </c>
      <c r="F465" s="2">
        <f>_xlfn.XLOOKUP(Table3[[#This Row],[instant]],Table1[instant],Table1[weathersit], ,0,1)</f>
        <v>1</v>
      </c>
      <c r="G465" s="2">
        <f>_xlfn.XLOOKUP(Table3[[#This Row],[instant]],Table1[instant],Table1[temp], ,0,1)</f>
        <v>0.2</v>
      </c>
      <c r="H465" s="24">
        <f>_xlfn.XLOOKUP(Table3[[#This Row],[instant]],Table2[instant],Table2[atemp], ,0,1)</f>
        <v>0.18179999999999999</v>
      </c>
      <c r="I465" s="1">
        <f>_xlfn.XLOOKUP(Table3[[#This Row],[instant]],Table2[instant],Table2[hum], ,0,1)</f>
        <v>0.47</v>
      </c>
      <c r="J465" s="1">
        <f>_xlfn.XLOOKUP(Table3[[#This Row],[instant]],Table2[instant],Table2[windspeed], ,0,1)</f>
        <v>0.32840000000000003</v>
      </c>
      <c r="K465" s="1">
        <f>_xlfn.XLOOKUP(Table3[[#This Row],[instant]],Table2[instant],Table2[casual], ,0,1)</f>
        <v>7</v>
      </c>
      <c r="L465" s="1">
        <f>_xlfn.XLOOKUP(Table3[[#This Row],[instant]],Table2[instant],Table2[registered], ,0,1)</f>
        <v>210</v>
      </c>
      <c r="M465" s="6">
        <f>_xlfn.XLOOKUP(Table3[[#This Row],[instant]],Table2[instant],Table2[cnt], ,0,1)</f>
        <v>217</v>
      </c>
      <c r="N465" s="1" t="str">
        <f>IF(OR(Table3[[#This Row],[weekday]]=0,Table3[[#This Row],[weekday]]=6),"Weekend","Weekday")</f>
        <v>Weekday</v>
      </c>
    </row>
    <row r="466" spans="1:14" ht="15" thickBot="1" x14ac:dyDescent="0.35">
      <c r="A466" s="51">
        <v>465</v>
      </c>
      <c r="B466" s="52">
        <f>_xlfn.XLOOKUP(Table3[[#This Row],[instant]],DatSet1!A466:A1075,DatSet1!B466:B1075,_xlfn.XLOOKUP(Table3[[#This Row],[instant]],'Final Data'!A466:A855,'Final Data'!B466:B855, ,0,1),0,1)</f>
        <v>40564</v>
      </c>
      <c r="C466" s="51">
        <f>_xlfn.XLOOKUP(Table3[[#This Row],[instant]],Table1[instant],Table1[hr], ,0,1)</f>
        <v>9</v>
      </c>
      <c r="D466" s="53" t="b">
        <f>_xlfn.XLOOKUP(Table3[[#This Row],[instant]],Table1[instant],Table1[holiday], ,0,1)</f>
        <v>0</v>
      </c>
      <c r="E466" s="44">
        <f>_xlfn.XLOOKUP(Table3[[#This Row],[instant]],Table1[instant],Table1[weekday], ,0,1)</f>
        <v>5</v>
      </c>
      <c r="F466" s="44">
        <f>_xlfn.XLOOKUP(Table3[[#This Row],[instant]],Table1[instant],Table1[weathersit], ,0,1)</f>
        <v>1</v>
      </c>
      <c r="G466" s="44">
        <f>_xlfn.XLOOKUP(Table3[[#This Row],[instant]],Table1[instant],Table1[temp], ,0,1)</f>
        <v>0.2</v>
      </c>
      <c r="H466" s="45">
        <f>_xlfn.XLOOKUP(Table3[[#This Row],[instant]],Table2[instant],Table2[atemp], ,0,1)</f>
        <v>0.18179999999999999</v>
      </c>
      <c r="I466" s="42">
        <f>_xlfn.XLOOKUP(Table3[[#This Row],[instant]],Table2[instant],Table2[hum], ,0,1)</f>
        <v>0.51</v>
      </c>
      <c r="J466" s="42">
        <f>_xlfn.XLOOKUP(Table3[[#This Row],[instant]],Table2[instant],Table2[windspeed], ,0,1)</f>
        <v>0.35820000000000002</v>
      </c>
      <c r="K466" s="42">
        <f>_xlfn.XLOOKUP(Table3[[#This Row],[instant]],Table2[instant],Table2[casual], ,0,1)</f>
        <v>7</v>
      </c>
      <c r="L466" s="42">
        <f>_xlfn.XLOOKUP(Table3[[#This Row],[instant]],Table2[instant],Table2[registered], ,0,1)</f>
        <v>159</v>
      </c>
      <c r="M466" s="46">
        <f>_xlfn.XLOOKUP(Table3[[#This Row],[instant]],Table2[instant],Table2[cnt], ,0,1)</f>
        <v>166</v>
      </c>
      <c r="N466" s="42" t="str">
        <f>IF(OR(Table3[[#This Row],[weekday]]=0,Table3[[#This Row],[weekday]]=6),"Weekend","Weekday")</f>
        <v>Weekday</v>
      </c>
    </row>
    <row r="467" spans="1:14" ht="15" thickBot="1" x14ac:dyDescent="0.35">
      <c r="A467" s="48">
        <v>466</v>
      </c>
      <c r="B467" s="49">
        <f>_xlfn.XLOOKUP(Table3[[#This Row],[instant]],DatSet1!A467:A1076,DatSet1!B467:B1076,_xlfn.XLOOKUP(Table3[[#This Row],[instant]],'Final Data'!A467:A856,'Final Data'!B467:B856, ,0,1),0,1)</f>
        <v>40564</v>
      </c>
      <c r="C467" s="48">
        <f>_xlfn.XLOOKUP(Table3[[#This Row],[instant]],Table1[instant],Table1[hr], ,0,1)</f>
        <v>10</v>
      </c>
      <c r="D467" s="50" t="b">
        <f>_xlfn.XLOOKUP(Table3[[#This Row],[instant]],Table1[instant],Table1[holiday], ,0,1)</f>
        <v>0</v>
      </c>
      <c r="E467" s="2">
        <f>_xlfn.XLOOKUP(Table3[[#This Row],[instant]],Table1[instant],Table1[weekday], ,0,1)</f>
        <v>5</v>
      </c>
      <c r="F467" s="2">
        <f>_xlfn.XLOOKUP(Table3[[#This Row],[instant]],Table1[instant],Table1[weathersit], ,0,1)</f>
        <v>1</v>
      </c>
      <c r="G467" s="2">
        <f>_xlfn.XLOOKUP(Table3[[#This Row],[instant]],Table1[instant],Table1[temp], ,0,1)</f>
        <v>0.2</v>
      </c>
      <c r="H467" s="24">
        <f>_xlfn.XLOOKUP(Table3[[#This Row],[instant]],Table2[instant],Table2[atemp], ,0,1)</f>
        <v>0.16669999999999999</v>
      </c>
      <c r="I467" s="1">
        <f>_xlfn.XLOOKUP(Table3[[#This Row],[instant]],Table2[instant],Table2[hum], ,0,1)</f>
        <v>0.47</v>
      </c>
      <c r="J467" s="1">
        <f>_xlfn.XLOOKUP(Table3[[#This Row],[instant]],Table2[instant],Table2[windspeed], ,0,1)</f>
        <v>0.4627</v>
      </c>
      <c r="K467" s="1">
        <f>_xlfn.XLOOKUP(Table3[[#This Row],[instant]],Table2[instant],Table2[casual], ,0,1)</f>
        <v>6</v>
      </c>
      <c r="L467" s="1">
        <f>_xlfn.XLOOKUP(Table3[[#This Row],[instant]],Table2[instant],Table2[registered], ,0,1)</f>
        <v>57</v>
      </c>
      <c r="M467" s="6">
        <f>_xlfn.XLOOKUP(Table3[[#This Row],[instant]],Table2[instant],Table2[cnt], ,0,1)</f>
        <v>63</v>
      </c>
      <c r="N467" s="1" t="str">
        <f>IF(OR(Table3[[#This Row],[weekday]]=0,Table3[[#This Row],[weekday]]=6),"Weekend","Weekday")</f>
        <v>Weekday</v>
      </c>
    </row>
    <row r="468" spans="1:14" ht="15" thickBot="1" x14ac:dyDescent="0.35">
      <c r="A468" s="51">
        <v>467</v>
      </c>
      <c r="B468" s="52">
        <f>_xlfn.XLOOKUP(Table3[[#This Row],[instant]],DatSet1!A468:A1077,DatSet1!B468:B1077,_xlfn.XLOOKUP(Table3[[#This Row],[instant]],'Final Data'!A468:A857,'Final Data'!B468:B857, ,0,1),0,1)</f>
        <v>40564</v>
      </c>
      <c r="C468" s="51">
        <f>_xlfn.XLOOKUP(Table3[[#This Row],[instant]],Table1[instant],Table1[hr], ,0,1)</f>
        <v>11</v>
      </c>
      <c r="D468" s="53" t="b">
        <f>_xlfn.XLOOKUP(Table3[[#This Row],[instant]],Table1[instant],Table1[holiday], ,0,1)</f>
        <v>0</v>
      </c>
      <c r="E468" s="44">
        <f>_xlfn.XLOOKUP(Table3[[#This Row],[instant]],Table1[instant],Table1[weekday], ,0,1)</f>
        <v>5</v>
      </c>
      <c r="F468" s="44">
        <f>_xlfn.XLOOKUP(Table3[[#This Row],[instant]],Table1[instant],Table1[weathersit], ,0,1)</f>
        <v>1</v>
      </c>
      <c r="G468" s="44">
        <f>_xlfn.XLOOKUP(Table3[[#This Row],[instant]],Table1[instant],Table1[temp], ,0,1)</f>
        <v>0.22</v>
      </c>
      <c r="H468" s="45">
        <f>_xlfn.XLOOKUP(Table3[[#This Row],[instant]],Table2[instant],Table2[atemp], ,0,1)</f>
        <v>0.18179999999999999</v>
      </c>
      <c r="I468" s="42">
        <f>_xlfn.XLOOKUP(Table3[[#This Row],[instant]],Table2[instant],Table2[hum], ,0,1)</f>
        <v>0.41</v>
      </c>
      <c r="J468" s="42">
        <f>_xlfn.XLOOKUP(Table3[[#This Row],[instant]],Table2[instant],Table2[windspeed], ,0,1)</f>
        <v>0.4627</v>
      </c>
      <c r="K468" s="42">
        <f>_xlfn.XLOOKUP(Table3[[#This Row],[instant]],Table2[instant],Table2[casual], ,0,1)</f>
        <v>6</v>
      </c>
      <c r="L468" s="42">
        <f>_xlfn.XLOOKUP(Table3[[#This Row],[instant]],Table2[instant],Table2[registered], ,0,1)</f>
        <v>53</v>
      </c>
      <c r="M468" s="46">
        <f>_xlfn.XLOOKUP(Table3[[#This Row],[instant]],Table2[instant],Table2[cnt], ,0,1)</f>
        <v>59</v>
      </c>
      <c r="N468" s="42" t="str">
        <f>IF(OR(Table3[[#This Row],[weekday]]=0,Table3[[#This Row],[weekday]]=6),"Weekend","Weekday")</f>
        <v>Weekday</v>
      </c>
    </row>
    <row r="469" spans="1:14" ht="15" thickBot="1" x14ac:dyDescent="0.35">
      <c r="A469" s="48">
        <v>468</v>
      </c>
      <c r="B469" s="49">
        <f>_xlfn.XLOOKUP(Table3[[#This Row],[instant]],DatSet1!A469:A1078,DatSet1!B469:B1078,_xlfn.XLOOKUP(Table3[[#This Row],[instant]],'Final Data'!A469:A858,'Final Data'!B469:B858, ,0,1),0,1)</f>
        <v>40564</v>
      </c>
      <c r="C469" s="48">
        <f>_xlfn.XLOOKUP(Table3[[#This Row],[instant]],Table1[instant],Table1[hr], ,0,1)</f>
        <v>12</v>
      </c>
      <c r="D469" s="50" t="b">
        <f>_xlfn.XLOOKUP(Table3[[#This Row],[instant]],Table1[instant],Table1[holiday], ,0,1)</f>
        <v>0</v>
      </c>
      <c r="E469" s="2">
        <f>_xlfn.XLOOKUP(Table3[[#This Row],[instant]],Table1[instant],Table1[weekday], ,0,1)</f>
        <v>5</v>
      </c>
      <c r="F469" s="2">
        <f>_xlfn.XLOOKUP(Table3[[#This Row],[instant]],Table1[instant],Table1[weathersit], ,0,1)</f>
        <v>1</v>
      </c>
      <c r="G469" s="2">
        <f>_xlfn.XLOOKUP(Table3[[#This Row],[instant]],Table1[instant],Table1[temp], ,0,1)</f>
        <v>0.22</v>
      </c>
      <c r="H469" s="24">
        <f>_xlfn.XLOOKUP(Table3[[#This Row],[instant]],Table2[instant],Table2[atemp], ,0,1)</f>
        <v>0.18179999999999999</v>
      </c>
      <c r="I469" s="1">
        <f>_xlfn.XLOOKUP(Table3[[#This Row],[instant]],Table2[instant],Table2[hum], ,0,1)</f>
        <v>0.27</v>
      </c>
      <c r="J469" s="1">
        <f>_xlfn.XLOOKUP(Table3[[#This Row],[instant]],Table2[instant],Table2[windspeed], ,0,1)</f>
        <v>0.58209999999999995</v>
      </c>
      <c r="K469" s="1">
        <f>_xlfn.XLOOKUP(Table3[[#This Row],[instant]],Table2[instant],Table2[casual], ,0,1)</f>
        <v>11</v>
      </c>
      <c r="L469" s="1">
        <f>_xlfn.XLOOKUP(Table3[[#This Row],[instant]],Table2[instant],Table2[registered], ,0,1)</f>
        <v>67</v>
      </c>
      <c r="M469" s="6">
        <f>_xlfn.XLOOKUP(Table3[[#This Row],[instant]],Table2[instant],Table2[cnt], ,0,1)</f>
        <v>78</v>
      </c>
      <c r="N469" s="1" t="str">
        <f>IF(OR(Table3[[#This Row],[weekday]]=0,Table3[[#This Row],[weekday]]=6),"Weekend","Weekday")</f>
        <v>Weekday</v>
      </c>
    </row>
    <row r="470" spans="1:14" ht="15" thickBot="1" x14ac:dyDescent="0.35">
      <c r="A470" s="51">
        <v>469</v>
      </c>
      <c r="B470" s="52">
        <f>_xlfn.XLOOKUP(Table3[[#This Row],[instant]],DatSet1!A470:A1079,DatSet1!B470:B1079,_xlfn.XLOOKUP(Table3[[#This Row],[instant]],'Final Data'!A470:A859,'Final Data'!B470:B859, ,0,1),0,1)</f>
        <v>40564</v>
      </c>
      <c r="C470" s="51">
        <f>_xlfn.XLOOKUP(Table3[[#This Row],[instant]],Table1[instant],Table1[hr], ,0,1)</f>
        <v>13</v>
      </c>
      <c r="D470" s="53" t="b">
        <f>_xlfn.XLOOKUP(Table3[[#This Row],[instant]],Table1[instant],Table1[holiday], ,0,1)</f>
        <v>0</v>
      </c>
      <c r="E470" s="44">
        <f>_xlfn.XLOOKUP(Table3[[#This Row],[instant]],Table1[instant],Table1[weekday], ,0,1)</f>
        <v>5</v>
      </c>
      <c r="F470" s="44">
        <f>_xlfn.XLOOKUP(Table3[[#This Row],[instant]],Table1[instant],Table1[weathersit], ,0,1)</f>
        <v>1</v>
      </c>
      <c r="G470" s="44">
        <f>_xlfn.XLOOKUP(Table3[[#This Row],[instant]],Table1[instant],Table1[temp], ,0,1)</f>
        <v>0.2</v>
      </c>
      <c r="H470" s="45">
        <f>_xlfn.XLOOKUP(Table3[[#This Row],[instant]],Table2[instant],Table2[atemp], ,0,1)</f>
        <v>0.1515</v>
      </c>
      <c r="I470" s="42">
        <f>_xlfn.XLOOKUP(Table3[[#This Row],[instant]],Table2[instant],Table2[hum], ,0,1)</f>
        <v>0.21</v>
      </c>
      <c r="J470" s="42">
        <f>_xlfn.XLOOKUP(Table3[[#This Row],[instant]],Table2[instant],Table2[windspeed], ,0,1)</f>
        <v>0.58209999999999995</v>
      </c>
      <c r="K470" s="42">
        <f>_xlfn.XLOOKUP(Table3[[#This Row],[instant]],Table2[instant],Table2[casual], ,0,1)</f>
        <v>8</v>
      </c>
      <c r="L470" s="42">
        <f>_xlfn.XLOOKUP(Table3[[#This Row],[instant]],Table2[instant],Table2[registered], ,0,1)</f>
        <v>65</v>
      </c>
      <c r="M470" s="46">
        <f>_xlfn.XLOOKUP(Table3[[#This Row],[instant]],Table2[instant],Table2[cnt], ,0,1)</f>
        <v>73</v>
      </c>
      <c r="N470" s="42" t="str">
        <f>IF(OR(Table3[[#This Row],[weekday]]=0,Table3[[#This Row],[weekday]]=6),"Weekend","Weekday")</f>
        <v>Weekday</v>
      </c>
    </row>
    <row r="471" spans="1:14" ht="15" thickBot="1" x14ac:dyDescent="0.35">
      <c r="A471" s="48">
        <v>470</v>
      </c>
      <c r="B471" s="49">
        <f>_xlfn.XLOOKUP(Table3[[#This Row],[instant]],DatSet1!A471:A1080,DatSet1!B471:B1080,_xlfn.XLOOKUP(Table3[[#This Row],[instant]],'Final Data'!A471:A860,'Final Data'!B471:B860, ,0,1),0,1)</f>
        <v>40564</v>
      </c>
      <c r="C471" s="48">
        <f>_xlfn.XLOOKUP(Table3[[#This Row],[instant]],Table1[instant],Table1[hr], ,0,1)</f>
        <v>14</v>
      </c>
      <c r="D471" s="50" t="b">
        <f>_xlfn.XLOOKUP(Table3[[#This Row],[instant]],Table1[instant],Table1[holiday], ,0,1)</f>
        <v>0</v>
      </c>
      <c r="E471" s="2">
        <f>_xlfn.XLOOKUP(Table3[[#This Row],[instant]],Table1[instant],Table1[weekday], ,0,1)</f>
        <v>5</v>
      </c>
      <c r="F471" s="2">
        <f>_xlfn.XLOOKUP(Table3[[#This Row],[instant]],Table1[instant],Table1[weathersit], ,0,1)</f>
        <v>1</v>
      </c>
      <c r="G471" s="2">
        <f>_xlfn.XLOOKUP(Table3[[#This Row],[instant]],Table1[instant],Table1[temp], ,0,1)</f>
        <v>0.2</v>
      </c>
      <c r="H471" s="24">
        <f>_xlfn.XLOOKUP(Table3[[#This Row],[instant]],Table2[instant],Table2[atemp], ,0,1)</f>
        <v>0.1515</v>
      </c>
      <c r="I471" s="1">
        <f>_xlfn.XLOOKUP(Table3[[#This Row],[instant]],Table2[instant],Table2[hum], ,0,1)</f>
        <v>0.25</v>
      </c>
      <c r="J471" s="1">
        <f>_xlfn.XLOOKUP(Table3[[#This Row],[instant]],Table2[instant],Table2[windspeed], ,0,1)</f>
        <v>0.52239999999999998</v>
      </c>
      <c r="K471" s="1">
        <f>_xlfn.XLOOKUP(Table3[[#This Row],[instant]],Table2[instant],Table2[casual], ,0,1)</f>
        <v>6</v>
      </c>
      <c r="L471" s="1">
        <f>_xlfn.XLOOKUP(Table3[[#This Row],[instant]],Table2[instant],Table2[registered], ,0,1)</f>
        <v>56</v>
      </c>
      <c r="M471" s="6">
        <f>_xlfn.XLOOKUP(Table3[[#This Row],[instant]],Table2[instant],Table2[cnt], ,0,1)</f>
        <v>62</v>
      </c>
      <c r="N471" s="1" t="str">
        <f>IF(OR(Table3[[#This Row],[weekday]]=0,Table3[[#This Row],[weekday]]=6),"Weekend","Weekday")</f>
        <v>Weekday</v>
      </c>
    </row>
    <row r="472" spans="1:14" ht="15" thickBot="1" x14ac:dyDescent="0.35">
      <c r="A472" s="51">
        <v>471</v>
      </c>
      <c r="B472" s="52">
        <f>_xlfn.XLOOKUP(Table3[[#This Row],[instant]],DatSet1!A472:A1081,DatSet1!B472:B1081,_xlfn.XLOOKUP(Table3[[#This Row],[instant]],'Final Data'!A472:A861,'Final Data'!B472:B861, ,0,1),0,1)</f>
        <v>40564</v>
      </c>
      <c r="C472" s="51">
        <f>_xlfn.XLOOKUP(Table3[[#This Row],[instant]],Table1[instant],Table1[hr], ,0,1)</f>
        <v>15</v>
      </c>
      <c r="D472" s="53" t="b">
        <f>_xlfn.XLOOKUP(Table3[[#This Row],[instant]],Table1[instant],Table1[holiday], ,0,1)</f>
        <v>0</v>
      </c>
      <c r="E472" s="44">
        <f>_xlfn.XLOOKUP(Table3[[#This Row],[instant]],Table1[instant],Table1[weekday], ,0,1)</f>
        <v>5</v>
      </c>
      <c r="F472" s="44">
        <f>_xlfn.XLOOKUP(Table3[[#This Row],[instant]],Table1[instant],Table1[weathersit], ,0,1)</f>
        <v>1</v>
      </c>
      <c r="G472" s="44">
        <f>_xlfn.XLOOKUP(Table3[[#This Row],[instant]],Table1[instant],Table1[temp], ,0,1)</f>
        <v>0.16</v>
      </c>
      <c r="H472" s="45">
        <f>_xlfn.XLOOKUP(Table3[[#This Row],[instant]],Table2[instant],Table2[atemp], ,0,1)</f>
        <v>0.1212</v>
      </c>
      <c r="I472" s="42">
        <f>_xlfn.XLOOKUP(Table3[[#This Row],[instant]],Table2[instant],Table2[hum], ,0,1)</f>
        <v>0.26</v>
      </c>
      <c r="J472" s="42">
        <f>_xlfn.XLOOKUP(Table3[[#This Row],[instant]],Table2[instant],Table2[windspeed], ,0,1)</f>
        <v>0.44779999999999998</v>
      </c>
      <c r="K472" s="42">
        <f>_xlfn.XLOOKUP(Table3[[#This Row],[instant]],Table2[instant],Table2[casual], ,0,1)</f>
        <v>4</v>
      </c>
      <c r="L472" s="42">
        <f>_xlfn.XLOOKUP(Table3[[#This Row],[instant]],Table2[instant],Table2[registered], ,0,1)</f>
        <v>61</v>
      </c>
      <c r="M472" s="46">
        <f>_xlfn.XLOOKUP(Table3[[#This Row],[instant]],Table2[instant],Table2[cnt], ,0,1)</f>
        <v>65</v>
      </c>
      <c r="N472" s="42" t="str">
        <f>IF(OR(Table3[[#This Row],[weekday]]=0,Table3[[#This Row],[weekday]]=6),"Weekend","Weekday")</f>
        <v>Weekday</v>
      </c>
    </row>
    <row r="473" spans="1:14" ht="15" thickBot="1" x14ac:dyDescent="0.35">
      <c r="A473" s="48">
        <v>472</v>
      </c>
      <c r="B473" s="49">
        <f>_xlfn.XLOOKUP(Table3[[#This Row],[instant]],DatSet1!A473:A1082,DatSet1!B473:B1082,_xlfn.XLOOKUP(Table3[[#This Row],[instant]],'Final Data'!A473:A862,'Final Data'!B473:B862, ,0,1),0,1)</f>
        <v>40564</v>
      </c>
      <c r="C473" s="48">
        <f>_xlfn.XLOOKUP(Table3[[#This Row],[instant]],Table1[instant],Table1[hr], ,0,1)</f>
        <v>16</v>
      </c>
      <c r="D473" s="50" t="b">
        <f>_xlfn.XLOOKUP(Table3[[#This Row],[instant]],Table1[instant],Table1[holiday], ,0,1)</f>
        <v>0</v>
      </c>
      <c r="E473" s="2">
        <f>_xlfn.XLOOKUP(Table3[[#This Row],[instant]],Table1[instant],Table1[weekday], ,0,1)</f>
        <v>5</v>
      </c>
      <c r="F473" s="2">
        <f>_xlfn.XLOOKUP(Table3[[#This Row],[instant]],Table1[instant],Table1[weathersit], ,0,1)</f>
        <v>1</v>
      </c>
      <c r="G473" s="2">
        <f>_xlfn.XLOOKUP(Table3[[#This Row],[instant]],Table1[instant],Table1[temp], ,0,1)</f>
        <v>0.16</v>
      </c>
      <c r="H473" s="24">
        <f>_xlfn.XLOOKUP(Table3[[#This Row],[instant]],Table2[instant],Table2[atemp], ,0,1)</f>
        <v>0.13639999999999999</v>
      </c>
      <c r="I473" s="1">
        <f>_xlfn.XLOOKUP(Table3[[#This Row],[instant]],Table2[instant],Table2[hum], ,0,1)</f>
        <v>0.26</v>
      </c>
      <c r="J473" s="1">
        <f>_xlfn.XLOOKUP(Table3[[#This Row],[instant]],Table2[instant],Table2[windspeed], ,0,1)</f>
        <v>0.35820000000000002</v>
      </c>
      <c r="K473" s="1">
        <f>_xlfn.XLOOKUP(Table3[[#This Row],[instant]],Table2[instant],Table2[casual], ,0,1)</f>
        <v>0</v>
      </c>
      <c r="L473" s="1">
        <f>_xlfn.XLOOKUP(Table3[[#This Row],[instant]],Table2[instant],Table2[registered], ,0,1)</f>
        <v>97</v>
      </c>
      <c r="M473" s="6">
        <f>_xlfn.XLOOKUP(Table3[[#This Row],[instant]],Table2[instant],Table2[cnt], ,0,1)</f>
        <v>97</v>
      </c>
      <c r="N473" s="1" t="str">
        <f>IF(OR(Table3[[#This Row],[weekday]]=0,Table3[[#This Row],[weekday]]=6),"Weekend","Weekday")</f>
        <v>Weekday</v>
      </c>
    </row>
    <row r="474" spans="1:14" ht="15" thickBot="1" x14ac:dyDescent="0.35">
      <c r="A474" s="51">
        <v>473</v>
      </c>
      <c r="B474" s="52">
        <f>_xlfn.XLOOKUP(Table3[[#This Row],[instant]],DatSet1!A474:A1083,DatSet1!B474:B1083,_xlfn.XLOOKUP(Table3[[#This Row],[instant]],'Final Data'!A474:A863,'Final Data'!B474:B863, ,0,1),0,1)</f>
        <v>40564</v>
      </c>
      <c r="C474" s="51">
        <f>_xlfn.XLOOKUP(Table3[[#This Row],[instant]],Table1[instant],Table1[hr], ,0,1)</f>
        <v>17</v>
      </c>
      <c r="D474" s="53" t="b">
        <f>_xlfn.XLOOKUP(Table3[[#This Row],[instant]],Table1[instant],Table1[holiday], ,0,1)</f>
        <v>0</v>
      </c>
      <c r="E474" s="44">
        <f>_xlfn.XLOOKUP(Table3[[#This Row],[instant]],Table1[instant],Table1[weekday], ,0,1)</f>
        <v>5</v>
      </c>
      <c r="F474" s="44">
        <f>_xlfn.XLOOKUP(Table3[[#This Row],[instant]],Table1[instant],Table1[weathersit], ,0,1)</f>
        <v>1</v>
      </c>
      <c r="G474" s="44">
        <f>_xlfn.XLOOKUP(Table3[[#This Row],[instant]],Table1[instant],Table1[temp], ,0,1)</f>
        <v>0.14000000000000001</v>
      </c>
      <c r="H474" s="45">
        <f>_xlfn.XLOOKUP(Table3[[#This Row],[instant]],Table2[instant],Table2[atemp], ,0,1)</f>
        <v>0.1212</v>
      </c>
      <c r="I474" s="42">
        <f>_xlfn.XLOOKUP(Table3[[#This Row],[instant]],Table2[instant],Table2[hum], ,0,1)</f>
        <v>0.28000000000000003</v>
      </c>
      <c r="J474" s="42">
        <f>_xlfn.XLOOKUP(Table3[[#This Row],[instant]],Table2[instant],Table2[windspeed], ,0,1)</f>
        <v>0.35820000000000002</v>
      </c>
      <c r="K474" s="42">
        <f>_xlfn.XLOOKUP(Table3[[#This Row],[instant]],Table2[instant],Table2[casual], ,0,1)</f>
        <v>10</v>
      </c>
      <c r="L474" s="42">
        <f>_xlfn.XLOOKUP(Table3[[#This Row],[instant]],Table2[instant],Table2[registered], ,0,1)</f>
        <v>151</v>
      </c>
      <c r="M474" s="46">
        <f>_xlfn.XLOOKUP(Table3[[#This Row],[instant]],Table2[instant],Table2[cnt], ,0,1)</f>
        <v>161</v>
      </c>
      <c r="N474" s="42" t="str">
        <f>IF(OR(Table3[[#This Row],[weekday]]=0,Table3[[#This Row],[weekday]]=6),"Weekend","Weekday")</f>
        <v>Weekday</v>
      </c>
    </row>
    <row r="475" spans="1:14" ht="15" thickBot="1" x14ac:dyDescent="0.35">
      <c r="A475" s="48">
        <v>474</v>
      </c>
      <c r="B475" s="49">
        <f>_xlfn.XLOOKUP(Table3[[#This Row],[instant]],DatSet1!A475:A1084,DatSet1!B475:B1084,_xlfn.XLOOKUP(Table3[[#This Row],[instant]],'Final Data'!A475:A864,'Final Data'!B475:B864, ,0,1),0,1)</f>
        <v>40564</v>
      </c>
      <c r="C475" s="48">
        <f>_xlfn.XLOOKUP(Table3[[#This Row],[instant]],Table1[instant],Table1[hr], ,0,1)</f>
        <v>18</v>
      </c>
      <c r="D475" s="50" t="b">
        <f>_xlfn.XLOOKUP(Table3[[#This Row],[instant]],Table1[instant],Table1[holiday], ,0,1)</f>
        <v>0</v>
      </c>
      <c r="E475" s="2">
        <f>_xlfn.XLOOKUP(Table3[[#This Row],[instant]],Table1[instant],Table1[weekday], ,0,1)</f>
        <v>5</v>
      </c>
      <c r="F475" s="2">
        <f>_xlfn.XLOOKUP(Table3[[#This Row],[instant]],Table1[instant],Table1[weathersit], ,0,1)</f>
        <v>1</v>
      </c>
      <c r="G475" s="2">
        <f>_xlfn.XLOOKUP(Table3[[#This Row],[instant]],Table1[instant],Table1[temp], ,0,1)</f>
        <v>0.12</v>
      </c>
      <c r="H475" s="24">
        <f>_xlfn.XLOOKUP(Table3[[#This Row],[instant]],Table2[instant],Table2[atemp], ,0,1)</f>
        <v>0.1212</v>
      </c>
      <c r="I475" s="1">
        <f>_xlfn.XLOOKUP(Table3[[#This Row],[instant]],Table2[instant],Table2[hum], ,0,1)</f>
        <v>0.3</v>
      </c>
      <c r="J475" s="1">
        <f>_xlfn.XLOOKUP(Table3[[#This Row],[instant]],Table2[instant],Table2[windspeed], ,0,1)</f>
        <v>0.25369999999999998</v>
      </c>
      <c r="K475" s="1">
        <f>_xlfn.XLOOKUP(Table3[[#This Row],[instant]],Table2[instant],Table2[casual], ,0,1)</f>
        <v>1</v>
      </c>
      <c r="L475" s="1">
        <f>_xlfn.XLOOKUP(Table3[[#This Row],[instant]],Table2[instant],Table2[registered], ,0,1)</f>
        <v>119</v>
      </c>
      <c r="M475" s="6">
        <f>_xlfn.XLOOKUP(Table3[[#This Row],[instant]],Table2[instant],Table2[cnt], ,0,1)</f>
        <v>120</v>
      </c>
      <c r="N475" s="1" t="str">
        <f>IF(OR(Table3[[#This Row],[weekday]]=0,Table3[[#This Row],[weekday]]=6),"Weekend","Weekday")</f>
        <v>Weekday</v>
      </c>
    </row>
    <row r="476" spans="1:14" ht="15" thickBot="1" x14ac:dyDescent="0.35">
      <c r="A476" s="51">
        <v>475</v>
      </c>
      <c r="B476" s="52">
        <f>_xlfn.XLOOKUP(Table3[[#This Row],[instant]],DatSet1!A476:A1085,DatSet1!B476:B1085,_xlfn.XLOOKUP(Table3[[#This Row],[instant]],'Final Data'!A476:A865,'Final Data'!B476:B865, ,0,1),0,1)</f>
        <v>40564</v>
      </c>
      <c r="C476" s="51">
        <f>_xlfn.XLOOKUP(Table3[[#This Row],[instant]],Table1[instant],Table1[hr], ,0,1)</f>
        <v>19</v>
      </c>
      <c r="D476" s="53" t="b">
        <f>_xlfn.XLOOKUP(Table3[[#This Row],[instant]],Table1[instant],Table1[holiday], ,0,1)</f>
        <v>0</v>
      </c>
      <c r="E476" s="44">
        <f>_xlfn.XLOOKUP(Table3[[#This Row],[instant]],Table1[instant],Table1[weekday], ,0,1)</f>
        <v>5</v>
      </c>
      <c r="F476" s="44">
        <f>_xlfn.XLOOKUP(Table3[[#This Row],[instant]],Table1[instant],Table1[weathersit], ,0,1)</f>
        <v>1</v>
      </c>
      <c r="G476" s="44">
        <f>_xlfn.XLOOKUP(Table3[[#This Row],[instant]],Table1[instant],Table1[temp], ,0,1)</f>
        <v>0.12</v>
      </c>
      <c r="H476" s="45">
        <f>_xlfn.XLOOKUP(Table3[[#This Row],[instant]],Table2[instant],Table2[atemp], ,0,1)</f>
        <v>0.1061</v>
      </c>
      <c r="I476" s="42">
        <f>_xlfn.XLOOKUP(Table3[[#This Row],[instant]],Table2[instant],Table2[hum], ,0,1)</f>
        <v>0.3</v>
      </c>
      <c r="J476" s="42">
        <f>_xlfn.XLOOKUP(Table3[[#This Row],[instant]],Table2[instant],Table2[windspeed], ,0,1)</f>
        <v>0.32840000000000003</v>
      </c>
      <c r="K476" s="42">
        <f>_xlfn.XLOOKUP(Table3[[#This Row],[instant]],Table2[instant],Table2[casual], ,0,1)</f>
        <v>3</v>
      </c>
      <c r="L476" s="42">
        <f>_xlfn.XLOOKUP(Table3[[#This Row],[instant]],Table2[instant],Table2[registered], ,0,1)</f>
        <v>93</v>
      </c>
      <c r="M476" s="46">
        <f>_xlfn.XLOOKUP(Table3[[#This Row],[instant]],Table2[instant],Table2[cnt], ,0,1)</f>
        <v>96</v>
      </c>
      <c r="N476" s="42" t="str">
        <f>IF(OR(Table3[[#This Row],[weekday]]=0,Table3[[#This Row],[weekday]]=6),"Weekend","Weekday")</f>
        <v>Weekday</v>
      </c>
    </row>
    <row r="477" spans="1:14" ht="15" thickBot="1" x14ac:dyDescent="0.35">
      <c r="A477" s="48">
        <v>476</v>
      </c>
      <c r="B477" s="49">
        <f>_xlfn.XLOOKUP(Table3[[#This Row],[instant]],DatSet1!A477:A1086,DatSet1!B477:B1086,_xlfn.XLOOKUP(Table3[[#This Row],[instant]],'Final Data'!A477:A866,'Final Data'!B477:B866, ,0,1),0,1)</f>
        <v>40564</v>
      </c>
      <c r="C477" s="48">
        <f>_xlfn.XLOOKUP(Table3[[#This Row],[instant]],Table1[instant],Table1[hr], ,0,1)</f>
        <v>20</v>
      </c>
      <c r="D477" s="50" t="b">
        <f>_xlfn.XLOOKUP(Table3[[#This Row],[instant]],Table1[instant],Table1[holiday], ,0,1)</f>
        <v>0</v>
      </c>
      <c r="E477" s="2">
        <f>_xlfn.XLOOKUP(Table3[[#This Row],[instant]],Table1[instant],Table1[weekday], ,0,1)</f>
        <v>5</v>
      </c>
      <c r="F477" s="2">
        <f>_xlfn.XLOOKUP(Table3[[#This Row],[instant]],Table1[instant],Table1[weathersit], ,0,1)</f>
        <v>1</v>
      </c>
      <c r="G477" s="2">
        <f>_xlfn.XLOOKUP(Table3[[#This Row],[instant]],Table1[instant],Table1[temp], ,0,1)</f>
        <v>0.1</v>
      </c>
      <c r="H477" s="24">
        <f>_xlfn.XLOOKUP(Table3[[#This Row],[instant]],Table2[instant],Table2[atemp], ,0,1)</f>
        <v>7.5800000000000006E-2</v>
      </c>
      <c r="I477" s="1">
        <f>_xlfn.XLOOKUP(Table3[[#This Row],[instant]],Table2[instant],Table2[hum], ,0,1)</f>
        <v>0.33</v>
      </c>
      <c r="J477" s="1">
        <f>_xlfn.XLOOKUP(Table3[[#This Row],[instant]],Table2[instant],Table2[windspeed], ,0,1)</f>
        <v>0.41789999999999999</v>
      </c>
      <c r="K477" s="1">
        <f>_xlfn.XLOOKUP(Table3[[#This Row],[instant]],Table2[instant],Table2[casual], ,0,1)</f>
        <v>1</v>
      </c>
      <c r="L477" s="1">
        <f>_xlfn.XLOOKUP(Table3[[#This Row],[instant]],Table2[instant],Table2[registered], ,0,1)</f>
        <v>52</v>
      </c>
      <c r="M477" s="6">
        <f>_xlfn.XLOOKUP(Table3[[#This Row],[instant]],Table2[instant],Table2[cnt], ,0,1)</f>
        <v>53</v>
      </c>
      <c r="N477" s="1" t="str">
        <f>IF(OR(Table3[[#This Row],[weekday]]=0,Table3[[#This Row],[weekday]]=6),"Weekend","Weekday")</f>
        <v>Weekday</v>
      </c>
    </row>
    <row r="478" spans="1:14" ht="15" thickBot="1" x14ac:dyDescent="0.35">
      <c r="A478" s="51">
        <v>477</v>
      </c>
      <c r="B478" s="52">
        <f>_xlfn.XLOOKUP(Table3[[#This Row],[instant]],DatSet1!A478:A1087,DatSet1!B478:B1087,_xlfn.XLOOKUP(Table3[[#This Row],[instant]],'Final Data'!A478:A867,'Final Data'!B478:B867, ,0,1),0,1)</f>
        <v>40564</v>
      </c>
      <c r="C478" s="51">
        <f>_xlfn.XLOOKUP(Table3[[#This Row],[instant]],Table1[instant],Table1[hr], ,0,1)</f>
        <v>21</v>
      </c>
      <c r="D478" s="53" t="b">
        <f>_xlfn.XLOOKUP(Table3[[#This Row],[instant]],Table1[instant],Table1[holiday], ,0,1)</f>
        <v>0</v>
      </c>
      <c r="E478" s="44">
        <f>_xlfn.XLOOKUP(Table3[[#This Row],[instant]],Table1[instant],Table1[weekday], ,0,1)</f>
        <v>5</v>
      </c>
      <c r="F478" s="44">
        <f>_xlfn.XLOOKUP(Table3[[#This Row],[instant]],Table1[instant],Table1[weathersit], ,0,1)</f>
        <v>1</v>
      </c>
      <c r="G478" s="44">
        <f>_xlfn.XLOOKUP(Table3[[#This Row],[instant]],Table1[instant],Table1[temp], ,0,1)</f>
        <v>0.08</v>
      </c>
      <c r="H478" s="45">
        <f>_xlfn.XLOOKUP(Table3[[#This Row],[instant]],Table2[instant],Table2[atemp], ,0,1)</f>
        <v>7.5800000000000006E-2</v>
      </c>
      <c r="I478" s="42">
        <f>_xlfn.XLOOKUP(Table3[[#This Row],[instant]],Table2[instant],Table2[hum], ,0,1)</f>
        <v>0.38</v>
      </c>
      <c r="J478" s="42">
        <f>_xlfn.XLOOKUP(Table3[[#This Row],[instant]],Table2[instant],Table2[windspeed], ,0,1)</f>
        <v>0.28360000000000002</v>
      </c>
      <c r="K478" s="42">
        <f>_xlfn.XLOOKUP(Table3[[#This Row],[instant]],Table2[instant],Table2[casual], ,0,1)</f>
        <v>0</v>
      </c>
      <c r="L478" s="42">
        <f>_xlfn.XLOOKUP(Table3[[#This Row],[instant]],Table2[instant],Table2[registered], ,0,1)</f>
        <v>41</v>
      </c>
      <c r="M478" s="46">
        <f>_xlfn.XLOOKUP(Table3[[#This Row],[instant]],Table2[instant],Table2[cnt], ,0,1)</f>
        <v>41</v>
      </c>
      <c r="N478" s="42" t="str">
        <f>IF(OR(Table3[[#This Row],[weekday]]=0,Table3[[#This Row],[weekday]]=6),"Weekend","Weekday")</f>
        <v>Weekday</v>
      </c>
    </row>
    <row r="479" spans="1:14" ht="15" thickBot="1" x14ac:dyDescent="0.35">
      <c r="A479" s="48">
        <v>478</v>
      </c>
      <c r="B479" s="49">
        <f>_xlfn.XLOOKUP(Table3[[#This Row],[instant]],DatSet1!A479:A1088,DatSet1!B479:B1088,_xlfn.XLOOKUP(Table3[[#This Row],[instant]],'Final Data'!A479:A868,'Final Data'!B479:B868, ,0,1),0,1)</f>
        <v>40564</v>
      </c>
      <c r="C479" s="48">
        <f>_xlfn.XLOOKUP(Table3[[#This Row],[instant]],Table1[instant],Table1[hr], ,0,1)</f>
        <v>22</v>
      </c>
      <c r="D479" s="50" t="b">
        <f>_xlfn.XLOOKUP(Table3[[#This Row],[instant]],Table1[instant],Table1[holiday], ,0,1)</f>
        <v>0</v>
      </c>
      <c r="E479" s="2">
        <f>_xlfn.XLOOKUP(Table3[[#This Row],[instant]],Table1[instant],Table1[weekday], ,0,1)</f>
        <v>5</v>
      </c>
      <c r="F479" s="2">
        <f>_xlfn.XLOOKUP(Table3[[#This Row],[instant]],Table1[instant],Table1[weathersit], ,0,1)</f>
        <v>1</v>
      </c>
      <c r="G479" s="2">
        <f>_xlfn.XLOOKUP(Table3[[#This Row],[instant]],Table1[instant],Table1[temp], ,0,1)</f>
        <v>0.06</v>
      </c>
      <c r="H479" s="24">
        <f>_xlfn.XLOOKUP(Table3[[#This Row],[instant]],Table2[instant],Table2[atemp], ,0,1)</f>
        <v>3.0300000000000001E-2</v>
      </c>
      <c r="I479" s="1">
        <f>_xlfn.XLOOKUP(Table3[[#This Row],[instant]],Table2[instant],Table2[hum], ,0,1)</f>
        <v>0.41</v>
      </c>
      <c r="J479" s="1">
        <f>_xlfn.XLOOKUP(Table3[[#This Row],[instant]],Table2[instant],Table2[windspeed], ,0,1)</f>
        <v>0.3881</v>
      </c>
      <c r="K479" s="1">
        <f>_xlfn.XLOOKUP(Table3[[#This Row],[instant]],Table2[instant],Table2[casual], ,0,1)</f>
        <v>1</v>
      </c>
      <c r="L479" s="1">
        <f>_xlfn.XLOOKUP(Table3[[#This Row],[instant]],Table2[instant],Table2[registered], ,0,1)</f>
        <v>33</v>
      </c>
      <c r="M479" s="6">
        <f>_xlfn.XLOOKUP(Table3[[#This Row],[instant]],Table2[instant],Table2[cnt], ,0,1)</f>
        <v>34</v>
      </c>
      <c r="N479" s="1" t="str">
        <f>IF(OR(Table3[[#This Row],[weekday]]=0,Table3[[#This Row],[weekday]]=6),"Weekend","Weekday")</f>
        <v>Weekday</v>
      </c>
    </row>
    <row r="480" spans="1:14" ht="15" thickBot="1" x14ac:dyDescent="0.35">
      <c r="A480" s="51">
        <v>479</v>
      </c>
      <c r="B480" s="52">
        <f>_xlfn.XLOOKUP(Table3[[#This Row],[instant]],DatSet1!A480:A1089,DatSet1!B480:B1089,_xlfn.XLOOKUP(Table3[[#This Row],[instant]],'Final Data'!A480:A869,'Final Data'!B480:B869, ,0,1),0,1)</f>
        <v>40564</v>
      </c>
      <c r="C480" s="51">
        <f>_xlfn.XLOOKUP(Table3[[#This Row],[instant]],Table1[instant],Table1[hr], ,0,1)</f>
        <v>23</v>
      </c>
      <c r="D480" s="53" t="b">
        <f>_xlfn.XLOOKUP(Table3[[#This Row],[instant]],Table1[instant],Table1[holiday], ,0,1)</f>
        <v>0</v>
      </c>
      <c r="E480" s="44">
        <f>_xlfn.XLOOKUP(Table3[[#This Row],[instant]],Table1[instant],Table1[weekday], ,0,1)</f>
        <v>5</v>
      </c>
      <c r="F480" s="44">
        <f>_xlfn.XLOOKUP(Table3[[#This Row],[instant]],Table1[instant],Table1[weathersit], ,0,1)</f>
        <v>1</v>
      </c>
      <c r="G480" s="44">
        <f>_xlfn.XLOOKUP(Table3[[#This Row],[instant]],Table1[instant],Table1[temp], ,0,1)</f>
        <v>0.06</v>
      </c>
      <c r="H480" s="45">
        <f>_xlfn.XLOOKUP(Table3[[#This Row],[instant]],Table2[instant],Table2[atemp], ,0,1)</f>
        <v>4.5499999999999999E-2</v>
      </c>
      <c r="I480" s="42">
        <f>_xlfn.XLOOKUP(Table3[[#This Row],[instant]],Table2[instant],Table2[hum], ,0,1)</f>
        <v>0.38</v>
      </c>
      <c r="J480" s="42">
        <f>_xlfn.XLOOKUP(Table3[[#This Row],[instant]],Table2[instant],Table2[windspeed], ,0,1)</f>
        <v>0.32840000000000003</v>
      </c>
      <c r="K480" s="42">
        <f>_xlfn.XLOOKUP(Table3[[#This Row],[instant]],Table2[instant],Table2[casual], ,0,1)</f>
        <v>0</v>
      </c>
      <c r="L480" s="42">
        <f>_xlfn.XLOOKUP(Table3[[#This Row],[instant]],Table2[instant],Table2[registered], ,0,1)</f>
        <v>27</v>
      </c>
      <c r="M480" s="46">
        <f>_xlfn.XLOOKUP(Table3[[#This Row],[instant]],Table2[instant],Table2[cnt], ,0,1)</f>
        <v>27</v>
      </c>
      <c r="N480" s="42" t="str">
        <f>IF(OR(Table3[[#This Row],[weekday]]=0,Table3[[#This Row],[weekday]]=6),"Weekend","Weekday")</f>
        <v>Weekday</v>
      </c>
    </row>
    <row r="481" spans="1:14" ht="15" thickBot="1" x14ac:dyDescent="0.35">
      <c r="A481" s="48">
        <v>480</v>
      </c>
      <c r="B481" s="49">
        <f>_xlfn.XLOOKUP(Table3[[#This Row],[instant]],DatSet1!A481:A1090,DatSet1!B481:B1090,_xlfn.XLOOKUP(Table3[[#This Row],[instant]],'Final Data'!A481:A870,'Final Data'!B481:B870, ,0,1),0,1)</f>
        <v>40565</v>
      </c>
      <c r="C481" s="48">
        <f>_xlfn.XLOOKUP(Table3[[#This Row],[instant]],Table1[instant],Table1[hr], ,0,1)</f>
        <v>0</v>
      </c>
      <c r="D481" s="50" t="b">
        <f>_xlfn.XLOOKUP(Table3[[#This Row],[instant]],Table1[instant],Table1[holiday], ,0,1)</f>
        <v>0</v>
      </c>
      <c r="E481" s="2">
        <f>_xlfn.XLOOKUP(Table3[[#This Row],[instant]],Table1[instant],Table1[weekday], ,0,1)</f>
        <v>6</v>
      </c>
      <c r="F481" s="2">
        <f>_xlfn.XLOOKUP(Table3[[#This Row],[instant]],Table1[instant],Table1[weathersit], ,0,1)</f>
        <v>1</v>
      </c>
      <c r="G481" s="2">
        <f>_xlfn.XLOOKUP(Table3[[#This Row],[instant]],Table1[instant],Table1[temp], ,0,1)</f>
        <v>0.04</v>
      </c>
      <c r="H481" s="24">
        <f>_xlfn.XLOOKUP(Table3[[#This Row],[instant]],Table2[instant],Table2[atemp], ,0,1)</f>
        <v>3.0300000000000001E-2</v>
      </c>
      <c r="I481" s="1">
        <f>_xlfn.XLOOKUP(Table3[[#This Row],[instant]],Table2[instant],Table2[hum], ,0,1)</f>
        <v>0.45</v>
      </c>
      <c r="J481" s="1">
        <f>_xlfn.XLOOKUP(Table3[[#This Row],[instant]],Table2[instant],Table2[windspeed], ,0,1)</f>
        <v>0.25369999999999998</v>
      </c>
      <c r="K481" s="1">
        <f>_xlfn.XLOOKUP(Table3[[#This Row],[instant]],Table2[instant],Table2[casual], ,0,1)</f>
        <v>0</v>
      </c>
      <c r="L481" s="1">
        <f>_xlfn.XLOOKUP(Table3[[#This Row],[instant]],Table2[instant],Table2[registered], ,0,1)</f>
        <v>13</v>
      </c>
      <c r="M481" s="6">
        <f>_xlfn.XLOOKUP(Table3[[#This Row],[instant]],Table2[instant],Table2[cnt], ,0,1)</f>
        <v>13</v>
      </c>
      <c r="N481" s="1" t="str">
        <f>IF(OR(Table3[[#This Row],[weekday]]=0,Table3[[#This Row],[weekday]]=6),"Weekend","Weekday")</f>
        <v>Weekend</v>
      </c>
    </row>
    <row r="482" spans="1:14" ht="15" thickBot="1" x14ac:dyDescent="0.35">
      <c r="A482" s="51">
        <v>481</v>
      </c>
      <c r="B482" s="52">
        <f>_xlfn.XLOOKUP(Table3[[#This Row],[instant]],DatSet1!A482:A1091,DatSet1!B482:B1091,_xlfn.XLOOKUP(Table3[[#This Row],[instant]],'Final Data'!A482:A871,'Final Data'!B482:B871, ,0,1),0,1)</f>
        <v>40565</v>
      </c>
      <c r="C482" s="51">
        <f>_xlfn.XLOOKUP(Table3[[#This Row],[instant]],Table1[instant],Table1[hr], ,0,1)</f>
        <v>1</v>
      </c>
      <c r="D482" s="53" t="b">
        <f>_xlfn.XLOOKUP(Table3[[#This Row],[instant]],Table1[instant],Table1[holiday], ,0,1)</f>
        <v>0</v>
      </c>
      <c r="E482" s="44">
        <f>_xlfn.XLOOKUP(Table3[[#This Row],[instant]],Table1[instant],Table1[weekday], ,0,1)</f>
        <v>6</v>
      </c>
      <c r="F482" s="44">
        <f>_xlfn.XLOOKUP(Table3[[#This Row],[instant]],Table1[instant],Table1[weathersit], ,0,1)</f>
        <v>2</v>
      </c>
      <c r="G482" s="44">
        <f>_xlfn.XLOOKUP(Table3[[#This Row],[instant]],Table1[instant],Table1[temp], ,0,1)</f>
        <v>0.04</v>
      </c>
      <c r="H482" s="45">
        <f>_xlfn.XLOOKUP(Table3[[#This Row],[instant]],Table2[instant],Table2[atemp], ,0,1)</f>
        <v>0</v>
      </c>
      <c r="I482" s="42">
        <f>_xlfn.XLOOKUP(Table3[[#This Row],[instant]],Table2[instant],Table2[hum], ,0,1)</f>
        <v>0.41</v>
      </c>
      <c r="J482" s="42">
        <f>_xlfn.XLOOKUP(Table3[[#This Row],[instant]],Table2[instant],Table2[windspeed], ,0,1)</f>
        <v>0.3881</v>
      </c>
      <c r="K482" s="42">
        <f>_xlfn.XLOOKUP(Table3[[#This Row],[instant]],Table2[instant],Table2[casual], ,0,1)</f>
        <v>3</v>
      </c>
      <c r="L482" s="42">
        <f>_xlfn.XLOOKUP(Table3[[#This Row],[instant]],Table2[instant],Table2[registered], ,0,1)</f>
        <v>9</v>
      </c>
      <c r="M482" s="46">
        <f>_xlfn.XLOOKUP(Table3[[#This Row],[instant]],Table2[instant],Table2[cnt], ,0,1)</f>
        <v>12</v>
      </c>
      <c r="N482" s="42" t="str">
        <f>IF(OR(Table3[[#This Row],[weekday]]=0,Table3[[#This Row],[weekday]]=6),"Weekend","Weekday")</f>
        <v>Weekend</v>
      </c>
    </row>
    <row r="483" spans="1:14" ht="15" thickBot="1" x14ac:dyDescent="0.35">
      <c r="A483" s="48">
        <v>482</v>
      </c>
      <c r="B483" s="49">
        <f>_xlfn.XLOOKUP(Table3[[#This Row],[instant]],DatSet1!A483:A1092,DatSet1!B483:B1092,_xlfn.XLOOKUP(Table3[[#This Row],[instant]],'Final Data'!A483:A872,'Final Data'!B483:B872, ,0,1),0,1)</f>
        <v>40565</v>
      </c>
      <c r="C483" s="48">
        <f>_xlfn.XLOOKUP(Table3[[#This Row],[instant]],Table1[instant],Table1[hr], ,0,1)</f>
        <v>2</v>
      </c>
      <c r="D483" s="50" t="b">
        <f>_xlfn.XLOOKUP(Table3[[#This Row],[instant]],Table1[instant],Table1[holiday], ,0,1)</f>
        <v>0</v>
      </c>
      <c r="E483" s="2">
        <f>_xlfn.XLOOKUP(Table3[[#This Row],[instant]],Table1[instant],Table1[weekday], ,0,1)</f>
        <v>6</v>
      </c>
      <c r="F483" s="2">
        <f>_xlfn.XLOOKUP(Table3[[#This Row],[instant]],Table1[instant],Table1[weathersit], ,0,1)</f>
        <v>2</v>
      </c>
      <c r="G483" s="2">
        <f>_xlfn.XLOOKUP(Table3[[#This Row],[instant]],Table1[instant],Table1[temp], ,0,1)</f>
        <v>0.04</v>
      </c>
      <c r="H483" s="24">
        <f>_xlfn.XLOOKUP(Table3[[#This Row],[instant]],Table2[instant],Table2[atemp], ,0,1)</f>
        <v>3.0300000000000001E-2</v>
      </c>
      <c r="I483" s="1">
        <f>_xlfn.XLOOKUP(Table3[[#This Row],[instant]],Table2[instant],Table2[hum], ,0,1)</f>
        <v>0.41</v>
      </c>
      <c r="J483" s="1">
        <f>_xlfn.XLOOKUP(Table3[[#This Row],[instant]],Table2[instant],Table2[windspeed], ,0,1)</f>
        <v>0.25369999999999998</v>
      </c>
      <c r="K483" s="1">
        <f>_xlfn.XLOOKUP(Table3[[#This Row],[instant]],Table2[instant],Table2[casual], ,0,1)</f>
        <v>0</v>
      </c>
      <c r="L483" s="1">
        <f>_xlfn.XLOOKUP(Table3[[#This Row],[instant]],Table2[instant],Table2[registered], ,0,1)</f>
        <v>11</v>
      </c>
      <c r="M483" s="6">
        <f>_xlfn.XLOOKUP(Table3[[#This Row],[instant]],Table2[instant],Table2[cnt], ,0,1)</f>
        <v>11</v>
      </c>
      <c r="N483" s="1" t="str">
        <f>IF(OR(Table3[[#This Row],[weekday]]=0,Table3[[#This Row],[weekday]]=6),"Weekend","Weekday")</f>
        <v>Weekend</v>
      </c>
    </row>
    <row r="484" spans="1:14" ht="15" thickBot="1" x14ac:dyDescent="0.35">
      <c r="A484" s="51">
        <v>483</v>
      </c>
      <c r="B484" s="52">
        <f>_xlfn.XLOOKUP(Table3[[#This Row],[instant]],DatSet1!A484:A1093,DatSet1!B484:B1093,_xlfn.XLOOKUP(Table3[[#This Row],[instant]],'Final Data'!A484:A873,'Final Data'!B484:B873, ,0,1),0,1)</f>
        <v>40565</v>
      </c>
      <c r="C484" s="51">
        <f>_xlfn.XLOOKUP(Table3[[#This Row],[instant]],Table1[instant],Table1[hr], ,0,1)</f>
        <v>3</v>
      </c>
      <c r="D484" s="53" t="b">
        <f>_xlfn.XLOOKUP(Table3[[#This Row],[instant]],Table1[instant],Table1[holiday], ,0,1)</f>
        <v>0</v>
      </c>
      <c r="E484" s="44">
        <f>_xlfn.XLOOKUP(Table3[[#This Row],[instant]],Table1[instant],Table1[weekday], ,0,1)</f>
        <v>6</v>
      </c>
      <c r="F484" s="44">
        <f>_xlfn.XLOOKUP(Table3[[#This Row],[instant]],Table1[instant],Table1[weathersit], ,0,1)</f>
        <v>2</v>
      </c>
      <c r="G484" s="44">
        <f>_xlfn.XLOOKUP(Table3[[#This Row],[instant]],Table1[instant],Table1[temp], ,0,1)</f>
        <v>0.04</v>
      </c>
      <c r="H484" s="45">
        <f>_xlfn.XLOOKUP(Table3[[#This Row],[instant]],Table2[instant],Table2[atemp], ,0,1)</f>
        <v>3.0300000000000001E-2</v>
      </c>
      <c r="I484" s="42">
        <f>_xlfn.XLOOKUP(Table3[[#This Row],[instant]],Table2[instant],Table2[hum], ,0,1)</f>
        <v>0.41</v>
      </c>
      <c r="J484" s="42">
        <f>_xlfn.XLOOKUP(Table3[[#This Row],[instant]],Table2[instant],Table2[windspeed], ,0,1)</f>
        <v>0.28360000000000002</v>
      </c>
      <c r="K484" s="42">
        <f>_xlfn.XLOOKUP(Table3[[#This Row],[instant]],Table2[instant],Table2[casual], ,0,1)</f>
        <v>1</v>
      </c>
      <c r="L484" s="42">
        <f>_xlfn.XLOOKUP(Table3[[#This Row],[instant]],Table2[instant],Table2[registered], ,0,1)</f>
        <v>6</v>
      </c>
      <c r="M484" s="46">
        <f>_xlfn.XLOOKUP(Table3[[#This Row],[instant]],Table2[instant],Table2[cnt], ,0,1)</f>
        <v>7</v>
      </c>
      <c r="N484" s="42" t="str">
        <f>IF(OR(Table3[[#This Row],[weekday]]=0,Table3[[#This Row],[weekday]]=6),"Weekend","Weekday")</f>
        <v>Weekend</v>
      </c>
    </row>
    <row r="485" spans="1:14" ht="15" thickBot="1" x14ac:dyDescent="0.35">
      <c r="A485" s="48">
        <v>484</v>
      </c>
      <c r="B485" s="49">
        <f>_xlfn.XLOOKUP(Table3[[#This Row],[instant]],DatSet1!A485:A1094,DatSet1!B485:B1094,_xlfn.XLOOKUP(Table3[[#This Row],[instant]],'Final Data'!A485:A874,'Final Data'!B485:B874, ,0,1),0,1)</f>
        <v>40565</v>
      </c>
      <c r="C485" s="48">
        <f>_xlfn.XLOOKUP(Table3[[#This Row],[instant]],Table1[instant],Table1[hr], ,0,1)</f>
        <v>4</v>
      </c>
      <c r="D485" s="50" t="b">
        <f>_xlfn.XLOOKUP(Table3[[#This Row],[instant]],Table1[instant],Table1[holiday], ,0,1)</f>
        <v>0</v>
      </c>
      <c r="E485" s="2">
        <f>_xlfn.XLOOKUP(Table3[[#This Row],[instant]],Table1[instant],Table1[weekday], ,0,1)</f>
        <v>6</v>
      </c>
      <c r="F485" s="2">
        <f>_xlfn.XLOOKUP(Table3[[#This Row],[instant]],Table1[instant],Table1[weathersit], ,0,1)</f>
        <v>2</v>
      </c>
      <c r="G485" s="2">
        <f>_xlfn.XLOOKUP(Table3[[#This Row],[instant]],Table1[instant],Table1[temp], ,0,1)</f>
        <v>0.02</v>
      </c>
      <c r="H485" s="24">
        <f>_xlfn.XLOOKUP(Table3[[#This Row],[instant]],Table2[instant],Table2[atemp], ,0,1)</f>
        <v>1.52E-2</v>
      </c>
      <c r="I485" s="1">
        <f>_xlfn.XLOOKUP(Table3[[#This Row],[instant]],Table2[instant],Table2[hum], ,0,1)</f>
        <v>0.48</v>
      </c>
      <c r="J485" s="1">
        <f>_xlfn.XLOOKUP(Table3[[#This Row],[instant]],Table2[instant],Table2[windspeed], ,0,1)</f>
        <v>0.29849999999999999</v>
      </c>
      <c r="K485" s="1">
        <f>_xlfn.XLOOKUP(Table3[[#This Row],[instant]],Table2[instant],Table2[casual], ,0,1)</f>
        <v>0</v>
      </c>
      <c r="L485" s="1">
        <f>_xlfn.XLOOKUP(Table3[[#This Row],[instant]],Table2[instant],Table2[registered], ,0,1)</f>
        <v>3</v>
      </c>
      <c r="M485" s="6">
        <f>_xlfn.XLOOKUP(Table3[[#This Row],[instant]],Table2[instant],Table2[cnt], ,0,1)</f>
        <v>3</v>
      </c>
      <c r="N485" s="1" t="str">
        <f>IF(OR(Table3[[#This Row],[weekday]]=0,Table3[[#This Row],[weekday]]=6),"Weekend","Weekday")</f>
        <v>Weekend</v>
      </c>
    </row>
    <row r="486" spans="1:14" ht="15" thickBot="1" x14ac:dyDescent="0.35">
      <c r="A486" s="51">
        <v>485</v>
      </c>
      <c r="B486" s="52">
        <f>_xlfn.XLOOKUP(Table3[[#This Row],[instant]],DatSet1!A486:A1095,DatSet1!B486:B1095,_xlfn.XLOOKUP(Table3[[#This Row],[instant]],'Final Data'!A486:A875,'Final Data'!B486:B875, ,0,1),0,1)</f>
        <v>40565</v>
      </c>
      <c r="C486" s="51">
        <f>_xlfn.XLOOKUP(Table3[[#This Row],[instant]],Table1[instant],Table1[hr], ,0,1)</f>
        <v>6</v>
      </c>
      <c r="D486" s="53" t="b">
        <f>_xlfn.XLOOKUP(Table3[[#This Row],[instant]],Table1[instant],Table1[holiday], ,0,1)</f>
        <v>0</v>
      </c>
      <c r="E486" s="44">
        <f>_xlfn.XLOOKUP(Table3[[#This Row],[instant]],Table1[instant],Table1[weekday], ,0,1)</f>
        <v>6</v>
      </c>
      <c r="F486" s="44">
        <f>_xlfn.XLOOKUP(Table3[[#This Row],[instant]],Table1[instant],Table1[weathersit], ,0,1)</f>
        <v>2</v>
      </c>
      <c r="G486" s="44">
        <f>_xlfn.XLOOKUP(Table3[[#This Row],[instant]],Table1[instant],Table1[temp], ,0,1)</f>
        <v>0.02</v>
      </c>
      <c r="H486" s="45">
        <f>_xlfn.XLOOKUP(Table3[[#This Row],[instant]],Table2[instant],Table2[atemp], ,0,1)</f>
        <v>3.0300000000000001E-2</v>
      </c>
      <c r="I486" s="42">
        <f>_xlfn.XLOOKUP(Table3[[#This Row],[instant]],Table2[instant],Table2[hum], ,0,1)</f>
        <v>0.44</v>
      </c>
      <c r="J486" s="42">
        <f>_xlfn.XLOOKUP(Table3[[#This Row],[instant]],Table2[instant],Table2[windspeed], ,0,1)</f>
        <v>0.22389999999999999</v>
      </c>
      <c r="K486" s="42">
        <f>_xlfn.XLOOKUP(Table3[[#This Row],[instant]],Table2[instant],Table2[casual], ,0,1)</f>
        <v>0</v>
      </c>
      <c r="L486" s="42">
        <f>_xlfn.XLOOKUP(Table3[[#This Row],[instant]],Table2[instant],Table2[registered], ,0,1)</f>
        <v>2</v>
      </c>
      <c r="M486" s="46">
        <f>_xlfn.XLOOKUP(Table3[[#This Row],[instant]],Table2[instant],Table2[cnt], ,0,1)</f>
        <v>2</v>
      </c>
      <c r="N486" s="42" t="str">
        <f>IF(OR(Table3[[#This Row],[weekday]]=0,Table3[[#This Row],[weekday]]=6),"Weekend","Weekday")</f>
        <v>Weekend</v>
      </c>
    </row>
    <row r="487" spans="1:14" ht="15" thickBot="1" x14ac:dyDescent="0.35">
      <c r="A487" s="48">
        <v>486</v>
      </c>
      <c r="B487" s="49">
        <f>_xlfn.XLOOKUP(Table3[[#This Row],[instant]],DatSet1!A487:A1096,DatSet1!B487:B1096,_xlfn.XLOOKUP(Table3[[#This Row],[instant]],'Final Data'!A487:A876,'Final Data'!B487:B876, ,0,1),0,1)</f>
        <v>40565</v>
      </c>
      <c r="C487" s="48">
        <f>_xlfn.XLOOKUP(Table3[[#This Row],[instant]],Table1[instant],Table1[hr], ,0,1)</f>
        <v>7</v>
      </c>
      <c r="D487" s="50" t="b">
        <f>_xlfn.XLOOKUP(Table3[[#This Row],[instant]],Table1[instant],Table1[holiday], ,0,1)</f>
        <v>0</v>
      </c>
      <c r="E487" s="2">
        <f>_xlfn.XLOOKUP(Table3[[#This Row],[instant]],Table1[instant],Table1[weekday], ,0,1)</f>
        <v>6</v>
      </c>
      <c r="F487" s="2">
        <f>_xlfn.XLOOKUP(Table3[[#This Row],[instant]],Table1[instant],Table1[weathersit], ,0,1)</f>
        <v>1</v>
      </c>
      <c r="G487" s="2">
        <f>_xlfn.XLOOKUP(Table3[[#This Row],[instant]],Table1[instant],Table1[temp], ,0,1)</f>
        <v>0.02</v>
      </c>
      <c r="H487" s="24">
        <f>_xlfn.XLOOKUP(Table3[[#This Row],[instant]],Table2[instant],Table2[atemp], ,0,1)</f>
        <v>1.52E-2</v>
      </c>
      <c r="I487" s="1">
        <f>_xlfn.XLOOKUP(Table3[[#This Row],[instant]],Table2[instant],Table2[hum], ,0,1)</f>
        <v>0.44</v>
      </c>
      <c r="J487" s="1">
        <f>_xlfn.XLOOKUP(Table3[[#This Row],[instant]],Table2[instant],Table2[windspeed], ,0,1)</f>
        <v>0.28360000000000002</v>
      </c>
      <c r="K487" s="1">
        <f>_xlfn.XLOOKUP(Table3[[#This Row],[instant]],Table2[instant],Table2[casual], ,0,1)</f>
        <v>0</v>
      </c>
      <c r="L487" s="1">
        <f>_xlfn.XLOOKUP(Table3[[#This Row],[instant]],Table2[instant],Table2[registered], ,0,1)</f>
        <v>8</v>
      </c>
      <c r="M487" s="6">
        <f>_xlfn.XLOOKUP(Table3[[#This Row],[instant]],Table2[instant],Table2[cnt], ,0,1)</f>
        <v>8</v>
      </c>
      <c r="N487" s="1" t="str">
        <f>IF(OR(Table3[[#This Row],[weekday]]=0,Table3[[#This Row],[weekday]]=6),"Weekend","Weekday")</f>
        <v>Weekend</v>
      </c>
    </row>
    <row r="488" spans="1:14" ht="15" thickBot="1" x14ac:dyDescent="0.35">
      <c r="A488" s="51">
        <v>487</v>
      </c>
      <c r="B488" s="52">
        <f>_xlfn.XLOOKUP(Table3[[#This Row],[instant]],DatSet1!A488:A1097,DatSet1!B488:B1097,_xlfn.XLOOKUP(Table3[[#This Row],[instant]],'Final Data'!A488:A877,'Final Data'!B488:B877, ,0,1),0,1)</f>
        <v>40565</v>
      </c>
      <c r="C488" s="51">
        <f>_xlfn.XLOOKUP(Table3[[#This Row],[instant]],Table1[instant],Table1[hr], ,0,1)</f>
        <v>8</v>
      </c>
      <c r="D488" s="53" t="b">
        <f>_xlfn.XLOOKUP(Table3[[#This Row],[instant]],Table1[instant],Table1[holiday], ,0,1)</f>
        <v>0</v>
      </c>
      <c r="E488" s="44">
        <f>_xlfn.XLOOKUP(Table3[[#This Row],[instant]],Table1[instant],Table1[weekday], ,0,1)</f>
        <v>6</v>
      </c>
      <c r="F488" s="44">
        <f>_xlfn.XLOOKUP(Table3[[#This Row],[instant]],Table1[instant],Table1[weathersit], ,0,1)</f>
        <v>1</v>
      </c>
      <c r="G488" s="44">
        <f>_xlfn.XLOOKUP(Table3[[#This Row],[instant]],Table1[instant],Table1[temp], ,0,1)</f>
        <v>0.02</v>
      </c>
      <c r="H488" s="45">
        <f>_xlfn.XLOOKUP(Table3[[#This Row],[instant]],Table2[instant],Table2[atemp], ,0,1)</f>
        <v>0</v>
      </c>
      <c r="I488" s="42">
        <f>_xlfn.XLOOKUP(Table3[[#This Row],[instant]],Table2[instant],Table2[hum], ,0,1)</f>
        <v>0.44</v>
      </c>
      <c r="J488" s="42">
        <f>_xlfn.XLOOKUP(Table3[[#This Row],[instant]],Table2[instant],Table2[windspeed], ,0,1)</f>
        <v>0.32840000000000003</v>
      </c>
      <c r="K488" s="42">
        <f>_xlfn.XLOOKUP(Table3[[#This Row],[instant]],Table2[instant],Table2[casual], ,0,1)</f>
        <v>1</v>
      </c>
      <c r="L488" s="42">
        <f>_xlfn.XLOOKUP(Table3[[#This Row],[instant]],Table2[instant],Table2[registered], ,0,1)</f>
        <v>26</v>
      </c>
      <c r="M488" s="46">
        <f>_xlfn.XLOOKUP(Table3[[#This Row],[instant]],Table2[instant],Table2[cnt], ,0,1)</f>
        <v>27</v>
      </c>
      <c r="N488" s="42" t="str">
        <f>IF(OR(Table3[[#This Row],[weekday]]=0,Table3[[#This Row],[weekday]]=6),"Weekend","Weekday")</f>
        <v>Weekend</v>
      </c>
    </row>
    <row r="489" spans="1:14" ht="15" thickBot="1" x14ac:dyDescent="0.35">
      <c r="A489" s="48">
        <v>488</v>
      </c>
      <c r="B489" s="49">
        <f>_xlfn.XLOOKUP(Table3[[#This Row],[instant]],DatSet1!A489:A1098,DatSet1!B489:B1098,_xlfn.XLOOKUP(Table3[[#This Row],[instant]],'Final Data'!A489:A878,'Final Data'!B489:B878, ,0,1),0,1)</f>
        <v>40565</v>
      </c>
      <c r="C489" s="48">
        <f>_xlfn.XLOOKUP(Table3[[#This Row],[instant]],Table1[instant],Table1[hr], ,0,1)</f>
        <v>9</v>
      </c>
      <c r="D489" s="50" t="b">
        <f>_xlfn.XLOOKUP(Table3[[#This Row],[instant]],Table1[instant],Table1[holiday], ,0,1)</f>
        <v>0</v>
      </c>
      <c r="E489" s="2">
        <f>_xlfn.XLOOKUP(Table3[[#This Row],[instant]],Table1[instant],Table1[weekday], ,0,1)</f>
        <v>6</v>
      </c>
      <c r="F489" s="2">
        <f>_xlfn.XLOOKUP(Table3[[#This Row],[instant]],Table1[instant],Table1[weathersit], ,0,1)</f>
        <v>1</v>
      </c>
      <c r="G489" s="2">
        <f>_xlfn.XLOOKUP(Table3[[#This Row],[instant]],Table1[instant],Table1[temp], ,0,1)</f>
        <v>0.04</v>
      </c>
      <c r="H489" s="24">
        <f>_xlfn.XLOOKUP(Table3[[#This Row],[instant]],Table2[instant],Table2[atemp], ,0,1)</f>
        <v>3.0300000000000001E-2</v>
      </c>
      <c r="I489" s="1">
        <f>_xlfn.XLOOKUP(Table3[[#This Row],[instant]],Table2[instant],Table2[hum], ,0,1)</f>
        <v>0.41</v>
      </c>
      <c r="J489" s="1">
        <f>_xlfn.XLOOKUP(Table3[[#This Row],[instant]],Table2[instant],Table2[windspeed], ,0,1)</f>
        <v>0.25369999999999998</v>
      </c>
      <c r="K489" s="1">
        <f>_xlfn.XLOOKUP(Table3[[#This Row],[instant]],Table2[instant],Table2[casual], ,0,1)</f>
        <v>3</v>
      </c>
      <c r="L489" s="1">
        <f>_xlfn.XLOOKUP(Table3[[#This Row],[instant]],Table2[instant],Table2[registered], ,0,1)</f>
        <v>37</v>
      </c>
      <c r="M489" s="6">
        <f>_xlfn.XLOOKUP(Table3[[#This Row],[instant]],Table2[instant],Table2[cnt], ,0,1)</f>
        <v>40</v>
      </c>
      <c r="N489" s="1" t="str">
        <f>IF(OR(Table3[[#This Row],[weekday]]=0,Table3[[#This Row],[weekday]]=6),"Weekend","Weekday")</f>
        <v>Weekend</v>
      </c>
    </row>
    <row r="490" spans="1:14" ht="15" thickBot="1" x14ac:dyDescent="0.35">
      <c r="A490" s="51">
        <v>489</v>
      </c>
      <c r="B490" s="52">
        <f>_xlfn.XLOOKUP(Table3[[#This Row],[instant]],DatSet1!A490:A1099,DatSet1!B490:B1099,_xlfn.XLOOKUP(Table3[[#This Row],[instant]],'Final Data'!A490:A879,'Final Data'!B490:B879, ,0,1),0,1)</f>
        <v>40565</v>
      </c>
      <c r="C490" s="51">
        <f>_xlfn.XLOOKUP(Table3[[#This Row],[instant]],Table1[instant],Table1[hr], ,0,1)</f>
        <v>10</v>
      </c>
      <c r="D490" s="53" t="b">
        <f>_xlfn.XLOOKUP(Table3[[#This Row],[instant]],Table1[instant],Table1[holiday], ,0,1)</f>
        <v>0</v>
      </c>
      <c r="E490" s="44">
        <f>_xlfn.XLOOKUP(Table3[[#This Row],[instant]],Table1[instant],Table1[weekday], ,0,1)</f>
        <v>6</v>
      </c>
      <c r="F490" s="44">
        <f>_xlfn.XLOOKUP(Table3[[#This Row],[instant]],Table1[instant],Table1[weathersit], ,0,1)</f>
        <v>2</v>
      </c>
      <c r="G490" s="44">
        <f>_xlfn.XLOOKUP(Table3[[#This Row],[instant]],Table1[instant],Table1[temp], ,0,1)</f>
        <v>0.04</v>
      </c>
      <c r="H490" s="45">
        <f>_xlfn.XLOOKUP(Table3[[#This Row],[instant]],Table2[instant],Table2[atemp], ,0,1)</f>
        <v>6.0600000000000001E-2</v>
      </c>
      <c r="I490" s="42">
        <f>_xlfn.XLOOKUP(Table3[[#This Row],[instant]],Table2[instant],Table2[hum], ,0,1)</f>
        <v>0.41</v>
      </c>
      <c r="J490" s="42">
        <f>_xlfn.XLOOKUP(Table3[[#This Row],[instant]],Table2[instant],Table2[windspeed], ,0,1)</f>
        <v>0.16420000000000001</v>
      </c>
      <c r="K490" s="42">
        <f>_xlfn.XLOOKUP(Table3[[#This Row],[instant]],Table2[instant],Table2[casual], ,0,1)</f>
        <v>3</v>
      </c>
      <c r="L490" s="42">
        <f>_xlfn.XLOOKUP(Table3[[#This Row],[instant]],Table2[instant],Table2[registered], ,0,1)</f>
        <v>50</v>
      </c>
      <c r="M490" s="46">
        <f>_xlfn.XLOOKUP(Table3[[#This Row],[instant]],Table2[instant],Table2[cnt], ,0,1)</f>
        <v>53</v>
      </c>
      <c r="N490" s="42" t="str">
        <f>IF(OR(Table3[[#This Row],[weekday]]=0,Table3[[#This Row],[weekday]]=6),"Weekend","Weekday")</f>
        <v>Weekend</v>
      </c>
    </row>
    <row r="491" spans="1:14" ht="15" thickBot="1" x14ac:dyDescent="0.35">
      <c r="A491" s="48">
        <v>490</v>
      </c>
      <c r="B491" s="49">
        <f>_xlfn.XLOOKUP(Table3[[#This Row],[instant]],DatSet1!A491:A1100,DatSet1!B491:B1100,_xlfn.XLOOKUP(Table3[[#This Row],[instant]],'Final Data'!A491:A880,'Final Data'!B491:B880, ,0,1),0,1)</f>
        <v>40565</v>
      </c>
      <c r="C491" s="48">
        <f>_xlfn.XLOOKUP(Table3[[#This Row],[instant]],Table1[instant],Table1[hr], ,0,1)</f>
        <v>11</v>
      </c>
      <c r="D491" s="50" t="b">
        <f>_xlfn.XLOOKUP(Table3[[#This Row],[instant]],Table1[instant],Table1[holiday], ,0,1)</f>
        <v>0</v>
      </c>
      <c r="E491" s="2">
        <f>_xlfn.XLOOKUP(Table3[[#This Row],[instant]],Table1[instant],Table1[weekday], ,0,1)</f>
        <v>6</v>
      </c>
      <c r="F491" s="2">
        <f>_xlfn.XLOOKUP(Table3[[#This Row],[instant]],Table1[instant],Table1[weathersit], ,0,1)</f>
        <v>2</v>
      </c>
      <c r="G491" s="2">
        <f>_xlfn.XLOOKUP(Table3[[#This Row],[instant]],Table1[instant],Table1[temp], ,0,1)</f>
        <v>0.06</v>
      </c>
      <c r="H491" s="24">
        <f>_xlfn.XLOOKUP(Table3[[#This Row],[instant]],Table2[instant],Table2[atemp], ,0,1)</f>
        <v>7.5800000000000006E-2</v>
      </c>
      <c r="I491" s="1">
        <f>_xlfn.XLOOKUP(Table3[[#This Row],[instant]],Table2[instant],Table2[hum], ,0,1)</f>
        <v>0.38</v>
      </c>
      <c r="J491" s="1">
        <f>_xlfn.XLOOKUP(Table3[[#This Row],[instant]],Table2[instant],Table2[windspeed], ,0,1)</f>
        <v>0.1343</v>
      </c>
      <c r="K491" s="1">
        <f>_xlfn.XLOOKUP(Table3[[#This Row],[instant]],Table2[instant],Table2[casual], ,0,1)</f>
        <v>4</v>
      </c>
      <c r="L491" s="1">
        <f>_xlfn.XLOOKUP(Table3[[#This Row],[instant]],Table2[instant],Table2[registered], ,0,1)</f>
        <v>59</v>
      </c>
      <c r="M491" s="6">
        <f>_xlfn.XLOOKUP(Table3[[#This Row],[instant]],Table2[instant],Table2[cnt], ,0,1)</f>
        <v>63</v>
      </c>
      <c r="N491" s="1" t="str">
        <f>IF(OR(Table3[[#This Row],[weekday]]=0,Table3[[#This Row],[weekday]]=6),"Weekend","Weekday")</f>
        <v>Weekend</v>
      </c>
    </row>
    <row r="492" spans="1:14" ht="15" thickBot="1" x14ac:dyDescent="0.35">
      <c r="A492" s="51">
        <v>491</v>
      </c>
      <c r="B492" s="52">
        <f>_xlfn.XLOOKUP(Table3[[#This Row],[instant]],DatSet1!A492:A1101,DatSet1!B492:B1101,_xlfn.XLOOKUP(Table3[[#This Row],[instant]],'Final Data'!A492:A881,'Final Data'!B492:B881, ,0,1),0,1)</f>
        <v>40565</v>
      </c>
      <c r="C492" s="51">
        <f>_xlfn.XLOOKUP(Table3[[#This Row],[instant]],Table1[instant],Table1[hr], ,0,1)</f>
        <v>12</v>
      </c>
      <c r="D492" s="53" t="b">
        <f>_xlfn.XLOOKUP(Table3[[#This Row],[instant]],Table1[instant],Table1[holiday], ,0,1)</f>
        <v>0</v>
      </c>
      <c r="E492" s="44">
        <f>_xlfn.XLOOKUP(Table3[[#This Row],[instant]],Table1[instant],Table1[weekday], ,0,1)</f>
        <v>6</v>
      </c>
      <c r="F492" s="44">
        <f>_xlfn.XLOOKUP(Table3[[#This Row],[instant]],Table1[instant],Table1[weathersit], ,0,1)</f>
        <v>2</v>
      </c>
      <c r="G492" s="44">
        <f>_xlfn.XLOOKUP(Table3[[#This Row],[instant]],Table1[instant],Table1[temp], ,0,1)</f>
        <v>0.06</v>
      </c>
      <c r="H492" s="45">
        <f>_xlfn.XLOOKUP(Table3[[#This Row],[instant]],Table2[instant],Table2[atemp], ,0,1)</f>
        <v>0.1061</v>
      </c>
      <c r="I492" s="42">
        <f>_xlfn.XLOOKUP(Table3[[#This Row],[instant]],Table2[instant],Table2[hum], ,0,1)</f>
        <v>0.38</v>
      </c>
      <c r="J492" s="42">
        <f>_xlfn.XLOOKUP(Table3[[#This Row],[instant]],Table2[instant],Table2[windspeed], ,0,1)</f>
        <v>0.1045</v>
      </c>
      <c r="K492" s="42">
        <f>_xlfn.XLOOKUP(Table3[[#This Row],[instant]],Table2[instant],Table2[casual], ,0,1)</f>
        <v>10</v>
      </c>
      <c r="L492" s="42">
        <f>_xlfn.XLOOKUP(Table3[[#This Row],[instant]],Table2[instant],Table2[registered], ,0,1)</f>
        <v>60</v>
      </c>
      <c r="M492" s="46">
        <f>_xlfn.XLOOKUP(Table3[[#This Row],[instant]],Table2[instant],Table2[cnt], ,0,1)</f>
        <v>70</v>
      </c>
      <c r="N492" s="42" t="str">
        <f>IF(OR(Table3[[#This Row],[weekday]]=0,Table3[[#This Row],[weekday]]=6),"Weekend","Weekday")</f>
        <v>Weekend</v>
      </c>
    </row>
    <row r="493" spans="1:14" ht="15" thickBot="1" x14ac:dyDescent="0.35">
      <c r="A493" s="48">
        <v>492</v>
      </c>
      <c r="B493" s="49">
        <f>_xlfn.XLOOKUP(Table3[[#This Row],[instant]],DatSet1!A493:A1102,DatSet1!B493:B1102,_xlfn.XLOOKUP(Table3[[#This Row],[instant]],'Final Data'!A493:A882,'Final Data'!B493:B882, ,0,1),0,1)</f>
        <v>40565</v>
      </c>
      <c r="C493" s="48">
        <f>_xlfn.XLOOKUP(Table3[[#This Row],[instant]],Table1[instant],Table1[hr], ,0,1)</f>
        <v>13</v>
      </c>
      <c r="D493" s="50" t="b">
        <f>_xlfn.XLOOKUP(Table3[[#This Row],[instant]],Table1[instant],Table1[holiday], ,0,1)</f>
        <v>0</v>
      </c>
      <c r="E493" s="2">
        <f>_xlfn.XLOOKUP(Table3[[#This Row],[instant]],Table1[instant],Table1[weekday], ,0,1)</f>
        <v>6</v>
      </c>
      <c r="F493" s="2">
        <f>_xlfn.XLOOKUP(Table3[[#This Row],[instant]],Table1[instant],Table1[weathersit], ,0,1)</f>
        <v>1</v>
      </c>
      <c r="G493" s="2">
        <f>_xlfn.XLOOKUP(Table3[[#This Row],[instant]],Table1[instant],Table1[temp], ,0,1)</f>
        <v>0.08</v>
      </c>
      <c r="H493" s="24">
        <f>_xlfn.XLOOKUP(Table3[[#This Row],[instant]],Table2[instant],Table2[atemp], ,0,1)</f>
        <v>0.16669999999999999</v>
      </c>
      <c r="I493" s="1">
        <f>_xlfn.XLOOKUP(Table3[[#This Row],[instant]],Table2[instant],Table2[hum], ,0,1)</f>
        <v>0.35</v>
      </c>
      <c r="J493" s="1">
        <f>_xlfn.XLOOKUP(Table3[[#This Row],[instant]],Table2[instant],Table2[windspeed], ,0,1)</f>
        <v>0</v>
      </c>
      <c r="K493" s="1">
        <f>_xlfn.XLOOKUP(Table3[[#This Row],[instant]],Table2[instant],Table2[casual], ,0,1)</f>
        <v>12</v>
      </c>
      <c r="L493" s="1">
        <f>_xlfn.XLOOKUP(Table3[[#This Row],[instant]],Table2[instant],Table2[registered], ,0,1)</f>
        <v>72</v>
      </c>
      <c r="M493" s="6">
        <f>_xlfn.XLOOKUP(Table3[[#This Row],[instant]],Table2[instant],Table2[cnt], ,0,1)</f>
        <v>84</v>
      </c>
      <c r="N493" s="1" t="str">
        <f>IF(OR(Table3[[#This Row],[weekday]]=0,Table3[[#This Row],[weekday]]=6),"Weekend","Weekday")</f>
        <v>Weekend</v>
      </c>
    </row>
    <row r="494" spans="1:14" ht="15" thickBot="1" x14ac:dyDescent="0.35">
      <c r="A494" s="51">
        <v>493</v>
      </c>
      <c r="B494" s="52">
        <f>_xlfn.XLOOKUP(Table3[[#This Row],[instant]],DatSet1!A494:A1103,DatSet1!B494:B1103,_xlfn.XLOOKUP(Table3[[#This Row],[instant]],'Final Data'!A494:A883,'Final Data'!B494:B883, ,0,1),0,1)</f>
        <v>40565</v>
      </c>
      <c r="C494" s="51">
        <f>_xlfn.XLOOKUP(Table3[[#This Row],[instant]],Table1[instant],Table1[hr], ,0,1)</f>
        <v>14</v>
      </c>
      <c r="D494" s="53" t="b">
        <f>_xlfn.XLOOKUP(Table3[[#This Row],[instant]],Table1[instant],Table1[holiday], ,0,1)</f>
        <v>0</v>
      </c>
      <c r="E494" s="44">
        <f>_xlfn.XLOOKUP(Table3[[#This Row],[instant]],Table1[instant],Table1[weekday], ,0,1)</f>
        <v>6</v>
      </c>
      <c r="F494" s="44">
        <f>_xlfn.XLOOKUP(Table3[[#This Row],[instant]],Table1[instant],Table1[weathersit], ,0,1)</f>
        <v>1</v>
      </c>
      <c r="G494" s="44">
        <f>_xlfn.XLOOKUP(Table3[[#This Row],[instant]],Table1[instant],Table1[temp], ,0,1)</f>
        <v>0.1</v>
      </c>
      <c r="H494" s="45">
        <f>_xlfn.XLOOKUP(Table3[[#This Row],[instant]],Table2[instant],Table2[atemp], ,0,1)</f>
        <v>0.13639999999999999</v>
      </c>
      <c r="I494" s="42">
        <f>_xlfn.XLOOKUP(Table3[[#This Row],[instant]],Table2[instant],Table2[hum], ,0,1)</f>
        <v>0.33</v>
      </c>
      <c r="J494" s="42">
        <f>_xlfn.XLOOKUP(Table3[[#This Row],[instant]],Table2[instant],Table2[windspeed], ,0,1)</f>
        <v>0.1045</v>
      </c>
      <c r="K494" s="42">
        <f>_xlfn.XLOOKUP(Table3[[#This Row],[instant]],Table2[instant],Table2[casual], ,0,1)</f>
        <v>11</v>
      </c>
      <c r="L494" s="42">
        <f>_xlfn.XLOOKUP(Table3[[#This Row],[instant]],Table2[instant],Table2[registered], ,0,1)</f>
        <v>64</v>
      </c>
      <c r="M494" s="46">
        <f>_xlfn.XLOOKUP(Table3[[#This Row],[instant]],Table2[instant],Table2[cnt], ,0,1)</f>
        <v>75</v>
      </c>
      <c r="N494" s="42" t="str">
        <f>IF(OR(Table3[[#This Row],[weekday]]=0,Table3[[#This Row],[weekday]]=6),"Weekend","Weekday")</f>
        <v>Weekend</v>
      </c>
    </row>
    <row r="495" spans="1:14" ht="15" thickBot="1" x14ac:dyDescent="0.35">
      <c r="A495" s="48">
        <v>494</v>
      </c>
      <c r="B495" s="49">
        <f>_xlfn.XLOOKUP(Table3[[#This Row],[instant]],DatSet1!A495:A1104,DatSet1!B495:B1104,_xlfn.XLOOKUP(Table3[[#This Row],[instant]],'Final Data'!A495:A884,'Final Data'!B495:B884, ,0,1),0,1)</f>
        <v>40565</v>
      </c>
      <c r="C495" s="48">
        <f>_xlfn.XLOOKUP(Table3[[#This Row],[instant]],Table1[instant],Table1[hr], ,0,1)</f>
        <v>15</v>
      </c>
      <c r="D495" s="50" t="b">
        <f>_xlfn.XLOOKUP(Table3[[#This Row],[instant]],Table1[instant],Table1[holiday], ,0,1)</f>
        <v>0</v>
      </c>
      <c r="E495" s="2">
        <f>_xlfn.XLOOKUP(Table3[[#This Row],[instant]],Table1[instant],Table1[weekday], ,0,1)</f>
        <v>6</v>
      </c>
      <c r="F495" s="2">
        <f>_xlfn.XLOOKUP(Table3[[#This Row],[instant]],Table1[instant],Table1[weathersit], ,0,1)</f>
        <v>1</v>
      </c>
      <c r="G495" s="2">
        <f>_xlfn.XLOOKUP(Table3[[#This Row],[instant]],Table1[instant],Table1[temp], ,0,1)</f>
        <v>0.12</v>
      </c>
      <c r="H495" s="24">
        <f>_xlfn.XLOOKUP(Table3[[#This Row],[instant]],Table2[instant],Table2[atemp], ,0,1)</f>
        <v>0.1515</v>
      </c>
      <c r="I495" s="1">
        <f>_xlfn.XLOOKUP(Table3[[#This Row],[instant]],Table2[instant],Table2[hum], ,0,1)</f>
        <v>0.28000000000000003</v>
      </c>
      <c r="J495" s="1">
        <f>_xlfn.XLOOKUP(Table3[[#This Row],[instant]],Table2[instant],Table2[windspeed], ,0,1)</f>
        <v>0</v>
      </c>
      <c r="K495" s="1">
        <f>_xlfn.XLOOKUP(Table3[[#This Row],[instant]],Table2[instant],Table2[casual], ,0,1)</f>
        <v>10</v>
      </c>
      <c r="L495" s="1">
        <f>_xlfn.XLOOKUP(Table3[[#This Row],[instant]],Table2[instant],Table2[registered], ,0,1)</f>
        <v>93</v>
      </c>
      <c r="M495" s="6">
        <f>_xlfn.XLOOKUP(Table3[[#This Row],[instant]],Table2[instant],Table2[cnt], ,0,1)</f>
        <v>103</v>
      </c>
      <c r="N495" s="1" t="str">
        <f>IF(OR(Table3[[#This Row],[weekday]]=0,Table3[[#This Row],[weekday]]=6),"Weekend","Weekday")</f>
        <v>Weekend</v>
      </c>
    </row>
    <row r="496" spans="1:14" ht="15" thickBot="1" x14ac:dyDescent="0.35">
      <c r="A496" s="51">
        <v>495</v>
      </c>
      <c r="B496" s="52">
        <f>_xlfn.XLOOKUP(Table3[[#This Row],[instant]],DatSet1!A496:A1105,DatSet1!B496:B1105,_xlfn.XLOOKUP(Table3[[#This Row],[instant]],'Final Data'!A496:A885,'Final Data'!B496:B885, ,0,1),0,1)</f>
        <v>40565</v>
      </c>
      <c r="C496" s="51">
        <f>_xlfn.XLOOKUP(Table3[[#This Row],[instant]],Table1[instant],Table1[hr], ,0,1)</f>
        <v>16</v>
      </c>
      <c r="D496" s="53" t="b">
        <f>_xlfn.XLOOKUP(Table3[[#This Row],[instant]],Table1[instant],Table1[holiday], ,0,1)</f>
        <v>0</v>
      </c>
      <c r="E496" s="44">
        <f>_xlfn.XLOOKUP(Table3[[#This Row],[instant]],Table1[instant],Table1[weekday], ,0,1)</f>
        <v>6</v>
      </c>
      <c r="F496" s="44">
        <f>_xlfn.XLOOKUP(Table3[[#This Row],[instant]],Table1[instant],Table1[weathersit], ,0,1)</f>
        <v>1</v>
      </c>
      <c r="G496" s="44">
        <f>_xlfn.XLOOKUP(Table3[[#This Row],[instant]],Table1[instant],Table1[temp], ,0,1)</f>
        <v>0.12</v>
      </c>
      <c r="H496" s="45">
        <f>_xlfn.XLOOKUP(Table3[[#This Row],[instant]],Table2[instant],Table2[atemp], ,0,1)</f>
        <v>0.13639999999999999</v>
      </c>
      <c r="I496" s="42">
        <f>_xlfn.XLOOKUP(Table3[[#This Row],[instant]],Table2[instant],Table2[hum], ,0,1)</f>
        <v>0.28000000000000003</v>
      </c>
      <c r="J496" s="42">
        <f>_xlfn.XLOOKUP(Table3[[#This Row],[instant]],Table2[instant],Table2[windspeed], ,0,1)</f>
        <v>0.19400000000000001</v>
      </c>
      <c r="K496" s="42">
        <f>_xlfn.XLOOKUP(Table3[[#This Row],[instant]],Table2[instant],Table2[casual], ,0,1)</f>
        <v>11</v>
      </c>
      <c r="L496" s="42">
        <f>_xlfn.XLOOKUP(Table3[[#This Row],[instant]],Table2[instant],Table2[registered], ,0,1)</f>
        <v>72</v>
      </c>
      <c r="M496" s="46">
        <f>_xlfn.XLOOKUP(Table3[[#This Row],[instant]],Table2[instant],Table2[cnt], ,0,1)</f>
        <v>83</v>
      </c>
      <c r="N496" s="42" t="str">
        <f>IF(OR(Table3[[#This Row],[weekday]]=0,Table3[[#This Row],[weekday]]=6),"Weekend","Weekday")</f>
        <v>Weekend</v>
      </c>
    </row>
    <row r="497" spans="1:14" ht="15" thickBot="1" x14ac:dyDescent="0.35">
      <c r="A497" s="48">
        <v>496</v>
      </c>
      <c r="B497" s="49">
        <f>_xlfn.XLOOKUP(Table3[[#This Row],[instant]],DatSet1!A497:A1106,DatSet1!B497:B1106,_xlfn.XLOOKUP(Table3[[#This Row],[instant]],'Final Data'!A497:A886,'Final Data'!B497:B886, ,0,1),0,1)</f>
        <v>40565</v>
      </c>
      <c r="C497" s="48">
        <f>_xlfn.XLOOKUP(Table3[[#This Row],[instant]],Table1[instant],Table1[hr], ,0,1)</f>
        <v>17</v>
      </c>
      <c r="D497" s="50" t="b">
        <f>_xlfn.XLOOKUP(Table3[[#This Row],[instant]],Table1[instant],Table1[holiday], ,0,1)</f>
        <v>0</v>
      </c>
      <c r="E497" s="2">
        <f>_xlfn.XLOOKUP(Table3[[#This Row],[instant]],Table1[instant],Table1[weekday], ,0,1)</f>
        <v>6</v>
      </c>
      <c r="F497" s="2">
        <f>_xlfn.XLOOKUP(Table3[[#This Row],[instant]],Table1[instant],Table1[weathersit], ,0,1)</f>
        <v>1</v>
      </c>
      <c r="G497" s="2">
        <f>_xlfn.XLOOKUP(Table3[[#This Row],[instant]],Table1[instant],Table1[temp], ,0,1)</f>
        <v>0.12</v>
      </c>
      <c r="H497" s="24">
        <f>_xlfn.XLOOKUP(Table3[[#This Row],[instant]],Table2[instant],Table2[atemp], ,0,1)</f>
        <v>0.19700000000000001</v>
      </c>
      <c r="I497" s="1">
        <f>_xlfn.XLOOKUP(Table3[[#This Row],[instant]],Table2[instant],Table2[hum], ,0,1)</f>
        <v>0.28000000000000003</v>
      </c>
      <c r="J497" s="1">
        <f>_xlfn.XLOOKUP(Table3[[#This Row],[instant]],Table2[instant],Table2[windspeed], ,0,1)</f>
        <v>0</v>
      </c>
      <c r="K497" s="1">
        <f>_xlfn.XLOOKUP(Table3[[#This Row],[instant]],Table2[instant],Table2[casual], ,0,1)</f>
        <v>8</v>
      </c>
      <c r="L497" s="1">
        <f>_xlfn.XLOOKUP(Table3[[#This Row],[instant]],Table2[instant],Table2[registered], ,0,1)</f>
        <v>59</v>
      </c>
      <c r="M497" s="6">
        <f>_xlfn.XLOOKUP(Table3[[#This Row],[instant]],Table2[instant],Table2[cnt], ,0,1)</f>
        <v>67</v>
      </c>
      <c r="N497" s="1" t="str">
        <f>IF(OR(Table3[[#This Row],[weekday]]=0,Table3[[#This Row],[weekday]]=6),"Weekend","Weekday")</f>
        <v>Weekend</v>
      </c>
    </row>
    <row r="498" spans="1:14" ht="15" thickBot="1" x14ac:dyDescent="0.35">
      <c r="A498" s="51">
        <v>497</v>
      </c>
      <c r="B498" s="52">
        <f>_xlfn.XLOOKUP(Table3[[#This Row],[instant]],DatSet1!A498:A1107,DatSet1!B498:B1107,_xlfn.XLOOKUP(Table3[[#This Row],[instant]],'Final Data'!A498:A887,'Final Data'!B498:B887, ,0,1),0,1)</f>
        <v>40565</v>
      </c>
      <c r="C498" s="51">
        <f>_xlfn.XLOOKUP(Table3[[#This Row],[instant]],Table1[instant],Table1[hr], ,0,1)</f>
        <v>18</v>
      </c>
      <c r="D498" s="53" t="b">
        <f>_xlfn.XLOOKUP(Table3[[#This Row],[instant]],Table1[instant],Table1[holiday], ,0,1)</f>
        <v>0</v>
      </c>
      <c r="E498" s="44">
        <f>_xlfn.XLOOKUP(Table3[[#This Row],[instant]],Table1[instant],Table1[weekday], ,0,1)</f>
        <v>6</v>
      </c>
      <c r="F498" s="44">
        <f>_xlfn.XLOOKUP(Table3[[#This Row],[instant]],Table1[instant],Table1[weathersit], ,0,1)</f>
        <v>1</v>
      </c>
      <c r="G498" s="44">
        <f>_xlfn.XLOOKUP(Table3[[#This Row],[instant]],Table1[instant],Table1[temp], ,0,1)</f>
        <v>0.08</v>
      </c>
      <c r="H498" s="45">
        <f>_xlfn.XLOOKUP(Table3[[#This Row],[instant]],Table2[instant],Table2[atemp], ,0,1)</f>
        <v>9.0899999999999995E-2</v>
      </c>
      <c r="I498" s="42">
        <f>_xlfn.XLOOKUP(Table3[[#This Row],[instant]],Table2[instant],Table2[hum], ,0,1)</f>
        <v>0.35</v>
      </c>
      <c r="J498" s="42">
        <f>_xlfn.XLOOKUP(Table3[[#This Row],[instant]],Table2[instant],Table2[windspeed], ,0,1)</f>
        <v>0.19400000000000001</v>
      </c>
      <c r="K498" s="42">
        <f>_xlfn.XLOOKUP(Table3[[#This Row],[instant]],Table2[instant],Table2[casual], ,0,1)</f>
        <v>0</v>
      </c>
      <c r="L498" s="42">
        <f>_xlfn.XLOOKUP(Table3[[#This Row],[instant]],Table2[instant],Table2[registered], ,0,1)</f>
        <v>54</v>
      </c>
      <c r="M498" s="46">
        <f>_xlfn.XLOOKUP(Table3[[#This Row],[instant]],Table2[instant],Table2[cnt], ,0,1)</f>
        <v>54</v>
      </c>
      <c r="N498" s="42" t="str">
        <f>IF(OR(Table3[[#This Row],[weekday]]=0,Table3[[#This Row],[weekday]]=6),"Weekend","Weekday")</f>
        <v>Weekend</v>
      </c>
    </row>
    <row r="499" spans="1:14" ht="15" thickBot="1" x14ac:dyDescent="0.35">
      <c r="A499" s="48">
        <v>498</v>
      </c>
      <c r="B499" s="49">
        <f>_xlfn.XLOOKUP(Table3[[#This Row],[instant]],DatSet1!A499:A1108,DatSet1!B499:B1108,_xlfn.XLOOKUP(Table3[[#This Row],[instant]],'Final Data'!A499:A888,'Final Data'!B499:B888, ,0,1),0,1)</f>
        <v>40565</v>
      </c>
      <c r="C499" s="48">
        <f>_xlfn.XLOOKUP(Table3[[#This Row],[instant]],Table1[instant],Table1[hr], ,0,1)</f>
        <v>19</v>
      </c>
      <c r="D499" s="50" t="b">
        <f>_xlfn.XLOOKUP(Table3[[#This Row],[instant]],Table1[instant],Table1[holiday], ,0,1)</f>
        <v>0</v>
      </c>
      <c r="E499" s="2">
        <f>_xlfn.XLOOKUP(Table3[[#This Row],[instant]],Table1[instant],Table1[weekday], ,0,1)</f>
        <v>6</v>
      </c>
      <c r="F499" s="2">
        <f>_xlfn.XLOOKUP(Table3[[#This Row],[instant]],Table1[instant],Table1[weathersit], ,0,1)</f>
        <v>1</v>
      </c>
      <c r="G499" s="2">
        <f>_xlfn.XLOOKUP(Table3[[#This Row],[instant]],Table1[instant],Table1[temp], ,0,1)</f>
        <v>0.08</v>
      </c>
      <c r="H499" s="24">
        <f>_xlfn.XLOOKUP(Table3[[#This Row],[instant]],Table2[instant],Table2[atemp], ,0,1)</f>
        <v>0.1061</v>
      </c>
      <c r="I499" s="1">
        <f>_xlfn.XLOOKUP(Table3[[#This Row],[instant]],Table2[instant],Table2[hum], ,0,1)</f>
        <v>0.35</v>
      </c>
      <c r="J499" s="1">
        <f>_xlfn.XLOOKUP(Table3[[#This Row],[instant]],Table2[instant],Table2[windspeed], ,0,1)</f>
        <v>0.1343</v>
      </c>
      <c r="K499" s="1">
        <f>_xlfn.XLOOKUP(Table3[[#This Row],[instant]],Table2[instant],Table2[casual], ,0,1)</f>
        <v>6</v>
      </c>
      <c r="L499" s="1">
        <f>_xlfn.XLOOKUP(Table3[[#This Row],[instant]],Table2[instant],Table2[registered], ,0,1)</f>
        <v>53</v>
      </c>
      <c r="M499" s="6">
        <f>_xlfn.XLOOKUP(Table3[[#This Row],[instant]],Table2[instant],Table2[cnt], ,0,1)</f>
        <v>59</v>
      </c>
      <c r="N499" s="1" t="str">
        <f>IF(OR(Table3[[#This Row],[weekday]]=0,Table3[[#This Row],[weekday]]=6),"Weekend","Weekday")</f>
        <v>Weekend</v>
      </c>
    </row>
    <row r="500" spans="1:14" ht="15" thickBot="1" x14ac:dyDescent="0.35">
      <c r="A500" s="51">
        <v>499</v>
      </c>
      <c r="B500" s="52">
        <f>_xlfn.XLOOKUP(Table3[[#This Row],[instant]],DatSet1!A500:A1109,DatSet1!B500:B1109,_xlfn.XLOOKUP(Table3[[#This Row],[instant]],'Final Data'!A500:A889,'Final Data'!B500:B889, ,0,1),0,1)</f>
        <v>40565</v>
      </c>
      <c r="C500" s="51">
        <f>_xlfn.XLOOKUP(Table3[[#This Row],[instant]],Table1[instant],Table1[hr], ,0,1)</f>
        <v>20</v>
      </c>
      <c r="D500" s="53" t="b">
        <f>_xlfn.XLOOKUP(Table3[[#This Row],[instant]],Table1[instant],Table1[holiday], ,0,1)</f>
        <v>0</v>
      </c>
      <c r="E500" s="44">
        <f>_xlfn.XLOOKUP(Table3[[#This Row],[instant]],Table1[instant],Table1[weekday], ,0,1)</f>
        <v>6</v>
      </c>
      <c r="F500" s="44">
        <f>_xlfn.XLOOKUP(Table3[[#This Row],[instant]],Table1[instant],Table1[weathersit], ,0,1)</f>
        <v>1</v>
      </c>
      <c r="G500" s="44">
        <f>_xlfn.XLOOKUP(Table3[[#This Row],[instant]],Table1[instant],Table1[temp], ,0,1)</f>
        <v>0.06</v>
      </c>
      <c r="H500" s="45">
        <f>_xlfn.XLOOKUP(Table3[[#This Row],[instant]],Table2[instant],Table2[atemp], ,0,1)</f>
        <v>7.5800000000000006E-2</v>
      </c>
      <c r="I500" s="42">
        <f>_xlfn.XLOOKUP(Table3[[#This Row],[instant]],Table2[instant],Table2[hum], ,0,1)</f>
        <v>0.45</v>
      </c>
      <c r="J500" s="42">
        <f>_xlfn.XLOOKUP(Table3[[#This Row],[instant]],Table2[instant],Table2[windspeed], ,0,1)</f>
        <v>0.16420000000000001</v>
      </c>
      <c r="K500" s="42">
        <f>_xlfn.XLOOKUP(Table3[[#This Row],[instant]],Table2[instant],Table2[casual], ,0,1)</f>
        <v>1</v>
      </c>
      <c r="L500" s="42">
        <f>_xlfn.XLOOKUP(Table3[[#This Row],[instant]],Table2[instant],Table2[registered], ,0,1)</f>
        <v>44</v>
      </c>
      <c r="M500" s="46">
        <f>_xlfn.XLOOKUP(Table3[[#This Row],[instant]],Table2[instant],Table2[cnt], ,0,1)</f>
        <v>45</v>
      </c>
      <c r="N500" s="42" t="str">
        <f>IF(OR(Table3[[#This Row],[weekday]]=0,Table3[[#This Row],[weekday]]=6),"Weekend","Weekday")</f>
        <v>Weekend</v>
      </c>
    </row>
    <row r="501" spans="1:14" ht="15" thickBot="1" x14ac:dyDescent="0.35">
      <c r="A501" s="48">
        <v>500</v>
      </c>
      <c r="B501" s="49">
        <f>_xlfn.XLOOKUP(Table3[[#This Row],[instant]],DatSet1!A501:A1110,DatSet1!B501:B1110,_xlfn.XLOOKUP(Table3[[#This Row],[instant]],'Final Data'!A501:A890,'Final Data'!B501:B890, ,0,1),0,1)</f>
        <v>40565</v>
      </c>
      <c r="C501" s="48">
        <f>_xlfn.XLOOKUP(Table3[[#This Row],[instant]],Table1[instant],Table1[hr], ,0,1)</f>
        <v>21</v>
      </c>
      <c r="D501" s="50" t="b">
        <f>_xlfn.XLOOKUP(Table3[[#This Row],[instant]],Table1[instant],Table1[holiday], ,0,1)</f>
        <v>0</v>
      </c>
      <c r="E501" s="2">
        <f>_xlfn.XLOOKUP(Table3[[#This Row],[instant]],Table1[instant],Table1[weekday], ,0,1)</f>
        <v>6</v>
      </c>
      <c r="F501" s="2">
        <f>_xlfn.XLOOKUP(Table3[[#This Row],[instant]],Table1[instant],Table1[weathersit], ,0,1)</f>
        <v>1</v>
      </c>
      <c r="G501" s="2">
        <f>_xlfn.XLOOKUP(Table3[[#This Row],[instant]],Table1[instant],Table1[temp], ,0,1)</f>
        <v>0.06</v>
      </c>
      <c r="H501" s="24">
        <f>_xlfn.XLOOKUP(Table3[[#This Row],[instant]],Table2[instant],Table2[atemp], ,0,1)</f>
        <v>0.1061</v>
      </c>
      <c r="I501" s="1">
        <f>_xlfn.XLOOKUP(Table3[[#This Row],[instant]],Table2[instant],Table2[hum], ,0,1)</f>
        <v>0.41</v>
      </c>
      <c r="J501" s="1">
        <f>_xlfn.XLOOKUP(Table3[[#This Row],[instant]],Table2[instant],Table2[windspeed], ,0,1)</f>
        <v>8.9599999999999999E-2</v>
      </c>
      <c r="K501" s="1">
        <f>_xlfn.XLOOKUP(Table3[[#This Row],[instant]],Table2[instant],Table2[casual], ,0,1)</f>
        <v>0</v>
      </c>
      <c r="L501" s="1">
        <f>_xlfn.XLOOKUP(Table3[[#This Row],[instant]],Table2[instant],Table2[registered], ,0,1)</f>
        <v>39</v>
      </c>
      <c r="M501" s="6">
        <f>_xlfn.XLOOKUP(Table3[[#This Row],[instant]],Table2[instant],Table2[cnt], ,0,1)</f>
        <v>39</v>
      </c>
      <c r="N501" s="1" t="str">
        <f>IF(OR(Table3[[#This Row],[weekday]]=0,Table3[[#This Row],[weekday]]=6),"Weekend","Weekday")</f>
        <v>Weekend</v>
      </c>
    </row>
    <row r="502" spans="1:14" ht="15" thickBot="1" x14ac:dyDescent="0.35">
      <c r="A502" s="51">
        <v>501</v>
      </c>
      <c r="B502" s="52">
        <f>_xlfn.XLOOKUP(Table3[[#This Row],[instant]],DatSet1!A502:A1111,DatSet1!B502:B1111,_xlfn.XLOOKUP(Table3[[#This Row],[instant]],'Final Data'!A502:A891,'Final Data'!B502:B891, ,0,1),0,1)</f>
        <v>40565</v>
      </c>
      <c r="C502" s="51">
        <f>_xlfn.XLOOKUP(Table3[[#This Row],[instant]],Table1[instant],Table1[hr], ,0,1)</f>
        <v>22</v>
      </c>
      <c r="D502" s="53" t="b">
        <f>_xlfn.XLOOKUP(Table3[[#This Row],[instant]],Table1[instant],Table1[holiday], ,0,1)</f>
        <v>0</v>
      </c>
      <c r="E502" s="44">
        <f>_xlfn.XLOOKUP(Table3[[#This Row],[instant]],Table1[instant],Table1[weekday], ,0,1)</f>
        <v>6</v>
      </c>
      <c r="F502" s="44">
        <f>_xlfn.XLOOKUP(Table3[[#This Row],[instant]],Table1[instant],Table1[weathersit], ,0,1)</f>
        <v>1</v>
      </c>
      <c r="G502" s="44">
        <f>_xlfn.XLOOKUP(Table3[[#This Row],[instant]],Table1[instant],Table1[temp], ,0,1)</f>
        <v>0.06</v>
      </c>
      <c r="H502" s="45">
        <f>_xlfn.XLOOKUP(Table3[[#This Row],[instant]],Table2[instant],Table2[atemp], ,0,1)</f>
        <v>0.1515</v>
      </c>
      <c r="I502" s="42">
        <f>_xlfn.XLOOKUP(Table3[[#This Row],[instant]],Table2[instant],Table2[hum], ,0,1)</f>
        <v>0.49</v>
      </c>
      <c r="J502" s="42">
        <f>_xlfn.XLOOKUP(Table3[[#This Row],[instant]],Table2[instant],Table2[windspeed], ,0,1)</f>
        <v>0</v>
      </c>
      <c r="K502" s="42">
        <f>_xlfn.XLOOKUP(Table3[[#This Row],[instant]],Table2[instant],Table2[casual], ,0,1)</f>
        <v>7</v>
      </c>
      <c r="L502" s="42">
        <f>_xlfn.XLOOKUP(Table3[[#This Row],[instant]],Table2[instant],Table2[registered], ,0,1)</f>
        <v>23</v>
      </c>
      <c r="M502" s="46">
        <f>_xlfn.XLOOKUP(Table3[[#This Row],[instant]],Table2[instant],Table2[cnt], ,0,1)</f>
        <v>30</v>
      </c>
      <c r="N502" s="42" t="str">
        <f>IF(OR(Table3[[#This Row],[weekday]]=0,Table3[[#This Row],[weekday]]=6),"Weekend","Weekday")</f>
        <v>Weekend</v>
      </c>
    </row>
    <row r="503" spans="1:14" ht="15" thickBot="1" x14ac:dyDescent="0.35">
      <c r="A503" s="48">
        <v>502</v>
      </c>
      <c r="B503" s="49">
        <f>_xlfn.XLOOKUP(Table3[[#This Row],[instant]],DatSet1!A503:A1112,DatSet1!B503:B1112,_xlfn.XLOOKUP(Table3[[#This Row],[instant]],'Final Data'!A503:A892,'Final Data'!B503:B892, ,0,1),0,1)</f>
        <v>40565</v>
      </c>
      <c r="C503" s="48">
        <f>_xlfn.XLOOKUP(Table3[[#This Row],[instant]],Table1[instant],Table1[hr], ,0,1)</f>
        <v>23</v>
      </c>
      <c r="D503" s="50" t="b">
        <f>_xlfn.XLOOKUP(Table3[[#This Row],[instant]],Table1[instant],Table1[holiday], ,0,1)</f>
        <v>0</v>
      </c>
      <c r="E503" s="2">
        <f>_xlfn.XLOOKUP(Table3[[#This Row],[instant]],Table1[instant],Table1[weekday], ,0,1)</f>
        <v>6</v>
      </c>
      <c r="F503" s="2">
        <f>_xlfn.XLOOKUP(Table3[[#This Row],[instant]],Table1[instant],Table1[weathersit], ,0,1)</f>
        <v>1</v>
      </c>
      <c r="G503" s="2">
        <f>_xlfn.XLOOKUP(Table3[[#This Row],[instant]],Table1[instant],Table1[temp], ,0,1)</f>
        <v>0.04</v>
      </c>
      <c r="H503" s="24">
        <f>_xlfn.XLOOKUP(Table3[[#This Row],[instant]],Table2[instant],Table2[atemp], ,0,1)</f>
        <v>7.5800000000000006E-2</v>
      </c>
      <c r="I503" s="1">
        <f>_xlfn.XLOOKUP(Table3[[#This Row],[instant]],Table2[instant],Table2[hum], ,0,1)</f>
        <v>0.56999999999999995</v>
      </c>
      <c r="J503" s="1">
        <f>_xlfn.XLOOKUP(Table3[[#This Row],[instant]],Table2[instant],Table2[windspeed], ,0,1)</f>
        <v>0.1045</v>
      </c>
      <c r="K503" s="1">
        <f>_xlfn.XLOOKUP(Table3[[#This Row],[instant]],Table2[instant],Table2[casual], ,0,1)</f>
        <v>2</v>
      </c>
      <c r="L503" s="1">
        <f>_xlfn.XLOOKUP(Table3[[#This Row],[instant]],Table2[instant],Table2[registered], ,0,1)</f>
        <v>31</v>
      </c>
      <c r="M503" s="6">
        <f>_xlfn.XLOOKUP(Table3[[#This Row],[instant]],Table2[instant],Table2[cnt], ,0,1)</f>
        <v>33</v>
      </c>
      <c r="N503" s="1" t="str">
        <f>IF(OR(Table3[[#This Row],[weekday]]=0,Table3[[#This Row],[weekday]]=6),"Weekend","Weekday")</f>
        <v>Weekend</v>
      </c>
    </row>
    <row r="504" spans="1:14" ht="15" thickBot="1" x14ac:dyDescent="0.35">
      <c r="A504" s="51">
        <v>503</v>
      </c>
      <c r="B504" s="52">
        <f>_xlfn.XLOOKUP(Table3[[#This Row],[instant]],DatSet1!A504:A1113,DatSet1!B504:B1113,_xlfn.XLOOKUP(Table3[[#This Row],[instant]],'Final Data'!A504:A893,'Final Data'!B504:B893, ,0,1),0,1)</f>
        <v>40566</v>
      </c>
      <c r="C504" s="51">
        <f>_xlfn.XLOOKUP(Table3[[#This Row],[instant]],Table1[instant],Table1[hr], ,0,1)</f>
        <v>0</v>
      </c>
      <c r="D504" s="53" t="b">
        <f>_xlfn.XLOOKUP(Table3[[#This Row],[instant]],Table1[instant],Table1[holiday], ,0,1)</f>
        <v>0</v>
      </c>
      <c r="E504" s="44">
        <f>_xlfn.XLOOKUP(Table3[[#This Row],[instant]],Table1[instant],Table1[weekday], ,0,1)</f>
        <v>0</v>
      </c>
      <c r="F504" s="44">
        <f>_xlfn.XLOOKUP(Table3[[#This Row],[instant]],Table1[instant],Table1[weathersit], ,0,1)</f>
        <v>1</v>
      </c>
      <c r="G504" s="44">
        <f>_xlfn.XLOOKUP(Table3[[#This Row],[instant]],Table1[instant],Table1[temp], ,0,1)</f>
        <v>0.04</v>
      </c>
      <c r="H504" s="45">
        <f>_xlfn.XLOOKUP(Table3[[#This Row],[instant]],Table2[instant],Table2[atemp], ,0,1)</f>
        <v>7.5800000000000006E-2</v>
      </c>
      <c r="I504" s="42">
        <f>_xlfn.XLOOKUP(Table3[[#This Row],[instant]],Table2[instant],Table2[hum], ,0,1)</f>
        <v>0.56999999999999995</v>
      </c>
      <c r="J504" s="42">
        <f>_xlfn.XLOOKUP(Table3[[#This Row],[instant]],Table2[instant],Table2[windspeed], ,0,1)</f>
        <v>0.1045</v>
      </c>
      <c r="K504" s="42">
        <f>_xlfn.XLOOKUP(Table3[[#This Row],[instant]],Table2[instant],Table2[casual], ,0,1)</f>
        <v>2</v>
      </c>
      <c r="L504" s="42">
        <f>_xlfn.XLOOKUP(Table3[[#This Row],[instant]],Table2[instant],Table2[registered], ,0,1)</f>
        <v>20</v>
      </c>
      <c r="M504" s="46">
        <f>_xlfn.XLOOKUP(Table3[[#This Row],[instant]],Table2[instant],Table2[cnt], ,0,1)</f>
        <v>22</v>
      </c>
      <c r="N504" s="42" t="str">
        <f>IF(OR(Table3[[#This Row],[weekday]]=0,Table3[[#This Row],[weekday]]=6),"Weekend","Weekday")</f>
        <v>Weekend</v>
      </c>
    </row>
    <row r="505" spans="1:14" ht="15" thickBot="1" x14ac:dyDescent="0.35">
      <c r="A505" s="48">
        <v>504</v>
      </c>
      <c r="B505" s="49">
        <f>_xlfn.XLOOKUP(Table3[[#This Row],[instant]],DatSet1!A505:A1114,DatSet1!B505:B1114,_xlfn.XLOOKUP(Table3[[#This Row],[instant]],'Final Data'!A505:A894,'Final Data'!B505:B894, ,0,1),0,1)</f>
        <v>40566</v>
      </c>
      <c r="C505" s="48">
        <f>_xlfn.XLOOKUP(Table3[[#This Row],[instant]],Table1[instant],Table1[hr], ,0,1)</f>
        <v>1</v>
      </c>
      <c r="D505" s="50" t="b">
        <f>_xlfn.XLOOKUP(Table3[[#This Row],[instant]],Table1[instant],Table1[holiday], ,0,1)</f>
        <v>0</v>
      </c>
      <c r="E505" s="2">
        <f>_xlfn.XLOOKUP(Table3[[#This Row],[instant]],Table1[instant],Table1[weekday], ,0,1)</f>
        <v>0</v>
      </c>
      <c r="F505" s="2">
        <f>_xlfn.XLOOKUP(Table3[[#This Row],[instant]],Table1[instant],Table1[weathersit], ,0,1)</f>
        <v>1</v>
      </c>
      <c r="G505" s="2">
        <f>_xlfn.XLOOKUP(Table3[[#This Row],[instant]],Table1[instant],Table1[temp], ,0,1)</f>
        <v>0.04</v>
      </c>
      <c r="H505" s="24">
        <f>_xlfn.XLOOKUP(Table3[[#This Row],[instant]],Table2[instant],Table2[atemp], ,0,1)</f>
        <v>7.5800000000000006E-2</v>
      </c>
      <c r="I505" s="1">
        <f>_xlfn.XLOOKUP(Table3[[#This Row],[instant]],Table2[instant],Table2[hum], ,0,1)</f>
        <v>0.56999999999999995</v>
      </c>
      <c r="J505" s="1">
        <f>_xlfn.XLOOKUP(Table3[[#This Row],[instant]],Table2[instant],Table2[windspeed], ,0,1)</f>
        <v>0.1045</v>
      </c>
      <c r="K505" s="1">
        <f>_xlfn.XLOOKUP(Table3[[#This Row],[instant]],Table2[instant],Table2[casual], ,0,1)</f>
        <v>1</v>
      </c>
      <c r="L505" s="1">
        <f>_xlfn.XLOOKUP(Table3[[#This Row],[instant]],Table2[instant],Table2[registered], ,0,1)</f>
        <v>12</v>
      </c>
      <c r="M505" s="6">
        <f>_xlfn.XLOOKUP(Table3[[#This Row],[instant]],Table2[instant],Table2[cnt], ,0,1)</f>
        <v>13</v>
      </c>
      <c r="N505" s="1" t="str">
        <f>IF(OR(Table3[[#This Row],[weekday]]=0,Table3[[#This Row],[weekday]]=6),"Weekend","Weekday")</f>
        <v>Weekend</v>
      </c>
    </row>
    <row r="506" spans="1:14" ht="15" thickBot="1" x14ac:dyDescent="0.35">
      <c r="A506" s="51">
        <v>505</v>
      </c>
      <c r="B506" s="52">
        <f>_xlfn.XLOOKUP(Table3[[#This Row],[instant]],DatSet1!A506:A1115,DatSet1!B506:B1115,_xlfn.XLOOKUP(Table3[[#This Row],[instant]],'Final Data'!A506:A895,'Final Data'!B506:B895, ,0,1),0,1)</f>
        <v>40566</v>
      </c>
      <c r="C506" s="51">
        <f>_xlfn.XLOOKUP(Table3[[#This Row],[instant]],Table1[instant],Table1[hr], ,0,1)</f>
        <v>2</v>
      </c>
      <c r="D506" s="53" t="b">
        <f>_xlfn.XLOOKUP(Table3[[#This Row],[instant]],Table1[instant],Table1[holiday], ,0,1)</f>
        <v>0</v>
      </c>
      <c r="E506" s="44">
        <f>_xlfn.XLOOKUP(Table3[[#This Row],[instant]],Table1[instant],Table1[weekday], ,0,1)</f>
        <v>0</v>
      </c>
      <c r="F506" s="44">
        <f>_xlfn.XLOOKUP(Table3[[#This Row],[instant]],Table1[instant],Table1[weathersit], ,0,1)</f>
        <v>1</v>
      </c>
      <c r="G506" s="44">
        <f>_xlfn.XLOOKUP(Table3[[#This Row],[instant]],Table1[instant],Table1[temp], ,0,1)</f>
        <v>0.02</v>
      </c>
      <c r="H506" s="45">
        <f>_xlfn.XLOOKUP(Table3[[#This Row],[instant]],Table2[instant],Table2[atemp], ,0,1)</f>
        <v>6.0600000000000001E-2</v>
      </c>
      <c r="I506" s="42">
        <f>_xlfn.XLOOKUP(Table3[[#This Row],[instant]],Table2[instant],Table2[hum], ,0,1)</f>
        <v>0.62</v>
      </c>
      <c r="J506" s="42">
        <f>_xlfn.XLOOKUP(Table3[[#This Row],[instant]],Table2[instant],Table2[windspeed], ,0,1)</f>
        <v>0.1343</v>
      </c>
      <c r="K506" s="42">
        <f>_xlfn.XLOOKUP(Table3[[#This Row],[instant]],Table2[instant],Table2[casual], ,0,1)</f>
        <v>3</v>
      </c>
      <c r="L506" s="42">
        <f>_xlfn.XLOOKUP(Table3[[#This Row],[instant]],Table2[instant],Table2[registered], ,0,1)</f>
        <v>15</v>
      </c>
      <c r="M506" s="46">
        <f>_xlfn.XLOOKUP(Table3[[#This Row],[instant]],Table2[instant],Table2[cnt], ,0,1)</f>
        <v>18</v>
      </c>
      <c r="N506" s="42" t="str">
        <f>IF(OR(Table3[[#This Row],[weekday]]=0,Table3[[#This Row],[weekday]]=6),"Weekend","Weekday")</f>
        <v>Weekend</v>
      </c>
    </row>
    <row r="507" spans="1:14" ht="15" thickBot="1" x14ac:dyDescent="0.35">
      <c r="A507" s="48">
        <v>506</v>
      </c>
      <c r="B507" s="49">
        <f>_xlfn.XLOOKUP(Table3[[#This Row],[instant]],DatSet1!A507:A1116,DatSet1!B507:B1116,_xlfn.XLOOKUP(Table3[[#This Row],[instant]],'Final Data'!A507:A896,'Final Data'!B507:B896, ,0,1),0,1)</f>
        <v>40566</v>
      </c>
      <c r="C507" s="48">
        <f>_xlfn.XLOOKUP(Table3[[#This Row],[instant]],Table1[instant],Table1[hr], ,0,1)</f>
        <v>3</v>
      </c>
      <c r="D507" s="50" t="b">
        <f>_xlfn.XLOOKUP(Table3[[#This Row],[instant]],Table1[instant],Table1[holiday], ,0,1)</f>
        <v>0</v>
      </c>
      <c r="E507" s="2">
        <f>_xlfn.XLOOKUP(Table3[[#This Row],[instant]],Table1[instant],Table1[weekday], ,0,1)</f>
        <v>0</v>
      </c>
      <c r="F507" s="2">
        <f>_xlfn.XLOOKUP(Table3[[#This Row],[instant]],Table1[instant],Table1[weathersit], ,0,1)</f>
        <v>1</v>
      </c>
      <c r="G507" s="2">
        <f>_xlfn.XLOOKUP(Table3[[#This Row],[instant]],Table1[instant],Table1[temp], ,0,1)</f>
        <v>0.02</v>
      </c>
      <c r="H507" s="24">
        <f>_xlfn.XLOOKUP(Table3[[#This Row],[instant]],Table2[instant],Table2[atemp], ,0,1)</f>
        <v>6.0600000000000001E-2</v>
      </c>
      <c r="I507" s="1">
        <f>_xlfn.XLOOKUP(Table3[[#This Row],[instant]],Table2[instant],Table2[hum], ,0,1)</f>
        <v>0.62</v>
      </c>
      <c r="J507" s="1">
        <f>_xlfn.XLOOKUP(Table3[[#This Row],[instant]],Table2[instant],Table2[windspeed], ,0,1)</f>
        <v>0.1343</v>
      </c>
      <c r="K507" s="1">
        <f>_xlfn.XLOOKUP(Table3[[#This Row],[instant]],Table2[instant],Table2[casual], ,0,1)</f>
        <v>1</v>
      </c>
      <c r="L507" s="1">
        <f>_xlfn.XLOOKUP(Table3[[#This Row],[instant]],Table2[instant],Table2[registered], ,0,1)</f>
        <v>4</v>
      </c>
      <c r="M507" s="6">
        <f>_xlfn.XLOOKUP(Table3[[#This Row],[instant]],Table2[instant],Table2[cnt], ,0,1)</f>
        <v>5</v>
      </c>
      <c r="N507" s="1" t="str">
        <f>IF(OR(Table3[[#This Row],[weekday]]=0,Table3[[#This Row],[weekday]]=6),"Weekend","Weekday")</f>
        <v>Weekend</v>
      </c>
    </row>
    <row r="508" spans="1:14" ht="15" thickBot="1" x14ac:dyDescent="0.35">
      <c r="A508" s="51">
        <v>507</v>
      </c>
      <c r="B508" s="52">
        <f>_xlfn.XLOOKUP(Table3[[#This Row],[instant]],DatSet1!A508:A1117,DatSet1!B508:B1117,_xlfn.XLOOKUP(Table3[[#This Row],[instant]],'Final Data'!A508:A897,'Final Data'!B508:B897, ,0,1),0,1)</f>
        <v>40566</v>
      </c>
      <c r="C508" s="51">
        <f>_xlfn.XLOOKUP(Table3[[#This Row],[instant]],Table1[instant],Table1[hr], ,0,1)</f>
        <v>5</v>
      </c>
      <c r="D508" s="53" t="b">
        <f>_xlfn.XLOOKUP(Table3[[#This Row],[instant]],Table1[instant],Table1[holiday], ,0,1)</f>
        <v>0</v>
      </c>
      <c r="E508" s="44">
        <f>_xlfn.XLOOKUP(Table3[[#This Row],[instant]],Table1[instant],Table1[weekday], ,0,1)</f>
        <v>0</v>
      </c>
      <c r="F508" s="44">
        <f>_xlfn.XLOOKUP(Table3[[#This Row],[instant]],Table1[instant],Table1[weathersit], ,0,1)</f>
        <v>2</v>
      </c>
      <c r="G508" s="44">
        <f>_xlfn.XLOOKUP(Table3[[#This Row],[instant]],Table1[instant],Table1[temp], ,0,1)</f>
        <v>0.04</v>
      </c>
      <c r="H508" s="45">
        <f>_xlfn.XLOOKUP(Table3[[#This Row],[instant]],Table2[instant],Table2[atemp], ,0,1)</f>
        <v>7.5800000000000006E-2</v>
      </c>
      <c r="I508" s="42">
        <f>_xlfn.XLOOKUP(Table3[[#This Row],[instant]],Table2[instant],Table2[hum], ,0,1)</f>
        <v>0.56999999999999995</v>
      </c>
      <c r="J508" s="42">
        <f>_xlfn.XLOOKUP(Table3[[#This Row],[instant]],Table2[instant],Table2[windspeed], ,0,1)</f>
        <v>0.1045</v>
      </c>
      <c r="K508" s="42">
        <f>_xlfn.XLOOKUP(Table3[[#This Row],[instant]],Table2[instant],Table2[casual], ,0,1)</f>
        <v>0</v>
      </c>
      <c r="L508" s="42">
        <f>_xlfn.XLOOKUP(Table3[[#This Row],[instant]],Table2[instant],Table2[registered], ,0,1)</f>
        <v>3</v>
      </c>
      <c r="M508" s="46">
        <f>_xlfn.XLOOKUP(Table3[[#This Row],[instant]],Table2[instant],Table2[cnt], ,0,1)</f>
        <v>3</v>
      </c>
      <c r="N508" s="42" t="str">
        <f>IF(OR(Table3[[#This Row],[weekday]]=0,Table3[[#This Row],[weekday]]=6),"Weekend","Weekday")</f>
        <v>Weekend</v>
      </c>
    </row>
    <row r="509" spans="1:14" ht="15" thickBot="1" x14ac:dyDescent="0.35">
      <c r="A509" s="48">
        <v>508</v>
      </c>
      <c r="B509" s="49">
        <f>_xlfn.XLOOKUP(Table3[[#This Row],[instant]],DatSet1!A509:A1118,DatSet1!B509:B1118,_xlfn.XLOOKUP(Table3[[#This Row],[instant]],'Final Data'!A509:A898,'Final Data'!B509:B898, ,0,1),0,1)</f>
        <v>40566</v>
      </c>
      <c r="C509" s="48">
        <f>_xlfn.XLOOKUP(Table3[[#This Row],[instant]],Table1[instant],Table1[hr], ,0,1)</f>
        <v>6</v>
      </c>
      <c r="D509" s="50" t="b">
        <f>_xlfn.XLOOKUP(Table3[[#This Row],[instant]],Table1[instant],Table1[holiday], ,0,1)</f>
        <v>0</v>
      </c>
      <c r="E509" s="2">
        <f>_xlfn.XLOOKUP(Table3[[#This Row],[instant]],Table1[instant],Table1[weekday], ,0,1)</f>
        <v>0</v>
      </c>
      <c r="F509" s="2">
        <f>_xlfn.XLOOKUP(Table3[[#This Row],[instant]],Table1[instant],Table1[weathersit], ,0,1)</f>
        <v>2</v>
      </c>
      <c r="G509" s="2">
        <f>_xlfn.XLOOKUP(Table3[[#This Row],[instant]],Table1[instant],Table1[temp], ,0,1)</f>
        <v>0.04</v>
      </c>
      <c r="H509" s="24">
        <f>_xlfn.XLOOKUP(Table3[[#This Row],[instant]],Table2[instant],Table2[atemp], ,0,1)</f>
        <v>7.5800000000000006E-2</v>
      </c>
      <c r="I509" s="1">
        <f>_xlfn.XLOOKUP(Table3[[#This Row],[instant]],Table2[instant],Table2[hum], ,0,1)</f>
        <v>0.56999999999999995</v>
      </c>
      <c r="J509" s="1">
        <f>_xlfn.XLOOKUP(Table3[[#This Row],[instant]],Table2[instant],Table2[windspeed], ,0,1)</f>
        <v>0.1045</v>
      </c>
      <c r="K509" s="1">
        <f>_xlfn.XLOOKUP(Table3[[#This Row],[instant]],Table2[instant],Table2[casual], ,0,1)</f>
        <v>0</v>
      </c>
      <c r="L509" s="1">
        <f>_xlfn.XLOOKUP(Table3[[#This Row],[instant]],Table2[instant],Table2[registered], ,0,1)</f>
        <v>1</v>
      </c>
      <c r="M509" s="6">
        <f>_xlfn.XLOOKUP(Table3[[#This Row],[instant]],Table2[instant],Table2[cnt], ,0,1)</f>
        <v>1</v>
      </c>
      <c r="N509" s="1" t="str">
        <f>IF(OR(Table3[[#This Row],[weekday]]=0,Table3[[#This Row],[weekday]]=6),"Weekend","Weekday")</f>
        <v>Weekend</v>
      </c>
    </row>
    <row r="510" spans="1:14" ht="15" thickBot="1" x14ac:dyDescent="0.35">
      <c r="A510" s="51">
        <v>509</v>
      </c>
      <c r="B510" s="52">
        <f>_xlfn.XLOOKUP(Table3[[#This Row],[instant]],DatSet1!A510:A1119,DatSet1!B510:B1119,_xlfn.XLOOKUP(Table3[[#This Row],[instant]],'Final Data'!A510:A899,'Final Data'!B510:B899, ,0,1),0,1)</f>
        <v>40566</v>
      </c>
      <c r="C510" s="51">
        <f>_xlfn.XLOOKUP(Table3[[#This Row],[instant]],Table1[instant],Table1[hr], ,0,1)</f>
        <v>7</v>
      </c>
      <c r="D510" s="53" t="b">
        <f>_xlfn.XLOOKUP(Table3[[#This Row],[instant]],Table1[instant],Table1[holiday], ,0,1)</f>
        <v>0</v>
      </c>
      <c r="E510" s="44">
        <f>_xlfn.XLOOKUP(Table3[[#This Row],[instant]],Table1[instant],Table1[weekday], ,0,1)</f>
        <v>0</v>
      </c>
      <c r="F510" s="44">
        <f>_xlfn.XLOOKUP(Table3[[#This Row],[instant]],Table1[instant],Table1[weathersit], ,0,1)</f>
        <v>1</v>
      </c>
      <c r="G510" s="44">
        <f>_xlfn.XLOOKUP(Table3[[#This Row],[instant]],Table1[instant],Table1[temp], ,0,1)</f>
        <v>0.08</v>
      </c>
      <c r="H510" s="45">
        <f>_xlfn.XLOOKUP(Table3[[#This Row],[instant]],Table2[instant],Table2[atemp], ,0,1)</f>
        <v>0.1061</v>
      </c>
      <c r="I510" s="42">
        <f>_xlfn.XLOOKUP(Table3[[#This Row],[instant]],Table2[instant],Table2[hum], ,0,1)</f>
        <v>0.57999999999999996</v>
      </c>
      <c r="J510" s="42">
        <f>_xlfn.XLOOKUP(Table3[[#This Row],[instant]],Table2[instant],Table2[windspeed], ,0,1)</f>
        <v>0.16420000000000001</v>
      </c>
      <c r="K510" s="42">
        <f>_xlfn.XLOOKUP(Table3[[#This Row],[instant]],Table2[instant],Table2[casual], ,0,1)</f>
        <v>1</v>
      </c>
      <c r="L510" s="42">
        <f>_xlfn.XLOOKUP(Table3[[#This Row],[instant]],Table2[instant],Table2[registered], ,0,1)</f>
        <v>1</v>
      </c>
      <c r="M510" s="46">
        <f>_xlfn.XLOOKUP(Table3[[#This Row],[instant]],Table2[instant],Table2[cnt], ,0,1)</f>
        <v>2</v>
      </c>
      <c r="N510" s="42" t="str">
        <f>IF(OR(Table3[[#This Row],[weekday]]=0,Table3[[#This Row],[weekday]]=6),"Weekend","Weekday")</f>
        <v>Weekend</v>
      </c>
    </row>
    <row r="511" spans="1:14" ht="15" thickBot="1" x14ac:dyDescent="0.35">
      <c r="A511" s="48">
        <v>510</v>
      </c>
      <c r="B511" s="49">
        <f>_xlfn.XLOOKUP(Table3[[#This Row],[instant]],DatSet1!A511:A1120,DatSet1!B511:B1120,_xlfn.XLOOKUP(Table3[[#This Row],[instant]],'Final Data'!A511:A900,'Final Data'!B511:B900, ,0,1),0,1)</f>
        <v>40566</v>
      </c>
      <c r="C511" s="48">
        <f>_xlfn.XLOOKUP(Table3[[#This Row],[instant]],Table1[instant],Table1[hr], ,0,1)</f>
        <v>8</v>
      </c>
      <c r="D511" s="50" t="b">
        <f>_xlfn.XLOOKUP(Table3[[#This Row],[instant]],Table1[instant],Table1[holiday], ,0,1)</f>
        <v>0</v>
      </c>
      <c r="E511" s="2">
        <f>_xlfn.XLOOKUP(Table3[[#This Row],[instant]],Table1[instant],Table1[weekday], ,0,1)</f>
        <v>0</v>
      </c>
      <c r="F511" s="2">
        <f>_xlfn.XLOOKUP(Table3[[#This Row],[instant]],Table1[instant],Table1[weathersit], ,0,1)</f>
        <v>1</v>
      </c>
      <c r="G511" s="2">
        <f>_xlfn.XLOOKUP(Table3[[#This Row],[instant]],Table1[instant],Table1[temp], ,0,1)</f>
        <v>0.06</v>
      </c>
      <c r="H511" s="24">
        <f>_xlfn.XLOOKUP(Table3[[#This Row],[instant]],Table2[instant],Table2[atemp], ,0,1)</f>
        <v>7.5800000000000006E-2</v>
      </c>
      <c r="I511" s="1">
        <f>_xlfn.XLOOKUP(Table3[[#This Row],[instant]],Table2[instant],Table2[hum], ,0,1)</f>
        <v>0.62</v>
      </c>
      <c r="J511" s="1">
        <f>_xlfn.XLOOKUP(Table3[[#This Row],[instant]],Table2[instant],Table2[windspeed], ,0,1)</f>
        <v>0.16420000000000001</v>
      </c>
      <c r="K511" s="1">
        <f>_xlfn.XLOOKUP(Table3[[#This Row],[instant]],Table2[instant],Table2[casual], ,0,1)</f>
        <v>2</v>
      </c>
      <c r="L511" s="1">
        <f>_xlfn.XLOOKUP(Table3[[#This Row],[instant]],Table2[instant],Table2[registered], ,0,1)</f>
        <v>17</v>
      </c>
      <c r="M511" s="6">
        <f>_xlfn.XLOOKUP(Table3[[#This Row],[instant]],Table2[instant],Table2[cnt], ,0,1)</f>
        <v>19</v>
      </c>
      <c r="N511" s="1" t="str">
        <f>IF(OR(Table3[[#This Row],[weekday]]=0,Table3[[#This Row],[weekday]]=6),"Weekend","Weekday")</f>
        <v>Weekend</v>
      </c>
    </row>
    <row r="512" spans="1:14" ht="15" thickBot="1" x14ac:dyDescent="0.35">
      <c r="A512" s="51">
        <v>511</v>
      </c>
      <c r="B512" s="52">
        <f>_xlfn.XLOOKUP(Table3[[#This Row],[instant]],DatSet1!A512:A1121,DatSet1!B512:B1121,_xlfn.XLOOKUP(Table3[[#This Row],[instant]],'Final Data'!A512:A901,'Final Data'!B512:B901, ,0,1),0,1)</f>
        <v>40566</v>
      </c>
      <c r="C512" s="51">
        <f>_xlfn.XLOOKUP(Table3[[#This Row],[instant]],Table1[instant],Table1[hr], ,0,1)</f>
        <v>9</v>
      </c>
      <c r="D512" s="53" t="b">
        <f>_xlfn.XLOOKUP(Table3[[#This Row],[instant]],Table1[instant],Table1[holiday], ,0,1)</f>
        <v>0</v>
      </c>
      <c r="E512" s="44">
        <f>_xlfn.XLOOKUP(Table3[[#This Row],[instant]],Table1[instant],Table1[weekday], ,0,1)</f>
        <v>0</v>
      </c>
      <c r="F512" s="44">
        <f>_xlfn.XLOOKUP(Table3[[#This Row],[instant]],Table1[instant],Table1[weathersit], ,0,1)</f>
        <v>1</v>
      </c>
      <c r="G512" s="44">
        <f>_xlfn.XLOOKUP(Table3[[#This Row],[instant]],Table1[instant],Table1[temp], ,0,1)</f>
        <v>0.1</v>
      </c>
      <c r="H512" s="45">
        <f>_xlfn.XLOOKUP(Table3[[#This Row],[instant]],Table2[instant],Table2[atemp], ,0,1)</f>
        <v>7.5800000000000006E-2</v>
      </c>
      <c r="I512" s="42">
        <f>_xlfn.XLOOKUP(Table3[[#This Row],[instant]],Table2[instant],Table2[hum], ,0,1)</f>
        <v>0.54</v>
      </c>
      <c r="J512" s="42">
        <f>_xlfn.XLOOKUP(Table3[[#This Row],[instant]],Table2[instant],Table2[windspeed], ,0,1)</f>
        <v>0.35820000000000002</v>
      </c>
      <c r="K512" s="42">
        <f>_xlfn.XLOOKUP(Table3[[#This Row],[instant]],Table2[instant],Table2[casual], ,0,1)</f>
        <v>3</v>
      </c>
      <c r="L512" s="42">
        <f>_xlfn.XLOOKUP(Table3[[#This Row],[instant]],Table2[instant],Table2[registered], ,0,1)</f>
        <v>25</v>
      </c>
      <c r="M512" s="46">
        <f>_xlfn.XLOOKUP(Table3[[#This Row],[instant]],Table2[instant],Table2[cnt], ,0,1)</f>
        <v>28</v>
      </c>
      <c r="N512" s="42" t="str">
        <f>IF(OR(Table3[[#This Row],[weekday]]=0,Table3[[#This Row],[weekday]]=6),"Weekend","Weekday")</f>
        <v>Weekend</v>
      </c>
    </row>
    <row r="513" spans="1:14" ht="15" thickBot="1" x14ac:dyDescent="0.35">
      <c r="A513" s="48">
        <v>512</v>
      </c>
      <c r="B513" s="49">
        <f>_xlfn.XLOOKUP(Table3[[#This Row],[instant]],DatSet1!A513:A1122,DatSet1!B513:B1122,_xlfn.XLOOKUP(Table3[[#This Row],[instant]],'Final Data'!A513:A902,'Final Data'!B513:B902, ,0,1),0,1)</f>
        <v>40566</v>
      </c>
      <c r="C513" s="48">
        <f>_xlfn.XLOOKUP(Table3[[#This Row],[instant]],Table1[instant],Table1[hr], ,0,1)</f>
        <v>10</v>
      </c>
      <c r="D513" s="50" t="b">
        <f>_xlfn.XLOOKUP(Table3[[#This Row],[instant]],Table1[instant],Table1[holiday], ,0,1)</f>
        <v>0</v>
      </c>
      <c r="E513" s="2">
        <f>_xlfn.XLOOKUP(Table3[[#This Row],[instant]],Table1[instant],Table1[weekday], ,0,1)</f>
        <v>0</v>
      </c>
      <c r="F513" s="2">
        <f>_xlfn.XLOOKUP(Table3[[#This Row],[instant]],Table1[instant],Table1[weathersit], ,0,1)</f>
        <v>1</v>
      </c>
      <c r="G513" s="2">
        <f>_xlfn.XLOOKUP(Table3[[#This Row],[instant]],Table1[instant],Table1[temp], ,0,1)</f>
        <v>0.14000000000000001</v>
      </c>
      <c r="H513" s="24">
        <f>_xlfn.XLOOKUP(Table3[[#This Row],[instant]],Table2[instant],Table2[atemp], ,0,1)</f>
        <v>0.1061</v>
      </c>
      <c r="I513" s="1">
        <f>_xlfn.XLOOKUP(Table3[[#This Row],[instant]],Table2[instant],Table2[hum], ,0,1)</f>
        <v>0.46</v>
      </c>
      <c r="J513" s="1">
        <f>_xlfn.XLOOKUP(Table3[[#This Row],[instant]],Table2[instant],Table2[windspeed], ,0,1)</f>
        <v>0.3881</v>
      </c>
      <c r="K513" s="1">
        <f>_xlfn.XLOOKUP(Table3[[#This Row],[instant]],Table2[instant],Table2[casual], ,0,1)</f>
        <v>7</v>
      </c>
      <c r="L513" s="1">
        <f>_xlfn.XLOOKUP(Table3[[#This Row],[instant]],Table2[instant],Table2[registered], ,0,1)</f>
        <v>51</v>
      </c>
      <c r="M513" s="6">
        <f>_xlfn.XLOOKUP(Table3[[#This Row],[instant]],Table2[instant],Table2[cnt], ,0,1)</f>
        <v>58</v>
      </c>
      <c r="N513" s="1" t="str">
        <f>IF(OR(Table3[[#This Row],[weekday]]=0,Table3[[#This Row],[weekday]]=6),"Weekend","Weekday")</f>
        <v>Weekend</v>
      </c>
    </row>
    <row r="514" spans="1:14" ht="15" thickBot="1" x14ac:dyDescent="0.35">
      <c r="A514" s="51">
        <v>513</v>
      </c>
      <c r="B514" s="52">
        <f>_xlfn.XLOOKUP(Table3[[#This Row],[instant]],DatSet1!A514:A1123,DatSet1!B514:B1123,_xlfn.XLOOKUP(Table3[[#This Row],[instant]],'Final Data'!A514:A903,'Final Data'!B514:B903, ,0,1),0,1)</f>
        <v>40566</v>
      </c>
      <c r="C514" s="51">
        <f>_xlfn.XLOOKUP(Table3[[#This Row],[instant]],Table1[instant],Table1[hr], ,0,1)</f>
        <v>11</v>
      </c>
      <c r="D514" s="53" t="b">
        <f>_xlfn.XLOOKUP(Table3[[#This Row],[instant]],Table1[instant],Table1[holiday], ,0,1)</f>
        <v>0</v>
      </c>
      <c r="E514" s="44">
        <f>_xlfn.XLOOKUP(Table3[[#This Row],[instant]],Table1[instant],Table1[weekday], ,0,1)</f>
        <v>0</v>
      </c>
      <c r="F514" s="44">
        <f>_xlfn.XLOOKUP(Table3[[#This Row],[instant]],Table1[instant],Table1[weathersit], ,0,1)</f>
        <v>1</v>
      </c>
      <c r="G514" s="44">
        <f>_xlfn.XLOOKUP(Table3[[#This Row],[instant]],Table1[instant],Table1[temp], ,0,1)</f>
        <v>0.14000000000000001</v>
      </c>
      <c r="H514" s="45">
        <f>_xlfn.XLOOKUP(Table3[[#This Row],[instant]],Table2[instant],Table2[atemp], ,0,1)</f>
        <v>0.13639999999999999</v>
      </c>
      <c r="I514" s="42">
        <f>_xlfn.XLOOKUP(Table3[[#This Row],[instant]],Table2[instant],Table2[hum], ,0,1)</f>
        <v>0.43</v>
      </c>
      <c r="J514" s="42">
        <f>_xlfn.XLOOKUP(Table3[[#This Row],[instant]],Table2[instant],Table2[windspeed], ,0,1)</f>
        <v>0.22389999999999999</v>
      </c>
      <c r="K514" s="42">
        <f>_xlfn.XLOOKUP(Table3[[#This Row],[instant]],Table2[instant],Table2[casual], ,0,1)</f>
        <v>22</v>
      </c>
      <c r="L514" s="42">
        <f>_xlfn.XLOOKUP(Table3[[#This Row],[instant]],Table2[instant],Table2[registered], ,0,1)</f>
        <v>77</v>
      </c>
      <c r="M514" s="46">
        <f>_xlfn.XLOOKUP(Table3[[#This Row],[instant]],Table2[instant],Table2[cnt], ,0,1)</f>
        <v>99</v>
      </c>
      <c r="N514" s="42" t="str">
        <f>IF(OR(Table3[[#This Row],[weekday]]=0,Table3[[#This Row],[weekday]]=6),"Weekend","Weekday")</f>
        <v>Weekend</v>
      </c>
    </row>
    <row r="515" spans="1:14" ht="15" thickBot="1" x14ac:dyDescent="0.35">
      <c r="A515" s="48">
        <v>514</v>
      </c>
      <c r="B515" s="49">
        <f>_xlfn.XLOOKUP(Table3[[#This Row],[instant]],DatSet1!A515:A1124,DatSet1!B515:B1124,_xlfn.XLOOKUP(Table3[[#This Row],[instant]],'Final Data'!A515:A904,'Final Data'!B515:B904, ,0,1),0,1)</f>
        <v>40566</v>
      </c>
      <c r="C515" s="48">
        <f>_xlfn.XLOOKUP(Table3[[#This Row],[instant]],Table1[instant],Table1[hr], ,0,1)</f>
        <v>12</v>
      </c>
      <c r="D515" s="50" t="b">
        <f>_xlfn.XLOOKUP(Table3[[#This Row],[instant]],Table1[instant],Table1[holiday], ,0,1)</f>
        <v>0</v>
      </c>
      <c r="E515" s="2">
        <f>_xlfn.XLOOKUP(Table3[[#This Row],[instant]],Table1[instant],Table1[weekday], ,0,1)</f>
        <v>0</v>
      </c>
      <c r="F515" s="2">
        <f>_xlfn.XLOOKUP(Table3[[#This Row],[instant]],Table1[instant],Table1[weathersit], ,0,1)</f>
        <v>1</v>
      </c>
      <c r="G515" s="2">
        <f>_xlfn.XLOOKUP(Table3[[#This Row],[instant]],Table1[instant],Table1[temp], ,0,1)</f>
        <v>0.16</v>
      </c>
      <c r="H515" s="24">
        <f>_xlfn.XLOOKUP(Table3[[#This Row],[instant]],Table2[instant],Table2[atemp], ,0,1)</f>
        <v>0.1212</v>
      </c>
      <c r="I515" s="1">
        <f>_xlfn.XLOOKUP(Table3[[#This Row],[instant]],Table2[instant],Table2[hum], ,0,1)</f>
        <v>0.37</v>
      </c>
      <c r="J515" s="1">
        <f>_xlfn.XLOOKUP(Table3[[#This Row],[instant]],Table2[instant],Table2[windspeed], ,0,1)</f>
        <v>0.4627</v>
      </c>
      <c r="K515" s="1">
        <f>_xlfn.XLOOKUP(Table3[[#This Row],[instant]],Table2[instant],Table2[casual], ,0,1)</f>
        <v>24</v>
      </c>
      <c r="L515" s="1">
        <f>_xlfn.XLOOKUP(Table3[[#This Row],[instant]],Table2[instant],Table2[registered], ,0,1)</f>
        <v>92</v>
      </c>
      <c r="M515" s="6">
        <f>_xlfn.XLOOKUP(Table3[[#This Row],[instant]],Table2[instant],Table2[cnt], ,0,1)</f>
        <v>116</v>
      </c>
      <c r="N515" s="1" t="str">
        <f>IF(OR(Table3[[#This Row],[weekday]]=0,Table3[[#This Row],[weekday]]=6),"Weekend","Weekday")</f>
        <v>Weekend</v>
      </c>
    </row>
    <row r="516" spans="1:14" ht="15" thickBot="1" x14ac:dyDescent="0.35">
      <c r="A516" s="51">
        <v>515</v>
      </c>
      <c r="B516" s="52">
        <f>_xlfn.XLOOKUP(Table3[[#This Row],[instant]],DatSet1!A516:A1125,DatSet1!B516:B1125,_xlfn.XLOOKUP(Table3[[#This Row],[instant]],'Final Data'!A516:A905,'Final Data'!B516:B905, ,0,1),0,1)</f>
        <v>40566</v>
      </c>
      <c r="C516" s="51">
        <f>_xlfn.XLOOKUP(Table3[[#This Row],[instant]],Table1[instant],Table1[hr], ,0,1)</f>
        <v>13</v>
      </c>
      <c r="D516" s="53" t="b">
        <f>_xlfn.XLOOKUP(Table3[[#This Row],[instant]],Table1[instant],Table1[holiday], ,0,1)</f>
        <v>0</v>
      </c>
      <c r="E516" s="44">
        <f>_xlfn.XLOOKUP(Table3[[#This Row],[instant]],Table1[instant],Table1[weekday], ,0,1)</f>
        <v>0</v>
      </c>
      <c r="F516" s="44">
        <f>_xlfn.XLOOKUP(Table3[[#This Row],[instant]],Table1[instant],Table1[weathersit], ,0,1)</f>
        <v>1</v>
      </c>
      <c r="G516" s="44">
        <f>_xlfn.XLOOKUP(Table3[[#This Row],[instant]],Table1[instant],Table1[temp], ,0,1)</f>
        <v>0.14000000000000001</v>
      </c>
      <c r="H516" s="45">
        <f>_xlfn.XLOOKUP(Table3[[#This Row],[instant]],Table2[instant],Table2[atemp], ,0,1)</f>
        <v>0.1061</v>
      </c>
      <c r="I516" s="42">
        <f>_xlfn.XLOOKUP(Table3[[#This Row],[instant]],Table2[instant],Table2[hum], ,0,1)</f>
        <v>0.33</v>
      </c>
      <c r="J516" s="42">
        <f>_xlfn.XLOOKUP(Table3[[#This Row],[instant]],Table2[instant],Table2[windspeed], ,0,1)</f>
        <v>0.3881</v>
      </c>
      <c r="K516" s="42">
        <f>_xlfn.XLOOKUP(Table3[[#This Row],[instant]],Table2[instant],Table2[casual], ,0,1)</f>
        <v>12</v>
      </c>
      <c r="L516" s="42">
        <f>_xlfn.XLOOKUP(Table3[[#This Row],[instant]],Table2[instant],Table2[registered], ,0,1)</f>
        <v>75</v>
      </c>
      <c r="M516" s="46">
        <f>_xlfn.XLOOKUP(Table3[[#This Row],[instant]],Table2[instant],Table2[cnt], ,0,1)</f>
        <v>87</v>
      </c>
      <c r="N516" s="42" t="str">
        <f>IF(OR(Table3[[#This Row],[weekday]]=0,Table3[[#This Row],[weekday]]=6),"Weekend","Weekday")</f>
        <v>Weekend</v>
      </c>
    </row>
    <row r="517" spans="1:14" ht="15" thickBot="1" x14ac:dyDescent="0.35">
      <c r="A517" s="48">
        <v>516</v>
      </c>
      <c r="B517" s="49">
        <f>_xlfn.XLOOKUP(Table3[[#This Row],[instant]],DatSet1!A517:A1126,DatSet1!B517:B1126,_xlfn.XLOOKUP(Table3[[#This Row],[instant]],'Final Data'!A517:A906,'Final Data'!B517:B906, ,0,1),0,1)</f>
        <v>40566</v>
      </c>
      <c r="C517" s="48">
        <f>_xlfn.XLOOKUP(Table3[[#This Row],[instant]],Table1[instant],Table1[hr], ,0,1)</f>
        <v>14</v>
      </c>
      <c r="D517" s="50" t="b">
        <f>_xlfn.XLOOKUP(Table3[[#This Row],[instant]],Table1[instant],Table1[holiday], ,0,1)</f>
        <v>0</v>
      </c>
      <c r="E517" s="2">
        <f>_xlfn.XLOOKUP(Table3[[#This Row],[instant]],Table1[instant],Table1[weekday], ,0,1)</f>
        <v>0</v>
      </c>
      <c r="F517" s="2">
        <f>_xlfn.XLOOKUP(Table3[[#This Row],[instant]],Table1[instant],Table1[weathersit], ,0,1)</f>
        <v>1</v>
      </c>
      <c r="G517" s="2">
        <f>_xlfn.XLOOKUP(Table3[[#This Row],[instant]],Table1[instant],Table1[temp], ,0,1)</f>
        <v>0.16</v>
      </c>
      <c r="H517" s="24">
        <f>_xlfn.XLOOKUP(Table3[[#This Row],[instant]],Table2[instant],Table2[atemp], ,0,1)</f>
        <v>0.13639999999999999</v>
      </c>
      <c r="I517" s="1">
        <f>_xlfn.XLOOKUP(Table3[[#This Row],[instant]],Table2[instant],Table2[hum], ,0,1)</f>
        <v>0.28000000000000003</v>
      </c>
      <c r="J517" s="1">
        <f>_xlfn.XLOOKUP(Table3[[#This Row],[instant]],Table2[instant],Table2[windspeed], ,0,1)</f>
        <v>0.35820000000000002</v>
      </c>
      <c r="K517" s="1">
        <f>_xlfn.XLOOKUP(Table3[[#This Row],[instant]],Table2[instant],Table2[casual], ,0,1)</f>
        <v>17</v>
      </c>
      <c r="L517" s="1">
        <f>_xlfn.XLOOKUP(Table3[[#This Row],[instant]],Table2[instant],Table2[registered], ,0,1)</f>
        <v>93</v>
      </c>
      <c r="M517" s="6">
        <f>_xlfn.XLOOKUP(Table3[[#This Row],[instant]],Table2[instant],Table2[cnt], ,0,1)</f>
        <v>110</v>
      </c>
      <c r="N517" s="1" t="str">
        <f>IF(OR(Table3[[#This Row],[weekday]]=0,Table3[[#This Row],[weekday]]=6),"Weekend","Weekday")</f>
        <v>Weekend</v>
      </c>
    </row>
    <row r="518" spans="1:14" ht="15" thickBot="1" x14ac:dyDescent="0.35">
      <c r="A518" s="51">
        <v>517</v>
      </c>
      <c r="B518" s="52">
        <f>_xlfn.XLOOKUP(Table3[[#This Row],[instant]],DatSet1!A518:A1127,DatSet1!B518:B1127,_xlfn.XLOOKUP(Table3[[#This Row],[instant]],'Final Data'!A518:A907,'Final Data'!B518:B907, ,0,1),0,1)</f>
        <v>40566</v>
      </c>
      <c r="C518" s="51">
        <f>_xlfn.XLOOKUP(Table3[[#This Row],[instant]],Table1[instant],Table1[hr], ,0,1)</f>
        <v>15</v>
      </c>
      <c r="D518" s="53" t="b">
        <f>_xlfn.XLOOKUP(Table3[[#This Row],[instant]],Table1[instant],Table1[holiday], ,0,1)</f>
        <v>0</v>
      </c>
      <c r="E518" s="44">
        <f>_xlfn.XLOOKUP(Table3[[#This Row],[instant]],Table1[instant],Table1[weekday], ,0,1)</f>
        <v>0</v>
      </c>
      <c r="F518" s="44">
        <f>_xlfn.XLOOKUP(Table3[[#This Row],[instant]],Table1[instant],Table1[weathersit], ,0,1)</f>
        <v>1</v>
      </c>
      <c r="G518" s="44">
        <f>_xlfn.XLOOKUP(Table3[[#This Row],[instant]],Table1[instant],Table1[temp], ,0,1)</f>
        <v>0.16</v>
      </c>
      <c r="H518" s="45">
        <f>_xlfn.XLOOKUP(Table3[[#This Row],[instant]],Table2[instant],Table2[atemp], ,0,1)</f>
        <v>0.13639999999999999</v>
      </c>
      <c r="I518" s="42">
        <f>_xlfn.XLOOKUP(Table3[[#This Row],[instant]],Table2[instant],Table2[hum], ,0,1)</f>
        <v>0.28000000000000003</v>
      </c>
      <c r="J518" s="42">
        <f>_xlfn.XLOOKUP(Table3[[#This Row],[instant]],Table2[instant],Table2[windspeed], ,0,1)</f>
        <v>0.35820000000000002</v>
      </c>
      <c r="K518" s="42">
        <f>_xlfn.XLOOKUP(Table3[[#This Row],[instant]],Table2[instant],Table2[casual], ,0,1)</f>
        <v>13</v>
      </c>
      <c r="L518" s="42">
        <f>_xlfn.XLOOKUP(Table3[[#This Row],[instant]],Table2[instant],Table2[registered], ,0,1)</f>
        <v>64</v>
      </c>
      <c r="M518" s="46">
        <f>_xlfn.XLOOKUP(Table3[[#This Row],[instant]],Table2[instant],Table2[cnt], ,0,1)</f>
        <v>77</v>
      </c>
      <c r="N518" s="42" t="str">
        <f>IF(OR(Table3[[#This Row],[weekday]]=0,Table3[[#This Row],[weekday]]=6),"Weekend","Weekday")</f>
        <v>Weekend</v>
      </c>
    </row>
    <row r="519" spans="1:14" ht="15" thickBot="1" x14ac:dyDescent="0.35">
      <c r="A519" s="48">
        <v>518</v>
      </c>
      <c r="B519" s="49">
        <f>_xlfn.XLOOKUP(Table3[[#This Row],[instant]],DatSet1!A519:A1128,DatSet1!B519:B1128,_xlfn.XLOOKUP(Table3[[#This Row],[instant]],'Final Data'!A519:A908,'Final Data'!B519:B908, ,0,1),0,1)</f>
        <v>40566</v>
      </c>
      <c r="C519" s="48">
        <f>_xlfn.XLOOKUP(Table3[[#This Row],[instant]],Table1[instant],Table1[hr], ,0,1)</f>
        <v>16</v>
      </c>
      <c r="D519" s="50" t="b">
        <f>_xlfn.XLOOKUP(Table3[[#This Row],[instant]],Table1[instant],Table1[holiday], ,0,1)</f>
        <v>0</v>
      </c>
      <c r="E519" s="2">
        <f>_xlfn.XLOOKUP(Table3[[#This Row],[instant]],Table1[instant],Table1[weekday], ,0,1)</f>
        <v>0</v>
      </c>
      <c r="F519" s="2">
        <f>_xlfn.XLOOKUP(Table3[[#This Row],[instant]],Table1[instant],Table1[weathersit], ,0,1)</f>
        <v>1</v>
      </c>
      <c r="G519" s="2">
        <f>_xlfn.XLOOKUP(Table3[[#This Row],[instant]],Table1[instant],Table1[temp], ,0,1)</f>
        <v>0.16</v>
      </c>
      <c r="H519" s="24">
        <f>_xlfn.XLOOKUP(Table3[[#This Row],[instant]],Table2[instant],Table2[atemp], ,0,1)</f>
        <v>0.13639999999999999</v>
      </c>
      <c r="I519" s="1">
        <f>_xlfn.XLOOKUP(Table3[[#This Row],[instant]],Table2[instant],Table2[hum], ,0,1)</f>
        <v>0.26</v>
      </c>
      <c r="J519" s="1">
        <f>_xlfn.XLOOKUP(Table3[[#This Row],[instant]],Table2[instant],Table2[windspeed], ,0,1)</f>
        <v>0.32840000000000003</v>
      </c>
      <c r="K519" s="1">
        <f>_xlfn.XLOOKUP(Table3[[#This Row],[instant]],Table2[instant],Table2[casual], ,0,1)</f>
        <v>9</v>
      </c>
      <c r="L519" s="1">
        <f>_xlfn.XLOOKUP(Table3[[#This Row],[instant]],Table2[instant],Table2[registered], ,0,1)</f>
        <v>56</v>
      </c>
      <c r="M519" s="6">
        <f>_xlfn.XLOOKUP(Table3[[#This Row],[instant]],Table2[instant],Table2[cnt], ,0,1)</f>
        <v>65</v>
      </c>
      <c r="N519" s="1" t="str">
        <f>IF(OR(Table3[[#This Row],[weekday]]=0,Table3[[#This Row],[weekday]]=6),"Weekend","Weekday")</f>
        <v>Weekend</v>
      </c>
    </row>
    <row r="520" spans="1:14" ht="15" thickBot="1" x14ac:dyDescent="0.35">
      <c r="A520" s="51">
        <v>519</v>
      </c>
      <c r="B520" s="52">
        <f>_xlfn.XLOOKUP(Table3[[#This Row],[instant]],DatSet1!A520:A1129,DatSet1!B520:B1129,_xlfn.XLOOKUP(Table3[[#This Row],[instant]],'Final Data'!A520:A909,'Final Data'!B520:B909, ,0,1),0,1)</f>
        <v>40566</v>
      </c>
      <c r="C520" s="51">
        <f>_xlfn.XLOOKUP(Table3[[#This Row],[instant]],Table1[instant],Table1[hr], ,0,1)</f>
        <v>17</v>
      </c>
      <c r="D520" s="53" t="b">
        <f>_xlfn.XLOOKUP(Table3[[#This Row],[instant]],Table1[instant],Table1[holiday], ,0,1)</f>
        <v>0</v>
      </c>
      <c r="E520" s="44">
        <f>_xlfn.XLOOKUP(Table3[[#This Row],[instant]],Table1[instant],Table1[weekday], ,0,1)</f>
        <v>0</v>
      </c>
      <c r="F520" s="44">
        <f>_xlfn.XLOOKUP(Table3[[#This Row],[instant]],Table1[instant],Table1[weathersit], ,0,1)</f>
        <v>1</v>
      </c>
      <c r="G520" s="44">
        <f>_xlfn.XLOOKUP(Table3[[#This Row],[instant]],Table1[instant],Table1[temp], ,0,1)</f>
        <v>0.14000000000000001</v>
      </c>
      <c r="H520" s="45">
        <f>_xlfn.XLOOKUP(Table3[[#This Row],[instant]],Table2[instant],Table2[atemp], ,0,1)</f>
        <v>0.1061</v>
      </c>
      <c r="I520" s="42">
        <f>_xlfn.XLOOKUP(Table3[[#This Row],[instant]],Table2[instant],Table2[hum], ,0,1)</f>
        <v>0.26</v>
      </c>
      <c r="J520" s="42">
        <f>_xlfn.XLOOKUP(Table3[[#This Row],[instant]],Table2[instant],Table2[windspeed], ,0,1)</f>
        <v>0.3881</v>
      </c>
      <c r="K520" s="42">
        <f>_xlfn.XLOOKUP(Table3[[#This Row],[instant]],Table2[instant],Table2[casual], ,0,1)</f>
        <v>5</v>
      </c>
      <c r="L520" s="42">
        <f>_xlfn.XLOOKUP(Table3[[#This Row],[instant]],Table2[instant],Table2[registered], ,0,1)</f>
        <v>50</v>
      </c>
      <c r="M520" s="46">
        <f>_xlfn.XLOOKUP(Table3[[#This Row],[instant]],Table2[instant],Table2[cnt], ,0,1)</f>
        <v>55</v>
      </c>
      <c r="N520" s="42" t="str">
        <f>IF(OR(Table3[[#This Row],[weekday]]=0,Table3[[#This Row],[weekday]]=6),"Weekend","Weekday")</f>
        <v>Weekend</v>
      </c>
    </row>
    <row r="521" spans="1:14" ht="15" thickBot="1" x14ac:dyDescent="0.35">
      <c r="A521" s="48">
        <v>520</v>
      </c>
      <c r="B521" s="49">
        <f>_xlfn.XLOOKUP(Table3[[#This Row],[instant]],DatSet1!A521:A1130,DatSet1!B521:B1130,_xlfn.XLOOKUP(Table3[[#This Row],[instant]],'Final Data'!A521:A910,'Final Data'!B521:B910, ,0,1),0,1)</f>
        <v>40566</v>
      </c>
      <c r="C521" s="48">
        <f>_xlfn.XLOOKUP(Table3[[#This Row],[instant]],Table1[instant],Table1[hr], ,0,1)</f>
        <v>18</v>
      </c>
      <c r="D521" s="50" t="b">
        <f>_xlfn.XLOOKUP(Table3[[#This Row],[instant]],Table1[instant],Table1[holiday], ,0,1)</f>
        <v>0</v>
      </c>
      <c r="E521" s="2">
        <f>_xlfn.XLOOKUP(Table3[[#This Row],[instant]],Table1[instant],Table1[weekday], ,0,1)</f>
        <v>0</v>
      </c>
      <c r="F521" s="2">
        <f>_xlfn.XLOOKUP(Table3[[#This Row],[instant]],Table1[instant],Table1[weathersit], ,0,1)</f>
        <v>1</v>
      </c>
      <c r="G521" s="2">
        <f>_xlfn.XLOOKUP(Table3[[#This Row],[instant]],Table1[instant],Table1[temp], ,0,1)</f>
        <v>0.12</v>
      </c>
      <c r="H521" s="24">
        <f>_xlfn.XLOOKUP(Table3[[#This Row],[instant]],Table2[instant],Table2[atemp], ,0,1)</f>
        <v>0.1212</v>
      </c>
      <c r="I521" s="1">
        <f>_xlfn.XLOOKUP(Table3[[#This Row],[instant]],Table2[instant],Table2[hum], ,0,1)</f>
        <v>0.3</v>
      </c>
      <c r="J521" s="1">
        <f>_xlfn.XLOOKUP(Table3[[#This Row],[instant]],Table2[instant],Table2[windspeed], ,0,1)</f>
        <v>0.25369999999999998</v>
      </c>
      <c r="K521" s="1">
        <f>_xlfn.XLOOKUP(Table3[[#This Row],[instant]],Table2[instant],Table2[casual], ,0,1)</f>
        <v>5</v>
      </c>
      <c r="L521" s="1">
        <f>_xlfn.XLOOKUP(Table3[[#This Row],[instant]],Table2[instant],Table2[registered], ,0,1)</f>
        <v>44</v>
      </c>
      <c r="M521" s="6">
        <f>_xlfn.XLOOKUP(Table3[[#This Row],[instant]],Table2[instant],Table2[cnt], ,0,1)</f>
        <v>49</v>
      </c>
      <c r="N521" s="1" t="str">
        <f>IF(OR(Table3[[#This Row],[weekday]]=0,Table3[[#This Row],[weekday]]=6),"Weekend","Weekday")</f>
        <v>Weekend</v>
      </c>
    </row>
    <row r="522" spans="1:14" ht="15" thickBot="1" x14ac:dyDescent="0.35">
      <c r="A522" s="51">
        <v>521</v>
      </c>
      <c r="B522" s="52">
        <f>_xlfn.XLOOKUP(Table3[[#This Row],[instant]],DatSet1!A522:A1131,DatSet1!B522:B1131,_xlfn.XLOOKUP(Table3[[#This Row],[instant]],'Final Data'!A522:A911,'Final Data'!B522:B911, ,0,1),0,1)</f>
        <v>40566</v>
      </c>
      <c r="C522" s="51">
        <f>_xlfn.XLOOKUP(Table3[[#This Row],[instant]],Table1[instant],Table1[hr], ,0,1)</f>
        <v>19</v>
      </c>
      <c r="D522" s="53" t="b">
        <f>_xlfn.XLOOKUP(Table3[[#This Row],[instant]],Table1[instant],Table1[holiday], ,0,1)</f>
        <v>0</v>
      </c>
      <c r="E522" s="44">
        <f>_xlfn.XLOOKUP(Table3[[#This Row],[instant]],Table1[instant],Table1[weekday], ,0,1)</f>
        <v>0</v>
      </c>
      <c r="F522" s="44">
        <f>_xlfn.XLOOKUP(Table3[[#This Row],[instant]],Table1[instant],Table1[weathersit], ,0,1)</f>
        <v>1</v>
      </c>
      <c r="G522" s="44">
        <f>_xlfn.XLOOKUP(Table3[[#This Row],[instant]],Table1[instant],Table1[temp], ,0,1)</f>
        <v>0.12</v>
      </c>
      <c r="H522" s="45">
        <f>_xlfn.XLOOKUP(Table3[[#This Row],[instant]],Table2[instant],Table2[atemp], ,0,1)</f>
        <v>0.1212</v>
      </c>
      <c r="I522" s="42">
        <f>_xlfn.XLOOKUP(Table3[[#This Row],[instant]],Table2[instant],Table2[hum], ,0,1)</f>
        <v>0.3</v>
      </c>
      <c r="J522" s="42">
        <f>_xlfn.XLOOKUP(Table3[[#This Row],[instant]],Table2[instant],Table2[windspeed], ,0,1)</f>
        <v>0.28360000000000002</v>
      </c>
      <c r="K522" s="42">
        <f>_xlfn.XLOOKUP(Table3[[#This Row],[instant]],Table2[instant],Table2[casual], ,0,1)</f>
        <v>5</v>
      </c>
      <c r="L522" s="42">
        <f>_xlfn.XLOOKUP(Table3[[#This Row],[instant]],Table2[instant],Table2[registered], ,0,1)</f>
        <v>45</v>
      </c>
      <c r="M522" s="46">
        <f>_xlfn.XLOOKUP(Table3[[#This Row],[instant]],Table2[instant],Table2[cnt], ,0,1)</f>
        <v>50</v>
      </c>
      <c r="N522" s="42" t="str">
        <f>IF(OR(Table3[[#This Row],[weekday]]=0,Table3[[#This Row],[weekday]]=6),"Weekend","Weekday")</f>
        <v>Weekend</v>
      </c>
    </row>
    <row r="523" spans="1:14" ht="15" thickBot="1" x14ac:dyDescent="0.35">
      <c r="A523" s="48">
        <v>522</v>
      </c>
      <c r="B523" s="49">
        <f>_xlfn.XLOOKUP(Table3[[#This Row],[instant]],DatSet1!A523:A1132,DatSet1!B523:B1132,_xlfn.XLOOKUP(Table3[[#This Row],[instant]],'Final Data'!A523:A912,'Final Data'!B523:B912, ,0,1),0,1)</f>
        <v>40566</v>
      </c>
      <c r="C523" s="48">
        <f>_xlfn.XLOOKUP(Table3[[#This Row],[instant]],Table1[instant],Table1[hr], ,0,1)</f>
        <v>20</v>
      </c>
      <c r="D523" s="50" t="b">
        <f>_xlfn.XLOOKUP(Table3[[#This Row],[instant]],Table1[instant],Table1[holiday], ,0,1)</f>
        <v>0</v>
      </c>
      <c r="E523" s="2">
        <f>_xlfn.XLOOKUP(Table3[[#This Row],[instant]],Table1[instant],Table1[weekday], ,0,1)</f>
        <v>0</v>
      </c>
      <c r="F523" s="2">
        <f>_xlfn.XLOOKUP(Table3[[#This Row],[instant]],Table1[instant],Table1[weathersit], ,0,1)</f>
        <v>1</v>
      </c>
      <c r="G523" s="2">
        <f>_xlfn.XLOOKUP(Table3[[#This Row],[instant]],Table1[instant],Table1[temp], ,0,1)</f>
        <v>0.1</v>
      </c>
      <c r="H523" s="24">
        <f>_xlfn.XLOOKUP(Table3[[#This Row],[instant]],Table2[instant],Table2[atemp], ,0,1)</f>
        <v>0.1061</v>
      </c>
      <c r="I523" s="1">
        <f>_xlfn.XLOOKUP(Table3[[#This Row],[instant]],Table2[instant],Table2[hum], ,0,1)</f>
        <v>0.36</v>
      </c>
      <c r="J523" s="1">
        <f>_xlfn.XLOOKUP(Table3[[#This Row],[instant]],Table2[instant],Table2[windspeed], ,0,1)</f>
        <v>0.25369999999999998</v>
      </c>
      <c r="K523" s="1">
        <f>_xlfn.XLOOKUP(Table3[[#This Row],[instant]],Table2[instant],Table2[casual], ,0,1)</f>
        <v>4</v>
      </c>
      <c r="L523" s="1">
        <f>_xlfn.XLOOKUP(Table3[[#This Row],[instant]],Table2[instant],Table2[registered], ,0,1)</f>
        <v>31</v>
      </c>
      <c r="M523" s="6">
        <f>_xlfn.XLOOKUP(Table3[[#This Row],[instant]],Table2[instant],Table2[cnt], ,0,1)</f>
        <v>35</v>
      </c>
      <c r="N523" s="1" t="str">
        <f>IF(OR(Table3[[#This Row],[weekday]]=0,Table3[[#This Row],[weekday]]=6),"Weekend","Weekday")</f>
        <v>Weekend</v>
      </c>
    </row>
    <row r="524" spans="1:14" ht="15" thickBot="1" x14ac:dyDescent="0.35">
      <c r="A524" s="51">
        <v>523</v>
      </c>
      <c r="B524" s="52">
        <f>_xlfn.XLOOKUP(Table3[[#This Row],[instant]],DatSet1!A524:A1133,DatSet1!B524:B1133,_xlfn.XLOOKUP(Table3[[#This Row],[instant]],'Final Data'!A524:A913,'Final Data'!B524:B913, ,0,1),0,1)</f>
        <v>40566</v>
      </c>
      <c r="C524" s="51">
        <f>_xlfn.XLOOKUP(Table3[[#This Row],[instant]],Table1[instant],Table1[hr], ,0,1)</f>
        <v>21</v>
      </c>
      <c r="D524" s="53" t="b">
        <f>_xlfn.XLOOKUP(Table3[[#This Row],[instant]],Table1[instant],Table1[holiday], ,0,1)</f>
        <v>0</v>
      </c>
      <c r="E524" s="44">
        <f>_xlfn.XLOOKUP(Table3[[#This Row],[instant]],Table1[instant],Table1[weekday], ,0,1)</f>
        <v>0</v>
      </c>
      <c r="F524" s="44">
        <f>_xlfn.XLOOKUP(Table3[[#This Row],[instant]],Table1[instant],Table1[weathersit], ,0,1)</f>
        <v>1</v>
      </c>
      <c r="G524" s="44">
        <f>_xlfn.XLOOKUP(Table3[[#This Row],[instant]],Table1[instant],Table1[temp], ,0,1)</f>
        <v>0.1</v>
      </c>
      <c r="H524" s="45">
        <f>_xlfn.XLOOKUP(Table3[[#This Row],[instant]],Table2[instant],Table2[atemp], ,0,1)</f>
        <v>0.1061</v>
      </c>
      <c r="I524" s="42">
        <f>_xlfn.XLOOKUP(Table3[[#This Row],[instant]],Table2[instant],Table2[hum], ,0,1)</f>
        <v>0.36</v>
      </c>
      <c r="J524" s="42">
        <f>_xlfn.XLOOKUP(Table3[[#This Row],[instant]],Table2[instant],Table2[windspeed], ,0,1)</f>
        <v>0.19400000000000001</v>
      </c>
      <c r="K524" s="42">
        <f>_xlfn.XLOOKUP(Table3[[#This Row],[instant]],Table2[instant],Table2[casual], ,0,1)</f>
        <v>5</v>
      </c>
      <c r="L524" s="42">
        <f>_xlfn.XLOOKUP(Table3[[#This Row],[instant]],Table2[instant],Table2[registered], ,0,1)</f>
        <v>20</v>
      </c>
      <c r="M524" s="46">
        <f>_xlfn.XLOOKUP(Table3[[#This Row],[instant]],Table2[instant],Table2[cnt], ,0,1)</f>
        <v>25</v>
      </c>
      <c r="N524" s="42" t="str">
        <f>IF(OR(Table3[[#This Row],[weekday]]=0,Table3[[#This Row],[weekday]]=6),"Weekend","Weekday")</f>
        <v>Weekend</v>
      </c>
    </row>
    <row r="525" spans="1:14" ht="15" thickBot="1" x14ac:dyDescent="0.35">
      <c r="A525" s="48">
        <v>524</v>
      </c>
      <c r="B525" s="49">
        <f>_xlfn.XLOOKUP(Table3[[#This Row],[instant]],DatSet1!A525:A1134,DatSet1!B525:B1134,_xlfn.XLOOKUP(Table3[[#This Row],[instant]],'Final Data'!A525:A914,'Final Data'!B525:B914, ,0,1),0,1)</f>
        <v>40566</v>
      </c>
      <c r="C525" s="48">
        <f>_xlfn.XLOOKUP(Table3[[#This Row],[instant]],Table1[instant],Table1[hr], ,0,1)</f>
        <v>22</v>
      </c>
      <c r="D525" s="50" t="b">
        <f>_xlfn.XLOOKUP(Table3[[#This Row],[instant]],Table1[instant],Table1[holiday], ,0,1)</f>
        <v>0</v>
      </c>
      <c r="E525" s="2">
        <f>_xlfn.XLOOKUP(Table3[[#This Row],[instant]],Table1[instant],Table1[weekday], ,0,1)</f>
        <v>0</v>
      </c>
      <c r="F525" s="2">
        <f>_xlfn.XLOOKUP(Table3[[#This Row],[instant]],Table1[instant],Table1[weathersit], ,0,1)</f>
        <v>1</v>
      </c>
      <c r="G525" s="2">
        <f>_xlfn.XLOOKUP(Table3[[#This Row],[instant]],Table1[instant],Table1[temp], ,0,1)</f>
        <v>0.08</v>
      </c>
      <c r="H525" s="24">
        <f>_xlfn.XLOOKUP(Table3[[#This Row],[instant]],Table2[instant],Table2[atemp], ,0,1)</f>
        <v>9.0899999999999995E-2</v>
      </c>
      <c r="I525" s="1">
        <f>_xlfn.XLOOKUP(Table3[[#This Row],[instant]],Table2[instant],Table2[hum], ,0,1)</f>
        <v>0.38</v>
      </c>
      <c r="J525" s="1">
        <f>_xlfn.XLOOKUP(Table3[[#This Row],[instant]],Table2[instant],Table2[windspeed], ,0,1)</f>
        <v>0.19400000000000001</v>
      </c>
      <c r="K525" s="1">
        <f>_xlfn.XLOOKUP(Table3[[#This Row],[instant]],Table2[instant],Table2[casual], ,0,1)</f>
        <v>5</v>
      </c>
      <c r="L525" s="1">
        <f>_xlfn.XLOOKUP(Table3[[#This Row],[instant]],Table2[instant],Table2[registered], ,0,1)</f>
        <v>23</v>
      </c>
      <c r="M525" s="6">
        <f>_xlfn.XLOOKUP(Table3[[#This Row],[instant]],Table2[instant],Table2[cnt], ,0,1)</f>
        <v>28</v>
      </c>
      <c r="N525" s="1" t="str">
        <f>IF(OR(Table3[[#This Row],[weekday]]=0,Table3[[#This Row],[weekday]]=6),"Weekend","Weekday")</f>
        <v>Weekend</v>
      </c>
    </row>
    <row r="526" spans="1:14" ht="15" thickBot="1" x14ac:dyDescent="0.35">
      <c r="A526" s="51">
        <v>525</v>
      </c>
      <c r="B526" s="52">
        <f>_xlfn.XLOOKUP(Table3[[#This Row],[instant]],DatSet1!A526:A1135,DatSet1!B526:B1135,_xlfn.XLOOKUP(Table3[[#This Row],[instant]],'Final Data'!A526:A915,'Final Data'!B526:B915, ,0,1),0,1)</f>
        <v>40566</v>
      </c>
      <c r="C526" s="51">
        <f>_xlfn.XLOOKUP(Table3[[#This Row],[instant]],Table1[instant],Table1[hr], ,0,1)</f>
        <v>23</v>
      </c>
      <c r="D526" s="53" t="b">
        <f>_xlfn.XLOOKUP(Table3[[#This Row],[instant]],Table1[instant],Table1[holiday], ,0,1)</f>
        <v>0</v>
      </c>
      <c r="E526" s="44">
        <f>_xlfn.XLOOKUP(Table3[[#This Row],[instant]],Table1[instant],Table1[weekday], ,0,1)</f>
        <v>0</v>
      </c>
      <c r="F526" s="44">
        <f>_xlfn.XLOOKUP(Table3[[#This Row],[instant]],Table1[instant],Table1[weathersit], ,0,1)</f>
        <v>1</v>
      </c>
      <c r="G526" s="44">
        <f>_xlfn.XLOOKUP(Table3[[#This Row],[instant]],Table1[instant],Table1[temp], ,0,1)</f>
        <v>0.06</v>
      </c>
      <c r="H526" s="45">
        <f>_xlfn.XLOOKUP(Table3[[#This Row],[instant]],Table2[instant],Table2[atemp], ,0,1)</f>
        <v>6.0600000000000001E-2</v>
      </c>
      <c r="I526" s="42">
        <f>_xlfn.XLOOKUP(Table3[[#This Row],[instant]],Table2[instant],Table2[hum], ,0,1)</f>
        <v>0.41</v>
      </c>
      <c r="J526" s="42">
        <f>_xlfn.XLOOKUP(Table3[[#This Row],[instant]],Table2[instant],Table2[windspeed], ,0,1)</f>
        <v>0.22389999999999999</v>
      </c>
      <c r="K526" s="42">
        <f>_xlfn.XLOOKUP(Table3[[#This Row],[instant]],Table2[instant],Table2[casual], ,0,1)</f>
        <v>4</v>
      </c>
      <c r="L526" s="42">
        <f>_xlfn.XLOOKUP(Table3[[#This Row],[instant]],Table2[instant],Table2[registered], ,0,1)</f>
        <v>17</v>
      </c>
      <c r="M526" s="46">
        <f>_xlfn.XLOOKUP(Table3[[#This Row],[instant]],Table2[instant],Table2[cnt], ,0,1)</f>
        <v>21</v>
      </c>
      <c r="N526" s="42" t="str">
        <f>IF(OR(Table3[[#This Row],[weekday]]=0,Table3[[#This Row],[weekday]]=6),"Weekend","Weekday")</f>
        <v>Weekend</v>
      </c>
    </row>
    <row r="527" spans="1:14" ht="15" thickBot="1" x14ac:dyDescent="0.35">
      <c r="A527" s="48">
        <v>526</v>
      </c>
      <c r="B527" s="49">
        <f>_xlfn.XLOOKUP(Table3[[#This Row],[instant]],DatSet1!A527:A1136,DatSet1!B527:B1136,_xlfn.XLOOKUP(Table3[[#This Row],[instant]],'Final Data'!A527:A916,'Final Data'!B527:B916, ,0,1),0,1)</f>
        <v>40567</v>
      </c>
      <c r="C527" s="48">
        <f>_xlfn.XLOOKUP(Table3[[#This Row],[instant]],Table1[instant],Table1[hr], ,0,1)</f>
        <v>0</v>
      </c>
      <c r="D527" s="50" t="b">
        <f>_xlfn.XLOOKUP(Table3[[#This Row],[instant]],Table1[instant],Table1[holiday], ,0,1)</f>
        <v>0</v>
      </c>
      <c r="E527" s="2">
        <f>_xlfn.XLOOKUP(Table3[[#This Row],[instant]],Table1[instant],Table1[weekday], ,0,1)</f>
        <v>1</v>
      </c>
      <c r="F527" s="2">
        <f>_xlfn.XLOOKUP(Table3[[#This Row],[instant]],Table1[instant],Table1[weathersit], ,0,1)</f>
        <v>1</v>
      </c>
      <c r="G527" s="2">
        <f>_xlfn.XLOOKUP(Table3[[#This Row],[instant]],Table1[instant],Table1[temp], ,0,1)</f>
        <v>0.06</v>
      </c>
      <c r="H527" s="24">
        <f>_xlfn.XLOOKUP(Table3[[#This Row],[instant]],Table2[instant],Table2[atemp], ,0,1)</f>
        <v>6.0600000000000001E-2</v>
      </c>
      <c r="I527" s="1">
        <f>_xlfn.XLOOKUP(Table3[[#This Row],[instant]],Table2[instant],Table2[hum], ,0,1)</f>
        <v>0.41</v>
      </c>
      <c r="J527" s="1">
        <f>_xlfn.XLOOKUP(Table3[[#This Row],[instant]],Table2[instant],Table2[windspeed], ,0,1)</f>
        <v>0.19400000000000001</v>
      </c>
      <c r="K527" s="1">
        <f>_xlfn.XLOOKUP(Table3[[#This Row],[instant]],Table2[instant],Table2[casual], ,0,1)</f>
        <v>0</v>
      </c>
      <c r="L527" s="1">
        <f>_xlfn.XLOOKUP(Table3[[#This Row],[instant]],Table2[instant],Table2[registered], ,0,1)</f>
        <v>7</v>
      </c>
      <c r="M527" s="6">
        <f>_xlfn.XLOOKUP(Table3[[#This Row],[instant]],Table2[instant],Table2[cnt], ,0,1)</f>
        <v>7</v>
      </c>
      <c r="N527" s="1" t="str">
        <f>IF(OR(Table3[[#This Row],[weekday]]=0,Table3[[#This Row],[weekday]]=6),"Weekend","Weekday")</f>
        <v>Weekday</v>
      </c>
    </row>
    <row r="528" spans="1:14" ht="15" thickBot="1" x14ac:dyDescent="0.35">
      <c r="A528" s="51">
        <v>527</v>
      </c>
      <c r="B528" s="52">
        <f>_xlfn.XLOOKUP(Table3[[#This Row],[instant]],DatSet1!A528:A1137,DatSet1!B528:B1137,_xlfn.XLOOKUP(Table3[[#This Row],[instant]],'Final Data'!A528:A917,'Final Data'!B528:B917, ,0,1),0,1)</f>
        <v>40567</v>
      </c>
      <c r="C528" s="51">
        <f>_xlfn.XLOOKUP(Table3[[#This Row],[instant]],Table1[instant],Table1[hr], ,0,1)</f>
        <v>1</v>
      </c>
      <c r="D528" s="53" t="b">
        <f>_xlfn.XLOOKUP(Table3[[#This Row],[instant]],Table1[instant],Table1[holiday], ,0,1)</f>
        <v>0</v>
      </c>
      <c r="E528" s="44">
        <f>_xlfn.XLOOKUP(Table3[[#This Row],[instant]],Table1[instant],Table1[weekday], ,0,1)</f>
        <v>1</v>
      </c>
      <c r="F528" s="44">
        <f>_xlfn.XLOOKUP(Table3[[#This Row],[instant]],Table1[instant],Table1[weathersit], ,0,1)</f>
        <v>1</v>
      </c>
      <c r="G528" s="44">
        <f>_xlfn.XLOOKUP(Table3[[#This Row],[instant]],Table1[instant],Table1[temp], ,0,1)</f>
        <v>0.04</v>
      </c>
      <c r="H528" s="45">
        <f>_xlfn.XLOOKUP(Table3[[#This Row],[instant]],Table2[instant],Table2[atemp], ,0,1)</f>
        <v>4.5499999999999999E-2</v>
      </c>
      <c r="I528" s="42">
        <f>_xlfn.XLOOKUP(Table3[[#This Row],[instant]],Table2[instant],Table2[hum], ,0,1)</f>
        <v>0.45</v>
      </c>
      <c r="J528" s="42">
        <f>_xlfn.XLOOKUP(Table3[[#This Row],[instant]],Table2[instant],Table2[windspeed], ,0,1)</f>
        <v>0.19400000000000001</v>
      </c>
      <c r="K528" s="42">
        <f>_xlfn.XLOOKUP(Table3[[#This Row],[instant]],Table2[instant],Table2[casual], ,0,1)</f>
        <v>0</v>
      </c>
      <c r="L528" s="42">
        <f>_xlfn.XLOOKUP(Table3[[#This Row],[instant]],Table2[instant],Table2[registered], ,0,1)</f>
        <v>1</v>
      </c>
      <c r="M528" s="46">
        <f>_xlfn.XLOOKUP(Table3[[#This Row],[instant]],Table2[instant],Table2[cnt], ,0,1)</f>
        <v>1</v>
      </c>
      <c r="N528" s="42" t="str">
        <f>IF(OR(Table3[[#This Row],[weekday]]=0,Table3[[#This Row],[weekday]]=6),"Weekend","Weekday")</f>
        <v>Weekday</v>
      </c>
    </row>
    <row r="529" spans="1:14" ht="15" thickBot="1" x14ac:dyDescent="0.35">
      <c r="A529" s="48">
        <v>528</v>
      </c>
      <c r="B529" s="49">
        <f>_xlfn.XLOOKUP(Table3[[#This Row],[instant]],DatSet1!A529:A1138,DatSet1!B529:B1138,_xlfn.XLOOKUP(Table3[[#This Row],[instant]],'Final Data'!A529:A918,'Final Data'!B529:B918, ,0,1),0,1)</f>
        <v>40567</v>
      </c>
      <c r="C529" s="48">
        <f>_xlfn.XLOOKUP(Table3[[#This Row],[instant]],Table1[instant],Table1[hr], ,0,1)</f>
        <v>3</v>
      </c>
      <c r="D529" s="50" t="b">
        <f>_xlfn.XLOOKUP(Table3[[#This Row],[instant]],Table1[instant],Table1[holiday], ,0,1)</f>
        <v>0</v>
      </c>
      <c r="E529" s="2">
        <f>_xlfn.XLOOKUP(Table3[[#This Row],[instant]],Table1[instant],Table1[weekday], ,0,1)</f>
        <v>1</v>
      </c>
      <c r="F529" s="2">
        <f>_xlfn.XLOOKUP(Table3[[#This Row],[instant]],Table1[instant],Table1[weathersit], ,0,1)</f>
        <v>1</v>
      </c>
      <c r="G529" s="2">
        <f>_xlfn.XLOOKUP(Table3[[#This Row],[instant]],Table1[instant],Table1[temp], ,0,1)</f>
        <v>0.04</v>
      </c>
      <c r="H529" s="24">
        <f>_xlfn.XLOOKUP(Table3[[#This Row],[instant]],Table2[instant],Table2[atemp], ,0,1)</f>
        <v>3.0300000000000001E-2</v>
      </c>
      <c r="I529" s="1">
        <f>_xlfn.XLOOKUP(Table3[[#This Row],[instant]],Table2[instant],Table2[hum], ,0,1)</f>
        <v>0.45</v>
      </c>
      <c r="J529" s="1">
        <f>_xlfn.XLOOKUP(Table3[[#This Row],[instant]],Table2[instant],Table2[windspeed], ,0,1)</f>
        <v>0.25369999999999998</v>
      </c>
      <c r="K529" s="1">
        <f>_xlfn.XLOOKUP(Table3[[#This Row],[instant]],Table2[instant],Table2[casual], ,0,1)</f>
        <v>0</v>
      </c>
      <c r="L529" s="1">
        <f>_xlfn.XLOOKUP(Table3[[#This Row],[instant]],Table2[instant],Table2[registered], ,0,1)</f>
        <v>1</v>
      </c>
      <c r="M529" s="6">
        <f>_xlfn.XLOOKUP(Table3[[#This Row],[instant]],Table2[instant],Table2[cnt], ,0,1)</f>
        <v>1</v>
      </c>
      <c r="N529" s="1" t="str">
        <f>IF(OR(Table3[[#This Row],[weekday]]=0,Table3[[#This Row],[weekday]]=6),"Weekend","Weekday")</f>
        <v>Weekday</v>
      </c>
    </row>
    <row r="530" spans="1:14" ht="15" thickBot="1" x14ac:dyDescent="0.35">
      <c r="A530" s="51">
        <v>529</v>
      </c>
      <c r="B530" s="52">
        <f>_xlfn.XLOOKUP(Table3[[#This Row],[instant]],DatSet1!A530:A1139,DatSet1!B530:B1139,_xlfn.XLOOKUP(Table3[[#This Row],[instant]],'Final Data'!A530:A919,'Final Data'!B530:B919, ,0,1),0,1)</f>
        <v>40567</v>
      </c>
      <c r="C530" s="51">
        <f>_xlfn.XLOOKUP(Table3[[#This Row],[instant]],Table1[instant],Table1[hr], ,0,1)</f>
        <v>4</v>
      </c>
      <c r="D530" s="53" t="b">
        <f>_xlfn.XLOOKUP(Table3[[#This Row],[instant]],Table1[instant],Table1[holiday], ,0,1)</f>
        <v>0</v>
      </c>
      <c r="E530" s="44">
        <f>_xlfn.XLOOKUP(Table3[[#This Row],[instant]],Table1[instant],Table1[weekday], ,0,1)</f>
        <v>1</v>
      </c>
      <c r="F530" s="44">
        <f>_xlfn.XLOOKUP(Table3[[#This Row],[instant]],Table1[instant],Table1[weathersit], ,0,1)</f>
        <v>1</v>
      </c>
      <c r="G530" s="44">
        <f>_xlfn.XLOOKUP(Table3[[#This Row],[instant]],Table1[instant],Table1[temp], ,0,1)</f>
        <v>0.02</v>
      </c>
      <c r="H530" s="45">
        <f>_xlfn.XLOOKUP(Table3[[#This Row],[instant]],Table2[instant],Table2[atemp], ,0,1)</f>
        <v>6.0600000000000001E-2</v>
      </c>
      <c r="I530" s="42">
        <f>_xlfn.XLOOKUP(Table3[[#This Row],[instant]],Table2[instant],Table2[hum], ,0,1)</f>
        <v>0.48</v>
      </c>
      <c r="J530" s="42">
        <f>_xlfn.XLOOKUP(Table3[[#This Row],[instant]],Table2[instant],Table2[windspeed], ,0,1)</f>
        <v>0.1343</v>
      </c>
      <c r="K530" s="42">
        <f>_xlfn.XLOOKUP(Table3[[#This Row],[instant]],Table2[instant],Table2[casual], ,0,1)</f>
        <v>0</v>
      </c>
      <c r="L530" s="42">
        <f>_xlfn.XLOOKUP(Table3[[#This Row],[instant]],Table2[instant],Table2[registered], ,0,1)</f>
        <v>1</v>
      </c>
      <c r="M530" s="46">
        <f>_xlfn.XLOOKUP(Table3[[#This Row],[instant]],Table2[instant],Table2[cnt], ,0,1)</f>
        <v>1</v>
      </c>
      <c r="N530" s="42" t="str">
        <f>IF(OR(Table3[[#This Row],[weekday]]=0,Table3[[#This Row],[weekday]]=6),"Weekend","Weekday")</f>
        <v>Weekday</v>
      </c>
    </row>
    <row r="531" spans="1:14" ht="15" thickBot="1" x14ac:dyDescent="0.35">
      <c r="A531" s="48">
        <v>530</v>
      </c>
      <c r="B531" s="49">
        <f>_xlfn.XLOOKUP(Table3[[#This Row],[instant]],DatSet1!A531:A1140,DatSet1!B531:B1140,_xlfn.XLOOKUP(Table3[[#This Row],[instant]],'Final Data'!A531:A920,'Final Data'!B531:B920, ,0,1),0,1)</f>
        <v>40567</v>
      </c>
      <c r="C531" s="48">
        <f>_xlfn.XLOOKUP(Table3[[#This Row],[instant]],Table1[instant],Table1[hr], ,0,1)</f>
        <v>5</v>
      </c>
      <c r="D531" s="50" t="b">
        <f>_xlfn.XLOOKUP(Table3[[#This Row],[instant]],Table1[instant],Table1[holiday], ,0,1)</f>
        <v>0</v>
      </c>
      <c r="E531" s="2">
        <f>_xlfn.XLOOKUP(Table3[[#This Row],[instant]],Table1[instant],Table1[weekday], ,0,1)</f>
        <v>1</v>
      </c>
      <c r="F531" s="2">
        <f>_xlfn.XLOOKUP(Table3[[#This Row],[instant]],Table1[instant],Table1[weathersit], ,0,1)</f>
        <v>1</v>
      </c>
      <c r="G531" s="2">
        <f>_xlfn.XLOOKUP(Table3[[#This Row],[instant]],Table1[instant],Table1[temp], ,0,1)</f>
        <v>0.02</v>
      </c>
      <c r="H531" s="24">
        <f>_xlfn.XLOOKUP(Table3[[#This Row],[instant]],Table2[instant],Table2[atemp], ,0,1)</f>
        <v>6.0600000000000001E-2</v>
      </c>
      <c r="I531" s="1">
        <f>_xlfn.XLOOKUP(Table3[[#This Row],[instant]],Table2[instant],Table2[hum], ,0,1)</f>
        <v>0.48</v>
      </c>
      <c r="J531" s="1">
        <f>_xlfn.XLOOKUP(Table3[[#This Row],[instant]],Table2[instant],Table2[windspeed], ,0,1)</f>
        <v>0.1343</v>
      </c>
      <c r="K531" s="1">
        <f>_xlfn.XLOOKUP(Table3[[#This Row],[instant]],Table2[instant],Table2[casual], ,0,1)</f>
        <v>0</v>
      </c>
      <c r="L531" s="1">
        <f>_xlfn.XLOOKUP(Table3[[#This Row],[instant]],Table2[instant],Table2[registered], ,0,1)</f>
        <v>5</v>
      </c>
      <c r="M531" s="6">
        <f>_xlfn.XLOOKUP(Table3[[#This Row],[instant]],Table2[instant],Table2[cnt], ,0,1)</f>
        <v>5</v>
      </c>
      <c r="N531" s="1" t="str">
        <f>IF(OR(Table3[[#This Row],[weekday]]=0,Table3[[#This Row],[weekday]]=6),"Weekend","Weekday")</f>
        <v>Weekday</v>
      </c>
    </row>
    <row r="532" spans="1:14" ht="15" thickBot="1" x14ac:dyDescent="0.35">
      <c r="A532" s="51">
        <v>531</v>
      </c>
      <c r="B532" s="52">
        <f>_xlfn.XLOOKUP(Table3[[#This Row],[instant]],DatSet1!A532:A1141,DatSet1!B532:B1141,_xlfn.XLOOKUP(Table3[[#This Row],[instant]],'Final Data'!A532:A921,'Final Data'!B532:B921, ,0,1),0,1)</f>
        <v>40567</v>
      </c>
      <c r="C532" s="51">
        <f>_xlfn.XLOOKUP(Table3[[#This Row],[instant]],Table1[instant],Table1[hr], ,0,1)</f>
        <v>6</v>
      </c>
      <c r="D532" s="53" t="b">
        <f>_xlfn.XLOOKUP(Table3[[#This Row],[instant]],Table1[instant],Table1[holiday], ,0,1)</f>
        <v>0</v>
      </c>
      <c r="E532" s="44">
        <f>_xlfn.XLOOKUP(Table3[[#This Row],[instant]],Table1[instant],Table1[weekday], ,0,1)</f>
        <v>1</v>
      </c>
      <c r="F532" s="44">
        <f>_xlfn.XLOOKUP(Table3[[#This Row],[instant]],Table1[instant],Table1[weathersit], ,0,1)</f>
        <v>1</v>
      </c>
      <c r="G532" s="44">
        <f>_xlfn.XLOOKUP(Table3[[#This Row],[instant]],Table1[instant],Table1[temp], ,0,1)</f>
        <v>0.02</v>
      </c>
      <c r="H532" s="45">
        <f>_xlfn.XLOOKUP(Table3[[#This Row],[instant]],Table2[instant],Table2[atemp], ,0,1)</f>
        <v>7.5800000000000006E-2</v>
      </c>
      <c r="I532" s="42">
        <f>_xlfn.XLOOKUP(Table3[[#This Row],[instant]],Table2[instant],Table2[hum], ,0,1)</f>
        <v>0.48</v>
      </c>
      <c r="J532" s="42">
        <f>_xlfn.XLOOKUP(Table3[[#This Row],[instant]],Table2[instant],Table2[windspeed], ,0,1)</f>
        <v>8.9599999999999999E-2</v>
      </c>
      <c r="K532" s="42">
        <f>_xlfn.XLOOKUP(Table3[[#This Row],[instant]],Table2[instant],Table2[casual], ,0,1)</f>
        <v>0</v>
      </c>
      <c r="L532" s="42">
        <f>_xlfn.XLOOKUP(Table3[[#This Row],[instant]],Table2[instant],Table2[registered], ,0,1)</f>
        <v>15</v>
      </c>
      <c r="M532" s="46">
        <f>_xlfn.XLOOKUP(Table3[[#This Row],[instant]],Table2[instant],Table2[cnt], ,0,1)</f>
        <v>15</v>
      </c>
      <c r="N532" s="42" t="str">
        <f>IF(OR(Table3[[#This Row],[weekday]]=0,Table3[[#This Row],[weekday]]=6),"Weekend","Weekday")</f>
        <v>Weekday</v>
      </c>
    </row>
    <row r="533" spans="1:14" ht="15" thickBot="1" x14ac:dyDescent="0.35">
      <c r="A533" s="48">
        <v>532</v>
      </c>
      <c r="B533" s="49">
        <f>_xlfn.XLOOKUP(Table3[[#This Row],[instant]],DatSet1!A533:A1142,DatSet1!B533:B1142,_xlfn.XLOOKUP(Table3[[#This Row],[instant]],'Final Data'!A533:A922,'Final Data'!B533:B922, ,0,1),0,1)</f>
        <v>40567</v>
      </c>
      <c r="C533" s="48">
        <f>_xlfn.XLOOKUP(Table3[[#This Row],[instant]],Table1[instant],Table1[hr], ,0,1)</f>
        <v>7</v>
      </c>
      <c r="D533" s="50" t="b">
        <f>_xlfn.XLOOKUP(Table3[[#This Row],[instant]],Table1[instant],Table1[holiday], ,0,1)</f>
        <v>0</v>
      </c>
      <c r="E533" s="2">
        <f>_xlfn.XLOOKUP(Table3[[#This Row],[instant]],Table1[instant],Table1[weekday], ,0,1)</f>
        <v>1</v>
      </c>
      <c r="F533" s="2">
        <f>_xlfn.XLOOKUP(Table3[[#This Row],[instant]],Table1[instant],Table1[weathersit], ,0,1)</f>
        <v>1</v>
      </c>
      <c r="G533" s="2">
        <f>_xlfn.XLOOKUP(Table3[[#This Row],[instant]],Table1[instant],Table1[temp], ,0,1)</f>
        <v>0.02</v>
      </c>
      <c r="H533" s="24">
        <f>_xlfn.XLOOKUP(Table3[[#This Row],[instant]],Table2[instant],Table2[atemp], ,0,1)</f>
        <v>0.1212</v>
      </c>
      <c r="I533" s="1">
        <f>_xlfn.XLOOKUP(Table3[[#This Row],[instant]],Table2[instant],Table2[hum], ,0,1)</f>
        <v>0.48</v>
      </c>
      <c r="J533" s="1">
        <f>_xlfn.XLOOKUP(Table3[[#This Row],[instant]],Table2[instant],Table2[windspeed], ,0,1)</f>
        <v>0</v>
      </c>
      <c r="K533" s="1">
        <f>_xlfn.XLOOKUP(Table3[[#This Row],[instant]],Table2[instant],Table2[casual], ,0,1)</f>
        <v>5</v>
      </c>
      <c r="L533" s="1">
        <f>_xlfn.XLOOKUP(Table3[[#This Row],[instant]],Table2[instant],Table2[registered], ,0,1)</f>
        <v>79</v>
      </c>
      <c r="M533" s="6">
        <f>_xlfn.XLOOKUP(Table3[[#This Row],[instant]],Table2[instant],Table2[cnt], ,0,1)</f>
        <v>84</v>
      </c>
      <c r="N533" s="1" t="str">
        <f>IF(OR(Table3[[#This Row],[weekday]]=0,Table3[[#This Row],[weekday]]=6),"Weekend","Weekday")</f>
        <v>Weekday</v>
      </c>
    </row>
    <row r="534" spans="1:14" ht="15" thickBot="1" x14ac:dyDescent="0.35">
      <c r="A534" s="51">
        <v>533</v>
      </c>
      <c r="B534" s="52">
        <f>_xlfn.XLOOKUP(Table3[[#This Row],[instant]],DatSet1!A534:A1143,DatSet1!B534:B1143,_xlfn.XLOOKUP(Table3[[#This Row],[instant]],'Final Data'!A534:A923,'Final Data'!B534:B923, ,0,1),0,1)</f>
        <v>40567</v>
      </c>
      <c r="C534" s="51">
        <f>_xlfn.XLOOKUP(Table3[[#This Row],[instant]],Table1[instant],Table1[hr], ,0,1)</f>
        <v>8</v>
      </c>
      <c r="D534" s="53" t="b">
        <f>_xlfn.XLOOKUP(Table3[[#This Row],[instant]],Table1[instant],Table1[holiday], ,0,1)</f>
        <v>0</v>
      </c>
      <c r="E534" s="44">
        <f>_xlfn.XLOOKUP(Table3[[#This Row],[instant]],Table1[instant],Table1[weekday], ,0,1)</f>
        <v>1</v>
      </c>
      <c r="F534" s="44">
        <f>_xlfn.XLOOKUP(Table3[[#This Row],[instant]],Table1[instant],Table1[weathersit], ,0,1)</f>
        <v>1</v>
      </c>
      <c r="G534" s="44">
        <f>_xlfn.XLOOKUP(Table3[[#This Row],[instant]],Table1[instant],Table1[temp], ,0,1)</f>
        <v>0.04</v>
      </c>
      <c r="H534" s="45">
        <f>_xlfn.XLOOKUP(Table3[[#This Row],[instant]],Table2[instant],Table2[atemp], ,0,1)</f>
        <v>0.13639999999999999</v>
      </c>
      <c r="I534" s="42">
        <f>_xlfn.XLOOKUP(Table3[[#This Row],[instant]],Table2[instant],Table2[hum], ,0,1)</f>
        <v>0.49</v>
      </c>
      <c r="J534" s="42">
        <f>_xlfn.XLOOKUP(Table3[[#This Row],[instant]],Table2[instant],Table2[windspeed], ,0,1)</f>
        <v>0</v>
      </c>
      <c r="K534" s="42">
        <f>_xlfn.XLOOKUP(Table3[[#This Row],[instant]],Table2[instant],Table2[casual], ,0,1)</f>
        <v>6</v>
      </c>
      <c r="L534" s="42">
        <f>_xlfn.XLOOKUP(Table3[[#This Row],[instant]],Table2[instant],Table2[registered], ,0,1)</f>
        <v>171</v>
      </c>
      <c r="M534" s="46">
        <f>_xlfn.XLOOKUP(Table3[[#This Row],[instant]],Table2[instant],Table2[cnt], ,0,1)</f>
        <v>177</v>
      </c>
      <c r="N534" s="42" t="str">
        <f>IF(OR(Table3[[#This Row],[weekday]]=0,Table3[[#This Row],[weekday]]=6),"Weekend","Weekday")</f>
        <v>Weekday</v>
      </c>
    </row>
    <row r="535" spans="1:14" ht="15" thickBot="1" x14ac:dyDescent="0.35">
      <c r="A535" s="48">
        <v>534</v>
      </c>
      <c r="B535" s="49">
        <f>_xlfn.XLOOKUP(Table3[[#This Row],[instant]],DatSet1!A535:A1144,DatSet1!B535:B1144,_xlfn.XLOOKUP(Table3[[#This Row],[instant]],'Final Data'!A535:A924,'Final Data'!B535:B924, ,0,1),0,1)</f>
        <v>40567</v>
      </c>
      <c r="C535" s="48">
        <f>_xlfn.XLOOKUP(Table3[[#This Row],[instant]],Table1[instant],Table1[hr], ,0,1)</f>
        <v>9</v>
      </c>
      <c r="D535" s="50" t="b">
        <f>_xlfn.XLOOKUP(Table3[[#This Row],[instant]],Table1[instant],Table1[holiday], ,0,1)</f>
        <v>0</v>
      </c>
      <c r="E535" s="2">
        <f>_xlfn.XLOOKUP(Table3[[#This Row],[instant]],Table1[instant],Table1[weekday], ,0,1)</f>
        <v>1</v>
      </c>
      <c r="F535" s="2">
        <f>_xlfn.XLOOKUP(Table3[[#This Row],[instant]],Table1[instant],Table1[weathersit], ,0,1)</f>
        <v>1</v>
      </c>
      <c r="G535" s="2">
        <f>_xlfn.XLOOKUP(Table3[[#This Row],[instant]],Table1[instant],Table1[temp], ,0,1)</f>
        <v>0.06</v>
      </c>
      <c r="H535" s="24">
        <f>_xlfn.XLOOKUP(Table3[[#This Row],[instant]],Table2[instant],Table2[atemp], ,0,1)</f>
        <v>0.1515</v>
      </c>
      <c r="I535" s="1">
        <f>_xlfn.XLOOKUP(Table3[[#This Row],[instant]],Table2[instant],Table2[hum], ,0,1)</f>
        <v>0.41</v>
      </c>
      <c r="J535" s="1">
        <f>_xlfn.XLOOKUP(Table3[[#This Row],[instant]],Table2[instant],Table2[windspeed], ,0,1)</f>
        <v>0</v>
      </c>
      <c r="K535" s="1">
        <f>_xlfn.XLOOKUP(Table3[[#This Row],[instant]],Table2[instant],Table2[casual], ,0,1)</f>
        <v>4</v>
      </c>
      <c r="L535" s="1">
        <f>_xlfn.XLOOKUP(Table3[[#This Row],[instant]],Table2[instant],Table2[registered], ,0,1)</f>
        <v>98</v>
      </c>
      <c r="M535" s="6">
        <f>_xlfn.XLOOKUP(Table3[[#This Row],[instant]],Table2[instant],Table2[cnt], ,0,1)</f>
        <v>102</v>
      </c>
      <c r="N535" s="1" t="str">
        <f>IF(OR(Table3[[#This Row],[weekday]]=0,Table3[[#This Row],[weekday]]=6),"Weekend","Weekday")</f>
        <v>Weekday</v>
      </c>
    </row>
    <row r="536" spans="1:14" ht="15" thickBot="1" x14ac:dyDescent="0.35">
      <c r="A536" s="51">
        <v>535</v>
      </c>
      <c r="B536" s="52">
        <f>_xlfn.XLOOKUP(Table3[[#This Row],[instant]],DatSet1!A536:A1145,DatSet1!B536:B1145,_xlfn.XLOOKUP(Table3[[#This Row],[instant]],'Final Data'!A536:A925,'Final Data'!B536:B925, ,0,1),0,1)</f>
        <v>40567</v>
      </c>
      <c r="C536" s="51">
        <f>_xlfn.XLOOKUP(Table3[[#This Row],[instant]],Table1[instant],Table1[hr], ,0,1)</f>
        <v>10</v>
      </c>
      <c r="D536" s="53" t="b">
        <f>_xlfn.XLOOKUP(Table3[[#This Row],[instant]],Table1[instant],Table1[holiday], ,0,1)</f>
        <v>0</v>
      </c>
      <c r="E536" s="44">
        <f>_xlfn.XLOOKUP(Table3[[#This Row],[instant]],Table1[instant],Table1[weekday], ,0,1)</f>
        <v>1</v>
      </c>
      <c r="F536" s="44">
        <f>_xlfn.XLOOKUP(Table3[[#This Row],[instant]],Table1[instant],Table1[weathersit], ,0,1)</f>
        <v>1</v>
      </c>
      <c r="G536" s="44">
        <f>_xlfn.XLOOKUP(Table3[[#This Row],[instant]],Table1[instant],Table1[temp], ,0,1)</f>
        <v>0.1</v>
      </c>
      <c r="H536" s="45">
        <f>_xlfn.XLOOKUP(Table3[[#This Row],[instant]],Table2[instant],Table2[atemp], ,0,1)</f>
        <v>0.13639999999999999</v>
      </c>
      <c r="I536" s="42">
        <f>_xlfn.XLOOKUP(Table3[[#This Row],[instant]],Table2[instant],Table2[hum], ,0,1)</f>
        <v>0.42</v>
      </c>
      <c r="J536" s="42">
        <f>_xlfn.XLOOKUP(Table3[[#This Row],[instant]],Table2[instant],Table2[windspeed], ,0,1)</f>
        <v>0</v>
      </c>
      <c r="K536" s="42">
        <f>_xlfn.XLOOKUP(Table3[[#This Row],[instant]],Table2[instant],Table2[casual], ,0,1)</f>
        <v>6</v>
      </c>
      <c r="L536" s="42">
        <f>_xlfn.XLOOKUP(Table3[[#This Row],[instant]],Table2[instant],Table2[registered], ,0,1)</f>
        <v>34</v>
      </c>
      <c r="M536" s="46">
        <f>_xlfn.XLOOKUP(Table3[[#This Row],[instant]],Table2[instant],Table2[cnt], ,0,1)</f>
        <v>40</v>
      </c>
      <c r="N536" s="42" t="str">
        <f>IF(OR(Table3[[#This Row],[weekday]]=0,Table3[[#This Row],[weekday]]=6),"Weekend","Weekday")</f>
        <v>Weekday</v>
      </c>
    </row>
    <row r="537" spans="1:14" ht="15" thickBot="1" x14ac:dyDescent="0.35">
      <c r="A537" s="48">
        <v>536</v>
      </c>
      <c r="B537" s="49">
        <f>_xlfn.XLOOKUP(Table3[[#This Row],[instant]],DatSet1!A537:A1146,DatSet1!B537:B1146,_xlfn.XLOOKUP(Table3[[#This Row],[instant]],'Final Data'!A537:A926,'Final Data'!B537:B926, ,0,1),0,1)</f>
        <v>40567</v>
      </c>
      <c r="C537" s="48">
        <f>_xlfn.XLOOKUP(Table3[[#This Row],[instant]],Table1[instant],Table1[hr], ,0,1)</f>
        <v>11</v>
      </c>
      <c r="D537" s="50" t="b">
        <f>_xlfn.XLOOKUP(Table3[[#This Row],[instant]],Table1[instant],Table1[holiday], ,0,1)</f>
        <v>0</v>
      </c>
      <c r="E537" s="2">
        <f>_xlfn.XLOOKUP(Table3[[#This Row],[instant]],Table1[instant],Table1[weekday], ,0,1)</f>
        <v>1</v>
      </c>
      <c r="F537" s="2">
        <f>_xlfn.XLOOKUP(Table3[[#This Row],[instant]],Table1[instant],Table1[weathersit], ,0,1)</f>
        <v>1</v>
      </c>
      <c r="G537" s="2">
        <f>_xlfn.XLOOKUP(Table3[[#This Row],[instant]],Table1[instant],Table1[temp], ,0,1)</f>
        <v>0.1</v>
      </c>
      <c r="H537" s="24">
        <f>_xlfn.XLOOKUP(Table3[[#This Row],[instant]],Table2[instant],Table2[atemp], ,0,1)</f>
        <v>0.1212</v>
      </c>
      <c r="I537" s="1">
        <f>_xlfn.XLOOKUP(Table3[[#This Row],[instant]],Table2[instant],Table2[hum], ,0,1)</f>
        <v>0.46</v>
      </c>
      <c r="J537" s="1">
        <f>_xlfn.XLOOKUP(Table3[[#This Row],[instant]],Table2[instant],Table2[windspeed], ,0,1)</f>
        <v>0.1343</v>
      </c>
      <c r="K537" s="1">
        <f>_xlfn.XLOOKUP(Table3[[#This Row],[instant]],Table2[instant],Table2[casual], ,0,1)</f>
        <v>3</v>
      </c>
      <c r="L537" s="1">
        <f>_xlfn.XLOOKUP(Table3[[#This Row],[instant]],Table2[instant],Table2[registered], ,0,1)</f>
        <v>43</v>
      </c>
      <c r="M537" s="6">
        <f>_xlfn.XLOOKUP(Table3[[#This Row],[instant]],Table2[instant],Table2[cnt], ,0,1)</f>
        <v>46</v>
      </c>
      <c r="N537" s="1" t="str">
        <f>IF(OR(Table3[[#This Row],[weekday]]=0,Table3[[#This Row],[weekday]]=6),"Weekend","Weekday")</f>
        <v>Weekday</v>
      </c>
    </row>
    <row r="538" spans="1:14" ht="15" thickBot="1" x14ac:dyDescent="0.35">
      <c r="A538" s="51">
        <v>537</v>
      </c>
      <c r="B538" s="52">
        <f>_xlfn.XLOOKUP(Table3[[#This Row],[instant]],DatSet1!A538:A1147,DatSet1!B538:B1147,_xlfn.XLOOKUP(Table3[[#This Row],[instant]],'Final Data'!A538:A927,'Final Data'!B538:B927, ,0,1),0,1)</f>
        <v>40567</v>
      </c>
      <c r="C538" s="51">
        <f>_xlfn.XLOOKUP(Table3[[#This Row],[instant]],Table1[instant],Table1[hr], ,0,1)</f>
        <v>12</v>
      </c>
      <c r="D538" s="53" t="b">
        <f>_xlfn.XLOOKUP(Table3[[#This Row],[instant]],Table1[instant],Table1[holiday], ,0,1)</f>
        <v>0</v>
      </c>
      <c r="E538" s="44">
        <f>_xlfn.XLOOKUP(Table3[[#This Row],[instant]],Table1[instant],Table1[weekday], ,0,1)</f>
        <v>1</v>
      </c>
      <c r="F538" s="44">
        <f>_xlfn.XLOOKUP(Table3[[#This Row],[instant]],Table1[instant],Table1[weathersit], ,0,1)</f>
        <v>2</v>
      </c>
      <c r="G538" s="44">
        <f>_xlfn.XLOOKUP(Table3[[#This Row],[instant]],Table1[instant],Table1[temp], ,0,1)</f>
        <v>0.12</v>
      </c>
      <c r="H538" s="45">
        <f>_xlfn.XLOOKUP(Table3[[#This Row],[instant]],Table2[instant],Table2[atemp], ,0,1)</f>
        <v>0.13639999999999999</v>
      </c>
      <c r="I538" s="42">
        <f>_xlfn.XLOOKUP(Table3[[#This Row],[instant]],Table2[instant],Table2[hum], ,0,1)</f>
        <v>0.42</v>
      </c>
      <c r="J538" s="42">
        <f>_xlfn.XLOOKUP(Table3[[#This Row],[instant]],Table2[instant],Table2[windspeed], ,0,1)</f>
        <v>0.19400000000000001</v>
      </c>
      <c r="K538" s="42">
        <f>_xlfn.XLOOKUP(Table3[[#This Row],[instant]],Table2[instant],Table2[casual], ,0,1)</f>
        <v>11</v>
      </c>
      <c r="L538" s="42">
        <f>_xlfn.XLOOKUP(Table3[[#This Row],[instant]],Table2[instant],Table2[registered], ,0,1)</f>
        <v>52</v>
      </c>
      <c r="M538" s="46">
        <f>_xlfn.XLOOKUP(Table3[[#This Row],[instant]],Table2[instant],Table2[cnt], ,0,1)</f>
        <v>63</v>
      </c>
      <c r="N538" s="42" t="str">
        <f>IF(OR(Table3[[#This Row],[weekday]]=0,Table3[[#This Row],[weekday]]=6),"Weekend","Weekday")</f>
        <v>Weekday</v>
      </c>
    </row>
    <row r="539" spans="1:14" ht="15" thickBot="1" x14ac:dyDescent="0.35">
      <c r="A539" s="48">
        <v>538</v>
      </c>
      <c r="B539" s="49">
        <f>_xlfn.XLOOKUP(Table3[[#This Row],[instant]],DatSet1!A539:A1148,DatSet1!B539:B1148,_xlfn.XLOOKUP(Table3[[#This Row],[instant]],'Final Data'!A539:A928,'Final Data'!B539:B928, ,0,1),0,1)</f>
        <v>40567</v>
      </c>
      <c r="C539" s="48">
        <f>_xlfn.XLOOKUP(Table3[[#This Row],[instant]],Table1[instant],Table1[hr], ,0,1)</f>
        <v>13</v>
      </c>
      <c r="D539" s="50" t="b">
        <f>_xlfn.XLOOKUP(Table3[[#This Row],[instant]],Table1[instant],Table1[holiday], ,0,1)</f>
        <v>0</v>
      </c>
      <c r="E539" s="2">
        <f>_xlfn.XLOOKUP(Table3[[#This Row],[instant]],Table1[instant],Table1[weekday], ,0,1)</f>
        <v>1</v>
      </c>
      <c r="F539" s="2">
        <f>_xlfn.XLOOKUP(Table3[[#This Row],[instant]],Table1[instant],Table1[weathersit], ,0,1)</f>
        <v>2</v>
      </c>
      <c r="G539" s="2">
        <f>_xlfn.XLOOKUP(Table3[[#This Row],[instant]],Table1[instant],Table1[temp], ,0,1)</f>
        <v>0.14000000000000001</v>
      </c>
      <c r="H539" s="24">
        <f>_xlfn.XLOOKUP(Table3[[#This Row],[instant]],Table2[instant],Table2[atemp], ,0,1)</f>
        <v>0.13639999999999999</v>
      </c>
      <c r="I539" s="1">
        <f>_xlfn.XLOOKUP(Table3[[#This Row],[instant]],Table2[instant],Table2[hum], ,0,1)</f>
        <v>0.43</v>
      </c>
      <c r="J539" s="1">
        <f>_xlfn.XLOOKUP(Table3[[#This Row],[instant]],Table2[instant],Table2[windspeed], ,0,1)</f>
        <v>0.22389999999999999</v>
      </c>
      <c r="K539" s="1">
        <f>_xlfn.XLOOKUP(Table3[[#This Row],[instant]],Table2[instant],Table2[casual], ,0,1)</f>
        <v>6</v>
      </c>
      <c r="L539" s="1">
        <f>_xlfn.XLOOKUP(Table3[[#This Row],[instant]],Table2[instant],Table2[registered], ,0,1)</f>
        <v>54</v>
      </c>
      <c r="M539" s="6">
        <f>_xlfn.XLOOKUP(Table3[[#This Row],[instant]],Table2[instant],Table2[cnt], ,0,1)</f>
        <v>60</v>
      </c>
      <c r="N539" s="1" t="str">
        <f>IF(OR(Table3[[#This Row],[weekday]]=0,Table3[[#This Row],[weekday]]=6),"Weekend","Weekday")</f>
        <v>Weekday</v>
      </c>
    </row>
    <row r="540" spans="1:14" ht="15" thickBot="1" x14ac:dyDescent="0.35">
      <c r="A540" s="51">
        <v>539</v>
      </c>
      <c r="B540" s="52">
        <f>_xlfn.XLOOKUP(Table3[[#This Row],[instant]],DatSet1!A540:A1149,DatSet1!B540:B1149,_xlfn.XLOOKUP(Table3[[#This Row],[instant]],'Final Data'!A540:A929,'Final Data'!B540:B929, ,0,1),0,1)</f>
        <v>40567</v>
      </c>
      <c r="C540" s="51">
        <f>_xlfn.XLOOKUP(Table3[[#This Row],[instant]],Table1[instant],Table1[hr], ,0,1)</f>
        <v>14</v>
      </c>
      <c r="D540" s="53" t="b">
        <f>_xlfn.XLOOKUP(Table3[[#This Row],[instant]],Table1[instant],Table1[holiday], ,0,1)</f>
        <v>0</v>
      </c>
      <c r="E540" s="44">
        <f>_xlfn.XLOOKUP(Table3[[#This Row],[instant]],Table1[instant],Table1[weekday], ,0,1)</f>
        <v>1</v>
      </c>
      <c r="F540" s="44">
        <f>_xlfn.XLOOKUP(Table3[[#This Row],[instant]],Table1[instant],Table1[weathersit], ,0,1)</f>
        <v>2</v>
      </c>
      <c r="G540" s="44">
        <f>_xlfn.XLOOKUP(Table3[[#This Row],[instant]],Table1[instant],Table1[temp], ,0,1)</f>
        <v>0.14000000000000001</v>
      </c>
      <c r="H540" s="45">
        <f>_xlfn.XLOOKUP(Table3[[#This Row],[instant]],Table2[instant],Table2[atemp], ,0,1)</f>
        <v>0.13639999999999999</v>
      </c>
      <c r="I540" s="42">
        <f>_xlfn.XLOOKUP(Table3[[#This Row],[instant]],Table2[instant],Table2[hum], ,0,1)</f>
        <v>0.46</v>
      </c>
      <c r="J540" s="42">
        <f>_xlfn.XLOOKUP(Table3[[#This Row],[instant]],Table2[instant],Table2[windspeed], ,0,1)</f>
        <v>0.22389999999999999</v>
      </c>
      <c r="K540" s="42">
        <f>_xlfn.XLOOKUP(Table3[[#This Row],[instant]],Table2[instant],Table2[casual], ,0,1)</f>
        <v>2</v>
      </c>
      <c r="L540" s="42">
        <f>_xlfn.XLOOKUP(Table3[[#This Row],[instant]],Table2[instant],Table2[registered], ,0,1)</f>
        <v>43</v>
      </c>
      <c r="M540" s="46">
        <f>_xlfn.XLOOKUP(Table3[[#This Row],[instant]],Table2[instant],Table2[cnt], ,0,1)</f>
        <v>45</v>
      </c>
      <c r="N540" s="42" t="str">
        <f>IF(OR(Table3[[#This Row],[weekday]]=0,Table3[[#This Row],[weekday]]=6),"Weekend","Weekday")</f>
        <v>Weekday</v>
      </c>
    </row>
    <row r="541" spans="1:14" ht="15" thickBot="1" x14ac:dyDescent="0.35">
      <c r="A541" s="48">
        <v>540</v>
      </c>
      <c r="B541" s="49">
        <f>_xlfn.XLOOKUP(Table3[[#This Row],[instant]],DatSet1!A541:A1150,DatSet1!B541:B1150,_xlfn.XLOOKUP(Table3[[#This Row],[instant]],'Final Data'!A541:A930,'Final Data'!B541:B930, ,0,1),0,1)</f>
        <v>40567</v>
      </c>
      <c r="C541" s="48">
        <f>_xlfn.XLOOKUP(Table3[[#This Row],[instant]],Table1[instant],Table1[hr], ,0,1)</f>
        <v>15</v>
      </c>
      <c r="D541" s="50" t="b">
        <f>_xlfn.XLOOKUP(Table3[[#This Row],[instant]],Table1[instant],Table1[holiday], ,0,1)</f>
        <v>0</v>
      </c>
      <c r="E541" s="2">
        <f>_xlfn.XLOOKUP(Table3[[#This Row],[instant]],Table1[instant],Table1[weekday], ,0,1)</f>
        <v>1</v>
      </c>
      <c r="F541" s="2">
        <f>_xlfn.XLOOKUP(Table3[[#This Row],[instant]],Table1[instant],Table1[weathersit], ,0,1)</f>
        <v>1</v>
      </c>
      <c r="G541" s="2">
        <f>_xlfn.XLOOKUP(Table3[[#This Row],[instant]],Table1[instant],Table1[temp], ,0,1)</f>
        <v>0.16</v>
      </c>
      <c r="H541" s="24">
        <f>_xlfn.XLOOKUP(Table3[[#This Row],[instant]],Table2[instant],Table2[atemp], ,0,1)</f>
        <v>0.16669999999999999</v>
      </c>
      <c r="I541" s="1">
        <f>_xlfn.XLOOKUP(Table3[[#This Row],[instant]],Table2[instant],Table2[hum], ,0,1)</f>
        <v>0.4</v>
      </c>
      <c r="J541" s="1">
        <f>_xlfn.XLOOKUP(Table3[[#This Row],[instant]],Table2[instant],Table2[windspeed], ,0,1)</f>
        <v>0.16420000000000001</v>
      </c>
      <c r="K541" s="1">
        <f>_xlfn.XLOOKUP(Table3[[#This Row],[instant]],Table2[instant],Table2[casual], ,0,1)</f>
        <v>7</v>
      </c>
      <c r="L541" s="1">
        <f>_xlfn.XLOOKUP(Table3[[#This Row],[instant]],Table2[instant],Table2[registered], ,0,1)</f>
        <v>50</v>
      </c>
      <c r="M541" s="6">
        <f>_xlfn.XLOOKUP(Table3[[#This Row],[instant]],Table2[instant],Table2[cnt], ,0,1)</f>
        <v>57</v>
      </c>
      <c r="N541" s="1" t="str">
        <f>IF(OR(Table3[[#This Row],[weekday]]=0,Table3[[#This Row],[weekday]]=6),"Weekend","Weekday")</f>
        <v>Weekday</v>
      </c>
    </row>
    <row r="542" spans="1:14" ht="15" thickBot="1" x14ac:dyDescent="0.35">
      <c r="A542" s="51">
        <v>541</v>
      </c>
      <c r="B542" s="52">
        <f>_xlfn.XLOOKUP(Table3[[#This Row],[instant]],DatSet1!A542:A1151,DatSet1!B542:B1151,_xlfn.XLOOKUP(Table3[[#This Row],[instant]],'Final Data'!A542:A931,'Final Data'!B542:B931, ,0,1),0,1)</f>
        <v>40567</v>
      </c>
      <c r="C542" s="51">
        <f>_xlfn.XLOOKUP(Table3[[#This Row],[instant]],Table1[instant],Table1[hr], ,0,1)</f>
        <v>16</v>
      </c>
      <c r="D542" s="53" t="b">
        <f>_xlfn.XLOOKUP(Table3[[#This Row],[instant]],Table1[instant],Table1[holiday], ,0,1)</f>
        <v>0</v>
      </c>
      <c r="E542" s="44">
        <f>_xlfn.XLOOKUP(Table3[[#This Row],[instant]],Table1[instant],Table1[weekday], ,0,1)</f>
        <v>1</v>
      </c>
      <c r="F542" s="44">
        <f>_xlfn.XLOOKUP(Table3[[#This Row],[instant]],Table1[instant],Table1[weathersit], ,0,1)</f>
        <v>1</v>
      </c>
      <c r="G542" s="44">
        <f>_xlfn.XLOOKUP(Table3[[#This Row],[instant]],Table1[instant],Table1[temp], ,0,1)</f>
        <v>0.16</v>
      </c>
      <c r="H542" s="45">
        <f>_xlfn.XLOOKUP(Table3[[#This Row],[instant]],Table2[instant],Table2[atemp], ,0,1)</f>
        <v>0.1515</v>
      </c>
      <c r="I542" s="42">
        <f>_xlfn.XLOOKUP(Table3[[#This Row],[instant]],Table2[instant],Table2[hum], ,0,1)</f>
        <v>0.47</v>
      </c>
      <c r="J542" s="42">
        <f>_xlfn.XLOOKUP(Table3[[#This Row],[instant]],Table2[instant],Table2[windspeed], ,0,1)</f>
        <v>0.25369999999999998</v>
      </c>
      <c r="K542" s="42">
        <f>_xlfn.XLOOKUP(Table3[[#This Row],[instant]],Table2[instant],Table2[casual], ,0,1)</f>
        <v>4</v>
      </c>
      <c r="L542" s="42">
        <f>_xlfn.XLOOKUP(Table3[[#This Row],[instant]],Table2[instant],Table2[registered], ,0,1)</f>
        <v>66</v>
      </c>
      <c r="M542" s="46">
        <f>_xlfn.XLOOKUP(Table3[[#This Row],[instant]],Table2[instant],Table2[cnt], ,0,1)</f>
        <v>70</v>
      </c>
      <c r="N542" s="42" t="str">
        <f>IF(OR(Table3[[#This Row],[weekday]]=0,Table3[[#This Row],[weekday]]=6),"Weekend","Weekday")</f>
        <v>Weekday</v>
      </c>
    </row>
    <row r="543" spans="1:14" ht="15" thickBot="1" x14ac:dyDescent="0.35">
      <c r="A543" s="48">
        <v>542</v>
      </c>
      <c r="B543" s="49">
        <f>_xlfn.XLOOKUP(Table3[[#This Row],[instant]],DatSet1!A543:A1152,DatSet1!B543:B1152,_xlfn.XLOOKUP(Table3[[#This Row],[instant]],'Final Data'!A543:A932,'Final Data'!B543:B932, ,0,1),0,1)</f>
        <v>40567</v>
      </c>
      <c r="C543" s="48">
        <f>_xlfn.XLOOKUP(Table3[[#This Row],[instant]],Table1[instant],Table1[hr], ,0,1)</f>
        <v>17</v>
      </c>
      <c r="D543" s="50" t="b">
        <f>_xlfn.XLOOKUP(Table3[[#This Row],[instant]],Table1[instant],Table1[holiday], ,0,1)</f>
        <v>0</v>
      </c>
      <c r="E543" s="2">
        <f>_xlfn.XLOOKUP(Table3[[#This Row],[instant]],Table1[instant],Table1[weekday], ,0,1)</f>
        <v>1</v>
      </c>
      <c r="F543" s="2">
        <f>_xlfn.XLOOKUP(Table3[[#This Row],[instant]],Table1[instant],Table1[weathersit], ,0,1)</f>
        <v>1</v>
      </c>
      <c r="G543" s="2">
        <f>_xlfn.XLOOKUP(Table3[[#This Row],[instant]],Table1[instant],Table1[temp], ,0,1)</f>
        <v>0.14000000000000001</v>
      </c>
      <c r="H543" s="24">
        <f>_xlfn.XLOOKUP(Table3[[#This Row],[instant]],Table2[instant],Table2[atemp], ,0,1)</f>
        <v>0.1212</v>
      </c>
      <c r="I543" s="1">
        <f>_xlfn.XLOOKUP(Table3[[#This Row],[instant]],Table2[instant],Table2[hum], ,0,1)</f>
        <v>0.5</v>
      </c>
      <c r="J543" s="1">
        <f>_xlfn.XLOOKUP(Table3[[#This Row],[instant]],Table2[instant],Table2[windspeed], ,0,1)</f>
        <v>0.25369999999999998</v>
      </c>
      <c r="K543" s="1">
        <f>_xlfn.XLOOKUP(Table3[[#This Row],[instant]],Table2[instant],Table2[casual], ,0,1)</f>
        <v>6</v>
      </c>
      <c r="L543" s="1">
        <f>_xlfn.XLOOKUP(Table3[[#This Row],[instant]],Table2[instant],Table2[registered], ,0,1)</f>
        <v>178</v>
      </c>
      <c r="M543" s="6">
        <f>_xlfn.XLOOKUP(Table3[[#This Row],[instant]],Table2[instant],Table2[cnt], ,0,1)</f>
        <v>184</v>
      </c>
      <c r="N543" s="1" t="str">
        <f>IF(OR(Table3[[#This Row],[weekday]]=0,Table3[[#This Row],[weekday]]=6),"Weekend","Weekday")</f>
        <v>Weekday</v>
      </c>
    </row>
    <row r="544" spans="1:14" ht="15" thickBot="1" x14ac:dyDescent="0.35">
      <c r="A544" s="51">
        <v>543</v>
      </c>
      <c r="B544" s="52">
        <f>_xlfn.XLOOKUP(Table3[[#This Row],[instant]],DatSet1!A544:A1153,DatSet1!B544:B1153,_xlfn.XLOOKUP(Table3[[#This Row],[instant]],'Final Data'!A544:A933,'Final Data'!B544:B933, ,0,1),0,1)</f>
        <v>40567</v>
      </c>
      <c r="C544" s="51">
        <f>_xlfn.XLOOKUP(Table3[[#This Row],[instant]],Table1[instant],Table1[hr], ,0,1)</f>
        <v>18</v>
      </c>
      <c r="D544" s="53" t="b">
        <f>_xlfn.XLOOKUP(Table3[[#This Row],[instant]],Table1[instant],Table1[holiday], ,0,1)</f>
        <v>0</v>
      </c>
      <c r="E544" s="44">
        <f>_xlfn.XLOOKUP(Table3[[#This Row],[instant]],Table1[instant],Table1[weekday], ,0,1)</f>
        <v>1</v>
      </c>
      <c r="F544" s="44">
        <f>_xlfn.XLOOKUP(Table3[[#This Row],[instant]],Table1[instant],Table1[weathersit], ,0,1)</f>
        <v>1</v>
      </c>
      <c r="G544" s="44">
        <f>_xlfn.XLOOKUP(Table3[[#This Row],[instant]],Table1[instant],Table1[temp], ,0,1)</f>
        <v>0.14000000000000001</v>
      </c>
      <c r="H544" s="45">
        <f>_xlfn.XLOOKUP(Table3[[#This Row],[instant]],Table2[instant],Table2[atemp], ,0,1)</f>
        <v>0.13639999999999999</v>
      </c>
      <c r="I544" s="42">
        <f>_xlfn.XLOOKUP(Table3[[#This Row],[instant]],Table2[instant],Table2[hum], ,0,1)</f>
        <v>0.59</v>
      </c>
      <c r="J544" s="42">
        <f>_xlfn.XLOOKUP(Table3[[#This Row],[instant]],Table2[instant],Table2[windspeed], ,0,1)</f>
        <v>0.19400000000000001</v>
      </c>
      <c r="K544" s="42">
        <f>_xlfn.XLOOKUP(Table3[[#This Row],[instant]],Table2[instant],Table2[casual], ,0,1)</f>
        <v>8</v>
      </c>
      <c r="L544" s="42">
        <f>_xlfn.XLOOKUP(Table3[[#This Row],[instant]],Table2[instant],Table2[registered], ,0,1)</f>
        <v>145</v>
      </c>
      <c r="M544" s="46">
        <f>_xlfn.XLOOKUP(Table3[[#This Row],[instant]],Table2[instant],Table2[cnt], ,0,1)</f>
        <v>153</v>
      </c>
      <c r="N544" s="42" t="str">
        <f>IF(OR(Table3[[#This Row],[weekday]]=0,Table3[[#This Row],[weekday]]=6),"Weekend","Weekday")</f>
        <v>Weekday</v>
      </c>
    </row>
    <row r="545" spans="1:14" ht="15" thickBot="1" x14ac:dyDescent="0.35">
      <c r="A545" s="48">
        <v>544</v>
      </c>
      <c r="B545" s="49">
        <f>_xlfn.XLOOKUP(Table3[[#This Row],[instant]],DatSet1!A545:A1154,DatSet1!B545:B1154,_xlfn.XLOOKUP(Table3[[#This Row],[instant]],'Final Data'!A545:A934,'Final Data'!B545:B934, ,0,1),0,1)</f>
        <v>40567</v>
      </c>
      <c r="C545" s="48">
        <f>_xlfn.XLOOKUP(Table3[[#This Row],[instant]],Table1[instant],Table1[hr], ,0,1)</f>
        <v>19</v>
      </c>
      <c r="D545" s="50" t="b">
        <f>_xlfn.XLOOKUP(Table3[[#This Row],[instant]],Table1[instant],Table1[holiday], ,0,1)</f>
        <v>0</v>
      </c>
      <c r="E545" s="2">
        <f>_xlfn.XLOOKUP(Table3[[#This Row],[instant]],Table1[instant],Table1[weekday], ,0,1)</f>
        <v>1</v>
      </c>
      <c r="F545" s="2">
        <f>_xlfn.XLOOKUP(Table3[[#This Row],[instant]],Table1[instant],Table1[weathersit], ,0,1)</f>
        <v>1</v>
      </c>
      <c r="G545" s="2">
        <f>_xlfn.XLOOKUP(Table3[[#This Row],[instant]],Table1[instant],Table1[temp], ,0,1)</f>
        <v>0.14000000000000001</v>
      </c>
      <c r="H545" s="24">
        <f>_xlfn.XLOOKUP(Table3[[#This Row],[instant]],Table2[instant],Table2[atemp], ,0,1)</f>
        <v>0.1515</v>
      </c>
      <c r="I545" s="1">
        <f>_xlfn.XLOOKUP(Table3[[#This Row],[instant]],Table2[instant],Table2[hum], ,0,1)</f>
        <v>0.54</v>
      </c>
      <c r="J545" s="1">
        <f>_xlfn.XLOOKUP(Table3[[#This Row],[instant]],Table2[instant],Table2[windspeed], ,0,1)</f>
        <v>0.16420000000000001</v>
      </c>
      <c r="K545" s="1">
        <f>_xlfn.XLOOKUP(Table3[[#This Row],[instant]],Table2[instant],Table2[casual], ,0,1)</f>
        <v>5</v>
      </c>
      <c r="L545" s="1">
        <f>_xlfn.XLOOKUP(Table3[[#This Row],[instant]],Table2[instant],Table2[registered], ,0,1)</f>
        <v>101</v>
      </c>
      <c r="M545" s="6">
        <f>_xlfn.XLOOKUP(Table3[[#This Row],[instant]],Table2[instant],Table2[cnt], ,0,1)</f>
        <v>106</v>
      </c>
      <c r="N545" s="1" t="str">
        <f>IF(OR(Table3[[#This Row],[weekday]]=0,Table3[[#This Row],[weekday]]=6),"Weekend","Weekday")</f>
        <v>Weekday</v>
      </c>
    </row>
    <row r="546" spans="1:14" ht="15" thickBot="1" x14ac:dyDescent="0.35">
      <c r="A546" s="51">
        <v>545</v>
      </c>
      <c r="B546" s="52">
        <f>_xlfn.XLOOKUP(Table3[[#This Row],[instant]],DatSet1!A546:A1155,DatSet1!B546:B1155,_xlfn.XLOOKUP(Table3[[#This Row],[instant]],'Final Data'!A546:A935,'Final Data'!B546:B935, ,0,1),0,1)</f>
        <v>40567</v>
      </c>
      <c r="C546" s="51">
        <f>_xlfn.XLOOKUP(Table3[[#This Row],[instant]],Table1[instant],Table1[hr], ,0,1)</f>
        <v>20</v>
      </c>
      <c r="D546" s="53" t="b">
        <f>_xlfn.XLOOKUP(Table3[[#This Row],[instant]],Table1[instant],Table1[holiday], ,0,1)</f>
        <v>0</v>
      </c>
      <c r="E546" s="44">
        <f>_xlfn.XLOOKUP(Table3[[#This Row],[instant]],Table1[instant],Table1[weekday], ,0,1)</f>
        <v>1</v>
      </c>
      <c r="F546" s="44">
        <f>_xlfn.XLOOKUP(Table3[[#This Row],[instant]],Table1[instant],Table1[weathersit], ,0,1)</f>
        <v>1</v>
      </c>
      <c r="G546" s="44">
        <f>_xlfn.XLOOKUP(Table3[[#This Row],[instant]],Table1[instant],Table1[temp], ,0,1)</f>
        <v>0.14000000000000001</v>
      </c>
      <c r="H546" s="45">
        <f>_xlfn.XLOOKUP(Table3[[#This Row],[instant]],Table2[instant],Table2[atemp], ,0,1)</f>
        <v>0.13639999999999999</v>
      </c>
      <c r="I546" s="42">
        <f>_xlfn.XLOOKUP(Table3[[#This Row],[instant]],Table2[instant],Table2[hum], ,0,1)</f>
        <v>0.59</v>
      </c>
      <c r="J546" s="42">
        <f>_xlfn.XLOOKUP(Table3[[#This Row],[instant]],Table2[instant],Table2[windspeed], ,0,1)</f>
        <v>0.19400000000000001</v>
      </c>
      <c r="K546" s="42">
        <f>_xlfn.XLOOKUP(Table3[[#This Row],[instant]],Table2[instant],Table2[casual], ,0,1)</f>
        <v>1</v>
      </c>
      <c r="L546" s="42">
        <f>_xlfn.XLOOKUP(Table3[[#This Row],[instant]],Table2[instant],Table2[registered], ,0,1)</f>
        <v>80</v>
      </c>
      <c r="M546" s="46">
        <f>_xlfn.XLOOKUP(Table3[[#This Row],[instant]],Table2[instant],Table2[cnt], ,0,1)</f>
        <v>81</v>
      </c>
      <c r="N546" s="42" t="str">
        <f>IF(OR(Table3[[#This Row],[weekday]]=0,Table3[[#This Row],[weekday]]=6),"Weekend","Weekday")</f>
        <v>Weekday</v>
      </c>
    </row>
    <row r="547" spans="1:14" ht="15" thickBot="1" x14ac:dyDescent="0.35">
      <c r="A547" s="48">
        <v>546</v>
      </c>
      <c r="B547" s="49">
        <f>_xlfn.XLOOKUP(Table3[[#This Row],[instant]],DatSet1!A547:A1156,DatSet1!B547:B1156,_xlfn.XLOOKUP(Table3[[#This Row],[instant]],'Final Data'!A547:A936,'Final Data'!B547:B936, ,0,1),0,1)</f>
        <v>40567</v>
      </c>
      <c r="C547" s="48">
        <f>_xlfn.XLOOKUP(Table3[[#This Row],[instant]],Table1[instant],Table1[hr], ,0,1)</f>
        <v>21</v>
      </c>
      <c r="D547" s="50" t="b">
        <f>_xlfn.XLOOKUP(Table3[[#This Row],[instant]],Table1[instant],Table1[holiday], ,0,1)</f>
        <v>0</v>
      </c>
      <c r="E547" s="2">
        <f>_xlfn.XLOOKUP(Table3[[#This Row],[instant]],Table1[instant],Table1[weekday], ,0,1)</f>
        <v>1</v>
      </c>
      <c r="F547" s="2">
        <f>_xlfn.XLOOKUP(Table3[[#This Row],[instant]],Table1[instant],Table1[weathersit], ,0,1)</f>
        <v>1</v>
      </c>
      <c r="G547" s="2">
        <f>_xlfn.XLOOKUP(Table3[[#This Row],[instant]],Table1[instant],Table1[temp], ,0,1)</f>
        <v>0.14000000000000001</v>
      </c>
      <c r="H547" s="24">
        <f>_xlfn.XLOOKUP(Table3[[#This Row],[instant]],Table2[instant],Table2[atemp], ,0,1)</f>
        <v>0.1515</v>
      </c>
      <c r="I547" s="1">
        <f>_xlfn.XLOOKUP(Table3[[#This Row],[instant]],Table2[instant],Table2[hum], ,0,1)</f>
        <v>0.63</v>
      </c>
      <c r="J547" s="1">
        <f>_xlfn.XLOOKUP(Table3[[#This Row],[instant]],Table2[instant],Table2[windspeed], ,0,1)</f>
        <v>0.16420000000000001</v>
      </c>
      <c r="K547" s="1">
        <f>_xlfn.XLOOKUP(Table3[[#This Row],[instant]],Table2[instant],Table2[casual], ,0,1)</f>
        <v>6</v>
      </c>
      <c r="L547" s="1">
        <f>_xlfn.XLOOKUP(Table3[[#This Row],[instant]],Table2[instant],Table2[registered], ,0,1)</f>
        <v>53</v>
      </c>
      <c r="M547" s="6">
        <f>_xlfn.XLOOKUP(Table3[[#This Row],[instant]],Table2[instant],Table2[cnt], ,0,1)</f>
        <v>59</v>
      </c>
      <c r="N547" s="1" t="str">
        <f>IF(OR(Table3[[#This Row],[weekday]]=0,Table3[[#This Row],[weekday]]=6),"Weekend","Weekday")</f>
        <v>Weekday</v>
      </c>
    </row>
    <row r="548" spans="1:14" ht="15" thickBot="1" x14ac:dyDescent="0.35">
      <c r="A548" s="51">
        <v>547</v>
      </c>
      <c r="B548" s="52">
        <f>_xlfn.XLOOKUP(Table3[[#This Row],[instant]],DatSet1!A548:A1157,DatSet1!B548:B1157,_xlfn.XLOOKUP(Table3[[#This Row],[instant]],'Final Data'!A548:A937,'Final Data'!B548:B937, ,0,1),0,1)</f>
        <v>40567</v>
      </c>
      <c r="C548" s="51">
        <f>_xlfn.XLOOKUP(Table3[[#This Row],[instant]],Table1[instant],Table1[hr], ,0,1)</f>
        <v>22</v>
      </c>
      <c r="D548" s="53" t="b">
        <f>_xlfn.XLOOKUP(Table3[[#This Row],[instant]],Table1[instant],Table1[holiday], ,0,1)</f>
        <v>0</v>
      </c>
      <c r="E548" s="44">
        <f>_xlfn.XLOOKUP(Table3[[#This Row],[instant]],Table1[instant],Table1[weekday], ,0,1)</f>
        <v>1</v>
      </c>
      <c r="F548" s="44">
        <f>_xlfn.XLOOKUP(Table3[[#This Row],[instant]],Table1[instant],Table1[weathersit], ,0,1)</f>
        <v>2</v>
      </c>
      <c r="G548" s="44">
        <f>_xlfn.XLOOKUP(Table3[[#This Row],[instant]],Table1[instant],Table1[temp], ,0,1)</f>
        <v>0.14000000000000001</v>
      </c>
      <c r="H548" s="45">
        <f>_xlfn.XLOOKUP(Table3[[#This Row],[instant]],Table2[instant],Table2[atemp], ,0,1)</f>
        <v>0.13639999999999999</v>
      </c>
      <c r="I548" s="42">
        <f>_xlfn.XLOOKUP(Table3[[#This Row],[instant]],Table2[instant],Table2[hum], ,0,1)</f>
        <v>0.63</v>
      </c>
      <c r="J548" s="42">
        <f>_xlfn.XLOOKUP(Table3[[#This Row],[instant]],Table2[instant],Table2[windspeed], ,0,1)</f>
        <v>0.22389999999999999</v>
      </c>
      <c r="K548" s="42">
        <f>_xlfn.XLOOKUP(Table3[[#This Row],[instant]],Table2[instant],Table2[casual], ,0,1)</f>
        <v>3</v>
      </c>
      <c r="L548" s="42">
        <f>_xlfn.XLOOKUP(Table3[[#This Row],[instant]],Table2[instant],Table2[registered], ,0,1)</f>
        <v>32</v>
      </c>
      <c r="M548" s="46">
        <f>_xlfn.XLOOKUP(Table3[[#This Row],[instant]],Table2[instant],Table2[cnt], ,0,1)</f>
        <v>35</v>
      </c>
      <c r="N548" s="42" t="str">
        <f>IF(OR(Table3[[#This Row],[weekday]]=0,Table3[[#This Row],[weekday]]=6),"Weekend","Weekday")</f>
        <v>Weekday</v>
      </c>
    </row>
    <row r="549" spans="1:14" ht="15" thickBot="1" x14ac:dyDescent="0.35">
      <c r="A549" s="48">
        <v>548</v>
      </c>
      <c r="B549" s="49">
        <f>_xlfn.XLOOKUP(Table3[[#This Row],[instant]],DatSet1!A549:A1158,DatSet1!B549:B1158,_xlfn.XLOOKUP(Table3[[#This Row],[instant]],'Final Data'!A549:A938,'Final Data'!B549:B938, ,0,1),0,1)</f>
        <v>40567</v>
      </c>
      <c r="C549" s="48">
        <f>_xlfn.XLOOKUP(Table3[[#This Row],[instant]],Table1[instant],Table1[hr], ,0,1)</f>
        <v>23</v>
      </c>
      <c r="D549" s="50" t="b">
        <f>_xlfn.XLOOKUP(Table3[[#This Row],[instant]],Table1[instant],Table1[holiday], ,0,1)</f>
        <v>0</v>
      </c>
      <c r="E549" s="2">
        <f>_xlfn.XLOOKUP(Table3[[#This Row],[instant]],Table1[instant],Table1[weekday], ,0,1)</f>
        <v>1</v>
      </c>
      <c r="F549" s="2">
        <f>_xlfn.XLOOKUP(Table3[[#This Row],[instant]],Table1[instant],Table1[weathersit], ,0,1)</f>
        <v>2</v>
      </c>
      <c r="G549" s="2">
        <f>_xlfn.XLOOKUP(Table3[[#This Row],[instant]],Table1[instant],Table1[temp], ,0,1)</f>
        <v>0.16</v>
      </c>
      <c r="H549" s="24">
        <f>_xlfn.XLOOKUP(Table3[[#This Row],[instant]],Table2[instant],Table2[atemp], ,0,1)</f>
        <v>0.1515</v>
      </c>
      <c r="I549" s="1">
        <f>_xlfn.XLOOKUP(Table3[[#This Row],[instant]],Table2[instant],Table2[hum], ,0,1)</f>
        <v>0.64</v>
      </c>
      <c r="J549" s="1">
        <f>_xlfn.XLOOKUP(Table3[[#This Row],[instant]],Table2[instant],Table2[windspeed], ,0,1)</f>
        <v>0.25369999999999998</v>
      </c>
      <c r="K549" s="1">
        <f>_xlfn.XLOOKUP(Table3[[#This Row],[instant]],Table2[instant],Table2[casual], ,0,1)</f>
        <v>3</v>
      </c>
      <c r="L549" s="1">
        <f>_xlfn.XLOOKUP(Table3[[#This Row],[instant]],Table2[instant],Table2[registered], ,0,1)</f>
        <v>21</v>
      </c>
      <c r="M549" s="6">
        <f>_xlfn.XLOOKUP(Table3[[#This Row],[instant]],Table2[instant],Table2[cnt], ,0,1)</f>
        <v>24</v>
      </c>
      <c r="N549" s="1" t="str">
        <f>IF(OR(Table3[[#This Row],[weekday]]=0,Table3[[#This Row],[weekday]]=6),"Weekend","Weekday")</f>
        <v>Weekday</v>
      </c>
    </row>
    <row r="550" spans="1:14" ht="15" thickBot="1" x14ac:dyDescent="0.35">
      <c r="A550" s="51">
        <v>549</v>
      </c>
      <c r="B550" s="52">
        <f>_xlfn.XLOOKUP(Table3[[#This Row],[instant]],DatSet1!A550:A1159,DatSet1!B550:B1159,_xlfn.XLOOKUP(Table3[[#This Row],[instant]],'Final Data'!A550:A939,'Final Data'!B550:B939, ,0,1),0,1)</f>
        <v>40568</v>
      </c>
      <c r="C550" s="51">
        <f>_xlfn.XLOOKUP(Table3[[#This Row],[instant]],Table1[instant],Table1[hr], ,0,1)</f>
        <v>0</v>
      </c>
      <c r="D550" s="53" t="b">
        <f>_xlfn.XLOOKUP(Table3[[#This Row],[instant]],Table1[instant],Table1[holiday], ,0,1)</f>
        <v>0</v>
      </c>
      <c r="E550" s="44">
        <f>_xlfn.XLOOKUP(Table3[[#This Row],[instant]],Table1[instant],Table1[weekday], ,0,1)</f>
        <v>2</v>
      </c>
      <c r="F550" s="44">
        <f>_xlfn.XLOOKUP(Table3[[#This Row],[instant]],Table1[instant],Table1[weathersit], ,0,1)</f>
        <v>2</v>
      </c>
      <c r="G550" s="44">
        <f>_xlfn.XLOOKUP(Table3[[#This Row],[instant]],Table1[instant],Table1[temp], ,0,1)</f>
        <v>0.16</v>
      </c>
      <c r="H550" s="45">
        <f>_xlfn.XLOOKUP(Table3[[#This Row],[instant]],Table2[instant],Table2[atemp], ,0,1)</f>
        <v>0.13639999999999999</v>
      </c>
      <c r="I550" s="42">
        <f>_xlfn.XLOOKUP(Table3[[#This Row],[instant]],Table2[instant],Table2[hum], ,0,1)</f>
        <v>0.69</v>
      </c>
      <c r="J550" s="42">
        <f>_xlfn.XLOOKUP(Table3[[#This Row],[instant]],Table2[instant],Table2[windspeed], ,0,1)</f>
        <v>0.28360000000000002</v>
      </c>
      <c r="K550" s="42">
        <f>_xlfn.XLOOKUP(Table3[[#This Row],[instant]],Table2[instant],Table2[casual], ,0,1)</f>
        <v>3</v>
      </c>
      <c r="L550" s="42">
        <f>_xlfn.XLOOKUP(Table3[[#This Row],[instant]],Table2[instant],Table2[registered], ,0,1)</f>
        <v>6</v>
      </c>
      <c r="M550" s="46">
        <f>_xlfn.XLOOKUP(Table3[[#This Row],[instant]],Table2[instant],Table2[cnt], ,0,1)</f>
        <v>9</v>
      </c>
      <c r="N550" s="42" t="str">
        <f>IF(OR(Table3[[#This Row],[weekday]]=0,Table3[[#This Row],[weekday]]=6),"Weekend","Weekday")</f>
        <v>Weekday</v>
      </c>
    </row>
    <row r="551" spans="1:14" ht="15" thickBot="1" x14ac:dyDescent="0.35">
      <c r="A551" s="48">
        <v>550</v>
      </c>
      <c r="B551" s="49">
        <f>_xlfn.XLOOKUP(Table3[[#This Row],[instant]],DatSet1!A551:A1160,DatSet1!B551:B1160,_xlfn.XLOOKUP(Table3[[#This Row],[instant]],'Final Data'!A551:A940,'Final Data'!B551:B940, ,0,1),0,1)</f>
        <v>40568</v>
      </c>
      <c r="C551" s="48">
        <f>_xlfn.XLOOKUP(Table3[[#This Row],[instant]],Table1[instant],Table1[hr], ,0,1)</f>
        <v>1</v>
      </c>
      <c r="D551" s="50" t="b">
        <f>_xlfn.XLOOKUP(Table3[[#This Row],[instant]],Table1[instant],Table1[holiday], ,0,1)</f>
        <v>0</v>
      </c>
      <c r="E551" s="2">
        <f>_xlfn.XLOOKUP(Table3[[#This Row],[instant]],Table1[instant],Table1[weekday], ,0,1)</f>
        <v>2</v>
      </c>
      <c r="F551" s="2">
        <f>_xlfn.XLOOKUP(Table3[[#This Row],[instant]],Table1[instant],Table1[weathersit], ,0,1)</f>
        <v>2</v>
      </c>
      <c r="G551" s="2">
        <f>_xlfn.XLOOKUP(Table3[[#This Row],[instant]],Table1[instant],Table1[temp], ,0,1)</f>
        <v>0.16</v>
      </c>
      <c r="H551" s="24">
        <f>_xlfn.XLOOKUP(Table3[[#This Row],[instant]],Table2[instant],Table2[atemp], ,0,1)</f>
        <v>0.16669999999999999</v>
      </c>
      <c r="I551" s="1">
        <f>_xlfn.XLOOKUP(Table3[[#This Row],[instant]],Table2[instant],Table2[hum], ,0,1)</f>
        <v>0.69</v>
      </c>
      <c r="J551" s="1">
        <f>_xlfn.XLOOKUP(Table3[[#This Row],[instant]],Table2[instant],Table2[windspeed], ,0,1)</f>
        <v>0.16420000000000001</v>
      </c>
      <c r="K551" s="1">
        <f>_xlfn.XLOOKUP(Table3[[#This Row],[instant]],Table2[instant],Table2[casual], ,0,1)</f>
        <v>0</v>
      </c>
      <c r="L551" s="1">
        <f>_xlfn.XLOOKUP(Table3[[#This Row],[instant]],Table2[instant],Table2[registered], ,0,1)</f>
        <v>5</v>
      </c>
      <c r="M551" s="6">
        <f>_xlfn.XLOOKUP(Table3[[#This Row],[instant]],Table2[instant],Table2[cnt], ,0,1)</f>
        <v>5</v>
      </c>
      <c r="N551" s="1" t="str">
        <f>IF(OR(Table3[[#This Row],[weekday]]=0,Table3[[#This Row],[weekday]]=6),"Weekend","Weekday")</f>
        <v>Weekday</v>
      </c>
    </row>
    <row r="552" spans="1:14" ht="15" thickBot="1" x14ac:dyDescent="0.35">
      <c r="A552" s="51">
        <v>551</v>
      </c>
      <c r="B552" s="52">
        <f>_xlfn.XLOOKUP(Table3[[#This Row],[instant]],DatSet1!A552:A1161,DatSet1!B552:B1161,_xlfn.XLOOKUP(Table3[[#This Row],[instant]],'Final Data'!A552:A941,'Final Data'!B552:B941, ,0,1),0,1)</f>
        <v>40568</v>
      </c>
      <c r="C552" s="51">
        <f>_xlfn.XLOOKUP(Table3[[#This Row],[instant]],Table1[instant],Table1[hr], ,0,1)</f>
        <v>2</v>
      </c>
      <c r="D552" s="53" t="b">
        <f>_xlfn.XLOOKUP(Table3[[#This Row],[instant]],Table1[instant],Table1[holiday], ,0,1)</f>
        <v>0</v>
      </c>
      <c r="E552" s="44">
        <f>_xlfn.XLOOKUP(Table3[[#This Row],[instant]],Table1[instant],Table1[weekday], ,0,1)</f>
        <v>2</v>
      </c>
      <c r="F552" s="44">
        <f>_xlfn.XLOOKUP(Table3[[#This Row],[instant]],Table1[instant],Table1[weathersit], ,0,1)</f>
        <v>1</v>
      </c>
      <c r="G552" s="44">
        <f>_xlfn.XLOOKUP(Table3[[#This Row],[instant]],Table1[instant],Table1[temp], ,0,1)</f>
        <v>0.16</v>
      </c>
      <c r="H552" s="45">
        <f>_xlfn.XLOOKUP(Table3[[#This Row],[instant]],Table2[instant],Table2[atemp], ,0,1)</f>
        <v>0.1515</v>
      </c>
      <c r="I552" s="42">
        <f>_xlfn.XLOOKUP(Table3[[#This Row],[instant]],Table2[instant],Table2[hum], ,0,1)</f>
        <v>0.69</v>
      </c>
      <c r="J552" s="42">
        <f>_xlfn.XLOOKUP(Table3[[#This Row],[instant]],Table2[instant],Table2[windspeed], ,0,1)</f>
        <v>0.22389999999999999</v>
      </c>
      <c r="K552" s="42">
        <f>_xlfn.XLOOKUP(Table3[[#This Row],[instant]],Table2[instant],Table2[casual], ,0,1)</f>
        <v>0</v>
      </c>
      <c r="L552" s="42">
        <f>_xlfn.XLOOKUP(Table3[[#This Row],[instant]],Table2[instant],Table2[registered], ,0,1)</f>
        <v>2</v>
      </c>
      <c r="M552" s="46">
        <f>_xlfn.XLOOKUP(Table3[[#This Row],[instant]],Table2[instant],Table2[cnt], ,0,1)</f>
        <v>2</v>
      </c>
      <c r="N552" s="42" t="str">
        <f>IF(OR(Table3[[#This Row],[weekday]]=0,Table3[[#This Row],[weekday]]=6),"Weekend","Weekday")</f>
        <v>Weekday</v>
      </c>
    </row>
    <row r="553" spans="1:14" ht="15" thickBot="1" x14ac:dyDescent="0.35">
      <c r="A553" s="48">
        <v>552</v>
      </c>
      <c r="B553" s="49">
        <f>_xlfn.XLOOKUP(Table3[[#This Row],[instant]],DatSet1!A553:A1162,DatSet1!B553:B1162,_xlfn.XLOOKUP(Table3[[#This Row],[instant]],'Final Data'!A553:A942,'Final Data'!B553:B942, ,0,1),0,1)</f>
        <v>40568</v>
      </c>
      <c r="C553" s="48">
        <f>_xlfn.XLOOKUP(Table3[[#This Row],[instant]],Table1[instant],Table1[hr], ,0,1)</f>
        <v>4</v>
      </c>
      <c r="D553" s="50" t="b">
        <f>_xlfn.XLOOKUP(Table3[[#This Row],[instant]],Table1[instant],Table1[holiday], ,0,1)</f>
        <v>0</v>
      </c>
      <c r="E553" s="2">
        <f>_xlfn.XLOOKUP(Table3[[#This Row],[instant]],Table1[instant],Table1[weekday], ,0,1)</f>
        <v>2</v>
      </c>
      <c r="F553" s="2">
        <f>_xlfn.XLOOKUP(Table3[[#This Row],[instant]],Table1[instant],Table1[weathersit], ,0,1)</f>
        <v>1</v>
      </c>
      <c r="G553" s="2">
        <f>_xlfn.XLOOKUP(Table3[[#This Row],[instant]],Table1[instant],Table1[temp], ,0,1)</f>
        <v>0.14000000000000001</v>
      </c>
      <c r="H553" s="24">
        <f>_xlfn.XLOOKUP(Table3[[#This Row],[instant]],Table2[instant],Table2[atemp], ,0,1)</f>
        <v>0.16669999999999999</v>
      </c>
      <c r="I553" s="1">
        <f>_xlfn.XLOOKUP(Table3[[#This Row],[instant]],Table2[instant],Table2[hum], ,0,1)</f>
        <v>0.74</v>
      </c>
      <c r="J553" s="1">
        <f>_xlfn.XLOOKUP(Table3[[#This Row],[instant]],Table2[instant],Table2[windspeed], ,0,1)</f>
        <v>0.1045</v>
      </c>
      <c r="K553" s="1">
        <f>_xlfn.XLOOKUP(Table3[[#This Row],[instant]],Table2[instant],Table2[casual], ,0,1)</f>
        <v>0</v>
      </c>
      <c r="L553" s="1">
        <f>_xlfn.XLOOKUP(Table3[[#This Row],[instant]],Table2[instant],Table2[registered], ,0,1)</f>
        <v>1</v>
      </c>
      <c r="M553" s="6">
        <f>_xlfn.XLOOKUP(Table3[[#This Row],[instant]],Table2[instant],Table2[cnt], ,0,1)</f>
        <v>1</v>
      </c>
      <c r="N553" s="1" t="str">
        <f>IF(OR(Table3[[#This Row],[weekday]]=0,Table3[[#This Row],[weekday]]=6),"Weekend","Weekday")</f>
        <v>Weekday</v>
      </c>
    </row>
    <row r="554" spans="1:14" ht="15" thickBot="1" x14ac:dyDescent="0.35">
      <c r="A554" s="51">
        <v>553</v>
      </c>
      <c r="B554" s="52">
        <f>_xlfn.XLOOKUP(Table3[[#This Row],[instant]],DatSet1!A554:A1163,DatSet1!B554:B1163,_xlfn.XLOOKUP(Table3[[#This Row],[instant]],'Final Data'!A554:A943,'Final Data'!B554:B943, ,0,1),0,1)</f>
        <v>40568</v>
      </c>
      <c r="C554" s="51">
        <f>_xlfn.XLOOKUP(Table3[[#This Row],[instant]],Table1[instant],Table1[hr], ,0,1)</f>
        <v>5</v>
      </c>
      <c r="D554" s="53" t="b">
        <f>_xlfn.XLOOKUP(Table3[[#This Row],[instant]],Table1[instant],Table1[holiday], ,0,1)</f>
        <v>0</v>
      </c>
      <c r="E554" s="44">
        <f>_xlfn.XLOOKUP(Table3[[#This Row],[instant]],Table1[instant],Table1[weekday], ,0,1)</f>
        <v>2</v>
      </c>
      <c r="F554" s="44">
        <f>_xlfn.XLOOKUP(Table3[[#This Row],[instant]],Table1[instant],Table1[weathersit], ,0,1)</f>
        <v>1</v>
      </c>
      <c r="G554" s="44">
        <f>_xlfn.XLOOKUP(Table3[[#This Row],[instant]],Table1[instant],Table1[temp], ,0,1)</f>
        <v>0.14000000000000001</v>
      </c>
      <c r="H554" s="45">
        <f>_xlfn.XLOOKUP(Table3[[#This Row],[instant]],Table2[instant],Table2[atemp], ,0,1)</f>
        <v>0.13639999999999999</v>
      </c>
      <c r="I554" s="42">
        <f>_xlfn.XLOOKUP(Table3[[#This Row],[instant]],Table2[instant],Table2[hum], ,0,1)</f>
        <v>0.74</v>
      </c>
      <c r="J554" s="42">
        <f>_xlfn.XLOOKUP(Table3[[#This Row],[instant]],Table2[instant],Table2[windspeed], ,0,1)</f>
        <v>0.22389999999999999</v>
      </c>
      <c r="K554" s="42">
        <f>_xlfn.XLOOKUP(Table3[[#This Row],[instant]],Table2[instant],Table2[casual], ,0,1)</f>
        <v>0</v>
      </c>
      <c r="L554" s="42">
        <f>_xlfn.XLOOKUP(Table3[[#This Row],[instant]],Table2[instant],Table2[registered], ,0,1)</f>
        <v>9</v>
      </c>
      <c r="M554" s="46">
        <f>_xlfn.XLOOKUP(Table3[[#This Row],[instant]],Table2[instant],Table2[cnt], ,0,1)</f>
        <v>9</v>
      </c>
      <c r="N554" s="42" t="str">
        <f>IF(OR(Table3[[#This Row],[weekday]]=0,Table3[[#This Row],[weekday]]=6),"Weekend","Weekday")</f>
        <v>Weekday</v>
      </c>
    </row>
    <row r="555" spans="1:14" ht="15" thickBot="1" x14ac:dyDescent="0.35">
      <c r="A555" s="48">
        <v>554</v>
      </c>
      <c r="B555" s="49">
        <f>_xlfn.XLOOKUP(Table3[[#This Row],[instant]],DatSet1!A555:A1164,DatSet1!B555:B1164,_xlfn.XLOOKUP(Table3[[#This Row],[instant]],'Final Data'!A555:A944,'Final Data'!B555:B944, ,0,1),0,1)</f>
        <v>40568</v>
      </c>
      <c r="C555" s="48">
        <f>_xlfn.XLOOKUP(Table3[[#This Row],[instant]],Table1[instant],Table1[hr], ,0,1)</f>
        <v>6</v>
      </c>
      <c r="D555" s="50" t="b">
        <f>_xlfn.XLOOKUP(Table3[[#This Row],[instant]],Table1[instant],Table1[holiday], ,0,1)</f>
        <v>0</v>
      </c>
      <c r="E555" s="2">
        <f>_xlfn.XLOOKUP(Table3[[#This Row],[instant]],Table1[instant],Table1[weekday], ,0,1)</f>
        <v>2</v>
      </c>
      <c r="F555" s="2">
        <f>_xlfn.XLOOKUP(Table3[[#This Row],[instant]],Table1[instant],Table1[weathersit], ,0,1)</f>
        <v>1</v>
      </c>
      <c r="G555" s="2">
        <f>_xlfn.XLOOKUP(Table3[[#This Row],[instant]],Table1[instant],Table1[temp], ,0,1)</f>
        <v>0.16</v>
      </c>
      <c r="H555" s="24">
        <f>_xlfn.XLOOKUP(Table3[[#This Row],[instant]],Table2[instant],Table2[atemp], ,0,1)</f>
        <v>0.18179999999999999</v>
      </c>
      <c r="I555" s="1">
        <f>_xlfn.XLOOKUP(Table3[[#This Row],[instant]],Table2[instant],Table2[hum], ,0,1)</f>
        <v>0.74</v>
      </c>
      <c r="J555" s="1">
        <f>_xlfn.XLOOKUP(Table3[[#This Row],[instant]],Table2[instant],Table2[windspeed], ,0,1)</f>
        <v>0.1045</v>
      </c>
      <c r="K555" s="1">
        <f>_xlfn.XLOOKUP(Table3[[#This Row],[instant]],Table2[instant],Table2[casual], ,0,1)</f>
        <v>1</v>
      </c>
      <c r="L555" s="1">
        <f>_xlfn.XLOOKUP(Table3[[#This Row],[instant]],Table2[instant],Table2[registered], ,0,1)</f>
        <v>35</v>
      </c>
      <c r="M555" s="6">
        <f>_xlfn.XLOOKUP(Table3[[#This Row],[instant]],Table2[instant],Table2[cnt], ,0,1)</f>
        <v>36</v>
      </c>
      <c r="N555" s="1" t="str">
        <f>IF(OR(Table3[[#This Row],[weekday]]=0,Table3[[#This Row],[weekday]]=6),"Weekend","Weekday")</f>
        <v>Weekday</v>
      </c>
    </row>
    <row r="556" spans="1:14" ht="15" thickBot="1" x14ac:dyDescent="0.35">
      <c r="A556" s="51">
        <v>555</v>
      </c>
      <c r="B556" s="52">
        <f>_xlfn.XLOOKUP(Table3[[#This Row],[instant]],DatSet1!A556:A1165,DatSet1!B556:B1165,_xlfn.XLOOKUP(Table3[[#This Row],[instant]],'Final Data'!A556:A945,'Final Data'!B556:B945, ,0,1),0,1)</f>
        <v>40568</v>
      </c>
      <c r="C556" s="51">
        <f>_xlfn.XLOOKUP(Table3[[#This Row],[instant]],Table1[instant],Table1[hr], ,0,1)</f>
        <v>7</v>
      </c>
      <c r="D556" s="53" t="b">
        <f>_xlfn.XLOOKUP(Table3[[#This Row],[instant]],Table1[instant],Table1[holiday], ,0,1)</f>
        <v>0</v>
      </c>
      <c r="E556" s="44">
        <f>_xlfn.XLOOKUP(Table3[[#This Row],[instant]],Table1[instant],Table1[weekday], ,0,1)</f>
        <v>2</v>
      </c>
      <c r="F556" s="44">
        <f>_xlfn.XLOOKUP(Table3[[#This Row],[instant]],Table1[instant],Table1[weathersit], ,0,1)</f>
        <v>1</v>
      </c>
      <c r="G556" s="44">
        <f>_xlfn.XLOOKUP(Table3[[#This Row],[instant]],Table1[instant],Table1[temp], ,0,1)</f>
        <v>0.16</v>
      </c>
      <c r="H556" s="45">
        <f>_xlfn.XLOOKUP(Table3[[#This Row],[instant]],Table2[instant],Table2[atemp], ,0,1)</f>
        <v>0.1515</v>
      </c>
      <c r="I556" s="42">
        <f>_xlfn.XLOOKUP(Table3[[#This Row],[instant]],Table2[instant],Table2[hum], ,0,1)</f>
        <v>0.74</v>
      </c>
      <c r="J556" s="42">
        <f>_xlfn.XLOOKUP(Table3[[#This Row],[instant]],Table2[instant],Table2[windspeed], ,0,1)</f>
        <v>0.22389999999999999</v>
      </c>
      <c r="K556" s="42">
        <f>_xlfn.XLOOKUP(Table3[[#This Row],[instant]],Table2[instant],Table2[casual], ,0,1)</f>
        <v>5</v>
      </c>
      <c r="L556" s="42">
        <f>_xlfn.XLOOKUP(Table3[[#This Row],[instant]],Table2[instant],Table2[registered], ,0,1)</f>
        <v>103</v>
      </c>
      <c r="M556" s="46">
        <f>_xlfn.XLOOKUP(Table3[[#This Row],[instant]],Table2[instant],Table2[cnt], ,0,1)</f>
        <v>108</v>
      </c>
      <c r="N556" s="42" t="str">
        <f>IF(OR(Table3[[#This Row],[weekday]]=0,Table3[[#This Row],[weekday]]=6),"Weekend","Weekday")</f>
        <v>Weekday</v>
      </c>
    </row>
    <row r="557" spans="1:14" ht="15" thickBot="1" x14ac:dyDescent="0.35">
      <c r="A557" s="48">
        <v>556</v>
      </c>
      <c r="B557" s="49">
        <f>_xlfn.XLOOKUP(Table3[[#This Row],[instant]],DatSet1!A557:A1166,DatSet1!B557:B1166,_xlfn.XLOOKUP(Table3[[#This Row],[instant]],'Final Data'!A557:A946,'Final Data'!B557:B946, ,0,1),0,1)</f>
        <v>40568</v>
      </c>
      <c r="C557" s="48">
        <f>_xlfn.XLOOKUP(Table3[[#This Row],[instant]],Table1[instant],Table1[hr], ,0,1)</f>
        <v>8</v>
      </c>
      <c r="D557" s="50" t="b">
        <f>_xlfn.XLOOKUP(Table3[[#This Row],[instant]],Table1[instant],Table1[holiday], ,0,1)</f>
        <v>0</v>
      </c>
      <c r="E557" s="2">
        <f>_xlfn.XLOOKUP(Table3[[#This Row],[instant]],Table1[instant],Table1[weekday], ,0,1)</f>
        <v>2</v>
      </c>
      <c r="F557" s="2">
        <f>_xlfn.XLOOKUP(Table3[[#This Row],[instant]],Table1[instant],Table1[weathersit], ,0,1)</f>
        <v>2</v>
      </c>
      <c r="G557" s="2">
        <f>_xlfn.XLOOKUP(Table3[[#This Row],[instant]],Table1[instant],Table1[temp], ,0,1)</f>
        <v>0.16</v>
      </c>
      <c r="H557" s="24">
        <f>_xlfn.XLOOKUP(Table3[[#This Row],[instant]],Table2[instant],Table2[atemp], ,0,1)</f>
        <v>0.18179999999999999</v>
      </c>
      <c r="I557" s="1">
        <f>_xlfn.XLOOKUP(Table3[[#This Row],[instant]],Table2[instant],Table2[hum], ,0,1)</f>
        <v>0.74</v>
      </c>
      <c r="J557" s="1">
        <f>_xlfn.XLOOKUP(Table3[[#This Row],[instant]],Table2[instant],Table2[windspeed], ,0,1)</f>
        <v>0.1343</v>
      </c>
      <c r="K557" s="1">
        <f>_xlfn.XLOOKUP(Table3[[#This Row],[instant]],Table2[instant],Table2[casual], ,0,1)</f>
        <v>5</v>
      </c>
      <c r="L557" s="1">
        <f>_xlfn.XLOOKUP(Table3[[#This Row],[instant]],Table2[instant],Table2[registered], ,0,1)</f>
        <v>233</v>
      </c>
      <c r="M557" s="6">
        <f>_xlfn.XLOOKUP(Table3[[#This Row],[instant]],Table2[instant],Table2[cnt], ,0,1)</f>
        <v>238</v>
      </c>
      <c r="N557" s="1" t="str">
        <f>IF(OR(Table3[[#This Row],[weekday]]=0,Table3[[#This Row],[weekday]]=6),"Weekend","Weekday")</f>
        <v>Weekday</v>
      </c>
    </row>
    <row r="558" spans="1:14" ht="15" thickBot="1" x14ac:dyDescent="0.35">
      <c r="A558" s="51">
        <v>557</v>
      </c>
      <c r="B558" s="52">
        <f>_xlfn.XLOOKUP(Table3[[#This Row],[instant]],DatSet1!A558:A1167,DatSet1!B558:B1167,_xlfn.XLOOKUP(Table3[[#This Row],[instant]],'Final Data'!A558:A947,'Final Data'!B558:B947, ,0,1),0,1)</f>
        <v>40568</v>
      </c>
      <c r="C558" s="51">
        <f>_xlfn.XLOOKUP(Table3[[#This Row],[instant]],Table1[instant],Table1[hr], ,0,1)</f>
        <v>9</v>
      </c>
      <c r="D558" s="53" t="b">
        <f>_xlfn.XLOOKUP(Table3[[#This Row],[instant]],Table1[instant],Table1[holiday], ,0,1)</f>
        <v>0</v>
      </c>
      <c r="E558" s="44">
        <f>_xlfn.XLOOKUP(Table3[[#This Row],[instant]],Table1[instant],Table1[weekday], ,0,1)</f>
        <v>2</v>
      </c>
      <c r="F558" s="44">
        <f>_xlfn.XLOOKUP(Table3[[#This Row],[instant]],Table1[instant],Table1[weathersit], ,0,1)</f>
        <v>2</v>
      </c>
      <c r="G558" s="44">
        <f>_xlfn.XLOOKUP(Table3[[#This Row],[instant]],Table1[instant],Table1[temp], ,0,1)</f>
        <v>0.2</v>
      </c>
      <c r="H558" s="45">
        <f>_xlfn.XLOOKUP(Table3[[#This Row],[instant]],Table2[instant],Table2[atemp], ,0,1)</f>
        <v>0.2273</v>
      </c>
      <c r="I558" s="42">
        <f>_xlfn.XLOOKUP(Table3[[#This Row],[instant]],Table2[instant],Table2[hum], ,0,1)</f>
        <v>0.64</v>
      </c>
      <c r="J558" s="42">
        <f>_xlfn.XLOOKUP(Table3[[#This Row],[instant]],Table2[instant],Table2[windspeed], ,0,1)</f>
        <v>8.9599999999999999E-2</v>
      </c>
      <c r="K558" s="42">
        <f>_xlfn.XLOOKUP(Table3[[#This Row],[instant]],Table2[instant],Table2[casual], ,0,1)</f>
        <v>10</v>
      </c>
      <c r="L558" s="42">
        <f>_xlfn.XLOOKUP(Table3[[#This Row],[instant]],Table2[instant],Table2[registered], ,0,1)</f>
        <v>134</v>
      </c>
      <c r="M558" s="46">
        <f>_xlfn.XLOOKUP(Table3[[#This Row],[instant]],Table2[instant],Table2[cnt], ,0,1)</f>
        <v>144</v>
      </c>
      <c r="N558" s="42" t="str">
        <f>IF(OR(Table3[[#This Row],[weekday]]=0,Table3[[#This Row],[weekday]]=6),"Weekend","Weekday")</f>
        <v>Weekday</v>
      </c>
    </row>
    <row r="559" spans="1:14" ht="15" thickBot="1" x14ac:dyDescent="0.35">
      <c r="A559" s="48">
        <v>558</v>
      </c>
      <c r="B559" s="49">
        <f>_xlfn.XLOOKUP(Table3[[#This Row],[instant]],DatSet1!A559:A1168,DatSet1!B559:B1168,_xlfn.XLOOKUP(Table3[[#This Row],[instant]],'Final Data'!A559:A948,'Final Data'!B559:B948, ,0,1),0,1)</f>
        <v>40568</v>
      </c>
      <c r="C559" s="48">
        <f>_xlfn.XLOOKUP(Table3[[#This Row],[instant]],Table1[instant],Table1[hr], ,0,1)</f>
        <v>10</v>
      </c>
      <c r="D559" s="50" t="b">
        <f>_xlfn.XLOOKUP(Table3[[#This Row],[instant]],Table1[instant],Table1[holiday], ,0,1)</f>
        <v>0</v>
      </c>
      <c r="E559" s="2">
        <f>_xlfn.XLOOKUP(Table3[[#This Row],[instant]],Table1[instant],Table1[weekday], ,0,1)</f>
        <v>2</v>
      </c>
      <c r="F559" s="2">
        <f>_xlfn.XLOOKUP(Table3[[#This Row],[instant]],Table1[instant],Table1[weathersit], ,0,1)</f>
        <v>2</v>
      </c>
      <c r="G559" s="2">
        <f>_xlfn.XLOOKUP(Table3[[#This Row],[instant]],Table1[instant],Table1[temp], ,0,1)</f>
        <v>0.22</v>
      </c>
      <c r="H559" s="24">
        <f>_xlfn.XLOOKUP(Table3[[#This Row],[instant]],Table2[instant],Table2[atemp], ,0,1)</f>
        <v>0.2424</v>
      </c>
      <c r="I559" s="1">
        <f>_xlfn.XLOOKUP(Table3[[#This Row],[instant]],Table2[instant],Table2[hum], ,0,1)</f>
        <v>0.6</v>
      </c>
      <c r="J559" s="1">
        <f>_xlfn.XLOOKUP(Table3[[#This Row],[instant]],Table2[instant],Table2[windspeed], ,0,1)</f>
        <v>0.1045</v>
      </c>
      <c r="K559" s="1">
        <f>_xlfn.XLOOKUP(Table3[[#This Row],[instant]],Table2[instant],Table2[casual], ,0,1)</f>
        <v>6</v>
      </c>
      <c r="L559" s="1">
        <f>_xlfn.XLOOKUP(Table3[[#This Row],[instant]],Table2[instant],Table2[registered], ,0,1)</f>
        <v>49</v>
      </c>
      <c r="M559" s="6">
        <f>_xlfn.XLOOKUP(Table3[[#This Row],[instant]],Table2[instant],Table2[cnt], ,0,1)</f>
        <v>55</v>
      </c>
      <c r="N559" s="1" t="str">
        <f>IF(OR(Table3[[#This Row],[weekday]]=0,Table3[[#This Row],[weekday]]=6),"Weekend","Weekday")</f>
        <v>Weekday</v>
      </c>
    </row>
    <row r="560" spans="1:14" ht="15" thickBot="1" x14ac:dyDescent="0.35">
      <c r="A560" s="51">
        <v>559</v>
      </c>
      <c r="B560" s="52">
        <f>_xlfn.XLOOKUP(Table3[[#This Row],[instant]],DatSet1!A560:A1169,DatSet1!B560:B1169,_xlfn.XLOOKUP(Table3[[#This Row],[instant]],'Final Data'!A560:A949,'Final Data'!B560:B949, ,0,1),0,1)</f>
        <v>40568</v>
      </c>
      <c r="C560" s="51">
        <f>_xlfn.XLOOKUP(Table3[[#This Row],[instant]],Table1[instant],Table1[hr], ,0,1)</f>
        <v>11</v>
      </c>
      <c r="D560" s="53" t="b">
        <f>_xlfn.XLOOKUP(Table3[[#This Row],[instant]],Table1[instant],Table1[holiday], ,0,1)</f>
        <v>0</v>
      </c>
      <c r="E560" s="44">
        <f>_xlfn.XLOOKUP(Table3[[#This Row],[instant]],Table1[instant],Table1[weekday], ,0,1)</f>
        <v>2</v>
      </c>
      <c r="F560" s="44">
        <f>_xlfn.XLOOKUP(Table3[[#This Row],[instant]],Table1[instant],Table1[weathersit], ,0,1)</f>
        <v>2</v>
      </c>
      <c r="G560" s="44">
        <f>_xlfn.XLOOKUP(Table3[[#This Row],[instant]],Table1[instant],Table1[temp], ,0,1)</f>
        <v>0.24</v>
      </c>
      <c r="H560" s="45">
        <f>_xlfn.XLOOKUP(Table3[[#This Row],[instant]],Table2[instant],Table2[atemp], ,0,1)</f>
        <v>0.2424</v>
      </c>
      <c r="I560" s="42">
        <f>_xlfn.XLOOKUP(Table3[[#This Row],[instant]],Table2[instant],Table2[hum], ,0,1)</f>
        <v>0.6</v>
      </c>
      <c r="J560" s="42">
        <f>_xlfn.XLOOKUP(Table3[[#This Row],[instant]],Table2[instant],Table2[windspeed], ,0,1)</f>
        <v>0.1343</v>
      </c>
      <c r="K560" s="42">
        <f>_xlfn.XLOOKUP(Table3[[#This Row],[instant]],Table2[instant],Table2[casual], ,0,1)</f>
        <v>6</v>
      </c>
      <c r="L560" s="42">
        <f>_xlfn.XLOOKUP(Table3[[#This Row],[instant]],Table2[instant],Table2[registered], ,0,1)</f>
        <v>55</v>
      </c>
      <c r="M560" s="46">
        <f>_xlfn.XLOOKUP(Table3[[#This Row],[instant]],Table2[instant],Table2[cnt], ,0,1)</f>
        <v>61</v>
      </c>
      <c r="N560" s="42" t="str">
        <f>IF(OR(Table3[[#This Row],[weekday]]=0,Table3[[#This Row],[weekday]]=6),"Weekend","Weekday")</f>
        <v>Weekday</v>
      </c>
    </row>
    <row r="561" spans="1:14" ht="15" thickBot="1" x14ac:dyDescent="0.35">
      <c r="A561" s="48">
        <v>560</v>
      </c>
      <c r="B561" s="49">
        <f>_xlfn.XLOOKUP(Table3[[#This Row],[instant]],DatSet1!A561:A1170,DatSet1!B561:B1170,_xlfn.XLOOKUP(Table3[[#This Row],[instant]],'Final Data'!A561:A950,'Final Data'!B561:B950, ,0,1),0,1)</f>
        <v>40568</v>
      </c>
      <c r="C561" s="48">
        <f>_xlfn.XLOOKUP(Table3[[#This Row],[instant]],Table1[instant],Table1[hr], ,0,1)</f>
        <v>12</v>
      </c>
      <c r="D561" s="50" t="b">
        <f>_xlfn.XLOOKUP(Table3[[#This Row],[instant]],Table1[instant],Table1[holiday], ,0,1)</f>
        <v>0</v>
      </c>
      <c r="E561" s="2">
        <f>_xlfn.XLOOKUP(Table3[[#This Row],[instant]],Table1[instant],Table1[weekday], ,0,1)</f>
        <v>2</v>
      </c>
      <c r="F561" s="2">
        <f>_xlfn.XLOOKUP(Table3[[#This Row],[instant]],Table1[instant],Table1[weathersit], ,0,1)</f>
        <v>2</v>
      </c>
      <c r="G561" s="2">
        <f>_xlfn.XLOOKUP(Table3[[#This Row],[instant]],Table1[instant],Table1[temp], ,0,1)</f>
        <v>0.26</v>
      </c>
      <c r="H561" s="24">
        <f>_xlfn.XLOOKUP(Table3[[#This Row],[instant]],Table2[instant],Table2[atemp], ,0,1)</f>
        <v>0.28789999999999999</v>
      </c>
      <c r="I561" s="1">
        <f>_xlfn.XLOOKUP(Table3[[#This Row],[instant]],Table2[instant],Table2[hum], ,0,1)</f>
        <v>0.56000000000000005</v>
      </c>
      <c r="J561" s="1">
        <f>_xlfn.XLOOKUP(Table3[[#This Row],[instant]],Table2[instant],Table2[windspeed], ,0,1)</f>
        <v>8.9599999999999999E-2</v>
      </c>
      <c r="K561" s="1">
        <f>_xlfn.XLOOKUP(Table3[[#This Row],[instant]],Table2[instant],Table2[casual], ,0,1)</f>
        <v>21</v>
      </c>
      <c r="L561" s="1">
        <f>_xlfn.XLOOKUP(Table3[[#This Row],[instant]],Table2[instant],Table2[registered], ,0,1)</f>
        <v>85</v>
      </c>
      <c r="M561" s="6">
        <f>_xlfn.XLOOKUP(Table3[[#This Row],[instant]],Table2[instant],Table2[cnt], ,0,1)</f>
        <v>106</v>
      </c>
      <c r="N561" s="1" t="str">
        <f>IF(OR(Table3[[#This Row],[weekday]]=0,Table3[[#This Row],[weekday]]=6),"Weekend","Weekday")</f>
        <v>Weekday</v>
      </c>
    </row>
    <row r="562" spans="1:14" ht="15" thickBot="1" x14ac:dyDescent="0.35">
      <c r="A562" s="51">
        <v>561</v>
      </c>
      <c r="B562" s="52">
        <f>_xlfn.XLOOKUP(Table3[[#This Row],[instant]],DatSet1!A562:A1171,DatSet1!B562:B1171,_xlfn.XLOOKUP(Table3[[#This Row],[instant]],'Final Data'!A562:A951,'Final Data'!B562:B951, ,0,1),0,1)</f>
        <v>40568</v>
      </c>
      <c r="C562" s="51">
        <f>_xlfn.XLOOKUP(Table3[[#This Row],[instant]],Table1[instant],Table1[hr], ,0,1)</f>
        <v>13</v>
      </c>
      <c r="D562" s="53" t="b">
        <f>_xlfn.XLOOKUP(Table3[[#This Row],[instant]],Table1[instant],Table1[holiday], ,0,1)</f>
        <v>0</v>
      </c>
      <c r="E562" s="44">
        <f>_xlfn.XLOOKUP(Table3[[#This Row],[instant]],Table1[instant],Table1[weekday], ,0,1)</f>
        <v>2</v>
      </c>
      <c r="F562" s="44">
        <f>_xlfn.XLOOKUP(Table3[[#This Row],[instant]],Table1[instant],Table1[weathersit], ,0,1)</f>
        <v>2</v>
      </c>
      <c r="G562" s="44">
        <f>_xlfn.XLOOKUP(Table3[[#This Row],[instant]],Table1[instant],Table1[temp], ,0,1)</f>
        <v>0.26</v>
      </c>
      <c r="H562" s="45">
        <f>_xlfn.XLOOKUP(Table3[[#This Row],[instant]],Table2[instant],Table2[atemp], ,0,1)</f>
        <v>0.2727</v>
      </c>
      <c r="I562" s="42">
        <f>_xlfn.XLOOKUP(Table3[[#This Row],[instant]],Table2[instant],Table2[hum], ,0,1)</f>
        <v>0.56000000000000005</v>
      </c>
      <c r="J562" s="42">
        <f>_xlfn.XLOOKUP(Table3[[#This Row],[instant]],Table2[instant],Table2[windspeed], ,0,1)</f>
        <v>0.1343</v>
      </c>
      <c r="K562" s="42">
        <f>_xlfn.XLOOKUP(Table3[[#This Row],[instant]],Table2[instant],Table2[casual], ,0,1)</f>
        <v>21</v>
      </c>
      <c r="L562" s="42">
        <f>_xlfn.XLOOKUP(Table3[[#This Row],[instant]],Table2[instant],Table2[registered], ,0,1)</f>
        <v>72</v>
      </c>
      <c r="M562" s="46">
        <f>_xlfn.XLOOKUP(Table3[[#This Row],[instant]],Table2[instant],Table2[cnt], ,0,1)</f>
        <v>93</v>
      </c>
      <c r="N562" s="42" t="str">
        <f>IF(OR(Table3[[#This Row],[weekday]]=0,Table3[[#This Row],[weekday]]=6),"Weekend","Weekday")</f>
        <v>Weekday</v>
      </c>
    </row>
    <row r="563" spans="1:14" ht="15" thickBot="1" x14ac:dyDescent="0.35">
      <c r="A563" s="48">
        <v>562</v>
      </c>
      <c r="B563" s="49">
        <f>_xlfn.XLOOKUP(Table3[[#This Row],[instant]],DatSet1!A563:A1172,DatSet1!B563:B1172,_xlfn.XLOOKUP(Table3[[#This Row],[instant]],'Final Data'!A563:A952,'Final Data'!B563:B952, ,0,1),0,1)</f>
        <v>40568</v>
      </c>
      <c r="C563" s="48">
        <f>_xlfn.XLOOKUP(Table3[[#This Row],[instant]],Table1[instant],Table1[hr], ,0,1)</f>
        <v>14</v>
      </c>
      <c r="D563" s="50" t="b">
        <f>_xlfn.XLOOKUP(Table3[[#This Row],[instant]],Table1[instant],Table1[holiday], ,0,1)</f>
        <v>0</v>
      </c>
      <c r="E563" s="2">
        <f>_xlfn.XLOOKUP(Table3[[#This Row],[instant]],Table1[instant],Table1[weekday], ,0,1)</f>
        <v>2</v>
      </c>
      <c r="F563" s="2">
        <f>_xlfn.XLOOKUP(Table3[[#This Row],[instant]],Table1[instant],Table1[weathersit], ,0,1)</f>
        <v>2</v>
      </c>
      <c r="G563" s="2">
        <f>_xlfn.XLOOKUP(Table3[[#This Row],[instant]],Table1[instant],Table1[temp], ,0,1)</f>
        <v>0.3</v>
      </c>
      <c r="H563" s="24">
        <f>_xlfn.XLOOKUP(Table3[[#This Row],[instant]],Table2[instant],Table2[atemp], ,0,1)</f>
        <v>0.33329999999999999</v>
      </c>
      <c r="I563" s="1">
        <f>_xlfn.XLOOKUP(Table3[[#This Row],[instant]],Table2[instant],Table2[hum], ,0,1)</f>
        <v>0.45</v>
      </c>
      <c r="J563" s="1">
        <f>_xlfn.XLOOKUP(Table3[[#This Row],[instant]],Table2[instant],Table2[windspeed], ,0,1)</f>
        <v>0</v>
      </c>
      <c r="K563" s="1">
        <f>_xlfn.XLOOKUP(Table3[[#This Row],[instant]],Table2[instant],Table2[casual], ,0,1)</f>
        <v>11</v>
      </c>
      <c r="L563" s="1">
        <f>_xlfn.XLOOKUP(Table3[[#This Row],[instant]],Table2[instant],Table2[registered], ,0,1)</f>
        <v>57</v>
      </c>
      <c r="M563" s="6">
        <f>_xlfn.XLOOKUP(Table3[[#This Row],[instant]],Table2[instant],Table2[cnt], ,0,1)</f>
        <v>68</v>
      </c>
      <c r="N563" s="1" t="str">
        <f>IF(OR(Table3[[#This Row],[weekday]]=0,Table3[[#This Row],[weekday]]=6),"Weekend","Weekday")</f>
        <v>Weekday</v>
      </c>
    </row>
    <row r="564" spans="1:14" ht="15" thickBot="1" x14ac:dyDescent="0.35">
      <c r="A564" s="51">
        <v>563</v>
      </c>
      <c r="B564" s="52">
        <f>_xlfn.XLOOKUP(Table3[[#This Row],[instant]],DatSet1!A564:A1173,DatSet1!B564:B1173,_xlfn.XLOOKUP(Table3[[#This Row],[instant]],'Final Data'!A564:A953,'Final Data'!B564:B953, ,0,1),0,1)</f>
        <v>40568</v>
      </c>
      <c r="C564" s="51">
        <f>_xlfn.XLOOKUP(Table3[[#This Row],[instant]],Table1[instant],Table1[hr], ,0,1)</f>
        <v>15</v>
      </c>
      <c r="D564" s="53" t="b">
        <f>_xlfn.XLOOKUP(Table3[[#This Row],[instant]],Table1[instant],Table1[holiday], ,0,1)</f>
        <v>0</v>
      </c>
      <c r="E564" s="44">
        <f>_xlfn.XLOOKUP(Table3[[#This Row],[instant]],Table1[instant],Table1[weekday], ,0,1)</f>
        <v>2</v>
      </c>
      <c r="F564" s="44">
        <f>_xlfn.XLOOKUP(Table3[[#This Row],[instant]],Table1[instant],Table1[weathersit], ,0,1)</f>
        <v>2</v>
      </c>
      <c r="G564" s="44">
        <f>_xlfn.XLOOKUP(Table3[[#This Row],[instant]],Table1[instant],Table1[temp], ,0,1)</f>
        <v>0.32</v>
      </c>
      <c r="H564" s="45">
        <f>_xlfn.XLOOKUP(Table3[[#This Row],[instant]],Table2[instant],Table2[atemp], ,0,1)</f>
        <v>0.34849999999999998</v>
      </c>
      <c r="I564" s="42">
        <f>_xlfn.XLOOKUP(Table3[[#This Row],[instant]],Table2[instant],Table2[hum], ,0,1)</f>
        <v>0.42</v>
      </c>
      <c r="J564" s="42">
        <f>_xlfn.XLOOKUP(Table3[[#This Row],[instant]],Table2[instant],Table2[windspeed], ,0,1)</f>
        <v>0</v>
      </c>
      <c r="K564" s="42">
        <f>_xlfn.XLOOKUP(Table3[[#This Row],[instant]],Table2[instant],Table2[casual], ,0,1)</f>
        <v>21</v>
      </c>
      <c r="L564" s="42">
        <f>_xlfn.XLOOKUP(Table3[[#This Row],[instant]],Table2[instant],Table2[registered], ,0,1)</f>
        <v>63</v>
      </c>
      <c r="M564" s="46">
        <f>_xlfn.XLOOKUP(Table3[[#This Row],[instant]],Table2[instant],Table2[cnt], ,0,1)</f>
        <v>84</v>
      </c>
      <c r="N564" s="42" t="str">
        <f>IF(OR(Table3[[#This Row],[weekday]]=0,Table3[[#This Row],[weekday]]=6),"Weekend","Weekday")</f>
        <v>Weekday</v>
      </c>
    </row>
    <row r="565" spans="1:14" ht="15" thickBot="1" x14ac:dyDescent="0.35">
      <c r="A565" s="48">
        <v>564</v>
      </c>
      <c r="B565" s="49">
        <f>_xlfn.XLOOKUP(Table3[[#This Row],[instant]],DatSet1!A565:A1174,DatSet1!B565:B1174,_xlfn.XLOOKUP(Table3[[#This Row],[instant]],'Final Data'!A565:A954,'Final Data'!B565:B954, ,0,1),0,1)</f>
        <v>40568</v>
      </c>
      <c r="C565" s="48">
        <f>_xlfn.XLOOKUP(Table3[[#This Row],[instant]],Table1[instant],Table1[hr], ,0,1)</f>
        <v>16</v>
      </c>
      <c r="D565" s="50" t="b">
        <f>_xlfn.XLOOKUP(Table3[[#This Row],[instant]],Table1[instant],Table1[holiday], ,0,1)</f>
        <v>0</v>
      </c>
      <c r="E565" s="2">
        <f>_xlfn.XLOOKUP(Table3[[#This Row],[instant]],Table1[instant],Table1[weekday], ,0,1)</f>
        <v>2</v>
      </c>
      <c r="F565" s="2">
        <f>_xlfn.XLOOKUP(Table3[[#This Row],[instant]],Table1[instant],Table1[weathersit], ,0,1)</f>
        <v>2</v>
      </c>
      <c r="G565" s="2">
        <f>_xlfn.XLOOKUP(Table3[[#This Row],[instant]],Table1[instant],Table1[temp], ,0,1)</f>
        <v>0.32</v>
      </c>
      <c r="H565" s="24">
        <f>_xlfn.XLOOKUP(Table3[[#This Row],[instant]],Table2[instant],Table2[atemp], ,0,1)</f>
        <v>0.34849999999999998</v>
      </c>
      <c r="I565" s="1">
        <f>_xlfn.XLOOKUP(Table3[[#This Row],[instant]],Table2[instant],Table2[hum], ,0,1)</f>
        <v>0.42</v>
      </c>
      <c r="J565" s="1">
        <f>_xlfn.XLOOKUP(Table3[[#This Row],[instant]],Table2[instant],Table2[windspeed], ,0,1)</f>
        <v>0</v>
      </c>
      <c r="K565" s="1">
        <f>_xlfn.XLOOKUP(Table3[[#This Row],[instant]],Table2[instant],Table2[casual], ,0,1)</f>
        <v>14</v>
      </c>
      <c r="L565" s="1">
        <f>_xlfn.XLOOKUP(Table3[[#This Row],[instant]],Table2[instant],Table2[registered], ,0,1)</f>
        <v>102</v>
      </c>
      <c r="M565" s="6">
        <f>_xlfn.XLOOKUP(Table3[[#This Row],[instant]],Table2[instant],Table2[cnt], ,0,1)</f>
        <v>116</v>
      </c>
      <c r="N565" s="1" t="str">
        <f>IF(OR(Table3[[#This Row],[weekday]]=0,Table3[[#This Row],[weekday]]=6),"Weekend","Weekday")</f>
        <v>Weekday</v>
      </c>
    </row>
    <row r="566" spans="1:14" ht="15" thickBot="1" x14ac:dyDescent="0.35">
      <c r="A566" s="51">
        <v>565</v>
      </c>
      <c r="B566" s="52">
        <f>_xlfn.XLOOKUP(Table3[[#This Row],[instant]],DatSet1!A566:A1175,DatSet1!B566:B1175,_xlfn.XLOOKUP(Table3[[#This Row],[instant]],'Final Data'!A566:A955,'Final Data'!B566:B955, ,0,1),0,1)</f>
        <v>40568</v>
      </c>
      <c r="C566" s="51">
        <f>_xlfn.XLOOKUP(Table3[[#This Row],[instant]],Table1[instant],Table1[hr], ,0,1)</f>
        <v>17</v>
      </c>
      <c r="D566" s="53" t="b">
        <f>_xlfn.XLOOKUP(Table3[[#This Row],[instant]],Table1[instant],Table1[holiday], ,0,1)</f>
        <v>0</v>
      </c>
      <c r="E566" s="44">
        <f>_xlfn.XLOOKUP(Table3[[#This Row],[instant]],Table1[instant],Table1[weekday], ,0,1)</f>
        <v>2</v>
      </c>
      <c r="F566" s="44">
        <f>_xlfn.XLOOKUP(Table3[[#This Row],[instant]],Table1[instant],Table1[weathersit], ,0,1)</f>
        <v>1</v>
      </c>
      <c r="G566" s="44">
        <f>_xlfn.XLOOKUP(Table3[[#This Row],[instant]],Table1[instant],Table1[temp], ,0,1)</f>
        <v>0.3</v>
      </c>
      <c r="H566" s="45">
        <f>_xlfn.XLOOKUP(Table3[[#This Row],[instant]],Table2[instant],Table2[atemp], ,0,1)</f>
        <v>0.33329999999999999</v>
      </c>
      <c r="I566" s="42">
        <f>_xlfn.XLOOKUP(Table3[[#This Row],[instant]],Table2[instant],Table2[hum], ,0,1)</f>
        <v>0.45</v>
      </c>
      <c r="J566" s="42">
        <f>_xlfn.XLOOKUP(Table3[[#This Row],[instant]],Table2[instant],Table2[windspeed], ,0,1)</f>
        <v>0</v>
      </c>
      <c r="K566" s="42">
        <f>_xlfn.XLOOKUP(Table3[[#This Row],[instant]],Table2[instant],Table2[casual], ,0,1)</f>
        <v>14</v>
      </c>
      <c r="L566" s="42">
        <f>_xlfn.XLOOKUP(Table3[[#This Row],[instant]],Table2[instant],Table2[registered], ,0,1)</f>
        <v>208</v>
      </c>
      <c r="M566" s="46">
        <f>_xlfn.XLOOKUP(Table3[[#This Row],[instant]],Table2[instant],Table2[cnt], ,0,1)</f>
        <v>222</v>
      </c>
      <c r="N566" s="42" t="str">
        <f>IF(OR(Table3[[#This Row],[weekday]]=0,Table3[[#This Row],[weekday]]=6),"Weekend","Weekday")</f>
        <v>Weekday</v>
      </c>
    </row>
    <row r="567" spans="1:14" ht="15" thickBot="1" x14ac:dyDescent="0.35">
      <c r="A567" s="48">
        <v>566</v>
      </c>
      <c r="B567" s="49">
        <f>_xlfn.XLOOKUP(Table3[[#This Row],[instant]],DatSet1!A567:A1176,DatSet1!B567:B1176,_xlfn.XLOOKUP(Table3[[#This Row],[instant]],'Final Data'!A567:A956,'Final Data'!B567:B956, ,0,1),0,1)</f>
        <v>40568</v>
      </c>
      <c r="C567" s="48">
        <f>_xlfn.XLOOKUP(Table3[[#This Row],[instant]],Table1[instant],Table1[hr], ,0,1)</f>
        <v>18</v>
      </c>
      <c r="D567" s="50" t="b">
        <f>_xlfn.XLOOKUP(Table3[[#This Row],[instant]],Table1[instant],Table1[holiday], ,0,1)</f>
        <v>0</v>
      </c>
      <c r="E567" s="2">
        <f>_xlfn.XLOOKUP(Table3[[#This Row],[instant]],Table1[instant],Table1[weekday], ,0,1)</f>
        <v>2</v>
      </c>
      <c r="F567" s="2">
        <f>_xlfn.XLOOKUP(Table3[[#This Row],[instant]],Table1[instant],Table1[weathersit], ,0,1)</f>
        <v>2</v>
      </c>
      <c r="G567" s="2">
        <f>_xlfn.XLOOKUP(Table3[[#This Row],[instant]],Table1[instant],Table1[temp], ,0,1)</f>
        <v>0.3</v>
      </c>
      <c r="H567" s="24">
        <f>_xlfn.XLOOKUP(Table3[[#This Row],[instant]],Table2[instant],Table2[atemp], ,0,1)</f>
        <v>0.31819999999999998</v>
      </c>
      <c r="I567" s="1">
        <f>_xlfn.XLOOKUP(Table3[[#This Row],[instant]],Table2[instant],Table2[hum], ,0,1)</f>
        <v>0.49</v>
      </c>
      <c r="J567" s="1">
        <f>_xlfn.XLOOKUP(Table3[[#This Row],[instant]],Table2[instant],Table2[windspeed], ,0,1)</f>
        <v>8.9599999999999999E-2</v>
      </c>
      <c r="K567" s="1">
        <f>_xlfn.XLOOKUP(Table3[[#This Row],[instant]],Table2[instant],Table2[casual], ,0,1)</f>
        <v>7</v>
      </c>
      <c r="L567" s="1">
        <f>_xlfn.XLOOKUP(Table3[[#This Row],[instant]],Table2[instant],Table2[registered], ,0,1)</f>
        <v>218</v>
      </c>
      <c r="M567" s="6">
        <f>_xlfn.XLOOKUP(Table3[[#This Row],[instant]],Table2[instant],Table2[cnt], ,0,1)</f>
        <v>225</v>
      </c>
      <c r="N567" s="1" t="str">
        <f>IF(OR(Table3[[#This Row],[weekday]]=0,Table3[[#This Row],[weekday]]=6),"Weekend","Weekday")</f>
        <v>Weekday</v>
      </c>
    </row>
    <row r="568" spans="1:14" ht="15" thickBot="1" x14ac:dyDescent="0.35">
      <c r="A568" s="51">
        <v>567</v>
      </c>
      <c r="B568" s="52">
        <f>_xlfn.XLOOKUP(Table3[[#This Row],[instant]],DatSet1!A568:A1177,DatSet1!B568:B1177,_xlfn.XLOOKUP(Table3[[#This Row],[instant]],'Final Data'!A568:A957,'Final Data'!B568:B957, ,0,1),0,1)</f>
        <v>40568</v>
      </c>
      <c r="C568" s="51">
        <f>_xlfn.XLOOKUP(Table3[[#This Row],[instant]],Table1[instant],Table1[hr], ,0,1)</f>
        <v>19</v>
      </c>
      <c r="D568" s="53" t="b">
        <f>_xlfn.XLOOKUP(Table3[[#This Row],[instant]],Table1[instant],Table1[holiday], ,0,1)</f>
        <v>0</v>
      </c>
      <c r="E568" s="44">
        <f>_xlfn.XLOOKUP(Table3[[#This Row],[instant]],Table1[instant],Table1[weekday], ,0,1)</f>
        <v>2</v>
      </c>
      <c r="F568" s="44">
        <f>_xlfn.XLOOKUP(Table3[[#This Row],[instant]],Table1[instant],Table1[weathersit], ,0,1)</f>
        <v>2</v>
      </c>
      <c r="G568" s="44">
        <f>_xlfn.XLOOKUP(Table3[[#This Row],[instant]],Table1[instant],Table1[temp], ,0,1)</f>
        <v>0.26</v>
      </c>
      <c r="H568" s="45">
        <f>_xlfn.XLOOKUP(Table3[[#This Row],[instant]],Table2[instant],Table2[atemp], ,0,1)</f>
        <v>0.2576</v>
      </c>
      <c r="I568" s="42">
        <f>_xlfn.XLOOKUP(Table3[[#This Row],[instant]],Table2[instant],Table2[hum], ,0,1)</f>
        <v>0.65</v>
      </c>
      <c r="J568" s="42">
        <f>_xlfn.XLOOKUP(Table3[[#This Row],[instant]],Table2[instant],Table2[windspeed], ,0,1)</f>
        <v>0.16420000000000001</v>
      </c>
      <c r="K568" s="42">
        <f>_xlfn.XLOOKUP(Table3[[#This Row],[instant]],Table2[instant],Table2[casual], ,0,1)</f>
        <v>13</v>
      </c>
      <c r="L568" s="42">
        <f>_xlfn.XLOOKUP(Table3[[#This Row],[instant]],Table2[instant],Table2[registered], ,0,1)</f>
        <v>133</v>
      </c>
      <c r="M568" s="46">
        <f>_xlfn.XLOOKUP(Table3[[#This Row],[instant]],Table2[instant],Table2[cnt], ,0,1)</f>
        <v>146</v>
      </c>
      <c r="N568" s="42" t="str">
        <f>IF(OR(Table3[[#This Row],[weekday]]=0,Table3[[#This Row],[weekday]]=6),"Weekend","Weekday")</f>
        <v>Weekday</v>
      </c>
    </row>
    <row r="569" spans="1:14" ht="15" thickBot="1" x14ac:dyDescent="0.35">
      <c r="A569" s="48">
        <v>568</v>
      </c>
      <c r="B569" s="49">
        <f>_xlfn.XLOOKUP(Table3[[#This Row],[instant]],DatSet1!A569:A1178,DatSet1!B569:B1178,_xlfn.XLOOKUP(Table3[[#This Row],[instant]],'Final Data'!A569:A958,'Final Data'!B569:B958, ,0,1),0,1)</f>
        <v>40568</v>
      </c>
      <c r="C569" s="48">
        <f>_xlfn.XLOOKUP(Table3[[#This Row],[instant]],Table1[instant],Table1[hr], ,0,1)</f>
        <v>20</v>
      </c>
      <c r="D569" s="50" t="b">
        <f>_xlfn.XLOOKUP(Table3[[#This Row],[instant]],Table1[instant],Table1[holiday], ,0,1)</f>
        <v>0</v>
      </c>
      <c r="E569" s="2">
        <f>_xlfn.XLOOKUP(Table3[[#This Row],[instant]],Table1[instant],Table1[weekday], ,0,1)</f>
        <v>2</v>
      </c>
      <c r="F569" s="2">
        <f>_xlfn.XLOOKUP(Table3[[#This Row],[instant]],Table1[instant],Table1[weathersit], ,0,1)</f>
        <v>1</v>
      </c>
      <c r="G569" s="2">
        <f>_xlfn.XLOOKUP(Table3[[#This Row],[instant]],Table1[instant],Table1[temp], ,0,1)</f>
        <v>0.24</v>
      </c>
      <c r="H569" s="24">
        <f>_xlfn.XLOOKUP(Table3[[#This Row],[instant]],Table2[instant],Table2[atemp], ,0,1)</f>
        <v>0.2273</v>
      </c>
      <c r="I569" s="1">
        <f>_xlfn.XLOOKUP(Table3[[#This Row],[instant]],Table2[instant],Table2[hum], ,0,1)</f>
        <v>0.65</v>
      </c>
      <c r="J569" s="1">
        <f>_xlfn.XLOOKUP(Table3[[#This Row],[instant]],Table2[instant],Table2[windspeed], ,0,1)</f>
        <v>0.19400000000000001</v>
      </c>
      <c r="K569" s="1">
        <f>_xlfn.XLOOKUP(Table3[[#This Row],[instant]],Table2[instant],Table2[casual], ,0,1)</f>
        <v>16</v>
      </c>
      <c r="L569" s="1">
        <f>_xlfn.XLOOKUP(Table3[[#This Row],[instant]],Table2[instant],Table2[registered], ,0,1)</f>
        <v>103</v>
      </c>
      <c r="M569" s="6">
        <f>_xlfn.XLOOKUP(Table3[[#This Row],[instant]],Table2[instant],Table2[cnt], ,0,1)</f>
        <v>119</v>
      </c>
      <c r="N569" s="1" t="str">
        <f>IF(OR(Table3[[#This Row],[weekday]]=0,Table3[[#This Row],[weekday]]=6),"Weekend","Weekday")</f>
        <v>Weekday</v>
      </c>
    </row>
    <row r="570" spans="1:14" ht="15" thickBot="1" x14ac:dyDescent="0.35">
      <c r="A570" s="51">
        <v>569</v>
      </c>
      <c r="B570" s="52">
        <f>_xlfn.XLOOKUP(Table3[[#This Row],[instant]],DatSet1!A570:A1179,DatSet1!B570:B1179,_xlfn.XLOOKUP(Table3[[#This Row],[instant]],'Final Data'!A570:A959,'Final Data'!B570:B959, ,0,1),0,1)</f>
        <v>40568</v>
      </c>
      <c r="C570" s="51">
        <f>_xlfn.XLOOKUP(Table3[[#This Row],[instant]],Table1[instant],Table1[hr], ,0,1)</f>
        <v>21</v>
      </c>
      <c r="D570" s="53" t="b">
        <f>_xlfn.XLOOKUP(Table3[[#This Row],[instant]],Table1[instant],Table1[holiday], ,0,1)</f>
        <v>0</v>
      </c>
      <c r="E570" s="44">
        <f>_xlfn.XLOOKUP(Table3[[#This Row],[instant]],Table1[instant],Table1[weekday], ,0,1)</f>
        <v>2</v>
      </c>
      <c r="F570" s="44">
        <f>_xlfn.XLOOKUP(Table3[[#This Row],[instant]],Table1[instant],Table1[weathersit], ,0,1)</f>
        <v>1</v>
      </c>
      <c r="G570" s="44">
        <f>_xlfn.XLOOKUP(Table3[[#This Row],[instant]],Table1[instant],Table1[temp], ,0,1)</f>
        <v>0.24</v>
      </c>
      <c r="H570" s="45">
        <f>_xlfn.XLOOKUP(Table3[[#This Row],[instant]],Table2[instant],Table2[atemp], ,0,1)</f>
        <v>0.2273</v>
      </c>
      <c r="I570" s="42">
        <f>_xlfn.XLOOKUP(Table3[[#This Row],[instant]],Table2[instant],Table2[hum], ,0,1)</f>
        <v>0.65</v>
      </c>
      <c r="J570" s="42">
        <f>_xlfn.XLOOKUP(Table3[[#This Row],[instant]],Table2[instant],Table2[windspeed], ,0,1)</f>
        <v>0.19400000000000001</v>
      </c>
      <c r="K570" s="42">
        <f>_xlfn.XLOOKUP(Table3[[#This Row],[instant]],Table2[instant],Table2[casual], ,0,1)</f>
        <v>5</v>
      </c>
      <c r="L570" s="42">
        <f>_xlfn.XLOOKUP(Table3[[#This Row],[instant]],Table2[instant],Table2[registered], ,0,1)</f>
        <v>40</v>
      </c>
      <c r="M570" s="46">
        <f>_xlfn.XLOOKUP(Table3[[#This Row],[instant]],Table2[instant],Table2[cnt], ,0,1)</f>
        <v>45</v>
      </c>
      <c r="N570" s="42" t="str">
        <f>IF(OR(Table3[[#This Row],[weekday]]=0,Table3[[#This Row],[weekday]]=6),"Weekend","Weekday")</f>
        <v>Weekday</v>
      </c>
    </row>
    <row r="571" spans="1:14" ht="15" thickBot="1" x14ac:dyDescent="0.35">
      <c r="A571" s="48">
        <v>570</v>
      </c>
      <c r="B571" s="49">
        <f>_xlfn.XLOOKUP(Table3[[#This Row],[instant]],DatSet1!A571:A1180,DatSet1!B571:B1180,_xlfn.XLOOKUP(Table3[[#This Row],[instant]],'Final Data'!A571:A960,'Final Data'!B571:B960, ,0,1),0,1)</f>
        <v>40568</v>
      </c>
      <c r="C571" s="48">
        <f>_xlfn.XLOOKUP(Table3[[#This Row],[instant]],Table1[instant],Table1[hr], ,0,1)</f>
        <v>22</v>
      </c>
      <c r="D571" s="50" t="b">
        <f>_xlfn.XLOOKUP(Table3[[#This Row],[instant]],Table1[instant],Table1[holiday], ,0,1)</f>
        <v>0</v>
      </c>
      <c r="E571" s="2">
        <f>_xlfn.XLOOKUP(Table3[[#This Row],[instant]],Table1[instant],Table1[weekday], ,0,1)</f>
        <v>2</v>
      </c>
      <c r="F571" s="2">
        <f>_xlfn.XLOOKUP(Table3[[#This Row],[instant]],Table1[instant],Table1[weathersit], ,0,1)</f>
        <v>1</v>
      </c>
      <c r="G571" s="2">
        <f>_xlfn.XLOOKUP(Table3[[#This Row],[instant]],Table1[instant],Table1[temp], ,0,1)</f>
        <v>0.22</v>
      </c>
      <c r="H571" s="24">
        <f>_xlfn.XLOOKUP(Table3[[#This Row],[instant]],Table2[instant],Table2[atemp], ,0,1)</f>
        <v>0.2273</v>
      </c>
      <c r="I571" s="1">
        <f>_xlfn.XLOOKUP(Table3[[#This Row],[instant]],Table2[instant],Table2[hum], ,0,1)</f>
        <v>0.64</v>
      </c>
      <c r="J571" s="1">
        <f>_xlfn.XLOOKUP(Table3[[#This Row],[instant]],Table2[instant],Table2[windspeed], ,0,1)</f>
        <v>0.16420000000000001</v>
      </c>
      <c r="K571" s="1">
        <f>_xlfn.XLOOKUP(Table3[[#This Row],[instant]],Table2[instant],Table2[casual], ,0,1)</f>
        <v>4</v>
      </c>
      <c r="L571" s="1">
        <f>_xlfn.XLOOKUP(Table3[[#This Row],[instant]],Table2[instant],Table2[registered], ,0,1)</f>
        <v>49</v>
      </c>
      <c r="M571" s="6">
        <f>_xlfn.XLOOKUP(Table3[[#This Row],[instant]],Table2[instant],Table2[cnt], ,0,1)</f>
        <v>53</v>
      </c>
      <c r="N571" s="1" t="str">
        <f>IF(OR(Table3[[#This Row],[weekday]]=0,Table3[[#This Row],[weekday]]=6),"Weekend","Weekday")</f>
        <v>Weekday</v>
      </c>
    </row>
    <row r="572" spans="1:14" ht="15" thickBot="1" x14ac:dyDescent="0.35">
      <c r="A572" s="51">
        <v>571</v>
      </c>
      <c r="B572" s="52">
        <f>_xlfn.XLOOKUP(Table3[[#This Row],[instant]],DatSet1!A572:A1181,DatSet1!B572:B1181,_xlfn.XLOOKUP(Table3[[#This Row],[instant]],'Final Data'!A572:A961,'Final Data'!B572:B961, ,0,1),0,1)</f>
        <v>40568</v>
      </c>
      <c r="C572" s="51">
        <f>_xlfn.XLOOKUP(Table3[[#This Row],[instant]],Table1[instant],Table1[hr], ,0,1)</f>
        <v>23</v>
      </c>
      <c r="D572" s="53" t="b">
        <f>_xlfn.XLOOKUP(Table3[[#This Row],[instant]],Table1[instant],Table1[holiday], ,0,1)</f>
        <v>0</v>
      </c>
      <c r="E572" s="44">
        <f>_xlfn.XLOOKUP(Table3[[#This Row],[instant]],Table1[instant],Table1[weekday], ,0,1)</f>
        <v>2</v>
      </c>
      <c r="F572" s="44">
        <f>_xlfn.XLOOKUP(Table3[[#This Row],[instant]],Table1[instant],Table1[weathersit], ,0,1)</f>
        <v>2</v>
      </c>
      <c r="G572" s="44">
        <f>_xlfn.XLOOKUP(Table3[[#This Row],[instant]],Table1[instant],Table1[temp], ,0,1)</f>
        <v>0.22</v>
      </c>
      <c r="H572" s="45">
        <f>_xlfn.XLOOKUP(Table3[[#This Row],[instant]],Table2[instant],Table2[atemp], ,0,1)</f>
        <v>0.2273</v>
      </c>
      <c r="I572" s="42">
        <f>_xlfn.XLOOKUP(Table3[[#This Row],[instant]],Table2[instant],Table2[hum], ,0,1)</f>
        <v>0.64</v>
      </c>
      <c r="J572" s="42">
        <f>_xlfn.XLOOKUP(Table3[[#This Row],[instant]],Table2[instant],Table2[windspeed], ,0,1)</f>
        <v>0.16420000000000001</v>
      </c>
      <c r="K572" s="42">
        <f>_xlfn.XLOOKUP(Table3[[#This Row],[instant]],Table2[instant],Table2[casual], ,0,1)</f>
        <v>3</v>
      </c>
      <c r="L572" s="42">
        <f>_xlfn.XLOOKUP(Table3[[#This Row],[instant]],Table2[instant],Table2[registered], ,0,1)</f>
        <v>37</v>
      </c>
      <c r="M572" s="46">
        <f>_xlfn.XLOOKUP(Table3[[#This Row],[instant]],Table2[instant],Table2[cnt], ,0,1)</f>
        <v>40</v>
      </c>
      <c r="N572" s="42" t="str">
        <f>IF(OR(Table3[[#This Row],[weekday]]=0,Table3[[#This Row],[weekday]]=6),"Weekend","Weekday")</f>
        <v>Weekday</v>
      </c>
    </row>
    <row r="573" spans="1:14" ht="15" thickBot="1" x14ac:dyDescent="0.35">
      <c r="A573" s="48">
        <v>572</v>
      </c>
      <c r="B573" s="49">
        <f>_xlfn.XLOOKUP(Table3[[#This Row],[instant]],DatSet1!A573:A1182,DatSet1!B573:B1182,_xlfn.XLOOKUP(Table3[[#This Row],[instant]],'Final Data'!A573:A962,'Final Data'!B573:B962, ,0,1),0,1)</f>
        <v>40569</v>
      </c>
      <c r="C573" s="48">
        <f>_xlfn.XLOOKUP(Table3[[#This Row],[instant]],Table1[instant],Table1[hr], ,0,1)</f>
        <v>0</v>
      </c>
      <c r="D573" s="50" t="b">
        <f>_xlfn.XLOOKUP(Table3[[#This Row],[instant]],Table1[instant],Table1[holiday], ,0,1)</f>
        <v>0</v>
      </c>
      <c r="E573" s="2">
        <f>_xlfn.XLOOKUP(Table3[[#This Row],[instant]],Table1[instant],Table1[weekday], ,0,1)</f>
        <v>3</v>
      </c>
      <c r="F573" s="2">
        <f>_xlfn.XLOOKUP(Table3[[#This Row],[instant]],Table1[instant],Table1[weathersit], ,0,1)</f>
        <v>2</v>
      </c>
      <c r="G573" s="2">
        <f>_xlfn.XLOOKUP(Table3[[#This Row],[instant]],Table1[instant],Table1[temp], ,0,1)</f>
        <v>0.22</v>
      </c>
      <c r="H573" s="24">
        <f>_xlfn.XLOOKUP(Table3[[#This Row],[instant]],Table2[instant],Table2[atemp], ,0,1)</f>
        <v>0.2273</v>
      </c>
      <c r="I573" s="1">
        <f>_xlfn.XLOOKUP(Table3[[#This Row],[instant]],Table2[instant],Table2[hum], ,0,1)</f>
        <v>0.69</v>
      </c>
      <c r="J573" s="1">
        <f>_xlfn.XLOOKUP(Table3[[#This Row],[instant]],Table2[instant],Table2[windspeed], ,0,1)</f>
        <v>0.1343</v>
      </c>
      <c r="K573" s="1">
        <f>_xlfn.XLOOKUP(Table3[[#This Row],[instant]],Table2[instant],Table2[casual], ,0,1)</f>
        <v>3</v>
      </c>
      <c r="L573" s="1">
        <f>_xlfn.XLOOKUP(Table3[[#This Row],[instant]],Table2[instant],Table2[registered], ,0,1)</f>
        <v>14</v>
      </c>
      <c r="M573" s="6">
        <f>_xlfn.XLOOKUP(Table3[[#This Row],[instant]],Table2[instant],Table2[cnt], ,0,1)</f>
        <v>17</v>
      </c>
      <c r="N573" s="1" t="str">
        <f>IF(OR(Table3[[#This Row],[weekday]]=0,Table3[[#This Row],[weekday]]=6),"Weekend","Weekday")</f>
        <v>Weekday</v>
      </c>
    </row>
    <row r="574" spans="1:14" ht="15" thickBot="1" x14ac:dyDescent="0.35">
      <c r="A574" s="51">
        <v>573</v>
      </c>
      <c r="B574" s="52">
        <f>_xlfn.XLOOKUP(Table3[[#This Row],[instant]],DatSet1!A574:A1183,DatSet1!B574:B1183,_xlfn.XLOOKUP(Table3[[#This Row],[instant]],'Final Data'!A574:A963,'Final Data'!B574:B963, ,0,1),0,1)</f>
        <v>40569</v>
      </c>
      <c r="C574" s="51">
        <f>_xlfn.XLOOKUP(Table3[[#This Row],[instant]],Table1[instant],Table1[hr], ,0,1)</f>
        <v>1</v>
      </c>
      <c r="D574" s="53" t="b">
        <f>_xlfn.XLOOKUP(Table3[[#This Row],[instant]],Table1[instant],Table1[holiday], ,0,1)</f>
        <v>0</v>
      </c>
      <c r="E574" s="44">
        <f>_xlfn.XLOOKUP(Table3[[#This Row],[instant]],Table1[instant],Table1[weekday], ,0,1)</f>
        <v>3</v>
      </c>
      <c r="F574" s="44">
        <f>_xlfn.XLOOKUP(Table3[[#This Row],[instant]],Table1[instant],Table1[weathersit], ,0,1)</f>
        <v>2</v>
      </c>
      <c r="G574" s="44">
        <f>_xlfn.XLOOKUP(Table3[[#This Row],[instant]],Table1[instant],Table1[temp], ,0,1)</f>
        <v>0.24</v>
      </c>
      <c r="H574" s="45">
        <f>_xlfn.XLOOKUP(Table3[[#This Row],[instant]],Table2[instant],Table2[atemp], ,0,1)</f>
        <v>0.2424</v>
      </c>
      <c r="I574" s="42">
        <f>_xlfn.XLOOKUP(Table3[[#This Row],[instant]],Table2[instant],Table2[hum], ,0,1)</f>
        <v>0.65</v>
      </c>
      <c r="J574" s="42">
        <f>_xlfn.XLOOKUP(Table3[[#This Row],[instant]],Table2[instant],Table2[windspeed], ,0,1)</f>
        <v>0.1343</v>
      </c>
      <c r="K574" s="42">
        <f>_xlfn.XLOOKUP(Table3[[#This Row],[instant]],Table2[instant],Table2[casual], ,0,1)</f>
        <v>0</v>
      </c>
      <c r="L574" s="42">
        <f>_xlfn.XLOOKUP(Table3[[#This Row],[instant]],Table2[instant],Table2[registered], ,0,1)</f>
        <v>5</v>
      </c>
      <c r="M574" s="46">
        <f>_xlfn.XLOOKUP(Table3[[#This Row],[instant]],Table2[instant],Table2[cnt], ,0,1)</f>
        <v>5</v>
      </c>
      <c r="N574" s="42" t="str">
        <f>IF(OR(Table3[[#This Row],[weekday]]=0,Table3[[#This Row],[weekday]]=6),"Weekend","Weekday")</f>
        <v>Weekday</v>
      </c>
    </row>
    <row r="575" spans="1:14" ht="15" thickBot="1" x14ac:dyDescent="0.35">
      <c r="A575" s="48">
        <v>574</v>
      </c>
      <c r="B575" s="49">
        <f>_xlfn.XLOOKUP(Table3[[#This Row],[instant]],DatSet1!A575:A1184,DatSet1!B575:B1184,_xlfn.XLOOKUP(Table3[[#This Row],[instant]],'Final Data'!A575:A964,'Final Data'!B575:B964, ,0,1),0,1)</f>
        <v>40569</v>
      </c>
      <c r="C575" s="48">
        <f>_xlfn.XLOOKUP(Table3[[#This Row],[instant]],Table1[instant],Table1[hr], ,0,1)</f>
        <v>2</v>
      </c>
      <c r="D575" s="50" t="b">
        <f>_xlfn.XLOOKUP(Table3[[#This Row],[instant]],Table1[instant],Table1[holiday], ,0,1)</f>
        <v>0</v>
      </c>
      <c r="E575" s="2">
        <f>_xlfn.XLOOKUP(Table3[[#This Row],[instant]],Table1[instant],Table1[weekday], ,0,1)</f>
        <v>3</v>
      </c>
      <c r="F575" s="2">
        <f>_xlfn.XLOOKUP(Table3[[#This Row],[instant]],Table1[instant],Table1[weathersit], ,0,1)</f>
        <v>3</v>
      </c>
      <c r="G575" s="2">
        <f>_xlfn.XLOOKUP(Table3[[#This Row],[instant]],Table1[instant],Table1[temp], ,0,1)</f>
        <v>0.22</v>
      </c>
      <c r="H575" s="24">
        <f>_xlfn.XLOOKUP(Table3[[#This Row],[instant]],Table2[instant],Table2[atemp], ,0,1)</f>
        <v>0.2273</v>
      </c>
      <c r="I575" s="1">
        <f>_xlfn.XLOOKUP(Table3[[#This Row],[instant]],Table2[instant],Table2[hum], ,0,1)</f>
        <v>0.69</v>
      </c>
      <c r="J575" s="1">
        <f>_xlfn.XLOOKUP(Table3[[#This Row],[instant]],Table2[instant],Table2[windspeed], ,0,1)</f>
        <v>0.19400000000000001</v>
      </c>
      <c r="K575" s="1">
        <f>_xlfn.XLOOKUP(Table3[[#This Row],[instant]],Table2[instant],Table2[casual], ,0,1)</f>
        <v>3</v>
      </c>
      <c r="L575" s="1">
        <f>_xlfn.XLOOKUP(Table3[[#This Row],[instant]],Table2[instant],Table2[registered], ,0,1)</f>
        <v>7</v>
      </c>
      <c r="M575" s="6">
        <f>_xlfn.XLOOKUP(Table3[[#This Row],[instant]],Table2[instant],Table2[cnt], ,0,1)</f>
        <v>10</v>
      </c>
      <c r="N575" s="1" t="str">
        <f>IF(OR(Table3[[#This Row],[weekday]]=0,Table3[[#This Row],[weekday]]=6),"Weekend","Weekday")</f>
        <v>Weekday</v>
      </c>
    </row>
    <row r="576" spans="1:14" ht="15" thickBot="1" x14ac:dyDescent="0.35">
      <c r="A576" s="51">
        <v>575</v>
      </c>
      <c r="B576" s="52">
        <f>_xlfn.XLOOKUP(Table3[[#This Row],[instant]],DatSet1!A576:A1185,DatSet1!B576:B1185,_xlfn.XLOOKUP(Table3[[#This Row],[instant]],'Final Data'!A576:A965,'Final Data'!B576:B965, ,0,1),0,1)</f>
        <v>40569</v>
      </c>
      <c r="C576" s="51">
        <f>_xlfn.XLOOKUP(Table3[[#This Row],[instant]],Table1[instant],Table1[hr], ,0,1)</f>
        <v>5</v>
      </c>
      <c r="D576" s="53" t="b">
        <f>_xlfn.XLOOKUP(Table3[[#This Row],[instant]],Table1[instant],Table1[holiday], ,0,1)</f>
        <v>0</v>
      </c>
      <c r="E576" s="44">
        <f>_xlfn.XLOOKUP(Table3[[#This Row],[instant]],Table1[instant],Table1[weekday], ,0,1)</f>
        <v>3</v>
      </c>
      <c r="F576" s="44">
        <f>_xlfn.XLOOKUP(Table3[[#This Row],[instant]],Table1[instant],Table1[weathersit], ,0,1)</f>
        <v>3</v>
      </c>
      <c r="G576" s="44">
        <f>_xlfn.XLOOKUP(Table3[[#This Row],[instant]],Table1[instant],Table1[temp], ,0,1)</f>
        <v>0.2</v>
      </c>
      <c r="H576" s="45">
        <f>_xlfn.XLOOKUP(Table3[[#This Row],[instant]],Table2[instant],Table2[atemp], ,0,1)</f>
        <v>0.18179999999999999</v>
      </c>
      <c r="I576" s="42">
        <f>_xlfn.XLOOKUP(Table3[[#This Row],[instant]],Table2[instant],Table2[hum], ,0,1)</f>
        <v>0.86</v>
      </c>
      <c r="J576" s="42">
        <f>_xlfn.XLOOKUP(Table3[[#This Row],[instant]],Table2[instant],Table2[windspeed], ,0,1)</f>
        <v>0.28360000000000002</v>
      </c>
      <c r="K576" s="42">
        <f>_xlfn.XLOOKUP(Table3[[#This Row],[instant]],Table2[instant],Table2[casual], ,0,1)</f>
        <v>0</v>
      </c>
      <c r="L576" s="42">
        <f>_xlfn.XLOOKUP(Table3[[#This Row],[instant]],Table2[instant],Table2[registered], ,0,1)</f>
        <v>1</v>
      </c>
      <c r="M576" s="46">
        <f>_xlfn.XLOOKUP(Table3[[#This Row],[instant]],Table2[instant],Table2[cnt], ,0,1)</f>
        <v>1</v>
      </c>
      <c r="N576" s="42" t="str">
        <f>IF(OR(Table3[[#This Row],[weekday]]=0,Table3[[#This Row],[weekday]]=6),"Weekend","Weekday")</f>
        <v>Weekday</v>
      </c>
    </row>
    <row r="577" spans="1:14" ht="15" thickBot="1" x14ac:dyDescent="0.35">
      <c r="A577" s="48">
        <v>576</v>
      </c>
      <c r="B577" s="49">
        <f>_xlfn.XLOOKUP(Table3[[#This Row],[instant]],DatSet1!A577:A1186,DatSet1!B577:B1186,_xlfn.XLOOKUP(Table3[[#This Row],[instant]],'Final Data'!A577:A966,'Final Data'!B577:B966, ,0,1),0,1)</f>
        <v>40569</v>
      </c>
      <c r="C577" s="48">
        <f>_xlfn.XLOOKUP(Table3[[#This Row],[instant]],Table1[instant],Table1[hr], ,0,1)</f>
        <v>6</v>
      </c>
      <c r="D577" s="50" t="b">
        <f>_xlfn.XLOOKUP(Table3[[#This Row],[instant]],Table1[instant],Table1[holiday], ,0,1)</f>
        <v>0</v>
      </c>
      <c r="E577" s="2">
        <f>_xlfn.XLOOKUP(Table3[[#This Row],[instant]],Table1[instant],Table1[weekday], ,0,1)</f>
        <v>3</v>
      </c>
      <c r="F577" s="2">
        <f>_xlfn.XLOOKUP(Table3[[#This Row],[instant]],Table1[instant],Table1[weathersit], ,0,1)</f>
        <v>3</v>
      </c>
      <c r="G577" s="2">
        <f>_xlfn.XLOOKUP(Table3[[#This Row],[instant]],Table1[instant],Table1[temp], ,0,1)</f>
        <v>0.2</v>
      </c>
      <c r="H577" s="24">
        <f>_xlfn.XLOOKUP(Table3[[#This Row],[instant]],Table2[instant],Table2[atemp], ,0,1)</f>
        <v>0.18179999999999999</v>
      </c>
      <c r="I577" s="1">
        <f>_xlfn.XLOOKUP(Table3[[#This Row],[instant]],Table2[instant],Table2[hum], ,0,1)</f>
        <v>0.86</v>
      </c>
      <c r="J577" s="1">
        <f>_xlfn.XLOOKUP(Table3[[#This Row],[instant]],Table2[instant],Table2[windspeed], ,0,1)</f>
        <v>0.28360000000000002</v>
      </c>
      <c r="K577" s="1">
        <f>_xlfn.XLOOKUP(Table3[[#This Row],[instant]],Table2[instant],Table2[casual], ,0,1)</f>
        <v>0</v>
      </c>
      <c r="L577" s="1">
        <f>_xlfn.XLOOKUP(Table3[[#This Row],[instant]],Table2[instant],Table2[registered], ,0,1)</f>
        <v>8</v>
      </c>
      <c r="M577" s="6">
        <f>_xlfn.XLOOKUP(Table3[[#This Row],[instant]],Table2[instant],Table2[cnt], ,0,1)</f>
        <v>8</v>
      </c>
      <c r="N577" s="1" t="str">
        <f>IF(OR(Table3[[#This Row],[weekday]]=0,Table3[[#This Row],[weekday]]=6),"Weekend","Weekday")</f>
        <v>Weekday</v>
      </c>
    </row>
    <row r="578" spans="1:14" ht="15" thickBot="1" x14ac:dyDescent="0.35">
      <c r="A578" s="51">
        <v>577</v>
      </c>
      <c r="B578" s="52">
        <f>_xlfn.XLOOKUP(Table3[[#This Row],[instant]],DatSet1!A578:A1187,DatSet1!B578:B1187,_xlfn.XLOOKUP(Table3[[#This Row],[instant]],'Final Data'!A578:A967,'Final Data'!B578:B967, ,0,1),0,1)</f>
        <v>40569</v>
      </c>
      <c r="C578" s="51">
        <f>_xlfn.XLOOKUP(Table3[[#This Row],[instant]],Table1[instant],Table1[hr], ,0,1)</f>
        <v>7</v>
      </c>
      <c r="D578" s="53" t="b">
        <f>_xlfn.XLOOKUP(Table3[[#This Row],[instant]],Table1[instant],Table1[holiday], ,0,1)</f>
        <v>0</v>
      </c>
      <c r="E578" s="44">
        <f>_xlfn.XLOOKUP(Table3[[#This Row],[instant]],Table1[instant],Table1[weekday], ,0,1)</f>
        <v>3</v>
      </c>
      <c r="F578" s="44">
        <f>_xlfn.XLOOKUP(Table3[[#This Row],[instant]],Table1[instant],Table1[weathersit], ,0,1)</f>
        <v>3</v>
      </c>
      <c r="G578" s="44">
        <f>_xlfn.XLOOKUP(Table3[[#This Row],[instant]],Table1[instant],Table1[temp], ,0,1)</f>
        <v>0.22</v>
      </c>
      <c r="H578" s="45">
        <f>_xlfn.XLOOKUP(Table3[[#This Row],[instant]],Table2[instant],Table2[atemp], ,0,1)</f>
        <v>0.21210000000000001</v>
      </c>
      <c r="I578" s="42">
        <f>_xlfn.XLOOKUP(Table3[[#This Row],[instant]],Table2[instant],Table2[hum], ,0,1)</f>
        <v>0.87</v>
      </c>
      <c r="J578" s="42">
        <f>_xlfn.XLOOKUP(Table3[[#This Row],[instant]],Table2[instant],Table2[windspeed], ,0,1)</f>
        <v>0.29849999999999999</v>
      </c>
      <c r="K578" s="42">
        <f>_xlfn.XLOOKUP(Table3[[#This Row],[instant]],Table2[instant],Table2[casual], ,0,1)</f>
        <v>1</v>
      </c>
      <c r="L578" s="42">
        <f>_xlfn.XLOOKUP(Table3[[#This Row],[instant]],Table2[instant],Table2[registered], ,0,1)</f>
        <v>29</v>
      </c>
      <c r="M578" s="46">
        <f>_xlfn.XLOOKUP(Table3[[#This Row],[instant]],Table2[instant],Table2[cnt], ,0,1)</f>
        <v>30</v>
      </c>
      <c r="N578" s="42" t="str">
        <f>IF(OR(Table3[[#This Row],[weekday]]=0,Table3[[#This Row],[weekday]]=6),"Weekend","Weekday")</f>
        <v>Weekday</v>
      </c>
    </row>
    <row r="579" spans="1:14" ht="15" thickBot="1" x14ac:dyDescent="0.35">
      <c r="A579" s="48">
        <v>578</v>
      </c>
      <c r="B579" s="49">
        <f>_xlfn.XLOOKUP(Table3[[#This Row],[instant]],DatSet1!A579:A1188,DatSet1!B579:B1188,_xlfn.XLOOKUP(Table3[[#This Row],[instant]],'Final Data'!A579:A968,'Final Data'!B579:B968, ,0,1),0,1)</f>
        <v>40569</v>
      </c>
      <c r="C579" s="48">
        <f>_xlfn.XLOOKUP(Table3[[#This Row],[instant]],Table1[instant],Table1[hr], ,0,1)</f>
        <v>8</v>
      </c>
      <c r="D579" s="50" t="b">
        <f>_xlfn.XLOOKUP(Table3[[#This Row],[instant]],Table1[instant],Table1[holiday], ,0,1)</f>
        <v>0</v>
      </c>
      <c r="E579" s="2">
        <f>_xlfn.XLOOKUP(Table3[[#This Row],[instant]],Table1[instant],Table1[weekday], ,0,1)</f>
        <v>3</v>
      </c>
      <c r="F579" s="2">
        <f>_xlfn.XLOOKUP(Table3[[#This Row],[instant]],Table1[instant],Table1[weathersit], ,0,1)</f>
        <v>3</v>
      </c>
      <c r="G579" s="2">
        <f>_xlfn.XLOOKUP(Table3[[#This Row],[instant]],Table1[instant],Table1[temp], ,0,1)</f>
        <v>0.22</v>
      </c>
      <c r="H579" s="24">
        <f>_xlfn.XLOOKUP(Table3[[#This Row],[instant]],Table2[instant],Table2[atemp], ,0,1)</f>
        <v>0.21210000000000001</v>
      </c>
      <c r="I579" s="1">
        <f>_xlfn.XLOOKUP(Table3[[#This Row],[instant]],Table2[instant],Table2[hum], ,0,1)</f>
        <v>0.87</v>
      </c>
      <c r="J579" s="1">
        <f>_xlfn.XLOOKUP(Table3[[#This Row],[instant]],Table2[instant],Table2[windspeed], ,0,1)</f>
        <v>0.29849999999999999</v>
      </c>
      <c r="K579" s="1">
        <f>_xlfn.XLOOKUP(Table3[[#This Row],[instant]],Table2[instant],Table2[casual], ,0,1)</f>
        <v>3</v>
      </c>
      <c r="L579" s="1">
        <f>_xlfn.XLOOKUP(Table3[[#This Row],[instant]],Table2[instant],Table2[registered], ,0,1)</f>
        <v>69</v>
      </c>
      <c r="M579" s="6">
        <f>_xlfn.XLOOKUP(Table3[[#This Row],[instant]],Table2[instant],Table2[cnt], ,0,1)</f>
        <v>72</v>
      </c>
      <c r="N579" s="1" t="str">
        <f>IF(OR(Table3[[#This Row],[weekday]]=0,Table3[[#This Row],[weekday]]=6),"Weekend","Weekday")</f>
        <v>Weekday</v>
      </c>
    </row>
    <row r="580" spans="1:14" ht="15" thickBot="1" x14ac:dyDescent="0.35">
      <c r="A580" s="51">
        <v>579</v>
      </c>
      <c r="B580" s="52">
        <f>_xlfn.XLOOKUP(Table3[[#This Row],[instant]],DatSet1!A580:A1189,DatSet1!B580:B1189,_xlfn.XLOOKUP(Table3[[#This Row],[instant]],'Final Data'!A580:A969,'Final Data'!B580:B969, ,0,1),0,1)</f>
        <v>40569</v>
      </c>
      <c r="C580" s="51">
        <f>_xlfn.XLOOKUP(Table3[[#This Row],[instant]],Table1[instant],Table1[hr], ,0,1)</f>
        <v>9</v>
      </c>
      <c r="D580" s="53" t="b">
        <f>_xlfn.XLOOKUP(Table3[[#This Row],[instant]],Table1[instant],Table1[holiday], ,0,1)</f>
        <v>0</v>
      </c>
      <c r="E580" s="44">
        <f>_xlfn.XLOOKUP(Table3[[#This Row],[instant]],Table1[instant],Table1[weekday], ,0,1)</f>
        <v>3</v>
      </c>
      <c r="F580" s="44">
        <f>_xlfn.XLOOKUP(Table3[[#This Row],[instant]],Table1[instant],Table1[weathersit], ,0,1)</f>
        <v>3</v>
      </c>
      <c r="G580" s="44">
        <f>_xlfn.XLOOKUP(Table3[[#This Row],[instant]],Table1[instant],Table1[temp], ,0,1)</f>
        <v>0.22</v>
      </c>
      <c r="H580" s="45">
        <f>_xlfn.XLOOKUP(Table3[[#This Row],[instant]],Table2[instant],Table2[atemp], ,0,1)</f>
        <v>0.21210000000000001</v>
      </c>
      <c r="I580" s="42">
        <f>_xlfn.XLOOKUP(Table3[[#This Row],[instant]],Table2[instant],Table2[hum], ,0,1)</f>
        <v>0.87</v>
      </c>
      <c r="J580" s="42">
        <f>_xlfn.XLOOKUP(Table3[[#This Row],[instant]],Table2[instant],Table2[windspeed], ,0,1)</f>
        <v>0.29849999999999999</v>
      </c>
      <c r="K580" s="42">
        <f>_xlfn.XLOOKUP(Table3[[#This Row],[instant]],Table2[instant],Table2[casual], ,0,1)</f>
        <v>3</v>
      </c>
      <c r="L580" s="42">
        <f>_xlfn.XLOOKUP(Table3[[#This Row],[instant]],Table2[instant],Table2[registered], ,0,1)</f>
        <v>55</v>
      </c>
      <c r="M580" s="46">
        <f>_xlfn.XLOOKUP(Table3[[#This Row],[instant]],Table2[instant],Table2[cnt], ,0,1)</f>
        <v>58</v>
      </c>
      <c r="N580" s="42" t="str">
        <f>IF(OR(Table3[[#This Row],[weekday]]=0,Table3[[#This Row],[weekday]]=6),"Weekend","Weekday")</f>
        <v>Weekday</v>
      </c>
    </row>
    <row r="581" spans="1:14" ht="15" thickBot="1" x14ac:dyDescent="0.35">
      <c r="A581" s="48">
        <v>580</v>
      </c>
      <c r="B581" s="49">
        <f>_xlfn.XLOOKUP(Table3[[#This Row],[instant]],DatSet1!A581:A1190,DatSet1!B581:B1190,_xlfn.XLOOKUP(Table3[[#This Row],[instant]],'Final Data'!A581:A970,'Final Data'!B581:B970, ,0,1),0,1)</f>
        <v>40569</v>
      </c>
      <c r="C581" s="48">
        <f>_xlfn.XLOOKUP(Table3[[#This Row],[instant]],Table1[instant],Table1[hr], ,0,1)</f>
        <v>10</v>
      </c>
      <c r="D581" s="50" t="b">
        <f>_xlfn.XLOOKUP(Table3[[#This Row],[instant]],Table1[instant],Table1[holiday], ,0,1)</f>
        <v>0</v>
      </c>
      <c r="E581" s="2">
        <f>_xlfn.XLOOKUP(Table3[[#This Row],[instant]],Table1[instant],Table1[weekday], ,0,1)</f>
        <v>3</v>
      </c>
      <c r="F581" s="2">
        <f>_xlfn.XLOOKUP(Table3[[#This Row],[instant]],Table1[instant],Table1[weathersit], ,0,1)</f>
        <v>3</v>
      </c>
      <c r="G581" s="2">
        <f>_xlfn.XLOOKUP(Table3[[#This Row],[instant]],Table1[instant],Table1[temp], ,0,1)</f>
        <v>0.22</v>
      </c>
      <c r="H581" s="24">
        <f>_xlfn.XLOOKUP(Table3[[#This Row],[instant]],Table2[instant],Table2[atemp], ,0,1)</f>
        <v>0.21210000000000001</v>
      </c>
      <c r="I581" s="1">
        <f>_xlfn.XLOOKUP(Table3[[#This Row],[instant]],Table2[instant],Table2[hum], ,0,1)</f>
        <v>0.93</v>
      </c>
      <c r="J581" s="1">
        <f>_xlfn.XLOOKUP(Table3[[#This Row],[instant]],Table2[instant],Table2[windspeed], ,0,1)</f>
        <v>0.28360000000000002</v>
      </c>
      <c r="K581" s="1">
        <f>_xlfn.XLOOKUP(Table3[[#This Row],[instant]],Table2[instant],Table2[casual], ,0,1)</f>
        <v>2</v>
      </c>
      <c r="L581" s="1">
        <f>_xlfn.XLOOKUP(Table3[[#This Row],[instant]],Table2[instant],Table2[registered], ,0,1)</f>
        <v>26</v>
      </c>
      <c r="M581" s="6">
        <f>_xlfn.XLOOKUP(Table3[[#This Row],[instant]],Table2[instant],Table2[cnt], ,0,1)</f>
        <v>28</v>
      </c>
      <c r="N581" s="1" t="str">
        <f>IF(OR(Table3[[#This Row],[weekday]]=0,Table3[[#This Row],[weekday]]=6),"Weekend","Weekday")</f>
        <v>Weekday</v>
      </c>
    </row>
    <row r="582" spans="1:14" ht="15" thickBot="1" x14ac:dyDescent="0.35">
      <c r="A582" s="51">
        <v>581</v>
      </c>
      <c r="B582" s="52">
        <f>_xlfn.XLOOKUP(Table3[[#This Row],[instant]],DatSet1!A582:A1191,DatSet1!B582:B1191,_xlfn.XLOOKUP(Table3[[#This Row],[instant]],'Final Data'!A582:A971,'Final Data'!B582:B971, ,0,1),0,1)</f>
        <v>40569</v>
      </c>
      <c r="C582" s="51">
        <f>_xlfn.XLOOKUP(Table3[[#This Row],[instant]],Table1[instant],Table1[hr], ,0,1)</f>
        <v>11</v>
      </c>
      <c r="D582" s="53" t="b">
        <f>_xlfn.XLOOKUP(Table3[[#This Row],[instant]],Table1[instant],Table1[holiday], ,0,1)</f>
        <v>0</v>
      </c>
      <c r="E582" s="44">
        <f>_xlfn.XLOOKUP(Table3[[#This Row],[instant]],Table1[instant],Table1[weekday], ,0,1)</f>
        <v>3</v>
      </c>
      <c r="F582" s="44">
        <f>_xlfn.XLOOKUP(Table3[[#This Row],[instant]],Table1[instant],Table1[weathersit], ,0,1)</f>
        <v>3</v>
      </c>
      <c r="G582" s="44">
        <f>_xlfn.XLOOKUP(Table3[[#This Row],[instant]],Table1[instant],Table1[temp], ,0,1)</f>
        <v>0.22</v>
      </c>
      <c r="H582" s="45">
        <f>_xlfn.XLOOKUP(Table3[[#This Row],[instant]],Table2[instant],Table2[atemp], ,0,1)</f>
        <v>0.19700000000000001</v>
      </c>
      <c r="I582" s="42">
        <f>_xlfn.XLOOKUP(Table3[[#This Row],[instant]],Table2[instant],Table2[hum], ,0,1)</f>
        <v>0.93</v>
      </c>
      <c r="J582" s="42">
        <f>_xlfn.XLOOKUP(Table3[[#This Row],[instant]],Table2[instant],Table2[windspeed], ,0,1)</f>
        <v>0.32840000000000003</v>
      </c>
      <c r="K582" s="42">
        <f>_xlfn.XLOOKUP(Table3[[#This Row],[instant]],Table2[instant],Table2[casual], ,0,1)</f>
        <v>6</v>
      </c>
      <c r="L582" s="42">
        <f>_xlfn.XLOOKUP(Table3[[#This Row],[instant]],Table2[instant],Table2[registered], ,0,1)</f>
        <v>35</v>
      </c>
      <c r="M582" s="46">
        <f>_xlfn.XLOOKUP(Table3[[#This Row],[instant]],Table2[instant],Table2[cnt], ,0,1)</f>
        <v>41</v>
      </c>
      <c r="N582" s="42" t="str">
        <f>IF(OR(Table3[[#This Row],[weekday]]=0,Table3[[#This Row],[weekday]]=6),"Weekend","Weekday")</f>
        <v>Weekday</v>
      </c>
    </row>
    <row r="583" spans="1:14" ht="15" thickBot="1" x14ac:dyDescent="0.35">
      <c r="A583" s="48">
        <v>582</v>
      </c>
      <c r="B583" s="49">
        <f>_xlfn.XLOOKUP(Table3[[#This Row],[instant]],DatSet1!A583:A1192,DatSet1!B583:B1192,_xlfn.XLOOKUP(Table3[[#This Row],[instant]],'Final Data'!A583:A972,'Final Data'!B583:B972, ,0,1),0,1)</f>
        <v>40569</v>
      </c>
      <c r="C583" s="48">
        <f>_xlfn.XLOOKUP(Table3[[#This Row],[instant]],Table1[instant],Table1[hr], ,0,1)</f>
        <v>12</v>
      </c>
      <c r="D583" s="50" t="b">
        <f>_xlfn.XLOOKUP(Table3[[#This Row],[instant]],Table1[instant],Table1[holiday], ,0,1)</f>
        <v>0</v>
      </c>
      <c r="E583" s="2">
        <f>_xlfn.XLOOKUP(Table3[[#This Row],[instant]],Table1[instant],Table1[weekday], ,0,1)</f>
        <v>3</v>
      </c>
      <c r="F583" s="2">
        <f>_xlfn.XLOOKUP(Table3[[#This Row],[instant]],Table1[instant],Table1[weathersit], ,0,1)</f>
        <v>3</v>
      </c>
      <c r="G583" s="2">
        <f>_xlfn.XLOOKUP(Table3[[#This Row],[instant]],Table1[instant],Table1[temp], ,0,1)</f>
        <v>0.22</v>
      </c>
      <c r="H583" s="24">
        <f>_xlfn.XLOOKUP(Table3[[#This Row],[instant]],Table2[instant],Table2[atemp], ,0,1)</f>
        <v>0.19700000000000001</v>
      </c>
      <c r="I583" s="1">
        <f>_xlfn.XLOOKUP(Table3[[#This Row],[instant]],Table2[instant],Table2[hum], ,0,1)</f>
        <v>0.93</v>
      </c>
      <c r="J583" s="1">
        <f>_xlfn.XLOOKUP(Table3[[#This Row],[instant]],Table2[instant],Table2[windspeed], ,0,1)</f>
        <v>0.32840000000000003</v>
      </c>
      <c r="K583" s="1">
        <f>_xlfn.XLOOKUP(Table3[[#This Row],[instant]],Table2[instant],Table2[casual], ,0,1)</f>
        <v>7</v>
      </c>
      <c r="L583" s="1">
        <f>_xlfn.XLOOKUP(Table3[[#This Row],[instant]],Table2[instant],Table2[registered], ,0,1)</f>
        <v>41</v>
      </c>
      <c r="M583" s="6">
        <f>_xlfn.XLOOKUP(Table3[[#This Row],[instant]],Table2[instant],Table2[cnt], ,0,1)</f>
        <v>48</v>
      </c>
      <c r="N583" s="1" t="str">
        <f>IF(OR(Table3[[#This Row],[weekday]]=0,Table3[[#This Row],[weekday]]=6),"Weekend","Weekday")</f>
        <v>Weekday</v>
      </c>
    </row>
    <row r="584" spans="1:14" ht="15" thickBot="1" x14ac:dyDescent="0.35">
      <c r="A584" s="51">
        <v>583</v>
      </c>
      <c r="B584" s="52">
        <f>_xlfn.XLOOKUP(Table3[[#This Row],[instant]],DatSet1!A584:A1193,DatSet1!B584:B1193,_xlfn.XLOOKUP(Table3[[#This Row],[instant]],'Final Data'!A584:A973,'Final Data'!B584:B973, ,0,1),0,1)</f>
        <v>40569</v>
      </c>
      <c r="C584" s="51">
        <f>_xlfn.XLOOKUP(Table3[[#This Row],[instant]],Table1[instant],Table1[hr], ,0,1)</f>
        <v>13</v>
      </c>
      <c r="D584" s="53" t="b">
        <f>_xlfn.XLOOKUP(Table3[[#This Row],[instant]],Table1[instant],Table1[holiday], ,0,1)</f>
        <v>0</v>
      </c>
      <c r="E584" s="44">
        <f>_xlfn.XLOOKUP(Table3[[#This Row],[instant]],Table1[instant],Table1[weekday], ,0,1)</f>
        <v>3</v>
      </c>
      <c r="F584" s="44">
        <f>_xlfn.XLOOKUP(Table3[[#This Row],[instant]],Table1[instant],Table1[weathersit], ,0,1)</f>
        <v>3</v>
      </c>
      <c r="G584" s="44">
        <f>_xlfn.XLOOKUP(Table3[[#This Row],[instant]],Table1[instant],Table1[temp], ,0,1)</f>
        <v>0.22</v>
      </c>
      <c r="H584" s="45">
        <f>_xlfn.XLOOKUP(Table3[[#This Row],[instant]],Table2[instant],Table2[atemp], ,0,1)</f>
        <v>0.19700000000000001</v>
      </c>
      <c r="I584" s="42">
        <f>_xlfn.XLOOKUP(Table3[[#This Row],[instant]],Table2[instant],Table2[hum], ,0,1)</f>
        <v>0.93</v>
      </c>
      <c r="J584" s="42">
        <f>_xlfn.XLOOKUP(Table3[[#This Row],[instant]],Table2[instant],Table2[windspeed], ,0,1)</f>
        <v>0.32840000000000003</v>
      </c>
      <c r="K584" s="42">
        <f>_xlfn.XLOOKUP(Table3[[#This Row],[instant]],Table2[instant],Table2[casual], ,0,1)</f>
        <v>4</v>
      </c>
      <c r="L584" s="42">
        <f>_xlfn.XLOOKUP(Table3[[#This Row],[instant]],Table2[instant],Table2[registered], ,0,1)</f>
        <v>43</v>
      </c>
      <c r="M584" s="46">
        <f>_xlfn.XLOOKUP(Table3[[#This Row],[instant]],Table2[instant],Table2[cnt], ,0,1)</f>
        <v>47</v>
      </c>
      <c r="N584" s="42" t="str">
        <f>IF(OR(Table3[[#This Row],[weekday]]=0,Table3[[#This Row],[weekday]]=6),"Weekend","Weekday")</f>
        <v>Weekday</v>
      </c>
    </row>
    <row r="585" spans="1:14" ht="15" thickBot="1" x14ac:dyDescent="0.35">
      <c r="A585" s="48">
        <v>584</v>
      </c>
      <c r="B585" s="49">
        <f>_xlfn.XLOOKUP(Table3[[#This Row],[instant]],DatSet1!A585:A1194,DatSet1!B585:B1194,_xlfn.XLOOKUP(Table3[[#This Row],[instant]],'Final Data'!A585:A974,'Final Data'!B585:B974, ,0,1),0,1)</f>
        <v>40569</v>
      </c>
      <c r="C585" s="48">
        <f>_xlfn.XLOOKUP(Table3[[#This Row],[instant]],Table1[instant],Table1[hr], ,0,1)</f>
        <v>14</v>
      </c>
      <c r="D585" s="50" t="b">
        <f>_xlfn.XLOOKUP(Table3[[#This Row],[instant]],Table1[instant],Table1[holiday], ,0,1)</f>
        <v>0</v>
      </c>
      <c r="E585" s="2">
        <f>_xlfn.XLOOKUP(Table3[[#This Row],[instant]],Table1[instant],Table1[weekday], ,0,1)</f>
        <v>3</v>
      </c>
      <c r="F585" s="2">
        <f>_xlfn.XLOOKUP(Table3[[#This Row],[instant]],Table1[instant],Table1[weathersit], ,0,1)</f>
        <v>3</v>
      </c>
      <c r="G585" s="2">
        <f>_xlfn.XLOOKUP(Table3[[#This Row],[instant]],Table1[instant],Table1[temp], ,0,1)</f>
        <v>0.22</v>
      </c>
      <c r="H585" s="24">
        <f>_xlfn.XLOOKUP(Table3[[#This Row],[instant]],Table2[instant],Table2[atemp], ,0,1)</f>
        <v>0.19700000000000001</v>
      </c>
      <c r="I585" s="1">
        <f>_xlfn.XLOOKUP(Table3[[#This Row],[instant]],Table2[instant],Table2[hum], ,0,1)</f>
        <v>0.93</v>
      </c>
      <c r="J585" s="1">
        <f>_xlfn.XLOOKUP(Table3[[#This Row],[instant]],Table2[instant],Table2[windspeed], ,0,1)</f>
        <v>0.35820000000000002</v>
      </c>
      <c r="K585" s="1">
        <f>_xlfn.XLOOKUP(Table3[[#This Row],[instant]],Table2[instant],Table2[casual], ,0,1)</f>
        <v>0</v>
      </c>
      <c r="L585" s="1">
        <f>_xlfn.XLOOKUP(Table3[[#This Row],[instant]],Table2[instant],Table2[registered], ,0,1)</f>
        <v>36</v>
      </c>
      <c r="M585" s="6">
        <f>_xlfn.XLOOKUP(Table3[[#This Row],[instant]],Table2[instant],Table2[cnt], ,0,1)</f>
        <v>36</v>
      </c>
      <c r="N585" s="1" t="str">
        <f>IF(OR(Table3[[#This Row],[weekday]]=0,Table3[[#This Row],[weekday]]=6),"Weekend","Weekday")</f>
        <v>Weekday</v>
      </c>
    </row>
    <row r="586" spans="1:14" ht="15" thickBot="1" x14ac:dyDescent="0.35">
      <c r="A586" s="51">
        <v>585</v>
      </c>
      <c r="B586" s="52">
        <f>_xlfn.XLOOKUP(Table3[[#This Row],[instant]],DatSet1!A586:A1195,DatSet1!B586:B1195,_xlfn.XLOOKUP(Table3[[#This Row],[instant]],'Final Data'!A586:A975,'Final Data'!B586:B975, ,0,1),0,1)</f>
        <v>40569</v>
      </c>
      <c r="C586" s="51">
        <f>_xlfn.XLOOKUP(Table3[[#This Row],[instant]],Table1[instant],Table1[hr], ,0,1)</f>
        <v>15</v>
      </c>
      <c r="D586" s="53" t="b">
        <f>_xlfn.XLOOKUP(Table3[[#This Row],[instant]],Table1[instant],Table1[holiday], ,0,1)</f>
        <v>0</v>
      </c>
      <c r="E586" s="44">
        <f>_xlfn.XLOOKUP(Table3[[#This Row],[instant]],Table1[instant],Table1[weekday], ,0,1)</f>
        <v>3</v>
      </c>
      <c r="F586" s="44">
        <f>_xlfn.XLOOKUP(Table3[[#This Row],[instant]],Table1[instant],Table1[weathersit], ,0,1)</f>
        <v>3</v>
      </c>
      <c r="G586" s="44">
        <f>_xlfn.XLOOKUP(Table3[[#This Row],[instant]],Table1[instant],Table1[temp], ,0,1)</f>
        <v>0.22</v>
      </c>
      <c r="H586" s="45">
        <f>_xlfn.XLOOKUP(Table3[[#This Row],[instant]],Table2[instant],Table2[atemp], ,0,1)</f>
        <v>0.18179999999999999</v>
      </c>
      <c r="I586" s="42">
        <f>_xlfn.XLOOKUP(Table3[[#This Row],[instant]],Table2[instant],Table2[hum], ,0,1)</f>
        <v>0.93</v>
      </c>
      <c r="J586" s="42">
        <f>_xlfn.XLOOKUP(Table3[[#This Row],[instant]],Table2[instant],Table2[windspeed], ,0,1)</f>
        <v>0.4627</v>
      </c>
      <c r="K586" s="42">
        <f>_xlfn.XLOOKUP(Table3[[#This Row],[instant]],Table2[instant],Table2[casual], ,0,1)</f>
        <v>1</v>
      </c>
      <c r="L586" s="42">
        <f>_xlfn.XLOOKUP(Table3[[#This Row],[instant]],Table2[instant],Table2[registered], ,0,1)</f>
        <v>42</v>
      </c>
      <c r="M586" s="46">
        <f>_xlfn.XLOOKUP(Table3[[#This Row],[instant]],Table2[instant],Table2[cnt], ,0,1)</f>
        <v>43</v>
      </c>
      <c r="N586" s="42" t="str">
        <f>IF(OR(Table3[[#This Row],[weekday]]=0,Table3[[#This Row],[weekday]]=6),"Weekend","Weekday")</f>
        <v>Weekday</v>
      </c>
    </row>
    <row r="587" spans="1:14" ht="15" thickBot="1" x14ac:dyDescent="0.35">
      <c r="A587" s="48">
        <v>586</v>
      </c>
      <c r="B587" s="49">
        <f>_xlfn.XLOOKUP(Table3[[#This Row],[instant]],DatSet1!A587:A1196,DatSet1!B587:B1196,_xlfn.XLOOKUP(Table3[[#This Row],[instant]],'Final Data'!A587:A976,'Final Data'!B587:B976, ,0,1),0,1)</f>
        <v>40569</v>
      </c>
      <c r="C587" s="48">
        <f>_xlfn.XLOOKUP(Table3[[#This Row],[instant]],Table1[instant],Table1[hr], ,0,1)</f>
        <v>16</v>
      </c>
      <c r="D587" s="50" t="b">
        <f>_xlfn.XLOOKUP(Table3[[#This Row],[instant]],Table1[instant],Table1[holiday], ,0,1)</f>
        <v>0</v>
      </c>
      <c r="E587" s="2">
        <f>_xlfn.XLOOKUP(Table3[[#This Row],[instant]],Table1[instant],Table1[weekday], ,0,1)</f>
        <v>3</v>
      </c>
      <c r="F587" s="2">
        <f>_xlfn.XLOOKUP(Table3[[#This Row],[instant]],Table1[instant],Table1[weathersit], ,0,1)</f>
        <v>4</v>
      </c>
      <c r="G587" s="2">
        <f>_xlfn.XLOOKUP(Table3[[#This Row],[instant]],Table1[instant],Table1[temp], ,0,1)</f>
        <v>0.22</v>
      </c>
      <c r="H587" s="24">
        <f>_xlfn.XLOOKUP(Table3[[#This Row],[instant]],Table2[instant],Table2[atemp], ,0,1)</f>
        <v>0.19700000000000001</v>
      </c>
      <c r="I587" s="1">
        <f>_xlfn.XLOOKUP(Table3[[#This Row],[instant]],Table2[instant],Table2[hum], ,0,1)</f>
        <v>0.93</v>
      </c>
      <c r="J587" s="1">
        <f>_xlfn.XLOOKUP(Table3[[#This Row],[instant]],Table2[instant],Table2[windspeed], ,0,1)</f>
        <v>0.32840000000000003</v>
      </c>
      <c r="K587" s="1">
        <f>_xlfn.XLOOKUP(Table3[[#This Row],[instant]],Table2[instant],Table2[casual], ,0,1)</f>
        <v>1</v>
      </c>
      <c r="L587" s="1">
        <f>_xlfn.XLOOKUP(Table3[[#This Row],[instant]],Table2[instant],Table2[registered], ,0,1)</f>
        <v>35</v>
      </c>
      <c r="M587" s="6">
        <f>_xlfn.XLOOKUP(Table3[[#This Row],[instant]],Table2[instant],Table2[cnt], ,0,1)</f>
        <v>36</v>
      </c>
      <c r="N587" s="1" t="str">
        <f>IF(OR(Table3[[#This Row],[weekday]]=0,Table3[[#This Row],[weekday]]=6),"Weekend","Weekday")</f>
        <v>Weekday</v>
      </c>
    </row>
    <row r="588" spans="1:14" ht="15" thickBot="1" x14ac:dyDescent="0.35">
      <c r="A588" s="51">
        <v>587</v>
      </c>
      <c r="B588" s="52">
        <f>_xlfn.XLOOKUP(Table3[[#This Row],[instant]],DatSet1!A588:A1197,DatSet1!B588:B1197,_xlfn.XLOOKUP(Table3[[#This Row],[instant]],'Final Data'!A588:A977,'Final Data'!B588:B977, ,0,1),0,1)</f>
        <v>40569</v>
      </c>
      <c r="C588" s="51">
        <f>_xlfn.XLOOKUP(Table3[[#This Row],[instant]],Table1[instant],Table1[hr], ,0,1)</f>
        <v>17</v>
      </c>
      <c r="D588" s="53" t="b">
        <f>_xlfn.XLOOKUP(Table3[[#This Row],[instant]],Table1[instant],Table1[holiday], ,0,1)</f>
        <v>0</v>
      </c>
      <c r="E588" s="44">
        <f>_xlfn.XLOOKUP(Table3[[#This Row],[instant]],Table1[instant],Table1[weekday], ,0,1)</f>
        <v>3</v>
      </c>
      <c r="F588" s="44">
        <f>_xlfn.XLOOKUP(Table3[[#This Row],[instant]],Table1[instant],Table1[weathersit], ,0,1)</f>
        <v>3</v>
      </c>
      <c r="G588" s="44">
        <f>_xlfn.XLOOKUP(Table3[[#This Row],[instant]],Table1[instant],Table1[temp], ,0,1)</f>
        <v>0.2</v>
      </c>
      <c r="H588" s="45">
        <f>_xlfn.XLOOKUP(Table3[[#This Row],[instant]],Table2[instant],Table2[atemp], ,0,1)</f>
        <v>0.18179999999999999</v>
      </c>
      <c r="I588" s="42">
        <f>_xlfn.XLOOKUP(Table3[[#This Row],[instant]],Table2[instant],Table2[hum], ,0,1)</f>
        <v>0.93</v>
      </c>
      <c r="J588" s="42">
        <f>_xlfn.XLOOKUP(Table3[[#This Row],[instant]],Table2[instant],Table2[windspeed], ,0,1)</f>
        <v>0.35820000000000002</v>
      </c>
      <c r="K588" s="42">
        <f>_xlfn.XLOOKUP(Table3[[#This Row],[instant]],Table2[instant],Table2[casual], ,0,1)</f>
        <v>0</v>
      </c>
      <c r="L588" s="42">
        <f>_xlfn.XLOOKUP(Table3[[#This Row],[instant]],Table2[instant],Table2[registered], ,0,1)</f>
        <v>26</v>
      </c>
      <c r="M588" s="46">
        <f>_xlfn.XLOOKUP(Table3[[#This Row],[instant]],Table2[instant],Table2[cnt], ,0,1)</f>
        <v>26</v>
      </c>
      <c r="N588" s="42" t="str">
        <f>IF(OR(Table3[[#This Row],[weekday]]=0,Table3[[#This Row],[weekday]]=6),"Weekend","Weekday")</f>
        <v>Weekday</v>
      </c>
    </row>
    <row r="589" spans="1:14" ht="15" thickBot="1" x14ac:dyDescent="0.35">
      <c r="A589" s="48">
        <v>588</v>
      </c>
      <c r="B589" s="49">
        <f>_xlfn.XLOOKUP(Table3[[#This Row],[instant]],DatSet1!A589:A1198,DatSet1!B589:B1198,_xlfn.XLOOKUP(Table3[[#This Row],[instant]],'Final Data'!A589:A978,'Final Data'!B589:B978, ,0,1),0,1)</f>
        <v>40570</v>
      </c>
      <c r="C589" s="48">
        <f>_xlfn.XLOOKUP(Table3[[#This Row],[instant]],Table1[instant],Table1[hr], ,0,1)</f>
        <v>16</v>
      </c>
      <c r="D589" s="50" t="b">
        <f>_xlfn.XLOOKUP(Table3[[#This Row],[instant]],Table1[instant],Table1[holiday], ,0,1)</f>
        <v>0</v>
      </c>
      <c r="E589" s="2">
        <f>_xlfn.XLOOKUP(Table3[[#This Row],[instant]],Table1[instant],Table1[weekday], ,0,1)</f>
        <v>4</v>
      </c>
      <c r="F589" s="2">
        <f>_xlfn.XLOOKUP(Table3[[#This Row],[instant]],Table1[instant],Table1[weathersit], ,0,1)</f>
        <v>1</v>
      </c>
      <c r="G589" s="2">
        <f>_xlfn.XLOOKUP(Table3[[#This Row],[instant]],Table1[instant],Table1[temp], ,0,1)</f>
        <v>0.22</v>
      </c>
      <c r="H589" s="24">
        <f>_xlfn.XLOOKUP(Table3[[#This Row],[instant]],Table2[instant],Table2[atemp], ,0,1)</f>
        <v>0.2273</v>
      </c>
      <c r="I589" s="1">
        <f>_xlfn.XLOOKUP(Table3[[#This Row],[instant]],Table2[instant],Table2[hum], ,0,1)</f>
        <v>0.55000000000000004</v>
      </c>
      <c r="J589" s="1">
        <f>_xlfn.XLOOKUP(Table3[[#This Row],[instant]],Table2[instant],Table2[windspeed], ,0,1)</f>
        <v>0.19400000000000001</v>
      </c>
      <c r="K589" s="1">
        <f>_xlfn.XLOOKUP(Table3[[#This Row],[instant]],Table2[instant],Table2[casual], ,0,1)</f>
        <v>1</v>
      </c>
      <c r="L589" s="1">
        <f>_xlfn.XLOOKUP(Table3[[#This Row],[instant]],Table2[instant],Table2[registered], ,0,1)</f>
        <v>23</v>
      </c>
      <c r="M589" s="6">
        <f>_xlfn.XLOOKUP(Table3[[#This Row],[instant]],Table2[instant],Table2[cnt], ,0,1)</f>
        <v>24</v>
      </c>
      <c r="N589" s="1" t="str">
        <f>IF(OR(Table3[[#This Row],[weekday]]=0,Table3[[#This Row],[weekday]]=6),"Weekend","Weekday")</f>
        <v>Weekday</v>
      </c>
    </row>
    <row r="590" spans="1:14" ht="15" thickBot="1" x14ac:dyDescent="0.35">
      <c r="A590" s="51">
        <v>589</v>
      </c>
      <c r="B590" s="52">
        <f>_xlfn.XLOOKUP(Table3[[#This Row],[instant]],DatSet1!A590:A1199,DatSet1!B590:B1199,_xlfn.XLOOKUP(Table3[[#This Row],[instant]],'Final Data'!A590:A979,'Final Data'!B590:B979, ,0,1),0,1)</f>
        <v>40570</v>
      </c>
      <c r="C590" s="51">
        <f>_xlfn.XLOOKUP(Table3[[#This Row],[instant]],Table1[instant],Table1[hr], ,0,1)</f>
        <v>17</v>
      </c>
      <c r="D590" s="53" t="b">
        <f>_xlfn.XLOOKUP(Table3[[#This Row],[instant]],Table1[instant],Table1[holiday], ,0,1)</f>
        <v>0</v>
      </c>
      <c r="E590" s="44">
        <f>_xlfn.XLOOKUP(Table3[[#This Row],[instant]],Table1[instant],Table1[weekday], ,0,1)</f>
        <v>4</v>
      </c>
      <c r="F590" s="44">
        <f>_xlfn.XLOOKUP(Table3[[#This Row],[instant]],Table1[instant],Table1[weathersit], ,0,1)</f>
        <v>1</v>
      </c>
      <c r="G590" s="44">
        <f>_xlfn.XLOOKUP(Table3[[#This Row],[instant]],Table1[instant],Table1[temp], ,0,1)</f>
        <v>0.22</v>
      </c>
      <c r="H590" s="45">
        <f>_xlfn.XLOOKUP(Table3[[#This Row],[instant]],Table2[instant],Table2[atemp], ,0,1)</f>
        <v>0.2424</v>
      </c>
      <c r="I590" s="42">
        <f>_xlfn.XLOOKUP(Table3[[#This Row],[instant]],Table2[instant],Table2[hum], ,0,1)</f>
        <v>0.55000000000000004</v>
      </c>
      <c r="J590" s="42">
        <f>_xlfn.XLOOKUP(Table3[[#This Row],[instant]],Table2[instant],Table2[windspeed], ,0,1)</f>
        <v>0.1045</v>
      </c>
      <c r="K590" s="42">
        <f>_xlfn.XLOOKUP(Table3[[#This Row],[instant]],Table2[instant],Table2[casual], ,0,1)</f>
        <v>2</v>
      </c>
      <c r="L590" s="42">
        <f>_xlfn.XLOOKUP(Table3[[#This Row],[instant]],Table2[instant],Table2[registered], ,0,1)</f>
        <v>82</v>
      </c>
      <c r="M590" s="46">
        <f>_xlfn.XLOOKUP(Table3[[#This Row],[instant]],Table2[instant],Table2[cnt], ,0,1)</f>
        <v>84</v>
      </c>
      <c r="N590" s="42" t="str">
        <f>IF(OR(Table3[[#This Row],[weekday]]=0,Table3[[#This Row],[weekday]]=6),"Weekend","Weekday")</f>
        <v>Weekday</v>
      </c>
    </row>
    <row r="591" spans="1:14" ht="15" thickBot="1" x14ac:dyDescent="0.35">
      <c r="A591" s="48">
        <v>590</v>
      </c>
      <c r="B591" s="49">
        <f>_xlfn.XLOOKUP(Table3[[#This Row],[instant]],DatSet1!A591:A1200,DatSet1!B591:B1200,_xlfn.XLOOKUP(Table3[[#This Row],[instant]],'Final Data'!A591:A980,'Final Data'!B591:B980, ,0,1),0,1)</f>
        <v>40570</v>
      </c>
      <c r="C591" s="48">
        <f>_xlfn.XLOOKUP(Table3[[#This Row],[instant]],Table1[instant],Table1[hr], ,0,1)</f>
        <v>18</v>
      </c>
      <c r="D591" s="50" t="b">
        <f>_xlfn.XLOOKUP(Table3[[#This Row],[instant]],Table1[instant],Table1[holiday], ,0,1)</f>
        <v>0</v>
      </c>
      <c r="E591" s="2">
        <f>_xlfn.XLOOKUP(Table3[[#This Row],[instant]],Table1[instant],Table1[weekday], ,0,1)</f>
        <v>4</v>
      </c>
      <c r="F591" s="2">
        <f>_xlfn.XLOOKUP(Table3[[#This Row],[instant]],Table1[instant],Table1[weathersit], ,0,1)</f>
        <v>1</v>
      </c>
      <c r="G591" s="2">
        <f>_xlfn.XLOOKUP(Table3[[#This Row],[instant]],Table1[instant],Table1[temp], ,0,1)</f>
        <v>0.2</v>
      </c>
      <c r="H591" s="24">
        <f>_xlfn.XLOOKUP(Table3[[#This Row],[instant]],Table2[instant],Table2[atemp], ,0,1)</f>
        <v>0.2273</v>
      </c>
      <c r="I591" s="1">
        <f>_xlfn.XLOOKUP(Table3[[#This Row],[instant]],Table2[instant],Table2[hum], ,0,1)</f>
        <v>0.69</v>
      </c>
      <c r="J591" s="1">
        <f>_xlfn.XLOOKUP(Table3[[#This Row],[instant]],Table2[instant],Table2[windspeed], ,0,1)</f>
        <v>8.9599999999999999E-2</v>
      </c>
      <c r="K591" s="1">
        <f>_xlfn.XLOOKUP(Table3[[#This Row],[instant]],Table2[instant],Table2[casual], ,0,1)</f>
        <v>3</v>
      </c>
      <c r="L591" s="1">
        <f>_xlfn.XLOOKUP(Table3[[#This Row],[instant]],Table2[instant],Table2[registered], ,0,1)</f>
        <v>101</v>
      </c>
      <c r="M591" s="6">
        <f>_xlfn.XLOOKUP(Table3[[#This Row],[instant]],Table2[instant],Table2[cnt], ,0,1)</f>
        <v>104</v>
      </c>
      <c r="N591" s="1" t="str">
        <f>IF(OR(Table3[[#This Row],[weekday]]=0,Table3[[#This Row],[weekday]]=6),"Weekend","Weekday")</f>
        <v>Weekday</v>
      </c>
    </row>
    <row r="592" spans="1:14" ht="15" thickBot="1" x14ac:dyDescent="0.35">
      <c r="A592" s="51">
        <v>591</v>
      </c>
      <c r="B592" s="52">
        <f>_xlfn.XLOOKUP(Table3[[#This Row],[instant]],DatSet1!A592:A1201,DatSet1!B592:B1201,_xlfn.XLOOKUP(Table3[[#This Row],[instant]],'Final Data'!A592:A981,'Final Data'!B592:B981, ,0,1),0,1)</f>
        <v>40570</v>
      </c>
      <c r="C592" s="51">
        <f>_xlfn.XLOOKUP(Table3[[#This Row],[instant]],Table1[instant],Table1[hr], ,0,1)</f>
        <v>19</v>
      </c>
      <c r="D592" s="53" t="b">
        <f>_xlfn.XLOOKUP(Table3[[#This Row],[instant]],Table1[instant],Table1[holiday], ,0,1)</f>
        <v>0</v>
      </c>
      <c r="E592" s="44">
        <f>_xlfn.XLOOKUP(Table3[[#This Row],[instant]],Table1[instant],Table1[weekday], ,0,1)</f>
        <v>4</v>
      </c>
      <c r="F592" s="44">
        <f>_xlfn.XLOOKUP(Table3[[#This Row],[instant]],Table1[instant],Table1[weathersit], ,0,1)</f>
        <v>1</v>
      </c>
      <c r="G592" s="44">
        <f>_xlfn.XLOOKUP(Table3[[#This Row],[instant]],Table1[instant],Table1[temp], ,0,1)</f>
        <v>0.2</v>
      </c>
      <c r="H592" s="45">
        <f>_xlfn.XLOOKUP(Table3[[#This Row],[instant]],Table2[instant],Table2[atemp], ,0,1)</f>
        <v>0.2273</v>
      </c>
      <c r="I592" s="42">
        <f>_xlfn.XLOOKUP(Table3[[#This Row],[instant]],Table2[instant],Table2[hum], ,0,1)</f>
        <v>0.69</v>
      </c>
      <c r="J592" s="42">
        <f>_xlfn.XLOOKUP(Table3[[#This Row],[instant]],Table2[instant],Table2[windspeed], ,0,1)</f>
        <v>8.9599999999999999E-2</v>
      </c>
      <c r="K592" s="42">
        <f>_xlfn.XLOOKUP(Table3[[#This Row],[instant]],Table2[instant],Table2[casual], ,0,1)</f>
        <v>3</v>
      </c>
      <c r="L592" s="42">
        <f>_xlfn.XLOOKUP(Table3[[#This Row],[instant]],Table2[instant],Table2[registered], ,0,1)</f>
        <v>76</v>
      </c>
      <c r="M592" s="46">
        <f>_xlfn.XLOOKUP(Table3[[#This Row],[instant]],Table2[instant],Table2[cnt], ,0,1)</f>
        <v>79</v>
      </c>
      <c r="N592" s="42" t="str">
        <f>IF(OR(Table3[[#This Row],[weekday]]=0,Table3[[#This Row],[weekday]]=6),"Weekend","Weekday")</f>
        <v>Weekday</v>
      </c>
    </row>
    <row r="593" spans="1:14" ht="15" thickBot="1" x14ac:dyDescent="0.35">
      <c r="A593" s="48">
        <v>592</v>
      </c>
      <c r="B593" s="49">
        <f>_xlfn.XLOOKUP(Table3[[#This Row],[instant]],DatSet1!A593:A1202,DatSet1!B593:B1202,_xlfn.XLOOKUP(Table3[[#This Row],[instant]],'Final Data'!A593:A982,'Final Data'!B593:B982, ,0,1),0,1)</f>
        <v>40570</v>
      </c>
      <c r="C593" s="48">
        <f>_xlfn.XLOOKUP(Table3[[#This Row],[instant]],Table1[instant],Table1[hr], ,0,1)</f>
        <v>20</v>
      </c>
      <c r="D593" s="50" t="b">
        <f>_xlfn.XLOOKUP(Table3[[#This Row],[instant]],Table1[instant],Table1[holiday], ,0,1)</f>
        <v>0</v>
      </c>
      <c r="E593" s="2">
        <f>_xlfn.XLOOKUP(Table3[[#This Row],[instant]],Table1[instant],Table1[weekday], ,0,1)</f>
        <v>4</v>
      </c>
      <c r="F593" s="2">
        <f>_xlfn.XLOOKUP(Table3[[#This Row],[instant]],Table1[instant],Table1[weathersit], ,0,1)</f>
        <v>1</v>
      </c>
      <c r="G593" s="2">
        <f>_xlfn.XLOOKUP(Table3[[#This Row],[instant]],Table1[instant],Table1[temp], ,0,1)</f>
        <v>0.18</v>
      </c>
      <c r="H593" s="24">
        <f>_xlfn.XLOOKUP(Table3[[#This Row],[instant]],Table2[instant],Table2[atemp], ,0,1)</f>
        <v>0.21210000000000001</v>
      </c>
      <c r="I593" s="1">
        <f>_xlfn.XLOOKUP(Table3[[#This Row],[instant]],Table2[instant],Table2[hum], ,0,1)</f>
        <v>0.74</v>
      </c>
      <c r="J593" s="1">
        <f>_xlfn.XLOOKUP(Table3[[#This Row],[instant]],Table2[instant],Table2[windspeed], ,0,1)</f>
        <v>8.9599999999999999E-2</v>
      </c>
      <c r="K593" s="1">
        <f>_xlfn.XLOOKUP(Table3[[#This Row],[instant]],Table2[instant],Table2[casual], ,0,1)</f>
        <v>4</v>
      </c>
      <c r="L593" s="1">
        <f>_xlfn.XLOOKUP(Table3[[#This Row],[instant]],Table2[instant],Table2[registered], ,0,1)</f>
        <v>55</v>
      </c>
      <c r="M593" s="6">
        <f>_xlfn.XLOOKUP(Table3[[#This Row],[instant]],Table2[instant],Table2[cnt], ,0,1)</f>
        <v>59</v>
      </c>
      <c r="N593" s="1" t="str">
        <f>IF(OR(Table3[[#This Row],[weekday]]=0,Table3[[#This Row],[weekday]]=6),"Weekend","Weekday")</f>
        <v>Weekday</v>
      </c>
    </row>
    <row r="594" spans="1:14" ht="15" thickBot="1" x14ac:dyDescent="0.35">
      <c r="A594" s="51">
        <v>593</v>
      </c>
      <c r="B594" s="52">
        <f>_xlfn.XLOOKUP(Table3[[#This Row],[instant]],DatSet1!A594:A1203,DatSet1!B594:B1203,_xlfn.XLOOKUP(Table3[[#This Row],[instant]],'Final Data'!A594:A983,'Final Data'!B594:B983, ,0,1),0,1)</f>
        <v>40570</v>
      </c>
      <c r="C594" s="51">
        <f>_xlfn.XLOOKUP(Table3[[#This Row],[instant]],Table1[instant],Table1[hr], ,0,1)</f>
        <v>21</v>
      </c>
      <c r="D594" s="53" t="b">
        <f>_xlfn.XLOOKUP(Table3[[#This Row],[instant]],Table1[instant],Table1[holiday], ,0,1)</f>
        <v>0</v>
      </c>
      <c r="E594" s="44">
        <f>_xlfn.XLOOKUP(Table3[[#This Row],[instant]],Table1[instant],Table1[weekday], ,0,1)</f>
        <v>4</v>
      </c>
      <c r="F594" s="44">
        <f>_xlfn.XLOOKUP(Table3[[#This Row],[instant]],Table1[instant],Table1[weathersit], ,0,1)</f>
        <v>1</v>
      </c>
      <c r="G594" s="44">
        <f>_xlfn.XLOOKUP(Table3[[#This Row],[instant]],Table1[instant],Table1[temp], ,0,1)</f>
        <v>0.18</v>
      </c>
      <c r="H594" s="45">
        <f>_xlfn.XLOOKUP(Table3[[#This Row],[instant]],Table2[instant],Table2[atemp], ,0,1)</f>
        <v>0.21210000000000001</v>
      </c>
      <c r="I594" s="42">
        <f>_xlfn.XLOOKUP(Table3[[#This Row],[instant]],Table2[instant],Table2[hum], ,0,1)</f>
        <v>0.74</v>
      </c>
      <c r="J594" s="42">
        <f>_xlfn.XLOOKUP(Table3[[#This Row],[instant]],Table2[instant],Table2[windspeed], ,0,1)</f>
        <v>8.9599999999999999E-2</v>
      </c>
      <c r="K594" s="42">
        <f>_xlfn.XLOOKUP(Table3[[#This Row],[instant]],Table2[instant],Table2[casual], ,0,1)</f>
        <v>2</v>
      </c>
      <c r="L594" s="42">
        <f>_xlfn.XLOOKUP(Table3[[#This Row],[instant]],Table2[instant],Table2[registered], ,0,1)</f>
        <v>36</v>
      </c>
      <c r="M594" s="46">
        <f>_xlfn.XLOOKUP(Table3[[#This Row],[instant]],Table2[instant],Table2[cnt], ,0,1)</f>
        <v>38</v>
      </c>
      <c r="N594" s="42" t="str">
        <f>IF(OR(Table3[[#This Row],[weekday]]=0,Table3[[#This Row],[weekday]]=6),"Weekend","Weekday")</f>
        <v>Weekday</v>
      </c>
    </row>
    <row r="595" spans="1:14" ht="15" thickBot="1" x14ac:dyDescent="0.35">
      <c r="A595" s="48">
        <v>594</v>
      </c>
      <c r="B595" s="49">
        <f>_xlfn.XLOOKUP(Table3[[#This Row],[instant]],DatSet1!A595:A1204,DatSet1!B595:B1204,_xlfn.XLOOKUP(Table3[[#This Row],[instant]],'Final Data'!A595:A984,'Final Data'!B595:B984, ,0,1),0,1)</f>
        <v>40570</v>
      </c>
      <c r="C595" s="48">
        <f>_xlfn.XLOOKUP(Table3[[#This Row],[instant]],Table1[instant],Table1[hr], ,0,1)</f>
        <v>22</v>
      </c>
      <c r="D595" s="50" t="b">
        <f>_xlfn.XLOOKUP(Table3[[#This Row],[instant]],Table1[instant],Table1[holiday], ,0,1)</f>
        <v>0</v>
      </c>
      <c r="E595" s="2">
        <f>_xlfn.XLOOKUP(Table3[[#This Row],[instant]],Table1[instant],Table1[weekday], ,0,1)</f>
        <v>4</v>
      </c>
      <c r="F595" s="2">
        <f>_xlfn.XLOOKUP(Table3[[#This Row],[instant]],Table1[instant],Table1[weathersit], ,0,1)</f>
        <v>1</v>
      </c>
      <c r="G595" s="2">
        <f>_xlfn.XLOOKUP(Table3[[#This Row],[instant]],Table1[instant],Table1[temp], ,0,1)</f>
        <v>0.18</v>
      </c>
      <c r="H595" s="24">
        <f>_xlfn.XLOOKUP(Table3[[#This Row],[instant]],Table2[instant],Table2[atemp], ,0,1)</f>
        <v>0.21210000000000001</v>
      </c>
      <c r="I595" s="1">
        <f>_xlfn.XLOOKUP(Table3[[#This Row],[instant]],Table2[instant],Table2[hum], ,0,1)</f>
        <v>0.74</v>
      </c>
      <c r="J595" s="1">
        <f>_xlfn.XLOOKUP(Table3[[#This Row],[instant]],Table2[instant],Table2[windspeed], ,0,1)</f>
        <v>8.9599999999999999E-2</v>
      </c>
      <c r="K595" s="1">
        <f>_xlfn.XLOOKUP(Table3[[#This Row],[instant]],Table2[instant],Table2[casual], ,0,1)</f>
        <v>0</v>
      </c>
      <c r="L595" s="1">
        <f>_xlfn.XLOOKUP(Table3[[#This Row],[instant]],Table2[instant],Table2[registered], ,0,1)</f>
        <v>27</v>
      </c>
      <c r="M595" s="6">
        <f>_xlfn.XLOOKUP(Table3[[#This Row],[instant]],Table2[instant],Table2[cnt], ,0,1)</f>
        <v>27</v>
      </c>
      <c r="N595" s="1" t="str">
        <f>IF(OR(Table3[[#This Row],[weekday]]=0,Table3[[#This Row],[weekday]]=6),"Weekend","Weekday")</f>
        <v>Weekday</v>
      </c>
    </row>
    <row r="596" spans="1:14" ht="15" thickBot="1" x14ac:dyDescent="0.35">
      <c r="A596" s="51">
        <v>595</v>
      </c>
      <c r="B596" s="52">
        <f>_xlfn.XLOOKUP(Table3[[#This Row],[instant]],DatSet1!A596:A1205,DatSet1!B596:B1205,_xlfn.XLOOKUP(Table3[[#This Row],[instant]],'Final Data'!A596:A985,'Final Data'!B596:B985, ,0,1),0,1)</f>
        <v>40570</v>
      </c>
      <c r="C596" s="51">
        <f>_xlfn.XLOOKUP(Table3[[#This Row],[instant]],Table1[instant],Table1[hr], ,0,1)</f>
        <v>23</v>
      </c>
      <c r="D596" s="53" t="b">
        <f>_xlfn.XLOOKUP(Table3[[#This Row],[instant]],Table1[instant],Table1[holiday], ,0,1)</f>
        <v>0</v>
      </c>
      <c r="E596" s="44">
        <f>_xlfn.XLOOKUP(Table3[[#This Row],[instant]],Table1[instant],Table1[weekday], ,0,1)</f>
        <v>4</v>
      </c>
      <c r="F596" s="44">
        <f>_xlfn.XLOOKUP(Table3[[#This Row],[instant]],Table1[instant],Table1[weathersit], ,0,1)</f>
        <v>1</v>
      </c>
      <c r="G596" s="44">
        <f>_xlfn.XLOOKUP(Table3[[#This Row],[instant]],Table1[instant],Table1[temp], ,0,1)</f>
        <v>0.18</v>
      </c>
      <c r="H596" s="45">
        <f>_xlfn.XLOOKUP(Table3[[#This Row],[instant]],Table2[instant],Table2[atemp], ,0,1)</f>
        <v>0.19700000000000001</v>
      </c>
      <c r="I596" s="42">
        <f>_xlfn.XLOOKUP(Table3[[#This Row],[instant]],Table2[instant],Table2[hum], ,0,1)</f>
        <v>0.8</v>
      </c>
      <c r="J596" s="42">
        <f>_xlfn.XLOOKUP(Table3[[#This Row],[instant]],Table2[instant],Table2[windspeed], ,0,1)</f>
        <v>0.16420000000000001</v>
      </c>
      <c r="K596" s="42">
        <f>_xlfn.XLOOKUP(Table3[[#This Row],[instant]],Table2[instant],Table2[casual], ,0,1)</f>
        <v>0</v>
      </c>
      <c r="L596" s="42">
        <f>_xlfn.XLOOKUP(Table3[[#This Row],[instant]],Table2[instant],Table2[registered], ,0,1)</f>
        <v>16</v>
      </c>
      <c r="M596" s="46">
        <f>_xlfn.XLOOKUP(Table3[[#This Row],[instant]],Table2[instant],Table2[cnt], ,0,1)</f>
        <v>16</v>
      </c>
      <c r="N596" s="42" t="str">
        <f>IF(OR(Table3[[#This Row],[weekday]]=0,Table3[[#This Row],[weekday]]=6),"Weekend","Weekday")</f>
        <v>Weekday</v>
      </c>
    </row>
    <row r="597" spans="1:14" ht="15" thickBot="1" x14ac:dyDescent="0.35">
      <c r="A597" s="48">
        <v>596</v>
      </c>
      <c r="B597" s="49">
        <f>_xlfn.XLOOKUP(Table3[[#This Row],[instant]],DatSet1!A597:A1206,DatSet1!B597:B1206,_xlfn.XLOOKUP(Table3[[#This Row],[instant]],'Final Data'!A597:A986,'Final Data'!B597:B986, ,0,1),0,1)</f>
        <v>40571</v>
      </c>
      <c r="C597" s="48">
        <f>_xlfn.XLOOKUP(Table3[[#This Row],[instant]],Table1[instant],Table1[hr], ,0,1)</f>
        <v>0</v>
      </c>
      <c r="D597" s="50" t="b">
        <f>_xlfn.XLOOKUP(Table3[[#This Row],[instant]],Table1[instant],Table1[holiday], ,0,1)</f>
        <v>0</v>
      </c>
      <c r="E597" s="2">
        <f>_xlfn.XLOOKUP(Table3[[#This Row],[instant]],Table1[instant],Table1[weekday], ,0,1)</f>
        <v>5</v>
      </c>
      <c r="F597" s="2">
        <f>_xlfn.XLOOKUP(Table3[[#This Row],[instant]],Table1[instant],Table1[weathersit], ,0,1)</f>
        <v>2</v>
      </c>
      <c r="G597" s="2">
        <f>_xlfn.XLOOKUP(Table3[[#This Row],[instant]],Table1[instant],Table1[temp], ,0,1)</f>
        <v>0.2</v>
      </c>
      <c r="H597" s="24">
        <f>_xlfn.XLOOKUP(Table3[[#This Row],[instant]],Table2[instant],Table2[atemp], ,0,1)</f>
        <v>0.21210000000000001</v>
      </c>
      <c r="I597" s="1">
        <f>_xlfn.XLOOKUP(Table3[[#This Row],[instant]],Table2[instant],Table2[hum], ,0,1)</f>
        <v>0.75</v>
      </c>
      <c r="J597" s="1">
        <f>_xlfn.XLOOKUP(Table3[[#This Row],[instant]],Table2[instant],Table2[windspeed], ,0,1)</f>
        <v>0.1343</v>
      </c>
      <c r="K597" s="1">
        <f>_xlfn.XLOOKUP(Table3[[#This Row],[instant]],Table2[instant],Table2[casual], ,0,1)</f>
        <v>0</v>
      </c>
      <c r="L597" s="1">
        <f>_xlfn.XLOOKUP(Table3[[#This Row],[instant]],Table2[instant],Table2[registered], ,0,1)</f>
        <v>9</v>
      </c>
      <c r="M597" s="6">
        <f>_xlfn.XLOOKUP(Table3[[#This Row],[instant]],Table2[instant],Table2[cnt], ,0,1)</f>
        <v>9</v>
      </c>
      <c r="N597" s="1" t="str">
        <f>IF(OR(Table3[[#This Row],[weekday]]=0,Table3[[#This Row],[weekday]]=6),"Weekend","Weekday")</f>
        <v>Weekday</v>
      </c>
    </row>
    <row r="598" spans="1:14" ht="15" thickBot="1" x14ac:dyDescent="0.35">
      <c r="A598" s="51">
        <v>597</v>
      </c>
      <c r="B598" s="52">
        <f>_xlfn.XLOOKUP(Table3[[#This Row],[instant]],DatSet1!A598:A1207,DatSet1!B598:B1207,_xlfn.XLOOKUP(Table3[[#This Row],[instant]],'Final Data'!A598:A987,'Final Data'!B598:B987, ,0,1),0,1)</f>
        <v>40571</v>
      </c>
      <c r="C598" s="51">
        <f>_xlfn.XLOOKUP(Table3[[#This Row],[instant]],Table1[instant],Table1[hr], ,0,1)</f>
        <v>1</v>
      </c>
      <c r="D598" s="53" t="b">
        <f>_xlfn.XLOOKUP(Table3[[#This Row],[instant]],Table1[instant],Table1[holiday], ,0,1)</f>
        <v>0</v>
      </c>
      <c r="E598" s="44">
        <f>_xlfn.XLOOKUP(Table3[[#This Row],[instant]],Table1[instant],Table1[weekday], ,0,1)</f>
        <v>5</v>
      </c>
      <c r="F598" s="44">
        <f>_xlfn.XLOOKUP(Table3[[#This Row],[instant]],Table1[instant],Table1[weathersit], ,0,1)</f>
        <v>2</v>
      </c>
      <c r="G598" s="44">
        <f>_xlfn.XLOOKUP(Table3[[#This Row],[instant]],Table1[instant],Table1[temp], ,0,1)</f>
        <v>0.2</v>
      </c>
      <c r="H598" s="45">
        <f>_xlfn.XLOOKUP(Table3[[#This Row],[instant]],Table2[instant],Table2[atemp], ,0,1)</f>
        <v>0.21210000000000001</v>
      </c>
      <c r="I598" s="42">
        <f>_xlfn.XLOOKUP(Table3[[#This Row],[instant]],Table2[instant],Table2[hum], ,0,1)</f>
        <v>0.75</v>
      </c>
      <c r="J598" s="42">
        <f>_xlfn.XLOOKUP(Table3[[#This Row],[instant]],Table2[instant],Table2[windspeed], ,0,1)</f>
        <v>0.1343</v>
      </c>
      <c r="K598" s="42">
        <f>_xlfn.XLOOKUP(Table3[[#This Row],[instant]],Table2[instant],Table2[casual], ,0,1)</f>
        <v>1</v>
      </c>
      <c r="L598" s="42">
        <f>_xlfn.XLOOKUP(Table3[[#This Row],[instant]],Table2[instant],Table2[registered], ,0,1)</f>
        <v>2</v>
      </c>
      <c r="M598" s="46">
        <f>_xlfn.XLOOKUP(Table3[[#This Row],[instant]],Table2[instant],Table2[cnt], ,0,1)</f>
        <v>3</v>
      </c>
      <c r="N598" s="42" t="str">
        <f>IF(OR(Table3[[#This Row],[weekday]]=0,Table3[[#This Row],[weekday]]=6),"Weekend","Weekday")</f>
        <v>Weekday</v>
      </c>
    </row>
    <row r="599" spans="1:14" ht="15" thickBot="1" x14ac:dyDescent="0.35">
      <c r="A599" s="48">
        <v>598</v>
      </c>
      <c r="B599" s="49">
        <f>_xlfn.XLOOKUP(Table3[[#This Row],[instant]],DatSet1!A599:A1208,DatSet1!B599:B1208,_xlfn.XLOOKUP(Table3[[#This Row],[instant]],'Final Data'!A599:A988,'Final Data'!B599:B988, ,0,1),0,1)</f>
        <v>40571</v>
      </c>
      <c r="C599" s="48">
        <f>_xlfn.XLOOKUP(Table3[[#This Row],[instant]],Table1[instant],Table1[hr], ,0,1)</f>
        <v>2</v>
      </c>
      <c r="D599" s="50" t="b">
        <f>_xlfn.XLOOKUP(Table3[[#This Row],[instant]],Table1[instant],Table1[holiday], ,0,1)</f>
        <v>0</v>
      </c>
      <c r="E599" s="2">
        <f>_xlfn.XLOOKUP(Table3[[#This Row],[instant]],Table1[instant],Table1[weekday], ,0,1)</f>
        <v>5</v>
      </c>
      <c r="F599" s="2">
        <f>_xlfn.XLOOKUP(Table3[[#This Row],[instant]],Table1[instant],Table1[weathersit], ,0,1)</f>
        <v>2</v>
      </c>
      <c r="G599" s="2">
        <f>_xlfn.XLOOKUP(Table3[[#This Row],[instant]],Table1[instant],Table1[temp], ,0,1)</f>
        <v>0.2</v>
      </c>
      <c r="H599" s="24">
        <f>_xlfn.XLOOKUP(Table3[[#This Row],[instant]],Table2[instant],Table2[atemp], ,0,1)</f>
        <v>0.21210000000000001</v>
      </c>
      <c r="I599" s="1">
        <f>_xlfn.XLOOKUP(Table3[[#This Row],[instant]],Table2[instant],Table2[hum], ,0,1)</f>
        <v>0.75</v>
      </c>
      <c r="J599" s="1">
        <f>_xlfn.XLOOKUP(Table3[[#This Row],[instant]],Table2[instant],Table2[windspeed], ,0,1)</f>
        <v>0.16420000000000001</v>
      </c>
      <c r="K599" s="1">
        <f>_xlfn.XLOOKUP(Table3[[#This Row],[instant]],Table2[instant],Table2[casual], ,0,1)</f>
        <v>0</v>
      </c>
      <c r="L599" s="1">
        <f>_xlfn.XLOOKUP(Table3[[#This Row],[instant]],Table2[instant],Table2[registered], ,0,1)</f>
        <v>2</v>
      </c>
      <c r="M599" s="6">
        <f>_xlfn.XLOOKUP(Table3[[#This Row],[instant]],Table2[instant],Table2[cnt], ,0,1)</f>
        <v>2</v>
      </c>
      <c r="N599" s="1" t="str">
        <f>IF(OR(Table3[[#This Row],[weekday]]=0,Table3[[#This Row],[weekday]]=6),"Weekend","Weekday")</f>
        <v>Weekday</v>
      </c>
    </row>
    <row r="600" spans="1:14" ht="15" thickBot="1" x14ac:dyDescent="0.35">
      <c r="A600" s="51">
        <v>599</v>
      </c>
      <c r="B600" s="52">
        <f>_xlfn.XLOOKUP(Table3[[#This Row],[instant]],DatSet1!A600:A1209,DatSet1!B600:B1209,_xlfn.XLOOKUP(Table3[[#This Row],[instant]],'Final Data'!A600:A989,'Final Data'!B600:B989, ,0,1),0,1)</f>
        <v>40571</v>
      </c>
      <c r="C600" s="51">
        <f>_xlfn.XLOOKUP(Table3[[#This Row],[instant]],Table1[instant],Table1[hr], ,0,1)</f>
        <v>3</v>
      </c>
      <c r="D600" s="53" t="b">
        <f>_xlfn.XLOOKUP(Table3[[#This Row],[instant]],Table1[instant],Table1[holiday], ,0,1)</f>
        <v>0</v>
      </c>
      <c r="E600" s="44">
        <f>_xlfn.XLOOKUP(Table3[[#This Row],[instant]],Table1[instant],Table1[weekday], ,0,1)</f>
        <v>5</v>
      </c>
      <c r="F600" s="44">
        <f>_xlfn.XLOOKUP(Table3[[#This Row],[instant]],Table1[instant],Table1[weathersit], ,0,1)</f>
        <v>2</v>
      </c>
      <c r="G600" s="44">
        <f>_xlfn.XLOOKUP(Table3[[#This Row],[instant]],Table1[instant],Table1[temp], ,0,1)</f>
        <v>0.2</v>
      </c>
      <c r="H600" s="45">
        <f>_xlfn.XLOOKUP(Table3[[#This Row],[instant]],Table2[instant],Table2[atemp], ,0,1)</f>
        <v>0.2273</v>
      </c>
      <c r="I600" s="42">
        <f>_xlfn.XLOOKUP(Table3[[#This Row],[instant]],Table2[instant],Table2[hum], ,0,1)</f>
        <v>0.75</v>
      </c>
      <c r="J600" s="42">
        <f>_xlfn.XLOOKUP(Table3[[#This Row],[instant]],Table2[instant],Table2[windspeed], ,0,1)</f>
        <v>0.1045</v>
      </c>
      <c r="K600" s="42">
        <f>_xlfn.XLOOKUP(Table3[[#This Row],[instant]],Table2[instant],Table2[casual], ,0,1)</f>
        <v>1</v>
      </c>
      <c r="L600" s="42">
        <f>_xlfn.XLOOKUP(Table3[[#This Row],[instant]],Table2[instant],Table2[registered], ,0,1)</f>
        <v>0</v>
      </c>
      <c r="M600" s="46">
        <f>_xlfn.XLOOKUP(Table3[[#This Row],[instant]],Table2[instant],Table2[cnt], ,0,1)</f>
        <v>1</v>
      </c>
      <c r="N600" s="42" t="str">
        <f>IF(OR(Table3[[#This Row],[weekday]]=0,Table3[[#This Row],[weekday]]=6),"Weekend","Weekday")</f>
        <v>Weekday</v>
      </c>
    </row>
    <row r="601" spans="1:14" ht="15" thickBot="1" x14ac:dyDescent="0.35">
      <c r="A601" s="48">
        <v>600</v>
      </c>
      <c r="B601" s="49">
        <f>_xlfn.XLOOKUP(Table3[[#This Row],[instant]],DatSet1!A601:A1210,DatSet1!B601:B1210,_xlfn.XLOOKUP(Table3[[#This Row],[instant]],'Final Data'!A601:A990,'Final Data'!B601:B990, ,0,1),0,1)</f>
        <v>40571</v>
      </c>
      <c r="C601" s="48">
        <f>_xlfn.XLOOKUP(Table3[[#This Row],[instant]],Table1[instant],Table1[hr], ,0,1)</f>
        <v>5</v>
      </c>
      <c r="D601" s="50" t="b">
        <f>_xlfn.XLOOKUP(Table3[[#This Row],[instant]],Table1[instant],Table1[holiday], ,0,1)</f>
        <v>0</v>
      </c>
      <c r="E601" s="2">
        <f>_xlfn.XLOOKUP(Table3[[#This Row],[instant]],Table1[instant],Table1[weekday], ,0,1)</f>
        <v>5</v>
      </c>
      <c r="F601" s="2">
        <f>_xlfn.XLOOKUP(Table3[[#This Row],[instant]],Table1[instant],Table1[weathersit], ,0,1)</f>
        <v>2</v>
      </c>
      <c r="G601" s="2">
        <f>_xlfn.XLOOKUP(Table3[[#This Row],[instant]],Table1[instant],Table1[temp], ,0,1)</f>
        <v>0.18</v>
      </c>
      <c r="H601" s="24">
        <f>_xlfn.XLOOKUP(Table3[[#This Row],[instant]],Table2[instant],Table2[atemp], ,0,1)</f>
        <v>0.21210000000000001</v>
      </c>
      <c r="I601" s="1">
        <f>_xlfn.XLOOKUP(Table3[[#This Row],[instant]],Table2[instant],Table2[hum], ,0,1)</f>
        <v>0.8</v>
      </c>
      <c r="J601" s="1">
        <f>_xlfn.XLOOKUP(Table3[[#This Row],[instant]],Table2[instant],Table2[windspeed], ,0,1)</f>
        <v>0.1045</v>
      </c>
      <c r="K601" s="1">
        <f>_xlfn.XLOOKUP(Table3[[#This Row],[instant]],Table2[instant],Table2[casual], ,0,1)</f>
        <v>0</v>
      </c>
      <c r="L601" s="1">
        <f>_xlfn.XLOOKUP(Table3[[#This Row],[instant]],Table2[instant],Table2[registered], ,0,1)</f>
        <v>4</v>
      </c>
      <c r="M601" s="6">
        <f>_xlfn.XLOOKUP(Table3[[#This Row],[instant]],Table2[instant],Table2[cnt], ,0,1)</f>
        <v>4</v>
      </c>
      <c r="N601" s="1" t="str">
        <f>IF(OR(Table3[[#This Row],[weekday]]=0,Table3[[#This Row],[weekday]]=6),"Weekend","Weekday")</f>
        <v>Weekday</v>
      </c>
    </row>
    <row r="602" spans="1:14" ht="15" thickBot="1" x14ac:dyDescent="0.35">
      <c r="A602" s="51">
        <v>601</v>
      </c>
      <c r="B602" s="52">
        <f>_xlfn.XLOOKUP(Table3[[#This Row],[instant]],DatSet1!A602:A1211,DatSet1!B602:B1211,_xlfn.XLOOKUP(Table3[[#This Row],[instant]],'Final Data'!A602:A991,'Final Data'!B602:B991, ,0,1),0,1)</f>
        <v>40571</v>
      </c>
      <c r="C602" s="51">
        <f>_xlfn.XLOOKUP(Table3[[#This Row],[instant]],Table1[instant],Table1[hr], ,0,1)</f>
        <v>6</v>
      </c>
      <c r="D602" s="53" t="b">
        <f>_xlfn.XLOOKUP(Table3[[#This Row],[instant]],Table1[instant],Table1[holiday], ,0,1)</f>
        <v>0</v>
      </c>
      <c r="E602" s="44">
        <f>_xlfn.XLOOKUP(Table3[[#This Row],[instant]],Table1[instant],Table1[weekday], ,0,1)</f>
        <v>5</v>
      </c>
      <c r="F602" s="44">
        <f>_xlfn.XLOOKUP(Table3[[#This Row],[instant]],Table1[instant],Table1[weathersit], ,0,1)</f>
        <v>2</v>
      </c>
      <c r="G602" s="44">
        <f>_xlfn.XLOOKUP(Table3[[#This Row],[instant]],Table1[instant],Table1[temp], ,0,1)</f>
        <v>0.18</v>
      </c>
      <c r="H602" s="45">
        <f>_xlfn.XLOOKUP(Table3[[#This Row],[instant]],Table2[instant],Table2[atemp], ,0,1)</f>
        <v>0.19700000000000001</v>
      </c>
      <c r="I602" s="42">
        <f>_xlfn.XLOOKUP(Table3[[#This Row],[instant]],Table2[instant],Table2[hum], ,0,1)</f>
        <v>0.8</v>
      </c>
      <c r="J602" s="42">
        <f>_xlfn.XLOOKUP(Table3[[#This Row],[instant]],Table2[instant],Table2[windspeed], ,0,1)</f>
        <v>0.1343</v>
      </c>
      <c r="K602" s="42">
        <f>_xlfn.XLOOKUP(Table3[[#This Row],[instant]],Table2[instant],Table2[casual], ,0,1)</f>
        <v>0</v>
      </c>
      <c r="L602" s="42">
        <f>_xlfn.XLOOKUP(Table3[[#This Row],[instant]],Table2[instant],Table2[registered], ,0,1)</f>
        <v>16</v>
      </c>
      <c r="M602" s="46">
        <f>_xlfn.XLOOKUP(Table3[[#This Row],[instant]],Table2[instant],Table2[cnt], ,0,1)</f>
        <v>16</v>
      </c>
      <c r="N602" s="42" t="str">
        <f>IF(OR(Table3[[#This Row],[weekday]]=0,Table3[[#This Row],[weekday]]=6),"Weekend","Weekday")</f>
        <v>Weekday</v>
      </c>
    </row>
    <row r="603" spans="1:14" ht="15" thickBot="1" x14ac:dyDescent="0.35">
      <c r="A603" s="48">
        <v>602</v>
      </c>
      <c r="B603" s="49">
        <f>_xlfn.XLOOKUP(Table3[[#This Row],[instant]],DatSet1!A603:A1212,DatSet1!B603:B1212,_xlfn.XLOOKUP(Table3[[#This Row],[instant]],'Final Data'!A603:A992,'Final Data'!B603:B992, ,0,1),0,1)</f>
        <v>40571</v>
      </c>
      <c r="C603" s="48">
        <f>_xlfn.XLOOKUP(Table3[[#This Row],[instant]],Table1[instant],Table1[hr], ,0,1)</f>
        <v>7</v>
      </c>
      <c r="D603" s="50" t="b">
        <f>_xlfn.XLOOKUP(Table3[[#This Row],[instant]],Table1[instant],Table1[holiday], ,0,1)</f>
        <v>0</v>
      </c>
      <c r="E603" s="2">
        <f>_xlfn.XLOOKUP(Table3[[#This Row],[instant]],Table1[instant],Table1[weekday], ,0,1)</f>
        <v>5</v>
      </c>
      <c r="F603" s="2">
        <f>_xlfn.XLOOKUP(Table3[[#This Row],[instant]],Table1[instant],Table1[weathersit], ,0,1)</f>
        <v>2</v>
      </c>
      <c r="G603" s="2">
        <f>_xlfn.XLOOKUP(Table3[[#This Row],[instant]],Table1[instant],Table1[temp], ,0,1)</f>
        <v>0.16</v>
      </c>
      <c r="H603" s="24">
        <f>_xlfn.XLOOKUP(Table3[[#This Row],[instant]],Table2[instant],Table2[atemp], ,0,1)</f>
        <v>0.19700000000000001</v>
      </c>
      <c r="I603" s="1">
        <f>_xlfn.XLOOKUP(Table3[[#This Row],[instant]],Table2[instant],Table2[hum], ,0,1)</f>
        <v>0.86</v>
      </c>
      <c r="J603" s="1">
        <f>_xlfn.XLOOKUP(Table3[[#This Row],[instant]],Table2[instant],Table2[windspeed], ,0,1)</f>
        <v>8.9599999999999999E-2</v>
      </c>
      <c r="K603" s="1">
        <f>_xlfn.XLOOKUP(Table3[[#This Row],[instant]],Table2[instant],Table2[casual], ,0,1)</f>
        <v>2</v>
      </c>
      <c r="L603" s="1">
        <f>_xlfn.XLOOKUP(Table3[[#This Row],[instant]],Table2[instant],Table2[registered], ,0,1)</f>
        <v>58</v>
      </c>
      <c r="M603" s="6">
        <f>_xlfn.XLOOKUP(Table3[[#This Row],[instant]],Table2[instant],Table2[cnt], ,0,1)</f>
        <v>60</v>
      </c>
      <c r="N603" s="1" t="str">
        <f>IF(OR(Table3[[#This Row],[weekday]]=0,Table3[[#This Row],[weekday]]=6),"Weekend","Weekday")</f>
        <v>Weekday</v>
      </c>
    </row>
    <row r="604" spans="1:14" ht="15" thickBot="1" x14ac:dyDescent="0.35">
      <c r="A604" s="51">
        <v>603</v>
      </c>
      <c r="B604" s="52">
        <f>_xlfn.XLOOKUP(Table3[[#This Row],[instant]],DatSet1!A604:A1213,DatSet1!B604:B1213,_xlfn.XLOOKUP(Table3[[#This Row],[instant]],'Final Data'!A604:A993,'Final Data'!B604:B993, ,0,1),0,1)</f>
        <v>40571</v>
      </c>
      <c r="C604" s="51">
        <f>_xlfn.XLOOKUP(Table3[[#This Row],[instant]],Table1[instant],Table1[hr], ,0,1)</f>
        <v>8</v>
      </c>
      <c r="D604" s="53" t="b">
        <f>_xlfn.XLOOKUP(Table3[[#This Row],[instant]],Table1[instant],Table1[holiday], ,0,1)</f>
        <v>0</v>
      </c>
      <c r="E604" s="44">
        <f>_xlfn.XLOOKUP(Table3[[#This Row],[instant]],Table1[instant],Table1[weekday], ,0,1)</f>
        <v>5</v>
      </c>
      <c r="F604" s="44">
        <f>_xlfn.XLOOKUP(Table3[[#This Row],[instant]],Table1[instant],Table1[weathersit], ,0,1)</f>
        <v>2</v>
      </c>
      <c r="G604" s="44">
        <f>_xlfn.XLOOKUP(Table3[[#This Row],[instant]],Table1[instant],Table1[temp], ,0,1)</f>
        <v>0.16</v>
      </c>
      <c r="H604" s="45">
        <f>_xlfn.XLOOKUP(Table3[[#This Row],[instant]],Table2[instant],Table2[atemp], ,0,1)</f>
        <v>0.19700000000000001</v>
      </c>
      <c r="I604" s="42">
        <f>_xlfn.XLOOKUP(Table3[[#This Row],[instant]],Table2[instant],Table2[hum], ,0,1)</f>
        <v>0.86</v>
      </c>
      <c r="J604" s="42">
        <f>_xlfn.XLOOKUP(Table3[[#This Row],[instant]],Table2[instant],Table2[windspeed], ,0,1)</f>
        <v>8.9599999999999999E-2</v>
      </c>
      <c r="K604" s="42">
        <f>_xlfn.XLOOKUP(Table3[[#This Row],[instant]],Table2[instant],Table2[casual], ,0,1)</f>
        <v>2</v>
      </c>
      <c r="L604" s="42">
        <f>_xlfn.XLOOKUP(Table3[[#This Row],[instant]],Table2[instant],Table2[registered], ,0,1)</f>
        <v>155</v>
      </c>
      <c r="M604" s="46">
        <f>_xlfn.XLOOKUP(Table3[[#This Row],[instant]],Table2[instant],Table2[cnt], ,0,1)</f>
        <v>157</v>
      </c>
      <c r="N604" s="42" t="str">
        <f>IF(OR(Table3[[#This Row],[weekday]]=0,Table3[[#This Row],[weekday]]=6),"Weekend","Weekday")</f>
        <v>Weekday</v>
      </c>
    </row>
    <row r="605" spans="1:14" ht="15" thickBot="1" x14ac:dyDescent="0.35">
      <c r="A605" s="48">
        <v>604</v>
      </c>
      <c r="B605" s="49">
        <f>_xlfn.XLOOKUP(Table3[[#This Row],[instant]],DatSet1!A605:A1214,DatSet1!B605:B1214,_xlfn.XLOOKUP(Table3[[#This Row],[instant]],'Final Data'!A605:A994,'Final Data'!B605:B994, ,0,1),0,1)</f>
        <v>40571</v>
      </c>
      <c r="C605" s="48">
        <f>_xlfn.XLOOKUP(Table3[[#This Row],[instant]],Table1[instant],Table1[hr], ,0,1)</f>
        <v>9</v>
      </c>
      <c r="D605" s="50" t="b">
        <f>_xlfn.XLOOKUP(Table3[[#This Row],[instant]],Table1[instant],Table1[holiday], ,0,1)</f>
        <v>0</v>
      </c>
      <c r="E605" s="2">
        <f>_xlfn.XLOOKUP(Table3[[#This Row],[instant]],Table1[instant],Table1[weekday], ,0,1)</f>
        <v>5</v>
      </c>
      <c r="F605" s="2">
        <f>_xlfn.XLOOKUP(Table3[[#This Row],[instant]],Table1[instant],Table1[weathersit], ,0,1)</f>
        <v>3</v>
      </c>
      <c r="G605" s="2">
        <f>_xlfn.XLOOKUP(Table3[[#This Row],[instant]],Table1[instant],Table1[temp], ,0,1)</f>
        <v>0.18</v>
      </c>
      <c r="H605" s="24">
        <f>_xlfn.XLOOKUP(Table3[[#This Row],[instant]],Table2[instant],Table2[atemp], ,0,1)</f>
        <v>0.21210000000000001</v>
      </c>
      <c r="I605" s="1">
        <f>_xlfn.XLOOKUP(Table3[[#This Row],[instant]],Table2[instant],Table2[hum], ,0,1)</f>
        <v>0.86</v>
      </c>
      <c r="J605" s="1">
        <f>_xlfn.XLOOKUP(Table3[[#This Row],[instant]],Table2[instant],Table2[windspeed], ,0,1)</f>
        <v>8.9599999999999999E-2</v>
      </c>
      <c r="K605" s="1">
        <f>_xlfn.XLOOKUP(Table3[[#This Row],[instant]],Table2[instant],Table2[casual], ,0,1)</f>
        <v>6</v>
      </c>
      <c r="L605" s="1">
        <f>_xlfn.XLOOKUP(Table3[[#This Row],[instant]],Table2[instant],Table2[registered], ,0,1)</f>
        <v>95</v>
      </c>
      <c r="M605" s="6">
        <f>_xlfn.XLOOKUP(Table3[[#This Row],[instant]],Table2[instant],Table2[cnt], ,0,1)</f>
        <v>101</v>
      </c>
      <c r="N605" s="1" t="str">
        <f>IF(OR(Table3[[#This Row],[weekday]]=0,Table3[[#This Row],[weekday]]=6),"Weekend","Weekday")</f>
        <v>Weekday</v>
      </c>
    </row>
    <row r="606" spans="1:14" ht="15" thickBot="1" x14ac:dyDescent="0.35">
      <c r="A606" s="51">
        <v>605</v>
      </c>
      <c r="B606" s="52">
        <f>_xlfn.XLOOKUP(Table3[[#This Row],[instant]],DatSet1!A606:A1215,DatSet1!B606:B1215,_xlfn.XLOOKUP(Table3[[#This Row],[instant]],'Final Data'!A606:A995,'Final Data'!B606:B995, ,0,1),0,1)</f>
        <v>40571</v>
      </c>
      <c r="C606" s="51">
        <f>_xlfn.XLOOKUP(Table3[[#This Row],[instant]],Table1[instant],Table1[hr], ,0,1)</f>
        <v>10</v>
      </c>
      <c r="D606" s="53" t="b">
        <f>_xlfn.XLOOKUP(Table3[[#This Row],[instant]],Table1[instant],Table1[holiday], ,0,1)</f>
        <v>0</v>
      </c>
      <c r="E606" s="44">
        <f>_xlfn.XLOOKUP(Table3[[#This Row],[instant]],Table1[instant],Table1[weekday], ,0,1)</f>
        <v>5</v>
      </c>
      <c r="F606" s="44">
        <f>_xlfn.XLOOKUP(Table3[[#This Row],[instant]],Table1[instant],Table1[weathersit], ,0,1)</f>
        <v>3</v>
      </c>
      <c r="G606" s="44">
        <f>_xlfn.XLOOKUP(Table3[[#This Row],[instant]],Table1[instant],Table1[temp], ,0,1)</f>
        <v>0.18</v>
      </c>
      <c r="H606" s="45">
        <f>_xlfn.XLOOKUP(Table3[[#This Row],[instant]],Table2[instant],Table2[atemp], ,0,1)</f>
        <v>0.21210000000000001</v>
      </c>
      <c r="I606" s="42">
        <f>_xlfn.XLOOKUP(Table3[[#This Row],[instant]],Table2[instant],Table2[hum], ,0,1)</f>
        <v>0.86</v>
      </c>
      <c r="J606" s="42">
        <f>_xlfn.XLOOKUP(Table3[[#This Row],[instant]],Table2[instant],Table2[windspeed], ,0,1)</f>
        <v>0.1045</v>
      </c>
      <c r="K606" s="42">
        <f>_xlfn.XLOOKUP(Table3[[#This Row],[instant]],Table2[instant],Table2[casual], ,0,1)</f>
        <v>0</v>
      </c>
      <c r="L606" s="42">
        <f>_xlfn.XLOOKUP(Table3[[#This Row],[instant]],Table2[instant],Table2[registered], ,0,1)</f>
        <v>49</v>
      </c>
      <c r="M606" s="46">
        <f>_xlfn.XLOOKUP(Table3[[#This Row],[instant]],Table2[instant],Table2[cnt], ,0,1)</f>
        <v>49</v>
      </c>
      <c r="N606" s="42" t="str">
        <f>IF(OR(Table3[[#This Row],[weekday]]=0,Table3[[#This Row],[weekday]]=6),"Weekend","Weekday")</f>
        <v>Weekday</v>
      </c>
    </row>
    <row r="607" spans="1:14" ht="15" thickBot="1" x14ac:dyDescent="0.35">
      <c r="A607" s="48">
        <v>606</v>
      </c>
      <c r="B607" s="49">
        <f>_xlfn.XLOOKUP(Table3[[#This Row],[instant]],DatSet1!A607:A1216,DatSet1!B607:B1216,_xlfn.XLOOKUP(Table3[[#This Row],[instant]],'Final Data'!A607:A996,'Final Data'!B607:B996, ,0,1),0,1)</f>
        <v>40571</v>
      </c>
      <c r="C607" s="48">
        <f>_xlfn.XLOOKUP(Table3[[#This Row],[instant]],Table1[instant],Table1[hr], ,0,1)</f>
        <v>11</v>
      </c>
      <c r="D607" s="50" t="b">
        <f>_xlfn.XLOOKUP(Table3[[#This Row],[instant]],Table1[instant],Table1[holiday], ,0,1)</f>
        <v>0</v>
      </c>
      <c r="E607" s="2">
        <f>_xlfn.XLOOKUP(Table3[[#This Row],[instant]],Table1[instant],Table1[weekday], ,0,1)</f>
        <v>5</v>
      </c>
      <c r="F607" s="2">
        <f>_xlfn.XLOOKUP(Table3[[#This Row],[instant]],Table1[instant],Table1[weathersit], ,0,1)</f>
        <v>3</v>
      </c>
      <c r="G607" s="2">
        <f>_xlfn.XLOOKUP(Table3[[#This Row],[instant]],Table1[instant],Table1[temp], ,0,1)</f>
        <v>0.18</v>
      </c>
      <c r="H607" s="24">
        <f>_xlfn.XLOOKUP(Table3[[#This Row],[instant]],Table2[instant],Table2[atemp], ,0,1)</f>
        <v>0.21210000000000001</v>
      </c>
      <c r="I607" s="1">
        <f>_xlfn.XLOOKUP(Table3[[#This Row],[instant]],Table2[instant],Table2[hum], ,0,1)</f>
        <v>0.93</v>
      </c>
      <c r="J607" s="1">
        <f>_xlfn.XLOOKUP(Table3[[#This Row],[instant]],Table2[instant],Table2[windspeed], ,0,1)</f>
        <v>0.1045</v>
      </c>
      <c r="K607" s="1">
        <f>_xlfn.XLOOKUP(Table3[[#This Row],[instant]],Table2[instant],Table2[casual], ,0,1)</f>
        <v>0</v>
      </c>
      <c r="L607" s="1">
        <f>_xlfn.XLOOKUP(Table3[[#This Row],[instant]],Table2[instant],Table2[registered], ,0,1)</f>
        <v>30</v>
      </c>
      <c r="M607" s="6">
        <f>_xlfn.XLOOKUP(Table3[[#This Row],[instant]],Table2[instant],Table2[cnt], ,0,1)</f>
        <v>30</v>
      </c>
      <c r="N607" s="1" t="str">
        <f>IF(OR(Table3[[#This Row],[weekday]]=0,Table3[[#This Row],[weekday]]=6),"Weekend","Weekday")</f>
        <v>Weekday</v>
      </c>
    </row>
    <row r="608" spans="1:14" ht="15" thickBot="1" x14ac:dyDescent="0.35">
      <c r="A608" s="51">
        <v>607</v>
      </c>
      <c r="B608" s="52">
        <f>_xlfn.XLOOKUP(Table3[[#This Row],[instant]],DatSet1!A608:A1217,DatSet1!B608:B1217,_xlfn.XLOOKUP(Table3[[#This Row],[instant]],'Final Data'!A608:A997,'Final Data'!B608:B997, ,0,1),0,1)</f>
        <v>40571</v>
      </c>
      <c r="C608" s="51">
        <f>_xlfn.XLOOKUP(Table3[[#This Row],[instant]],Table1[instant],Table1[hr], ,0,1)</f>
        <v>12</v>
      </c>
      <c r="D608" s="53" t="b">
        <f>_xlfn.XLOOKUP(Table3[[#This Row],[instant]],Table1[instant],Table1[holiday], ,0,1)</f>
        <v>0</v>
      </c>
      <c r="E608" s="44">
        <f>_xlfn.XLOOKUP(Table3[[#This Row],[instant]],Table1[instant],Table1[weekday], ,0,1)</f>
        <v>5</v>
      </c>
      <c r="F608" s="44">
        <f>_xlfn.XLOOKUP(Table3[[#This Row],[instant]],Table1[instant],Table1[weathersit], ,0,1)</f>
        <v>3</v>
      </c>
      <c r="G608" s="44">
        <f>_xlfn.XLOOKUP(Table3[[#This Row],[instant]],Table1[instant],Table1[temp], ,0,1)</f>
        <v>0.18</v>
      </c>
      <c r="H608" s="45">
        <f>_xlfn.XLOOKUP(Table3[[#This Row],[instant]],Table2[instant],Table2[atemp], ,0,1)</f>
        <v>0.21210000000000001</v>
      </c>
      <c r="I608" s="42">
        <f>_xlfn.XLOOKUP(Table3[[#This Row],[instant]],Table2[instant],Table2[hum], ,0,1)</f>
        <v>0.93</v>
      </c>
      <c r="J608" s="42">
        <f>_xlfn.XLOOKUP(Table3[[#This Row],[instant]],Table2[instant],Table2[windspeed], ,0,1)</f>
        <v>0.1045</v>
      </c>
      <c r="K608" s="42">
        <f>_xlfn.XLOOKUP(Table3[[#This Row],[instant]],Table2[instant],Table2[casual], ,0,1)</f>
        <v>1</v>
      </c>
      <c r="L608" s="42">
        <f>_xlfn.XLOOKUP(Table3[[#This Row],[instant]],Table2[instant],Table2[registered], ,0,1)</f>
        <v>28</v>
      </c>
      <c r="M608" s="46">
        <f>_xlfn.XLOOKUP(Table3[[#This Row],[instant]],Table2[instant],Table2[cnt], ,0,1)</f>
        <v>29</v>
      </c>
      <c r="N608" s="42" t="str">
        <f>IF(OR(Table3[[#This Row],[weekday]]=0,Table3[[#This Row],[weekday]]=6),"Weekend","Weekday")</f>
        <v>Weekday</v>
      </c>
    </row>
    <row r="609" spans="1:14" ht="15" thickBot="1" x14ac:dyDescent="0.35">
      <c r="A609" s="48">
        <v>608</v>
      </c>
      <c r="B609" s="49">
        <f>_xlfn.XLOOKUP(Table3[[#This Row],[instant]],DatSet1!A609:A1218,DatSet1!B609:B1218,_xlfn.XLOOKUP(Table3[[#This Row],[instant]],'Final Data'!A609:A998,'Final Data'!B609:B998, ,0,1),0,1)</f>
        <v>40571</v>
      </c>
      <c r="C609" s="48">
        <f>_xlfn.XLOOKUP(Table3[[#This Row],[instant]],Table1[instant],Table1[hr], ,0,1)</f>
        <v>13</v>
      </c>
      <c r="D609" s="50" t="b">
        <f>_xlfn.XLOOKUP(Table3[[#This Row],[instant]],Table1[instant],Table1[holiday], ,0,1)</f>
        <v>0</v>
      </c>
      <c r="E609" s="2">
        <f>_xlfn.XLOOKUP(Table3[[#This Row],[instant]],Table1[instant],Table1[weekday], ,0,1)</f>
        <v>5</v>
      </c>
      <c r="F609" s="2">
        <f>_xlfn.XLOOKUP(Table3[[#This Row],[instant]],Table1[instant],Table1[weathersit], ,0,1)</f>
        <v>3</v>
      </c>
      <c r="G609" s="2">
        <f>_xlfn.XLOOKUP(Table3[[#This Row],[instant]],Table1[instant],Table1[temp], ,0,1)</f>
        <v>0.18</v>
      </c>
      <c r="H609" s="24">
        <f>_xlfn.XLOOKUP(Table3[[#This Row],[instant]],Table2[instant],Table2[atemp], ,0,1)</f>
        <v>0.21210000000000001</v>
      </c>
      <c r="I609" s="1">
        <f>_xlfn.XLOOKUP(Table3[[#This Row],[instant]],Table2[instant],Table2[hum], ,0,1)</f>
        <v>0.93</v>
      </c>
      <c r="J609" s="1">
        <f>_xlfn.XLOOKUP(Table3[[#This Row],[instant]],Table2[instant],Table2[windspeed], ,0,1)</f>
        <v>0.1045</v>
      </c>
      <c r="K609" s="1">
        <f>_xlfn.XLOOKUP(Table3[[#This Row],[instant]],Table2[instant],Table2[casual], ,0,1)</f>
        <v>0</v>
      </c>
      <c r="L609" s="1">
        <f>_xlfn.XLOOKUP(Table3[[#This Row],[instant]],Table2[instant],Table2[registered], ,0,1)</f>
        <v>31</v>
      </c>
      <c r="M609" s="6">
        <f>_xlfn.XLOOKUP(Table3[[#This Row],[instant]],Table2[instant],Table2[cnt], ,0,1)</f>
        <v>31</v>
      </c>
      <c r="N609" s="1" t="str">
        <f>IF(OR(Table3[[#This Row],[weekday]]=0,Table3[[#This Row],[weekday]]=6),"Weekend","Weekday")</f>
        <v>Weekday</v>
      </c>
    </row>
    <row r="610" spans="1:14" ht="15" thickBot="1" x14ac:dyDescent="0.35">
      <c r="A610" s="51">
        <v>609</v>
      </c>
      <c r="B610" s="52">
        <f>_xlfn.XLOOKUP(Table3[[#This Row],[instant]],DatSet1!A610:A1219,DatSet1!B610:B1219,_xlfn.XLOOKUP(Table3[[#This Row],[instant]],'Final Data'!A610:A999,'Final Data'!B610:B999, ,0,1),0,1)</f>
        <v>40571</v>
      </c>
      <c r="C610" s="51">
        <f>_xlfn.XLOOKUP(Table3[[#This Row],[instant]],Table1[instant],Table1[hr], ,0,1)</f>
        <v>14</v>
      </c>
      <c r="D610" s="53" t="b">
        <f>_xlfn.XLOOKUP(Table3[[#This Row],[instant]],Table1[instant],Table1[holiday], ,0,1)</f>
        <v>0</v>
      </c>
      <c r="E610" s="44">
        <f>_xlfn.XLOOKUP(Table3[[#This Row],[instant]],Table1[instant],Table1[weekday], ,0,1)</f>
        <v>5</v>
      </c>
      <c r="F610" s="44">
        <f>_xlfn.XLOOKUP(Table3[[#This Row],[instant]],Table1[instant],Table1[weathersit], ,0,1)</f>
        <v>3</v>
      </c>
      <c r="G610" s="44">
        <f>_xlfn.XLOOKUP(Table3[[#This Row],[instant]],Table1[instant],Table1[temp], ,0,1)</f>
        <v>0.22</v>
      </c>
      <c r="H610" s="45">
        <f>_xlfn.XLOOKUP(Table3[[#This Row],[instant]],Table2[instant],Table2[atemp], ,0,1)</f>
        <v>0.2727</v>
      </c>
      <c r="I610" s="42">
        <f>_xlfn.XLOOKUP(Table3[[#This Row],[instant]],Table2[instant],Table2[hum], ,0,1)</f>
        <v>0.8</v>
      </c>
      <c r="J610" s="42">
        <f>_xlfn.XLOOKUP(Table3[[#This Row],[instant]],Table2[instant],Table2[windspeed], ,0,1)</f>
        <v>0</v>
      </c>
      <c r="K610" s="42">
        <f>_xlfn.XLOOKUP(Table3[[#This Row],[instant]],Table2[instant],Table2[casual], ,0,1)</f>
        <v>2</v>
      </c>
      <c r="L610" s="42">
        <f>_xlfn.XLOOKUP(Table3[[#This Row],[instant]],Table2[instant],Table2[registered], ,0,1)</f>
        <v>36</v>
      </c>
      <c r="M610" s="46">
        <f>_xlfn.XLOOKUP(Table3[[#This Row],[instant]],Table2[instant],Table2[cnt], ,0,1)</f>
        <v>38</v>
      </c>
      <c r="N610" s="42" t="str">
        <f>IF(OR(Table3[[#This Row],[weekday]]=0,Table3[[#This Row],[weekday]]=6),"Weekend","Weekday")</f>
        <v>Weekday</v>
      </c>
    </row>
    <row r="611" spans="1:14" ht="15" thickBot="1" x14ac:dyDescent="0.35">
      <c r="A611" s="48">
        <v>610</v>
      </c>
      <c r="B611" s="49">
        <f>_xlfn.XLOOKUP(Table3[[#This Row],[instant]],DatSet1!A611:A1220,DatSet1!B611:B1220,_xlfn.XLOOKUP(Table3[[#This Row],[instant]],'Final Data'!A611:A1000,'Final Data'!B611:B1000, ,0,1),0,1)</f>
        <v>40571</v>
      </c>
      <c r="C611" s="48">
        <f>_xlfn.XLOOKUP(Table3[[#This Row],[instant]],Table1[instant],Table1[hr], ,0,1)</f>
        <v>15</v>
      </c>
      <c r="D611" s="50" t="b">
        <f>_xlfn.XLOOKUP(Table3[[#This Row],[instant]],Table1[instant],Table1[holiday], ,0,1)</f>
        <v>0</v>
      </c>
      <c r="E611" s="2">
        <f>_xlfn.XLOOKUP(Table3[[#This Row],[instant]],Table1[instant],Table1[weekday], ,0,1)</f>
        <v>5</v>
      </c>
      <c r="F611" s="2">
        <f>_xlfn.XLOOKUP(Table3[[#This Row],[instant]],Table1[instant],Table1[weathersit], ,0,1)</f>
        <v>2</v>
      </c>
      <c r="G611" s="2">
        <f>_xlfn.XLOOKUP(Table3[[#This Row],[instant]],Table1[instant],Table1[temp], ,0,1)</f>
        <v>0.2</v>
      </c>
      <c r="H611" s="24">
        <f>_xlfn.XLOOKUP(Table3[[#This Row],[instant]],Table2[instant],Table2[atemp], ,0,1)</f>
        <v>0.2576</v>
      </c>
      <c r="I611" s="1">
        <f>_xlfn.XLOOKUP(Table3[[#This Row],[instant]],Table2[instant],Table2[hum], ,0,1)</f>
        <v>0.86</v>
      </c>
      <c r="J611" s="1">
        <f>_xlfn.XLOOKUP(Table3[[#This Row],[instant]],Table2[instant],Table2[windspeed], ,0,1)</f>
        <v>0</v>
      </c>
      <c r="K611" s="1">
        <f>_xlfn.XLOOKUP(Table3[[#This Row],[instant]],Table2[instant],Table2[casual], ,0,1)</f>
        <v>1</v>
      </c>
      <c r="L611" s="1">
        <f>_xlfn.XLOOKUP(Table3[[#This Row],[instant]],Table2[instant],Table2[registered], ,0,1)</f>
        <v>40</v>
      </c>
      <c r="M611" s="6">
        <f>_xlfn.XLOOKUP(Table3[[#This Row],[instant]],Table2[instant],Table2[cnt], ,0,1)</f>
        <v>41</v>
      </c>
      <c r="N611" s="1" t="str">
        <f>IF(OR(Table3[[#This Row],[weekday]]=0,Table3[[#This Row],[weekday]]=6),"Weekend","Weekday")</f>
        <v>Weekday</v>
      </c>
    </row>
    <row r="612" spans="1:14" ht="15" thickBot="1" x14ac:dyDescent="0.35">
      <c r="A612" s="51">
        <v>611</v>
      </c>
      <c r="B612" s="52">
        <v>40571</v>
      </c>
      <c r="C612" s="51">
        <v>16</v>
      </c>
      <c r="D612" s="53" t="b">
        <v>0</v>
      </c>
      <c r="E612" s="51">
        <f>_xlfn.XLOOKUP(A612,Table4[instant],Table4[weekday], ,0,1)</f>
        <v>5</v>
      </c>
      <c r="F612" s="51">
        <f>_xlfn.XLOOKUP(A612,Table4[instant],Table4[weathersit], ,0,1)</f>
        <v>1</v>
      </c>
      <c r="G612" s="42">
        <f>_xlfn.XLOOKUP(A612,Table4[instant],Table4[temp], ,0,1)</f>
        <v>0.22</v>
      </c>
      <c r="H612" s="54">
        <f>_xlfn.XLOOKUP(A612,Table4[instant],Table4[atemp], ,0,1)</f>
        <v>0.2727</v>
      </c>
      <c r="I612" s="42">
        <f>_xlfn.XLOOKUP(A612,Table4[instant],Table4[hum], ,0,1)</f>
        <v>0.8</v>
      </c>
      <c r="J612" s="42">
        <f>_xlfn.XLOOKUP(A612,Table4[instant],Table4[windspeed], ,0,1)</f>
        <v>0</v>
      </c>
      <c r="K612" s="42">
        <f>_xlfn.XLOOKUP(A612,Table4[instant],Table4[casual], ,0,1)</f>
        <v>10</v>
      </c>
      <c r="L612" s="42">
        <f>_xlfn.XLOOKUP(A612,Table4[instant],Table4[registered], ,0,1)</f>
        <v>70</v>
      </c>
      <c r="M612" s="46">
        <f>_xlfn.XLOOKUP(A612,Table4[instant],Table4[cnt], ,0,1)</f>
        <v>80</v>
      </c>
      <c r="N612" s="42" t="str">
        <f>IF(OR(Table3[[#This Row],[weekday]]=0,Table3[[#This Row],[weekday]]=6),"Weekend","Weekday")</f>
        <v>Weekday</v>
      </c>
    </row>
    <row r="613" spans="1:14" ht="15" thickBot="1" x14ac:dyDescent="0.35">
      <c r="A613" s="48">
        <v>612</v>
      </c>
      <c r="B613" s="49">
        <v>40571</v>
      </c>
      <c r="C613" s="48">
        <v>17</v>
      </c>
      <c r="D613" s="50" t="b">
        <v>0</v>
      </c>
      <c r="E613" s="51">
        <f>_xlfn.XLOOKUP(A613,Table4[instant],Table4[weekday], ,0,1)</f>
        <v>5</v>
      </c>
      <c r="F613" s="51">
        <f>_xlfn.XLOOKUP(A613,Table4[instant],Table4[weathersit], ,0,1)</f>
        <v>1</v>
      </c>
      <c r="G613" s="42">
        <f>_xlfn.XLOOKUP(A613,Table4[instant],Table4[temp], ,0,1)</f>
        <v>0.24</v>
      </c>
      <c r="H613" s="54">
        <f>_xlfn.XLOOKUP(A613,Table4[instant],Table4[atemp], ,0,1)</f>
        <v>0.2424</v>
      </c>
      <c r="I613" s="42">
        <f>_xlfn.XLOOKUP(A613,Table4[instant],Table4[hum], ,0,1)</f>
        <v>0.75</v>
      </c>
      <c r="J613" s="42">
        <f>_xlfn.XLOOKUP(A613,Table4[instant],Table4[windspeed], ,0,1)</f>
        <v>0.1343</v>
      </c>
      <c r="K613" s="42">
        <f>_xlfn.XLOOKUP(A613,Table4[instant],Table4[casual], ,0,1)</f>
        <v>2</v>
      </c>
      <c r="L613" s="42">
        <f>_xlfn.XLOOKUP(A613,Table4[instant],Table4[registered], ,0,1)</f>
        <v>147</v>
      </c>
      <c r="M613" s="46">
        <f>_xlfn.XLOOKUP(A613,Table4[instant],Table4[cnt], ,0,1)</f>
        <v>149</v>
      </c>
      <c r="N613" s="1" t="str">
        <f>IF(OR(Table3[[#This Row],[weekday]]=0,Table3[[#This Row],[weekday]]=6),"Weekend","Weekday")</f>
        <v>Weekday</v>
      </c>
    </row>
    <row r="614" spans="1:14" ht="15" thickBot="1" x14ac:dyDescent="0.35">
      <c r="A614" s="51">
        <v>613</v>
      </c>
      <c r="B614" s="52">
        <v>40571</v>
      </c>
      <c r="C614" s="51">
        <v>18</v>
      </c>
      <c r="D614" s="53" t="b">
        <v>0</v>
      </c>
      <c r="E614" s="51">
        <f>_xlfn.XLOOKUP(A614,Table4[instant],Table4[weekday], ,0,1)</f>
        <v>5</v>
      </c>
      <c r="F614" s="51">
        <f>_xlfn.XLOOKUP(A614,Table4[instant],Table4[weathersit], ,0,1)</f>
        <v>1</v>
      </c>
      <c r="G614" s="42">
        <f>_xlfn.XLOOKUP(A614,Table4[instant],Table4[temp], ,0,1)</f>
        <v>0.24</v>
      </c>
      <c r="H614" s="54">
        <f>_xlfn.XLOOKUP(A614,Table4[instant],Table4[atemp], ,0,1)</f>
        <v>0.2273</v>
      </c>
      <c r="I614" s="42">
        <f>_xlfn.XLOOKUP(A614,Table4[instant],Table4[hum], ,0,1)</f>
        <v>0.75</v>
      </c>
      <c r="J614" s="42">
        <f>_xlfn.XLOOKUP(A614,Table4[instant],Table4[windspeed], ,0,1)</f>
        <v>0.19400000000000001</v>
      </c>
      <c r="K614" s="42">
        <f>_xlfn.XLOOKUP(A614,Table4[instant],Table4[casual], ,0,1)</f>
        <v>2</v>
      </c>
      <c r="L614" s="42">
        <f>_xlfn.XLOOKUP(A614,Table4[instant],Table4[registered], ,0,1)</f>
        <v>107</v>
      </c>
      <c r="M614" s="46">
        <f>_xlfn.XLOOKUP(A614,Table4[instant],Table4[cnt], ,0,1)</f>
        <v>109</v>
      </c>
      <c r="N614" s="42" t="str">
        <f>IF(OR(Table3[[#This Row],[weekday]]=0,Table3[[#This Row],[weekday]]=6),"Weekend","Weekday")</f>
        <v>Weekday</v>
      </c>
    </row>
    <row r="615" spans="1:14" ht="15" thickBot="1" x14ac:dyDescent="0.35">
      <c r="A615" s="48">
        <v>614</v>
      </c>
      <c r="B615" s="49">
        <v>40571</v>
      </c>
      <c r="C615" s="48">
        <v>19</v>
      </c>
      <c r="D615" s="50" t="b">
        <v>0</v>
      </c>
      <c r="E615" s="51">
        <f>_xlfn.XLOOKUP(A615,Table4[instant],Table4[weekday], ,0,1)</f>
        <v>5</v>
      </c>
      <c r="F615" s="51">
        <f>_xlfn.XLOOKUP(A615,Table4[instant],Table4[weathersit], ,0,1)</f>
        <v>2</v>
      </c>
      <c r="G615" s="42">
        <f>_xlfn.XLOOKUP(A615,Table4[instant],Table4[temp], ,0,1)</f>
        <v>0.24</v>
      </c>
      <c r="H615" s="54">
        <f>_xlfn.XLOOKUP(A615,Table4[instant],Table4[atemp], ,0,1)</f>
        <v>0.2424</v>
      </c>
      <c r="I615" s="42">
        <f>_xlfn.XLOOKUP(A615,Table4[instant],Table4[hum], ,0,1)</f>
        <v>0.75</v>
      </c>
      <c r="J615" s="42">
        <f>_xlfn.XLOOKUP(A615,Table4[instant],Table4[windspeed], ,0,1)</f>
        <v>0.1343</v>
      </c>
      <c r="K615" s="42">
        <f>_xlfn.XLOOKUP(A615,Table4[instant],Table4[casual], ,0,1)</f>
        <v>5</v>
      </c>
      <c r="L615" s="42">
        <f>_xlfn.XLOOKUP(A615,Table4[instant],Table4[registered], ,0,1)</f>
        <v>84</v>
      </c>
      <c r="M615" s="46">
        <f>_xlfn.XLOOKUP(A615,Table4[instant],Table4[cnt], ,0,1)</f>
        <v>89</v>
      </c>
      <c r="N615" s="1" t="str">
        <f>IF(OR(Table3[[#This Row],[weekday]]=0,Table3[[#This Row],[weekday]]=6),"Weekend","Weekday")</f>
        <v>Weekday</v>
      </c>
    </row>
    <row r="616" spans="1:14" ht="15" thickBot="1" x14ac:dyDescent="0.35">
      <c r="A616" s="51">
        <v>615</v>
      </c>
      <c r="B616" s="52">
        <v>40571</v>
      </c>
      <c r="C616" s="51">
        <v>20</v>
      </c>
      <c r="D616" s="53" t="b">
        <v>0</v>
      </c>
      <c r="E616" s="51">
        <f>_xlfn.XLOOKUP(A616,Table4[instant],Table4[weekday], ,0,1)</f>
        <v>5</v>
      </c>
      <c r="F616" s="51">
        <f>_xlfn.XLOOKUP(A616,Table4[instant],Table4[weathersit], ,0,1)</f>
        <v>2</v>
      </c>
      <c r="G616" s="42">
        <f>_xlfn.XLOOKUP(A616,Table4[instant],Table4[temp], ,0,1)</f>
        <v>0.24</v>
      </c>
      <c r="H616" s="54">
        <f>_xlfn.XLOOKUP(A616,Table4[instant],Table4[atemp], ,0,1)</f>
        <v>0.2273</v>
      </c>
      <c r="I616" s="42">
        <f>_xlfn.XLOOKUP(A616,Table4[instant],Table4[hum], ,0,1)</f>
        <v>0.7</v>
      </c>
      <c r="J616" s="42">
        <f>_xlfn.XLOOKUP(A616,Table4[instant],Table4[windspeed], ,0,1)</f>
        <v>0.19400000000000001</v>
      </c>
      <c r="K616" s="42">
        <f>_xlfn.XLOOKUP(A616,Table4[instant],Table4[casual], ,0,1)</f>
        <v>1</v>
      </c>
      <c r="L616" s="42">
        <f>_xlfn.XLOOKUP(A616,Table4[instant],Table4[registered], ,0,1)</f>
        <v>61</v>
      </c>
      <c r="M616" s="46">
        <f>_xlfn.XLOOKUP(A616,Table4[instant],Table4[cnt], ,0,1)</f>
        <v>62</v>
      </c>
      <c r="N616" s="42" t="str">
        <f>IF(OR(Table3[[#This Row],[weekday]]=0,Table3[[#This Row],[weekday]]=6),"Weekend","Weekday")</f>
        <v>Weekday</v>
      </c>
    </row>
    <row r="617" spans="1:14" ht="15" thickBot="1" x14ac:dyDescent="0.35">
      <c r="A617" s="48">
        <v>616</v>
      </c>
      <c r="B617" s="49">
        <v>40571</v>
      </c>
      <c r="C617" s="48">
        <v>21</v>
      </c>
      <c r="D617" s="50" t="b">
        <v>0</v>
      </c>
      <c r="E617" s="51">
        <f>_xlfn.XLOOKUP(A617,Table4[instant],Table4[weekday], ,0,1)</f>
        <v>5</v>
      </c>
      <c r="F617" s="51">
        <f>_xlfn.XLOOKUP(A617,Table4[instant],Table4[weathersit], ,0,1)</f>
        <v>2</v>
      </c>
      <c r="G617" s="42">
        <f>_xlfn.XLOOKUP(A617,Table4[instant],Table4[temp], ,0,1)</f>
        <v>0.22</v>
      </c>
      <c r="H617" s="54">
        <f>_xlfn.XLOOKUP(A617,Table4[instant],Table4[atemp], ,0,1)</f>
        <v>0.2273</v>
      </c>
      <c r="I617" s="42">
        <f>_xlfn.XLOOKUP(A617,Table4[instant],Table4[hum], ,0,1)</f>
        <v>0.75</v>
      </c>
      <c r="J617" s="42">
        <f>_xlfn.XLOOKUP(A617,Table4[instant],Table4[windspeed], ,0,1)</f>
        <v>0.1343</v>
      </c>
      <c r="K617" s="42">
        <f>_xlfn.XLOOKUP(A617,Table4[instant],Table4[casual], ,0,1)</f>
        <v>1</v>
      </c>
      <c r="L617" s="42">
        <f>_xlfn.XLOOKUP(A617,Table4[instant],Table4[registered], ,0,1)</f>
        <v>57</v>
      </c>
      <c r="M617" s="46">
        <f>_xlfn.XLOOKUP(A617,Table4[instant],Table4[cnt], ,0,1)</f>
        <v>58</v>
      </c>
      <c r="N617" s="1" t="str">
        <f>IF(OR(Table3[[#This Row],[weekday]]=0,Table3[[#This Row],[weekday]]=6),"Weekend","Weekday")</f>
        <v>Weekday</v>
      </c>
    </row>
    <row r="618" spans="1:14" ht="15" thickBot="1" x14ac:dyDescent="0.35">
      <c r="A618" s="51">
        <v>617</v>
      </c>
      <c r="B618" s="52">
        <v>40571</v>
      </c>
      <c r="C618" s="51">
        <v>22</v>
      </c>
      <c r="D618" s="53" t="b">
        <v>0</v>
      </c>
      <c r="E618" s="51">
        <f>_xlfn.XLOOKUP(A618,Table4[instant],Table4[weekday], ,0,1)</f>
        <v>5</v>
      </c>
      <c r="F618" s="51">
        <f>_xlfn.XLOOKUP(A618,Table4[instant],Table4[weathersit], ,0,1)</f>
        <v>1</v>
      </c>
      <c r="G618" s="42">
        <f>_xlfn.XLOOKUP(A618,Table4[instant],Table4[temp], ,0,1)</f>
        <v>0.24</v>
      </c>
      <c r="H618" s="54">
        <f>_xlfn.XLOOKUP(A618,Table4[instant],Table4[atemp], ,0,1)</f>
        <v>0.21210000000000001</v>
      </c>
      <c r="I618" s="42">
        <f>_xlfn.XLOOKUP(A618,Table4[instant],Table4[hum], ,0,1)</f>
        <v>0.65</v>
      </c>
      <c r="J618" s="42">
        <f>_xlfn.XLOOKUP(A618,Table4[instant],Table4[windspeed], ,0,1)</f>
        <v>0.35820000000000002</v>
      </c>
      <c r="K618" s="42">
        <f>_xlfn.XLOOKUP(A618,Table4[instant],Table4[casual], ,0,1)</f>
        <v>0</v>
      </c>
      <c r="L618" s="42">
        <f>_xlfn.XLOOKUP(A618,Table4[instant],Table4[registered], ,0,1)</f>
        <v>26</v>
      </c>
      <c r="M618" s="46">
        <f>_xlfn.XLOOKUP(A618,Table4[instant],Table4[cnt], ,0,1)</f>
        <v>26</v>
      </c>
      <c r="N618" s="42" t="str">
        <f>IF(OR(Table3[[#This Row],[weekday]]=0,Table3[[#This Row],[weekday]]=6),"Weekend","Weekday")</f>
        <v>Weekday</v>
      </c>
    </row>
    <row r="619" spans="1:14" ht="15" thickBot="1" x14ac:dyDescent="0.35">
      <c r="A619" s="48">
        <v>618</v>
      </c>
      <c r="B619" s="49">
        <v>40571</v>
      </c>
      <c r="C619" s="48">
        <v>23</v>
      </c>
      <c r="D619" s="50" t="b">
        <v>0</v>
      </c>
      <c r="E619" s="51">
        <f>_xlfn.XLOOKUP(A619,Table4[instant],Table4[weekday], ,0,1)</f>
        <v>5</v>
      </c>
      <c r="F619" s="51">
        <f>_xlfn.XLOOKUP(A619,Table4[instant],Table4[weathersit], ,0,1)</f>
        <v>1</v>
      </c>
      <c r="G619" s="42">
        <f>_xlfn.XLOOKUP(A619,Table4[instant],Table4[temp], ,0,1)</f>
        <v>0.24</v>
      </c>
      <c r="H619" s="54">
        <f>_xlfn.XLOOKUP(A619,Table4[instant],Table4[atemp], ,0,1)</f>
        <v>0.2273</v>
      </c>
      <c r="I619" s="42">
        <f>_xlfn.XLOOKUP(A619,Table4[instant],Table4[hum], ,0,1)</f>
        <v>0.6</v>
      </c>
      <c r="J619" s="42">
        <f>_xlfn.XLOOKUP(A619,Table4[instant],Table4[windspeed], ,0,1)</f>
        <v>0.22389999999999999</v>
      </c>
      <c r="K619" s="42">
        <f>_xlfn.XLOOKUP(A619,Table4[instant],Table4[casual], ,0,1)</f>
        <v>1</v>
      </c>
      <c r="L619" s="42">
        <f>_xlfn.XLOOKUP(A619,Table4[instant],Table4[registered], ,0,1)</f>
        <v>22</v>
      </c>
      <c r="M619" s="46">
        <f>_xlfn.XLOOKUP(A619,Table4[instant],Table4[cnt], ,0,1)</f>
        <v>23</v>
      </c>
      <c r="N619" s="1" t="str">
        <f>IF(OR(Table3[[#This Row],[weekday]]=0,Table3[[#This Row],[weekday]]=6),"Weekend","Weekday")</f>
        <v>Weekday</v>
      </c>
    </row>
    <row r="620" spans="1:14" ht="15" thickBot="1" x14ac:dyDescent="0.35">
      <c r="A620" s="51">
        <v>619</v>
      </c>
      <c r="B620" s="52">
        <v>40572</v>
      </c>
      <c r="C620" s="51">
        <v>0</v>
      </c>
      <c r="D620" s="53" t="b">
        <v>0</v>
      </c>
      <c r="E620" s="51">
        <f>_xlfn.XLOOKUP(A620,Table4[instant],Table4[weekday], ,0,1)</f>
        <v>6</v>
      </c>
      <c r="F620" s="51">
        <f>_xlfn.XLOOKUP(A620,Table4[instant],Table4[weathersit], ,0,1)</f>
        <v>1</v>
      </c>
      <c r="G620" s="42">
        <f>_xlfn.XLOOKUP(A620,Table4[instant],Table4[temp], ,0,1)</f>
        <v>0.22</v>
      </c>
      <c r="H620" s="54">
        <f>_xlfn.XLOOKUP(A620,Table4[instant],Table4[atemp], ,0,1)</f>
        <v>0.19700000000000001</v>
      </c>
      <c r="I620" s="42">
        <f>_xlfn.XLOOKUP(A620,Table4[instant],Table4[hum], ,0,1)</f>
        <v>0.64</v>
      </c>
      <c r="J620" s="42">
        <f>_xlfn.XLOOKUP(A620,Table4[instant],Table4[windspeed], ,0,1)</f>
        <v>0.35820000000000002</v>
      </c>
      <c r="K620" s="42">
        <f>_xlfn.XLOOKUP(A620,Table4[instant],Table4[casual], ,0,1)</f>
        <v>2</v>
      </c>
      <c r="L620" s="42">
        <f>_xlfn.XLOOKUP(A620,Table4[instant],Table4[registered], ,0,1)</f>
        <v>26</v>
      </c>
      <c r="M620" s="46">
        <f>_xlfn.XLOOKUP(A620,Table4[instant],Table4[cnt], ,0,1)</f>
        <v>28</v>
      </c>
      <c r="N620" s="42" t="str">
        <f>IF(OR(Table3[[#This Row],[weekday]]=0,Table3[[#This Row],[weekday]]=6),"Weekend","Weekday")</f>
        <v>Weekend</v>
      </c>
    </row>
    <row r="621" spans="1:14" ht="15" thickBot="1" x14ac:dyDescent="0.35">
      <c r="A621" s="48">
        <v>620</v>
      </c>
      <c r="B621" s="49">
        <v>40572</v>
      </c>
      <c r="C621" s="48">
        <v>1</v>
      </c>
      <c r="D621" s="50" t="b">
        <v>0</v>
      </c>
      <c r="E621" s="51">
        <f>_xlfn.XLOOKUP(A621,Table4[instant],Table4[weekday], ,0,1)</f>
        <v>6</v>
      </c>
      <c r="F621" s="51">
        <f>_xlfn.XLOOKUP(A621,Table4[instant],Table4[weathersit], ,0,1)</f>
        <v>1</v>
      </c>
      <c r="G621" s="42">
        <f>_xlfn.XLOOKUP(A621,Table4[instant],Table4[temp], ,0,1)</f>
        <v>0.22</v>
      </c>
      <c r="H621" s="54">
        <f>_xlfn.XLOOKUP(A621,Table4[instant],Table4[atemp], ,0,1)</f>
        <v>0.2273</v>
      </c>
      <c r="I621" s="42">
        <f>_xlfn.XLOOKUP(A621,Table4[instant],Table4[hum], ,0,1)</f>
        <v>0.64</v>
      </c>
      <c r="J621" s="42">
        <f>_xlfn.XLOOKUP(A621,Table4[instant],Table4[windspeed], ,0,1)</f>
        <v>0.19400000000000001</v>
      </c>
      <c r="K621" s="42">
        <f>_xlfn.XLOOKUP(A621,Table4[instant],Table4[casual], ,0,1)</f>
        <v>0</v>
      </c>
      <c r="L621" s="42">
        <f>_xlfn.XLOOKUP(A621,Table4[instant],Table4[registered], ,0,1)</f>
        <v>20</v>
      </c>
      <c r="M621" s="46">
        <f>_xlfn.XLOOKUP(A621,Table4[instant],Table4[cnt], ,0,1)</f>
        <v>20</v>
      </c>
      <c r="N621" s="1" t="str">
        <f>IF(OR(Table3[[#This Row],[weekday]]=0,Table3[[#This Row],[weekday]]=6),"Weekend","Weekday")</f>
        <v>Weekend</v>
      </c>
    </row>
    <row r="622" spans="1:14" ht="15" thickBot="1" x14ac:dyDescent="0.35">
      <c r="A622" s="51">
        <v>621</v>
      </c>
      <c r="B622" s="52">
        <v>40572</v>
      </c>
      <c r="C622" s="51">
        <v>2</v>
      </c>
      <c r="D622" s="53" t="b">
        <v>0</v>
      </c>
      <c r="E622" s="51">
        <f>_xlfn.XLOOKUP(A622,Table4[instant],Table4[weekday], ,0,1)</f>
        <v>6</v>
      </c>
      <c r="F622" s="51">
        <f>_xlfn.XLOOKUP(A622,Table4[instant],Table4[weathersit], ,0,1)</f>
        <v>1</v>
      </c>
      <c r="G622" s="42">
        <f>_xlfn.XLOOKUP(A622,Table4[instant],Table4[temp], ,0,1)</f>
        <v>0.22</v>
      </c>
      <c r="H622" s="54">
        <f>_xlfn.XLOOKUP(A622,Table4[instant],Table4[atemp], ,0,1)</f>
        <v>0.2273</v>
      </c>
      <c r="I622" s="42">
        <f>_xlfn.XLOOKUP(A622,Table4[instant],Table4[hum], ,0,1)</f>
        <v>0.64</v>
      </c>
      <c r="J622" s="42">
        <f>_xlfn.XLOOKUP(A622,Table4[instant],Table4[windspeed], ,0,1)</f>
        <v>0.16420000000000001</v>
      </c>
      <c r="K622" s="42">
        <f>_xlfn.XLOOKUP(A622,Table4[instant],Table4[casual], ,0,1)</f>
        <v>0</v>
      </c>
      <c r="L622" s="42">
        <f>_xlfn.XLOOKUP(A622,Table4[instant],Table4[registered], ,0,1)</f>
        <v>15</v>
      </c>
      <c r="M622" s="46">
        <f>_xlfn.XLOOKUP(A622,Table4[instant],Table4[cnt], ,0,1)</f>
        <v>15</v>
      </c>
      <c r="N622" s="42" t="str">
        <f>IF(OR(Table3[[#This Row],[weekday]]=0,Table3[[#This Row],[weekday]]=6),"Weekend","Weekday")</f>
        <v>Weekend</v>
      </c>
    </row>
    <row r="623" spans="1:14" ht="15" thickBot="1" x14ac:dyDescent="0.35">
      <c r="A623" s="48">
        <v>622</v>
      </c>
      <c r="B623" s="49">
        <v>40572</v>
      </c>
      <c r="C623" s="48">
        <v>3</v>
      </c>
      <c r="D623" s="50" t="b">
        <v>0</v>
      </c>
      <c r="E623" s="51">
        <f>_xlfn.XLOOKUP(A623,Table4[instant],Table4[weekday], ,0,1)</f>
        <v>6</v>
      </c>
      <c r="F623" s="51">
        <f>_xlfn.XLOOKUP(A623,Table4[instant],Table4[weathersit], ,0,1)</f>
        <v>1</v>
      </c>
      <c r="G623" s="42">
        <f>_xlfn.XLOOKUP(A623,Table4[instant],Table4[temp], ,0,1)</f>
        <v>0.2</v>
      </c>
      <c r="H623" s="54">
        <f>_xlfn.XLOOKUP(A623,Table4[instant],Table4[atemp], ,0,1)</f>
        <v>0.21210000000000001</v>
      </c>
      <c r="I623" s="42">
        <f>_xlfn.XLOOKUP(A623,Table4[instant],Table4[hum], ,0,1)</f>
        <v>0.64</v>
      </c>
      <c r="J623" s="42">
        <f>_xlfn.XLOOKUP(A623,Table4[instant],Table4[windspeed], ,0,1)</f>
        <v>0.1343</v>
      </c>
      <c r="K623" s="42">
        <f>_xlfn.XLOOKUP(A623,Table4[instant],Table4[casual], ,0,1)</f>
        <v>3</v>
      </c>
      <c r="L623" s="42">
        <f>_xlfn.XLOOKUP(A623,Table4[instant],Table4[registered], ,0,1)</f>
        <v>5</v>
      </c>
      <c r="M623" s="46">
        <f>_xlfn.XLOOKUP(A623,Table4[instant],Table4[cnt], ,0,1)</f>
        <v>8</v>
      </c>
      <c r="N623" s="1" t="str">
        <f>IF(OR(Table3[[#This Row],[weekday]]=0,Table3[[#This Row],[weekday]]=6),"Weekend","Weekday")</f>
        <v>Weekend</v>
      </c>
    </row>
    <row r="624" spans="1:14" ht="15" thickBot="1" x14ac:dyDescent="0.35">
      <c r="A624" s="51">
        <v>623</v>
      </c>
      <c r="B624" s="52">
        <v>40572</v>
      </c>
      <c r="C624" s="51">
        <v>4</v>
      </c>
      <c r="D624" s="53" t="b">
        <v>0</v>
      </c>
      <c r="E624" s="51">
        <f>_xlfn.XLOOKUP(A624,Table4[instant],Table4[weekday], ,0,1)</f>
        <v>6</v>
      </c>
      <c r="F624" s="51">
        <f>_xlfn.XLOOKUP(A624,Table4[instant],Table4[weathersit], ,0,1)</f>
        <v>1</v>
      </c>
      <c r="G624" s="42">
        <f>_xlfn.XLOOKUP(A624,Table4[instant],Table4[temp], ,0,1)</f>
        <v>0.16</v>
      </c>
      <c r="H624" s="54">
        <f>_xlfn.XLOOKUP(A624,Table4[instant],Table4[atemp], ,0,1)</f>
        <v>0.18179999999999999</v>
      </c>
      <c r="I624" s="42">
        <f>_xlfn.XLOOKUP(A624,Table4[instant],Table4[hum], ,0,1)</f>
        <v>0.69</v>
      </c>
      <c r="J624" s="42">
        <f>_xlfn.XLOOKUP(A624,Table4[instant],Table4[windspeed], ,0,1)</f>
        <v>0.1045</v>
      </c>
      <c r="K624" s="42">
        <f>_xlfn.XLOOKUP(A624,Table4[instant],Table4[casual], ,0,1)</f>
        <v>1</v>
      </c>
      <c r="L624" s="42">
        <f>_xlfn.XLOOKUP(A624,Table4[instant],Table4[registered], ,0,1)</f>
        <v>2</v>
      </c>
      <c r="M624" s="46">
        <f>_xlfn.XLOOKUP(A624,Table4[instant],Table4[cnt], ,0,1)</f>
        <v>3</v>
      </c>
      <c r="N624" s="42" t="str">
        <f>IF(OR(Table3[[#This Row],[weekday]]=0,Table3[[#This Row],[weekday]]=6),"Weekend","Weekday")</f>
        <v>Weekend</v>
      </c>
    </row>
    <row r="625" spans="1:14" ht="15" thickBot="1" x14ac:dyDescent="0.35">
      <c r="A625" s="48">
        <v>624</v>
      </c>
      <c r="B625" s="49">
        <v>40572</v>
      </c>
      <c r="C625" s="48">
        <v>6</v>
      </c>
      <c r="D625" s="50" t="b">
        <v>0</v>
      </c>
      <c r="E625" s="51">
        <f>_xlfn.XLOOKUP(A625,Table4[instant],Table4[weekday], ,0,1)</f>
        <v>6</v>
      </c>
      <c r="F625" s="51">
        <f>_xlfn.XLOOKUP(A625,Table4[instant],Table4[weathersit], ,0,1)</f>
        <v>1</v>
      </c>
      <c r="G625" s="42">
        <f>_xlfn.XLOOKUP(A625,Table4[instant],Table4[temp], ,0,1)</f>
        <v>0.16</v>
      </c>
      <c r="H625" s="54">
        <f>_xlfn.XLOOKUP(A625,Table4[instant],Table4[atemp], ,0,1)</f>
        <v>0.18179999999999999</v>
      </c>
      <c r="I625" s="42">
        <f>_xlfn.XLOOKUP(A625,Table4[instant],Table4[hum], ,0,1)</f>
        <v>0.64</v>
      </c>
      <c r="J625" s="42">
        <f>_xlfn.XLOOKUP(A625,Table4[instant],Table4[windspeed], ,0,1)</f>
        <v>0.1343</v>
      </c>
      <c r="K625" s="42">
        <f>_xlfn.XLOOKUP(A625,Table4[instant],Table4[casual], ,0,1)</f>
        <v>0</v>
      </c>
      <c r="L625" s="42">
        <f>_xlfn.XLOOKUP(A625,Table4[instant],Table4[registered], ,0,1)</f>
        <v>2</v>
      </c>
      <c r="M625" s="46">
        <f>_xlfn.XLOOKUP(A625,Table4[instant],Table4[cnt], ,0,1)</f>
        <v>2</v>
      </c>
      <c r="N625" s="1" t="str">
        <f>IF(OR(Table3[[#This Row],[weekday]]=0,Table3[[#This Row],[weekday]]=6),"Weekend","Weekday")</f>
        <v>Weekend</v>
      </c>
    </row>
    <row r="626" spans="1:14" ht="15" thickBot="1" x14ac:dyDescent="0.35">
      <c r="A626" s="51">
        <v>625</v>
      </c>
      <c r="B626" s="52">
        <v>40572</v>
      </c>
      <c r="C626" s="51">
        <v>7</v>
      </c>
      <c r="D626" s="53" t="b">
        <v>0</v>
      </c>
      <c r="E626" s="51">
        <f>_xlfn.XLOOKUP(A626,Table4[instant],Table4[weekday], ,0,1)</f>
        <v>6</v>
      </c>
      <c r="F626" s="51">
        <f>_xlfn.XLOOKUP(A626,Table4[instant],Table4[weathersit], ,0,1)</f>
        <v>1</v>
      </c>
      <c r="G626" s="42">
        <f>_xlfn.XLOOKUP(A626,Table4[instant],Table4[temp], ,0,1)</f>
        <v>0.16</v>
      </c>
      <c r="H626" s="54">
        <f>_xlfn.XLOOKUP(A626,Table4[instant],Table4[atemp], ,0,1)</f>
        <v>0.18179999999999999</v>
      </c>
      <c r="I626" s="42">
        <f>_xlfn.XLOOKUP(A626,Table4[instant],Table4[hum], ,0,1)</f>
        <v>0.59</v>
      </c>
      <c r="J626" s="42">
        <f>_xlfn.XLOOKUP(A626,Table4[instant],Table4[windspeed], ,0,1)</f>
        <v>0.1045</v>
      </c>
      <c r="K626" s="42">
        <f>_xlfn.XLOOKUP(A626,Table4[instant],Table4[casual], ,0,1)</f>
        <v>1</v>
      </c>
      <c r="L626" s="42">
        <f>_xlfn.XLOOKUP(A626,Table4[instant],Table4[registered], ,0,1)</f>
        <v>4</v>
      </c>
      <c r="M626" s="46">
        <f>_xlfn.XLOOKUP(A626,Table4[instant],Table4[cnt], ,0,1)</f>
        <v>5</v>
      </c>
      <c r="N626" s="42" t="str">
        <f>IF(OR(Table3[[#This Row],[weekday]]=0,Table3[[#This Row],[weekday]]=6),"Weekend","Weekday")</f>
        <v>Weekend</v>
      </c>
    </row>
    <row r="627" spans="1:14" ht="15" thickBot="1" x14ac:dyDescent="0.35">
      <c r="A627" s="48">
        <v>626</v>
      </c>
      <c r="B627" s="49">
        <v>40572</v>
      </c>
      <c r="C627" s="48">
        <v>8</v>
      </c>
      <c r="D627" s="50" t="b">
        <v>0</v>
      </c>
      <c r="E627" s="51">
        <f>_xlfn.XLOOKUP(A627,Table4[instant],Table4[weekday], ,0,1)</f>
        <v>6</v>
      </c>
      <c r="F627" s="51">
        <f>_xlfn.XLOOKUP(A627,Table4[instant],Table4[weathersit], ,0,1)</f>
        <v>1</v>
      </c>
      <c r="G627" s="42">
        <f>_xlfn.XLOOKUP(A627,Table4[instant],Table4[temp], ,0,1)</f>
        <v>0.18</v>
      </c>
      <c r="H627" s="54">
        <f>_xlfn.XLOOKUP(A627,Table4[instant],Table4[atemp], ,0,1)</f>
        <v>0.19700000000000001</v>
      </c>
      <c r="I627" s="42">
        <f>_xlfn.XLOOKUP(A627,Table4[instant],Table4[hum], ,0,1)</f>
        <v>0.55000000000000004</v>
      </c>
      <c r="J627" s="42">
        <f>_xlfn.XLOOKUP(A627,Table4[instant],Table4[windspeed], ,0,1)</f>
        <v>0.16420000000000001</v>
      </c>
      <c r="K627" s="42">
        <f>_xlfn.XLOOKUP(A627,Table4[instant],Table4[casual], ,0,1)</f>
        <v>3</v>
      </c>
      <c r="L627" s="42">
        <f>_xlfn.XLOOKUP(A627,Table4[instant],Table4[registered], ,0,1)</f>
        <v>31</v>
      </c>
      <c r="M627" s="46">
        <f>_xlfn.XLOOKUP(A627,Table4[instant],Table4[cnt], ,0,1)</f>
        <v>34</v>
      </c>
      <c r="N627" s="1" t="str">
        <f>IF(OR(Table3[[#This Row],[weekday]]=0,Table3[[#This Row],[weekday]]=6),"Weekend","Weekday")</f>
        <v>Weekend</v>
      </c>
    </row>
    <row r="628" spans="1:14" ht="15" thickBot="1" x14ac:dyDescent="0.35">
      <c r="A628" s="51">
        <v>627</v>
      </c>
      <c r="B628" s="52">
        <v>40572</v>
      </c>
      <c r="C628" s="51">
        <v>9</v>
      </c>
      <c r="D628" s="53" t="b">
        <v>0</v>
      </c>
      <c r="E628" s="51">
        <f>_xlfn.XLOOKUP(A628,Table4[instant],Table4[weekday], ,0,1)</f>
        <v>6</v>
      </c>
      <c r="F628" s="51">
        <f>_xlfn.XLOOKUP(A628,Table4[instant],Table4[weathersit], ,0,1)</f>
        <v>1</v>
      </c>
      <c r="G628" s="42">
        <f>_xlfn.XLOOKUP(A628,Table4[instant],Table4[temp], ,0,1)</f>
        <v>0.18</v>
      </c>
      <c r="H628" s="54">
        <f>_xlfn.XLOOKUP(A628,Table4[instant],Table4[atemp], ,0,1)</f>
        <v>0.21210000000000001</v>
      </c>
      <c r="I628" s="42">
        <f>_xlfn.XLOOKUP(A628,Table4[instant],Table4[hum], ,0,1)</f>
        <v>0.59</v>
      </c>
      <c r="J628" s="42">
        <f>_xlfn.XLOOKUP(A628,Table4[instant],Table4[windspeed], ,0,1)</f>
        <v>8.9599999999999999E-2</v>
      </c>
      <c r="K628" s="42">
        <f>_xlfn.XLOOKUP(A628,Table4[instant],Table4[casual], ,0,1)</f>
        <v>0</v>
      </c>
      <c r="L628" s="42">
        <f>_xlfn.XLOOKUP(A628,Table4[instant],Table4[registered], ,0,1)</f>
        <v>34</v>
      </c>
      <c r="M628" s="46">
        <f>_xlfn.XLOOKUP(A628,Table4[instant],Table4[cnt], ,0,1)</f>
        <v>34</v>
      </c>
      <c r="N628" s="42" t="str">
        <f>IF(OR(Table3[[#This Row],[weekday]]=0,Table3[[#This Row],[weekday]]=6),"Weekend","Weekday")</f>
        <v>Weekend</v>
      </c>
    </row>
    <row r="629" spans="1:14" ht="15" thickBot="1" x14ac:dyDescent="0.35">
      <c r="A629" s="48">
        <v>628</v>
      </c>
      <c r="B629" s="49">
        <v>40572</v>
      </c>
      <c r="C629" s="48">
        <v>10</v>
      </c>
      <c r="D629" s="50" t="b">
        <v>0</v>
      </c>
      <c r="E629" s="51">
        <f>_xlfn.XLOOKUP(A629,Table4[instant],Table4[weekday], ,0,1)</f>
        <v>6</v>
      </c>
      <c r="F629" s="51">
        <f>_xlfn.XLOOKUP(A629,Table4[instant],Table4[weathersit], ,0,1)</f>
        <v>2</v>
      </c>
      <c r="G629" s="42">
        <f>_xlfn.XLOOKUP(A629,Table4[instant],Table4[temp], ,0,1)</f>
        <v>0.18</v>
      </c>
      <c r="H629" s="54">
        <f>_xlfn.XLOOKUP(A629,Table4[instant],Table4[atemp], ,0,1)</f>
        <v>0.21210000000000001</v>
      </c>
      <c r="I629" s="42">
        <f>_xlfn.XLOOKUP(A629,Table4[instant],Table4[hum], ,0,1)</f>
        <v>0.64</v>
      </c>
      <c r="J629" s="42">
        <f>_xlfn.XLOOKUP(A629,Table4[instant],Table4[windspeed], ,0,1)</f>
        <v>0.1045</v>
      </c>
      <c r="K629" s="42">
        <f>_xlfn.XLOOKUP(A629,Table4[instant],Table4[casual], ,0,1)</f>
        <v>4</v>
      </c>
      <c r="L629" s="42">
        <f>_xlfn.XLOOKUP(A629,Table4[instant],Table4[registered], ,0,1)</f>
        <v>51</v>
      </c>
      <c r="M629" s="46">
        <f>_xlfn.XLOOKUP(A629,Table4[instant],Table4[cnt], ,0,1)</f>
        <v>55</v>
      </c>
      <c r="N629" s="1" t="str">
        <f>IF(OR(Table3[[#This Row],[weekday]]=0,Table3[[#This Row],[weekday]]=6),"Weekend","Weekday")</f>
        <v>Weekend</v>
      </c>
    </row>
    <row r="630" spans="1:14" ht="15" thickBot="1" x14ac:dyDescent="0.35">
      <c r="A630" s="51">
        <v>629</v>
      </c>
      <c r="B630" s="52">
        <v>40572</v>
      </c>
      <c r="C630" s="51">
        <v>11</v>
      </c>
      <c r="D630" s="53" t="b">
        <v>0</v>
      </c>
      <c r="E630" s="51">
        <f>_xlfn.XLOOKUP(A630,Table4[instant],Table4[weekday], ,0,1)</f>
        <v>6</v>
      </c>
      <c r="F630" s="51">
        <f>_xlfn.XLOOKUP(A630,Table4[instant],Table4[weathersit], ,0,1)</f>
        <v>2</v>
      </c>
      <c r="G630" s="42">
        <f>_xlfn.XLOOKUP(A630,Table4[instant],Table4[temp], ,0,1)</f>
        <v>0.18</v>
      </c>
      <c r="H630" s="54">
        <f>_xlfn.XLOOKUP(A630,Table4[instant],Table4[atemp], ,0,1)</f>
        <v>0.19700000000000001</v>
      </c>
      <c r="I630" s="42">
        <f>_xlfn.XLOOKUP(A630,Table4[instant],Table4[hum], ,0,1)</f>
        <v>0.64</v>
      </c>
      <c r="J630" s="42">
        <f>_xlfn.XLOOKUP(A630,Table4[instant],Table4[windspeed], ,0,1)</f>
        <v>0.1343</v>
      </c>
      <c r="K630" s="42">
        <f>_xlfn.XLOOKUP(A630,Table4[instant],Table4[casual], ,0,1)</f>
        <v>4</v>
      </c>
      <c r="L630" s="42">
        <f>_xlfn.XLOOKUP(A630,Table4[instant],Table4[registered], ,0,1)</f>
        <v>60</v>
      </c>
      <c r="M630" s="46">
        <f>_xlfn.XLOOKUP(A630,Table4[instant],Table4[cnt], ,0,1)</f>
        <v>64</v>
      </c>
      <c r="N630" s="42" t="str">
        <f>IF(OR(Table3[[#This Row],[weekday]]=0,Table3[[#This Row],[weekday]]=6),"Weekend","Weekday")</f>
        <v>Weekend</v>
      </c>
    </row>
    <row r="631" spans="1:14" ht="15" thickBot="1" x14ac:dyDescent="0.35">
      <c r="A631" s="48">
        <v>630</v>
      </c>
      <c r="B631" s="49">
        <v>40572</v>
      </c>
      <c r="C631" s="48">
        <v>12</v>
      </c>
      <c r="D631" s="50" t="b">
        <v>0</v>
      </c>
      <c r="E631" s="51">
        <f>_xlfn.XLOOKUP(A631,Table4[instant],Table4[weekday], ,0,1)</f>
        <v>6</v>
      </c>
      <c r="F631" s="51">
        <f>_xlfn.XLOOKUP(A631,Table4[instant],Table4[weathersit], ,0,1)</f>
        <v>2</v>
      </c>
      <c r="G631" s="42">
        <f>_xlfn.XLOOKUP(A631,Table4[instant],Table4[temp], ,0,1)</f>
        <v>0.2</v>
      </c>
      <c r="H631" s="54">
        <f>_xlfn.XLOOKUP(A631,Table4[instant],Table4[atemp], ,0,1)</f>
        <v>0.19700000000000001</v>
      </c>
      <c r="I631" s="42">
        <f>_xlfn.XLOOKUP(A631,Table4[instant],Table4[hum], ,0,1)</f>
        <v>0.59</v>
      </c>
      <c r="J631" s="42">
        <f>_xlfn.XLOOKUP(A631,Table4[instant],Table4[windspeed], ,0,1)</f>
        <v>0.19400000000000001</v>
      </c>
      <c r="K631" s="42">
        <f>_xlfn.XLOOKUP(A631,Table4[instant],Table4[casual], ,0,1)</f>
        <v>12</v>
      </c>
      <c r="L631" s="42">
        <f>_xlfn.XLOOKUP(A631,Table4[instant],Table4[registered], ,0,1)</f>
        <v>66</v>
      </c>
      <c r="M631" s="46">
        <f>_xlfn.XLOOKUP(A631,Table4[instant],Table4[cnt], ,0,1)</f>
        <v>78</v>
      </c>
      <c r="N631" s="1" t="str">
        <f>IF(OR(Table3[[#This Row],[weekday]]=0,Table3[[#This Row],[weekday]]=6),"Weekend","Weekday")</f>
        <v>Weekend</v>
      </c>
    </row>
    <row r="632" spans="1:14" ht="15" thickBot="1" x14ac:dyDescent="0.35">
      <c r="A632" s="51">
        <v>631</v>
      </c>
      <c r="B632" s="52">
        <v>40572</v>
      </c>
      <c r="C632" s="51">
        <v>13</v>
      </c>
      <c r="D632" s="53" t="b">
        <v>0</v>
      </c>
      <c r="E632" s="51">
        <f>_xlfn.XLOOKUP(A632,Table4[instant],Table4[weekday], ,0,1)</f>
        <v>6</v>
      </c>
      <c r="F632" s="51">
        <f>_xlfn.XLOOKUP(A632,Table4[instant],Table4[weathersit], ,0,1)</f>
        <v>2</v>
      </c>
      <c r="G632" s="42">
        <f>_xlfn.XLOOKUP(A632,Table4[instant],Table4[temp], ,0,1)</f>
        <v>0.22</v>
      </c>
      <c r="H632" s="54">
        <f>_xlfn.XLOOKUP(A632,Table4[instant],Table4[atemp], ,0,1)</f>
        <v>0.2273</v>
      </c>
      <c r="I632" s="42">
        <f>_xlfn.XLOOKUP(A632,Table4[instant],Table4[hum], ,0,1)</f>
        <v>0.55000000000000004</v>
      </c>
      <c r="J632" s="42">
        <f>_xlfn.XLOOKUP(A632,Table4[instant],Table4[windspeed], ,0,1)</f>
        <v>0.16420000000000001</v>
      </c>
      <c r="K632" s="42">
        <f>_xlfn.XLOOKUP(A632,Table4[instant],Table4[casual], ,0,1)</f>
        <v>9</v>
      </c>
      <c r="L632" s="42">
        <f>_xlfn.XLOOKUP(A632,Table4[instant],Table4[registered], ,0,1)</f>
        <v>56</v>
      </c>
      <c r="M632" s="46">
        <f>_xlfn.XLOOKUP(A632,Table4[instant],Table4[cnt], ,0,1)</f>
        <v>65</v>
      </c>
      <c r="N632" s="42" t="str">
        <f>IF(OR(Table3[[#This Row],[weekday]]=0,Table3[[#This Row],[weekday]]=6),"Weekend","Weekday")</f>
        <v>Weekend</v>
      </c>
    </row>
    <row r="633" spans="1:14" ht="15" thickBot="1" x14ac:dyDescent="0.35">
      <c r="A633" s="48">
        <v>632</v>
      </c>
      <c r="B633" s="49">
        <v>40572</v>
      </c>
      <c r="C633" s="48">
        <v>14</v>
      </c>
      <c r="D633" s="50" t="b">
        <v>0</v>
      </c>
      <c r="E633" s="51">
        <f>_xlfn.XLOOKUP(A633,Table4[instant],Table4[weekday], ,0,1)</f>
        <v>6</v>
      </c>
      <c r="F633" s="51">
        <f>_xlfn.XLOOKUP(A633,Table4[instant],Table4[weathersit], ,0,1)</f>
        <v>2</v>
      </c>
      <c r="G633" s="42">
        <f>_xlfn.XLOOKUP(A633,Table4[instant],Table4[temp], ,0,1)</f>
        <v>0.22</v>
      </c>
      <c r="H633" s="54">
        <f>_xlfn.XLOOKUP(A633,Table4[instant],Table4[atemp], ,0,1)</f>
        <v>0.2273</v>
      </c>
      <c r="I633" s="42">
        <f>_xlfn.XLOOKUP(A633,Table4[instant],Table4[hum], ,0,1)</f>
        <v>0.6</v>
      </c>
      <c r="J633" s="42">
        <f>_xlfn.XLOOKUP(A633,Table4[instant],Table4[windspeed], ,0,1)</f>
        <v>0.1343</v>
      </c>
      <c r="K633" s="42">
        <f>_xlfn.XLOOKUP(A633,Table4[instant],Table4[casual], ,0,1)</f>
        <v>10</v>
      </c>
      <c r="L633" s="42">
        <f>_xlfn.XLOOKUP(A633,Table4[instant],Table4[registered], ,0,1)</f>
        <v>89</v>
      </c>
      <c r="M633" s="46">
        <f>_xlfn.XLOOKUP(A633,Table4[instant],Table4[cnt], ,0,1)</f>
        <v>99</v>
      </c>
      <c r="N633" s="1" t="str">
        <f>IF(OR(Table3[[#This Row],[weekday]]=0,Table3[[#This Row],[weekday]]=6),"Weekend","Weekday")</f>
        <v>Weekend</v>
      </c>
    </row>
    <row r="634" spans="1:14" ht="15" thickBot="1" x14ac:dyDescent="0.35">
      <c r="A634" s="51">
        <v>633</v>
      </c>
      <c r="B634" s="52">
        <v>40572</v>
      </c>
      <c r="C634" s="51">
        <v>15</v>
      </c>
      <c r="D634" s="53" t="b">
        <v>0</v>
      </c>
      <c r="E634" s="51">
        <f>_xlfn.XLOOKUP(A634,Table4[instant],Table4[weekday], ,0,1)</f>
        <v>6</v>
      </c>
      <c r="F634" s="51">
        <f>_xlfn.XLOOKUP(A634,Table4[instant],Table4[weathersit], ,0,1)</f>
        <v>1</v>
      </c>
      <c r="G634" s="42">
        <f>_xlfn.XLOOKUP(A634,Table4[instant],Table4[temp], ,0,1)</f>
        <v>0.22</v>
      </c>
      <c r="H634" s="54">
        <f>_xlfn.XLOOKUP(A634,Table4[instant],Table4[atemp], ,0,1)</f>
        <v>0.21210000000000001</v>
      </c>
      <c r="I634" s="42">
        <f>_xlfn.XLOOKUP(A634,Table4[instant],Table4[hum], ,0,1)</f>
        <v>0.69</v>
      </c>
      <c r="J634" s="42">
        <f>_xlfn.XLOOKUP(A634,Table4[instant],Table4[windspeed], ,0,1)</f>
        <v>0.25369999999999998</v>
      </c>
      <c r="K634" s="42">
        <f>_xlfn.XLOOKUP(A634,Table4[instant],Table4[casual], ,0,1)</f>
        <v>22</v>
      </c>
      <c r="L634" s="42">
        <f>_xlfn.XLOOKUP(A634,Table4[instant],Table4[registered], ,0,1)</f>
        <v>98</v>
      </c>
      <c r="M634" s="46">
        <f>_xlfn.XLOOKUP(A634,Table4[instant],Table4[cnt], ,0,1)</f>
        <v>120</v>
      </c>
      <c r="N634" s="42" t="str">
        <f>IF(OR(Table3[[#This Row],[weekday]]=0,Table3[[#This Row],[weekday]]=6),"Weekend","Weekday")</f>
        <v>Weekend</v>
      </c>
    </row>
    <row r="635" spans="1:14" ht="15" thickBot="1" x14ac:dyDescent="0.35">
      <c r="A635" s="48">
        <v>634</v>
      </c>
      <c r="B635" s="49">
        <v>40572</v>
      </c>
      <c r="C635" s="48">
        <v>16</v>
      </c>
      <c r="D635" s="50" t="b">
        <v>0</v>
      </c>
      <c r="E635" s="51">
        <f>_xlfn.XLOOKUP(A635,Table4[instant],Table4[weekday], ,0,1)</f>
        <v>6</v>
      </c>
      <c r="F635" s="51">
        <f>_xlfn.XLOOKUP(A635,Table4[instant],Table4[weathersit], ,0,1)</f>
        <v>1</v>
      </c>
      <c r="G635" s="42">
        <f>_xlfn.XLOOKUP(A635,Table4[instant],Table4[temp], ,0,1)</f>
        <v>0.24</v>
      </c>
      <c r="H635" s="54">
        <f>_xlfn.XLOOKUP(A635,Table4[instant],Table4[atemp], ,0,1)</f>
        <v>0.2424</v>
      </c>
      <c r="I635" s="42">
        <f>_xlfn.XLOOKUP(A635,Table4[instant],Table4[hum], ,0,1)</f>
        <v>0.6</v>
      </c>
      <c r="J635" s="42">
        <f>_xlfn.XLOOKUP(A635,Table4[instant],Table4[windspeed], ,0,1)</f>
        <v>0.16420000000000001</v>
      </c>
      <c r="K635" s="42">
        <f>_xlfn.XLOOKUP(A635,Table4[instant],Table4[casual], ,0,1)</f>
        <v>19</v>
      </c>
      <c r="L635" s="42">
        <f>_xlfn.XLOOKUP(A635,Table4[instant],Table4[registered], ,0,1)</f>
        <v>88</v>
      </c>
      <c r="M635" s="46">
        <f>_xlfn.XLOOKUP(A635,Table4[instant],Table4[cnt], ,0,1)</f>
        <v>107</v>
      </c>
      <c r="N635" s="1" t="str">
        <f>IF(OR(Table3[[#This Row],[weekday]]=0,Table3[[#This Row],[weekday]]=6),"Weekend","Weekday")</f>
        <v>Weekend</v>
      </c>
    </row>
    <row r="636" spans="1:14" ht="15" thickBot="1" x14ac:dyDescent="0.35">
      <c r="A636" s="51">
        <v>635</v>
      </c>
      <c r="B636" s="52">
        <v>40572</v>
      </c>
      <c r="C636" s="51">
        <v>17</v>
      </c>
      <c r="D636" s="53" t="b">
        <v>0</v>
      </c>
      <c r="E636" s="51">
        <f>_xlfn.XLOOKUP(A636,Table4[instant],Table4[weekday], ,0,1)</f>
        <v>6</v>
      </c>
      <c r="F636" s="51">
        <f>_xlfn.XLOOKUP(A636,Table4[instant],Table4[weathersit], ,0,1)</f>
        <v>1</v>
      </c>
      <c r="G636" s="42">
        <f>_xlfn.XLOOKUP(A636,Table4[instant],Table4[temp], ,0,1)</f>
        <v>0.24</v>
      </c>
      <c r="H636" s="54">
        <f>_xlfn.XLOOKUP(A636,Table4[instant],Table4[atemp], ,0,1)</f>
        <v>0.28789999999999999</v>
      </c>
      <c r="I636" s="42">
        <f>_xlfn.XLOOKUP(A636,Table4[instant],Table4[hum], ,0,1)</f>
        <v>0.6</v>
      </c>
      <c r="J636" s="42">
        <f>_xlfn.XLOOKUP(A636,Table4[instant],Table4[windspeed], ,0,1)</f>
        <v>0</v>
      </c>
      <c r="K636" s="42">
        <f>_xlfn.XLOOKUP(A636,Table4[instant],Table4[casual], ,0,1)</f>
        <v>9</v>
      </c>
      <c r="L636" s="42">
        <f>_xlfn.XLOOKUP(A636,Table4[instant],Table4[registered], ,0,1)</f>
        <v>82</v>
      </c>
      <c r="M636" s="46">
        <f>_xlfn.XLOOKUP(A636,Table4[instant],Table4[cnt], ,0,1)</f>
        <v>91</v>
      </c>
      <c r="N636" s="42" t="str">
        <f>IF(OR(Table3[[#This Row],[weekday]]=0,Table3[[#This Row],[weekday]]=6),"Weekend","Weekday")</f>
        <v>Weekend</v>
      </c>
    </row>
    <row r="637" spans="1:14" ht="15" thickBot="1" x14ac:dyDescent="0.35">
      <c r="A637" s="48">
        <v>636</v>
      </c>
      <c r="B637" s="49">
        <v>40572</v>
      </c>
      <c r="C637" s="48">
        <v>18</v>
      </c>
      <c r="D637" s="50" t="b">
        <v>0</v>
      </c>
      <c r="E637" s="51">
        <f>_xlfn.XLOOKUP(A637,Table4[instant],Table4[weekday], ,0,1)</f>
        <v>6</v>
      </c>
      <c r="F637" s="51">
        <f>_xlfn.XLOOKUP(A637,Table4[instant],Table4[weathersit], ,0,1)</f>
        <v>1</v>
      </c>
      <c r="G637" s="42">
        <f>_xlfn.XLOOKUP(A637,Table4[instant],Table4[temp], ,0,1)</f>
        <v>0.22</v>
      </c>
      <c r="H637" s="54">
        <f>_xlfn.XLOOKUP(A637,Table4[instant],Table4[atemp], ,0,1)</f>
        <v>0.2273</v>
      </c>
      <c r="I637" s="42">
        <f>_xlfn.XLOOKUP(A637,Table4[instant],Table4[hum], ,0,1)</f>
        <v>0.69</v>
      </c>
      <c r="J637" s="42">
        <f>_xlfn.XLOOKUP(A637,Table4[instant],Table4[windspeed], ,0,1)</f>
        <v>0.1343</v>
      </c>
      <c r="K637" s="42">
        <f>_xlfn.XLOOKUP(A637,Table4[instant],Table4[casual], ,0,1)</f>
        <v>9</v>
      </c>
      <c r="L637" s="42">
        <f>_xlfn.XLOOKUP(A637,Table4[instant],Table4[registered], ,0,1)</f>
        <v>59</v>
      </c>
      <c r="M637" s="46">
        <f>_xlfn.XLOOKUP(A637,Table4[instant],Table4[cnt], ,0,1)</f>
        <v>68</v>
      </c>
      <c r="N637" s="1" t="str">
        <f>IF(OR(Table3[[#This Row],[weekday]]=0,Table3[[#This Row],[weekday]]=6),"Weekend","Weekday")</f>
        <v>Weekend</v>
      </c>
    </row>
    <row r="638" spans="1:14" ht="15" thickBot="1" x14ac:dyDescent="0.35">
      <c r="A638" s="51">
        <v>637</v>
      </c>
      <c r="B638" s="52">
        <v>40572</v>
      </c>
      <c r="C638" s="51">
        <v>19</v>
      </c>
      <c r="D638" s="53" t="b">
        <v>0</v>
      </c>
      <c r="E638" s="51">
        <f>_xlfn.XLOOKUP(A638,Table4[instant],Table4[weekday], ,0,1)</f>
        <v>6</v>
      </c>
      <c r="F638" s="51">
        <f>_xlfn.XLOOKUP(A638,Table4[instant],Table4[weathersit], ,0,1)</f>
        <v>2</v>
      </c>
      <c r="G638" s="42">
        <f>_xlfn.XLOOKUP(A638,Table4[instant],Table4[temp], ,0,1)</f>
        <v>0.22</v>
      </c>
      <c r="H638" s="54">
        <f>_xlfn.XLOOKUP(A638,Table4[instant],Table4[atemp], ,0,1)</f>
        <v>0.21210000000000001</v>
      </c>
      <c r="I638" s="42">
        <f>_xlfn.XLOOKUP(A638,Table4[instant],Table4[hum], ,0,1)</f>
        <v>0.69</v>
      </c>
      <c r="J638" s="42">
        <f>_xlfn.XLOOKUP(A638,Table4[instant],Table4[windspeed], ,0,1)</f>
        <v>0.25369999999999998</v>
      </c>
      <c r="K638" s="42">
        <f>_xlfn.XLOOKUP(A638,Table4[instant],Table4[casual], ,0,1)</f>
        <v>6</v>
      </c>
      <c r="L638" s="42">
        <f>_xlfn.XLOOKUP(A638,Table4[instant],Table4[registered], ,0,1)</f>
        <v>52</v>
      </c>
      <c r="M638" s="46">
        <f>_xlfn.XLOOKUP(A638,Table4[instant],Table4[cnt], ,0,1)</f>
        <v>58</v>
      </c>
      <c r="N638" s="42" t="str">
        <f>IF(OR(Table3[[#This Row],[weekday]]=0,Table3[[#This Row],[weekday]]=6),"Weekend","Weekday")</f>
        <v>Weekend</v>
      </c>
    </row>
    <row r="639" spans="1:14" ht="15" thickBot="1" x14ac:dyDescent="0.35">
      <c r="A639" s="48">
        <v>638</v>
      </c>
      <c r="B639" s="49">
        <v>40572</v>
      </c>
      <c r="C639" s="48">
        <v>20</v>
      </c>
      <c r="D639" s="50" t="b">
        <v>0</v>
      </c>
      <c r="E639" s="51">
        <f>_xlfn.XLOOKUP(A639,Table4[instant],Table4[weekday], ,0,1)</f>
        <v>6</v>
      </c>
      <c r="F639" s="51">
        <f>_xlfn.XLOOKUP(A639,Table4[instant],Table4[weathersit], ,0,1)</f>
        <v>1</v>
      </c>
      <c r="G639" s="42">
        <f>_xlfn.XLOOKUP(A639,Table4[instant],Table4[temp], ,0,1)</f>
        <v>0.18</v>
      </c>
      <c r="H639" s="54">
        <f>_xlfn.XLOOKUP(A639,Table4[instant],Table4[atemp], ,0,1)</f>
        <v>0.21210000000000001</v>
      </c>
      <c r="I639" s="42">
        <f>_xlfn.XLOOKUP(A639,Table4[instant],Table4[hum], ,0,1)</f>
        <v>0.74</v>
      </c>
      <c r="J639" s="42">
        <f>_xlfn.XLOOKUP(A639,Table4[instant],Table4[windspeed], ,0,1)</f>
        <v>8.9599999999999999E-2</v>
      </c>
      <c r="K639" s="42">
        <f>_xlfn.XLOOKUP(A639,Table4[instant],Table4[casual], ,0,1)</f>
        <v>1</v>
      </c>
      <c r="L639" s="42">
        <f>_xlfn.XLOOKUP(A639,Table4[instant],Table4[registered], ,0,1)</f>
        <v>42</v>
      </c>
      <c r="M639" s="46">
        <f>_xlfn.XLOOKUP(A639,Table4[instant],Table4[cnt], ,0,1)</f>
        <v>43</v>
      </c>
      <c r="N639" s="1" t="str">
        <f>IF(OR(Table3[[#This Row],[weekday]]=0,Table3[[#This Row],[weekday]]=6),"Weekend","Weekday")</f>
        <v>Weekend</v>
      </c>
    </row>
    <row r="640" spans="1:14" ht="15" thickBot="1" x14ac:dyDescent="0.35">
      <c r="A640" s="51">
        <v>639</v>
      </c>
      <c r="B640" s="52">
        <v>40572</v>
      </c>
      <c r="C640" s="51">
        <v>21</v>
      </c>
      <c r="D640" s="53" t="b">
        <v>0</v>
      </c>
      <c r="E640" s="51">
        <f>_xlfn.XLOOKUP(A640,Table4[instant],Table4[weekday], ,0,1)</f>
        <v>6</v>
      </c>
      <c r="F640" s="51">
        <f>_xlfn.XLOOKUP(A640,Table4[instant],Table4[weathersit], ,0,1)</f>
        <v>1</v>
      </c>
      <c r="G640" s="42">
        <f>_xlfn.XLOOKUP(A640,Table4[instant],Table4[temp], ,0,1)</f>
        <v>0.18</v>
      </c>
      <c r="H640" s="54">
        <f>_xlfn.XLOOKUP(A640,Table4[instant],Table4[atemp], ,0,1)</f>
        <v>0.21210000000000001</v>
      </c>
      <c r="I640" s="42">
        <f>_xlfn.XLOOKUP(A640,Table4[instant],Table4[hum], ,0,1)</f>
        <v>0.74</v>
      </c>
      <c r="J640" s="42">
        <f>_xlfn.XLOOKUP(A640,Table4[instant],Table4[windspeed], ,0,1)</f>
        <v>8.9599999999999999E-2</v>
      </c>
      <c r="K640" s="42">
        <f>_xlfn.XLOOKUP(A640,Table4[instant],Table4[casual], ,0,1)</f>
        <v>1</v>
      </c>
      <c r="L640" s="42">
        <f>_xlfn.XLOOKUP(A640,Table4[instant],Table4[registered], ,0,1)</f>
        <v>35</v>
      </c>
      <c r="M640" s="46">
        <f>_xlfn.XLOOKUP(A640,Table4[instant],Table4[cnt], ,0,1)</f>
        <v>36</v>
      </c>
      <c r="N640" s="42" t="str">
        <f>IF(OR(Table3[[#This Row],[weekday]]=0,Table3[[#This Row],[weekday]]=6),"Weekend","Weekday")</f>
        <v>Weekend</v>
      </c>
    </row>
    <row r="641" spans="1:14" ht="15" thickBot="1" x14ac:dyDescent="0.35">
      <c r="A641" s="48">
        <v>640</v>
      </c>
      <c r="B641" s="49">
        <v>40572</v>
      </c>
      <c r="C641" s="48">
        <v>22</v>
      </c>
      <c r="D641" s="50" t="b">
        <v>0</v>
      </c>
      <c r="E641" s="51">
        <f>_xlfn.XLOOKUP(A641,Table4[instant],Table4[weekday], ,0,1)</f>
        <v>6</v>
      </c>
      <c r="F641" s="51">
        <f>_xlfn.XLOOKUP(A641,Table4[instant],Table4[weathersit], ,0,1)</f>
        <v>1</v>
      </c>
      <c r="G641" s="42">
        <f>_xlfn.XLOOKUP(A641,Table4[instant],Table4[temp], ,0,1)</f>
        <v>0.16</v>
      </c>
      <c r="H641" s="54">
        <f>_xlfn.XLOOKUP(A641,Table4[instant],Table4[atemp], ,0,1)</f>
        <v>0.19700000000000001</v>
      </c>
      <c r="I641" s="42">
        <f>_xlfn.XLOOKUP(A641,Table4[instant],Table4[hum], ,0,1)</f>
        <v>0.8</v>
      </c>
      <c r="J641" s="42">
        <f>_xlfn.XLOOKUP(A641,Table4[instant],Table4[windspeed], ,0,1)</f>
        <v>8.9599999999999999E-2</v>
      </c>
      <c r="K641" s="42">
        <f>_xlfn.XLOOKUP(A641,Table4[instant],Table4[casual], ,0,1)</f>
        <v>4</v>
      </c>
      <c r="L641" s="42">
        <f>_xlfn.XLOOKUP(A641,Table4[instant],Table4[registered], ,0,1)</f>
        <v>28</v>
      </c>
      <c r="M641" s="46">
        <f>_xlfn.XLOOKUP(A641,Table4[instant],Table4[cnt], ,0,1)</f>
        <v>32</v>
      </c>
      <c r="N641" s="1" t="str">
        <f>IF(OR(Table3[[#This Row],[weekday]]=0,Table3[[#This Row],[weekday]]=6),"Weekend","Weekday")</f>
        <v>Weekend</v>
      </c>
    </row>
    <row r="642" spans="1:14" ht="15" thickBot="1" x14ac:dyDescent="0.35">
      <c r="A642" s="51">
        <v>641</v>
      </c>
      <c r="B642" s="52">
        <v>40572</v>
      </c>
      <c r="C642" s="51">
        <v>23</v>
      </c>
      <c r="D642" s="53" t="b">
        <v>0</v>
      </c>
      <c r="E642" s="51">
        <f>_xlfn.XLOOKUP(A642,Table4[instant],Table4[weekday], ,0,1)</f>
        <v>6</v>
      </c>
      <c r="F642" s="51">
        <f>_xlfn.XLOOKUP(A642,Table4[instant],Table4[weathersit], ,0,1)</f>
        <v>1</v>
      </c>
      <c r="G642" s="42">
        <f>_xlfn.XLOOKUP(A642,Table4[instant],Table4[temp], ,0,1)</f>
        <v>0.16</v>
      </c>
      <c r="H642" s="54">
        <f>_xlfn.XLOOKUP(A642,Table4[instant],Table4[atemp], ,0,1)</f>
        <v>0.19700000000000001</v>
      </c>
      <c r="I642" s="42">
        <f>_xlfn.XLOOKUP(A642,Table4[instant],Table4[hum], ,0,1)</f>
        <v>0.8</v>
      </c>
      <c r="J642" s="42">
        <f>_xlfn.XLOOKUP(A642,Table4[instant],Table4[windspeed], ,0,1)</f>
        <v>8.9599999999999999E-2</v>
      </c>
      <c r="K642" s="42">
        <f>_xlfn.XLOOKUP(A642,Table4[instant],Table4[casual], ,0,1)</f>
        <v>3</v>
      </c>
      <c r="L642" s="42">
        <f>_xlfn.XLOOKUP(A642,Table4[instant],Table4[registered], ,0,1)</f>
        <v>30</v>
      </c>
      <c r="M642" s="46">
        <f>_xlfn.XLOOKUP(A642,Table4[instant],Table4[cnt], ,0,1)</f>
        <v>33</v>
      </c>
      <c r="N642" s="42" t="str">
        <f>IF(OR(Table3[[#This Row],[weekday]]=0,Table3[[#This Row],[weekday]]=6),"Weekend","Weekday")</f>
        <v>Weekend</v>
      </c>
    </row>
    <row r="643" spans="1:14" ht="15" thickBot="1" x14ac:dyDescent="0.35">
      <c r="A643" s="48">
        <v>642</v>
      </c>
      <c r="B643" s="49">
        <v>40573</v>
      </c>
      <c r="C643" s="48">
        <v>0</v>
      </c>
      <c r="D643" s="50" t="b">
        <v>0</v>
      </c>
      <c r="E643" s="51">
        <f>_xlfn.XLOOKUP(A643,Table4[instant],Table4[weekday], ,0,1)</f>
        <v>0</v>
      </c>
      <c r="F643" s="51">
        <f>_xlfn.XLOOKUP(A643,Table4[instant],Table4[weathersit], ,0,1)</f>
        <v>1</v>
      </c>
      <c r="G643" s="42">
        <f>_xlfn.XLOOKUP(A643,Table4[instant],Table4[temp], ,0,1)</f>
        <v>0.16</v>
      </c>
      <c r="H643" s="54">
        <f>_xlfn.XLOOKUP(A643,Table4[instant],Table4[atemp], ,0,1)</f>
        <v>0.18179999999999999</v>
      </c>
      <c r="I643" s="42">
        <f>_xlfn.XLOOKUP(A643,Table4[instant],Table4[hum], ,0,1)</f>
        <v>0.8</v>
      </c>
      <c r="J643" s="42">
        <f>_xlfn.XLOOKUP(A643,Table4[instant],Table4[windspeed], ,0,1)</f>
        <v>0.1045</v>
      </c>
      <c r="K643" s="42">
        <f>_xlfn.XLOOKUP(A643,Table4[instant],Table4[casual], ,0,1)</f>
        <v>0</v>
      </c>
      <c r="L643" s="42">
        <f>_xlfn.XLOOKUP(A643,Table4[instant],Table4[registered], ,0,1)</f>
        <v>33</v>
      </c>
      <c r="M643" s="46">
        <f>_xlfn.XLOOKUP(A643,Table4[instant],Table4[cnt], ,0,1)</f>
        <v>33</v>
      </c>
      <c r="N643" s="1" t="str">
        <f>IF(OR(Table3[[#This Row],[weekday]]=0,Table3[[#This Row],[weekday]]=6),"Weekend","Weekday")</f>
        <v>Weekend</v>
      </c>
    </row>
    <row r="644" spans="1:14" ht="15" thickBot="1" x14ac:dyDescent="0.35">
      <c r="A644" s="51">
        <v>643</v>
      </c>
      <c r="B644" s="52">
        <v>40573</v>
      </c>
      <c r="C644" s="51">
        <v>1</v>
      </c>
      <c r="D644" s="53" t="b">
        <v>0</v>
      </c>
      <c r="E644" s="51">
        <f>_xlfn.XLOOKUP(A644,Table4[instant],Table4[weekday], ,0,1)</f>
        <v>0</v>
      </c>
      <c r="F644" s="51">
        <f>_xlfn.XLOOKUP(A644,Table4[instant],Table4[weathersit], ,0,1)</f>
        <v>1</v>
      </c>
      <c r="G644" s="42">
        <f>_xlfn.XLOOKUP(A644,Table4[instant],Table4[temp], ,0,1)</f>
        <v>0.14000000000000001</v>
      </c>
      <c r="H644" s="54">
        <f>_xlfn.XLOOKUP(A644,Table4[instant],Table4[atemp], ,0,1)</f>
        <v>0.21210000000000001</v>
      </c>
      <c r="I644" s="42">
        <f>_xlfn.XLOOKUP(A644,Table4[instant],Table4[hum], ,0,1)</f>
        <v>0.8</v>
      </c>
      <c r="J644" s="42">
        <f>_xlfn.XLOOKUP(A644,Table4[instant],Table4[windspeed], ,0,1)</f>
        <v>0</v>
      </c>
      <c r="K644" s="42">
        <f>_xlfn.XLOOKUP(A644,Table4[instant],Table4[casual], ,0,1)</f>
        <v>7</v>
      </c>
      <c r="L644" s="42">
        <f>_xlfn.XLOOKUP(A644,Table4[instant],Table4[registered], ,0,1)</f>
        <v>22</v>
      </c>
      <c r="M644" s="46">
        <f>_xlfn.XLOOKUP(A644,Table4[instant],Table4[cnt], ,0,1)</f>
        <v>29</v>
      </c>
      <c r="N644" s="42" t="str">
        <f>IF(OR(Table3[[#This Row],[weekday]]=0,Table3[[#This Row],[weekday]]=6),"Weekend","Weekday")</f>
        <v>Weekend</v>
      </c>
    </row>
    <row r="645" spans="1:14" ht="15" thickBot="1" x14ac:dyDescent="0.35">
      <c r="A645" s="48">
        <v>644</v>
      </c>
      <c r="B645" s="49">
        <v>40573</v>
      </c>
      <c r="C645" s="48">
        <v>2</v>
      </c>
      <c r="D645" s="50" t="b">
        <v>0</v>
      </c>
      <c r="E645" s="51">
        <f>_xlfn.XLOOKUP(A645,Table4[instant],Table4[weekday], ,0,1)</f>
        <v>0</v>
      </c>
      <c r="F645" s="51">
        <f>_xlfn.XLOOKUP(A645,Table4[instant],Table4[weathersit], ,0,1)</f>
        <v>1</v>
      </c>
      <c r="G645" s="42">
        <f>_xlfn.XLOOKUP(A645,Table4[instant],Table4[temp], ,0,1)</f>
        <v>0.16</v>
      </c>
      <c r="H645" s="54">
        <f>_xlfn.XLOOKUP(A645,Table4[instant],Table4[atemp], ,0,1)</f>
        <v>0.2273</v>
      </c>
      <c r="I645" s="42">
        <f>_xlfn.XLOOKUP(A645,Table4[instant],Table4[hum], ,0,1)</f>
        <v>0.8</v>
      </c>
      <c r="J645" s="42">
        <f>_xlfn.XLOOKUP(A645,Table4[instant],Table4[windspeed], ,0,1)</f>
        <v>0</v>
      </c>
      <c r="K645" s="42">
        <f>_xlfn.XLOOKUP(A645,Table4[instant],Table4[casual], ,0,1)</f>
        <v>1</v>
      </c>
      <c r="L645" s="42">
        <f>_xlfn.XLOOKUP(A645,Table4[instant],Table4[registered], ,0,1)</f>
        <v>10</v>
      </c>
      <c r="M645" s="46">
        <f>_xlfn.XLOOKUP(A645,Table4[instant],Table4[cnt], ,0,1)</f>
        <v>11</v>
      </c>
      <c r="N645" s="1" t="str">
        <f>IF(OR(Table3[[#This Row],[weekday]]=0,Table3[[#This Row],[weekday]]=6),"Weekend","Weekday")</f>
        <v>Weekend</v>
      </c>
    </row>
    <row r="646" spans="1:14" ht="15" thickBot="1" x14ac:dyDescent="0.35">
      <c r="A646" s="51">
        <v>645</v>
      </c>
      <c r="B646" s="52">
        <v>40573</v>
      </c>
      <c r="C646" s="51">
        <v>3</v>
      </c>
      <c r="D646" s="53" t="b">
        <v>0</v>
      </c>
      <c r="E646" s="51">
        <f>_xlfn.XLOOKUP(A646,Table4[instant],Table4[weekday], ,0,1)</f>
        <v>0</v>
      </c>
      <c r="F646" s="51">
        <f>_xlfn.XLOOKUP(A646,Table4[instant],Table4[weathersit], ,0,1)</f>
        <v>1</v>
      </c>
      <c r="G646" s="42">
        <f>_xlfn.XLOOKUP(A646,Table4[instant],Table4[temp], ,0,1)</f>
        <v>0.14000000000000001</v>
      </c>
      <c r="H646" s="54">
        <f>_xlfn.XLOOKUP(A646,Table4[instant],Table4[atemp], ,0,1)</f>
        <v>0.21210000000000001</v>
      </c>
      <c r="I646" s="42">
        <f>_xlfn.XLOOKUP(A646,Table4[instant],Table4[hum], ,0,1)</f>
        <v>0.93</v>
      </c>
      <c r="J646" s="42">
        <f>_xlfn.XLOOKUP(A646,Table4[instant],Table4[windspeed], ,0,1)</f>
        <v>0</v>
      </c>
      <c r="K646" s="42">
        <f>_xlfn.XLOOKUP(A646,Table4[instant],Table4[casual], ,0,1)</f>
        <v>1</v>
      </c>
      <c r="L646" s="42">
        <f>_xlfn.XLOOKUP(A646,Table4[instant],Table4[registered], ,0,1)</f>
        <v>7</v>
      </c>
      <c r="M646" s="46">
        <f>_xlfn.XLOOKUP(A646,Table4[instant],Table4[cnt], ,0,1)</f>
        <v>8</v>
      </c>
      <c r="N646" s="42" t="str">
        <f>IF(OR(Table3[[#This Row],[weekday]]=0,Table3[[#This Row],[weekday]]=6),"Weekend","Weekday")</f>
        <v>Weekend</v>
      </c>
    </row>
    <row r="647" spans="1:14" ht="15" thickBot="1" x14ac:dyDescent="0.35">
      <c r="A647" s="48">
        <v>646</v>
      </c>
      <c r="B647" s="49">
        <v>40573</v>
      </c>
      <c r="C647" s="48">
        <v>4</v>
      </c>
      <c r="D647" s="50" t="b">
        <v>0</v>
      </c>
      <c r="E647" s="51">
        <f>_xlfn.XLOOKUP(A647,Table4[instant],Table4[weekday], ,0,1)</f>
        <v>0</v>
      </c>
      <c r="F647" s="51">
        <f>_xlfn.XLOOKUP(A647,Table4[instant],Table4[weathersit], ,0,1)</f>
        <v>1</v>
      </c>
      <c r="G647" s="42">
        <f>_xlfn.XLOOKUP(A647,Table4[instant],Table4[temp], ,0,1)</f>
        <v>0.14000000000000001</v>
      </c>
      <c r="H647" s="54">
        <f>_xlfn.XLOOKUP(A647,Table4[instant],Table4[atemp], ,0,1)</f>
        <v>0.21210000000000001</v>
      </c>
      <c r="I647" s="42">
        <f>_xlfn.XLOOKUP(A647,Table4[instant],Table4[hum], ,0,1)</f>
        <v>0.93</v>
      </c>
      <c r="J647" s="42">
        <f>_xlfn.XLOOKUP(A647,Table4[instant],Table4[windspeed], ,0,1)</f>
        <v>0</v>
      </c>
      <c r="K647" s="42">
        <f>_xlfn.XLOOKUP(A647,Table4[instant],Table4[casual], ,0,1)</f>
        <v>0</v>
      </c>
      <c r="L647" s="42">
        <f>_xlfn.XLOOKUP(A647,Table4[instant],Table4[registered], ,0,1)</f>
        <v>1</v>
      </c>
      <c r="M647" s="46">
        <f>_xlfn.XLOOKUP(A647,Table4[instant],Table4[cnt], ,0,1)</f>
        <v>1</v>
      </c>
      <c r="N647" s="1" t="str">
        <f>IF(OR(Table3[[#This Row],[weekday]]=0,Table3[[#This Row],[weekday]]=6),"Weekend","Weekday")</f>
        <v>Weekend</v>
      </c>
    </row>
    <row r="648" spans="1:14" ht="15" thickBot="1" x14ac:dyDescent="0.35">
      <c r="A648" s="51">
        <v>647</v>
      </c>
      <c r="B648" s="52">
        <v>40573</v>
      </c>
      <c r="C648" s="51">
        <v>5</v>
      </c>
      <c r="D648" s="53" t="b">
        <v>0</v>
      </c>
      <c r="E648" s="51">
        <f>_xlfn.XLOOKUP(A648,Table4[instant],Table4[weekday], ,0,1)</f>
        <v>0</v>
      </c>
      <c r="F648" s="51">
        <f>_xlfn.XLOOKUP(A648,Table4[instant],Table4[weathersit], ,0,1)</f>
        <v>1</v>
      </c>
      <c r="G648" s="42">
        <f>_xlfn.XLOOKUP(A648,Table4[instant],Table4[temp], ,0,1)</f>
        <v>0.14000000000000001</v>
      </c>
      <c r="H648" s="54">
        <f>_xlfn.XLOOKUP(A648,Table4[instant],Table4[atemp], ,0,1)</f>
        <v>0.21210000000000001</v>
      </c>
      <c r="I648" s="42">
        <f>_xlfn.XLOOKUP(A648,Table4[instant],Table4[hum], ,0,1)</f>
        <v>0.86</v>
      </c>
      <c r="J648" s="42">
        <f>_xlfn.XLOOKUP(A648,Table4[instant],Table4[windspeed], ,0,1)</f>
        <v>0</v>
      </c>
      <c r="K648" s="42">
        <f>_xlfn.XLOOKUP(A648,Table4[instant],Table4[casual], ,0,1)</f>
        <v>0</v>
      </c>
      <c r="L648" s="42">
        <f>_xlfn.XLOOKUP(A648,Table4[instant],Table4[registered], ,0,1)</f>
        <v>3</v>
      </c>
      <c r="M648" s="46">
        <f>_xlfn.XLOOKUP(A648,Table4[instant],Table4[cnt], ,0,1)</f>
        <v>3</v>
      </c>
      <c r="N648" s="42" t="str">
        <f>IF(OR(Table3[[#This Row],[weekday]]=0,Table3[[#This Row],[weekday]]=6),"Weekend","Weekday")</f>
        <v>Weekend</v>
      </c>
    </row>
    <row r="649" spans="1:14" ht="15" thickBot="1" x14ac:dyDescent="0.35">
      <c r="A649" s="48">
        <v>648</v>
      </c>
      <c r="B649" s="49">
        <v>40573</v>
      </c>
      <c r="C649" s="48">
        <v>7</v>
      </c>
      <c r="D649" s="50" t="b">
        <v>0</v>
      </c>
      <c r="E649" s="51">
        <f>_xlfn.XLOOKUP(A649,Table4[instant],Table4[weekday], ,0,1)</f>
        <v>0</v>
      </c>
      <c r="F649" s="51">
        <f>_xlfn.XLOOKUP(A649,Table4[instant],Table4[weathersit], ,0,1)</f>
        <v>1</v>
      </c>
      <c r="G649" s="42">
        <f>_xlfn.XLOOKUP(A649,Table4[instant],Table4[temp], ,0,1)</f>
        <v>0.14000000000000001</v>
      </c>
      <c r="H649" s="54">
        <f>_xlfn.XLOOKUP(A649,Table4[instant],Table4[atemp], ,0,1)</f>
        <v>0.21210000000000001</v>
      </c>
      <c r="I649" s="42">
        <f>_xlfn.XLOOKUP(A649,Table4[instant],Table4[hum], ,0,1)</f>
        <v>0.86</v>
      </c>
      <c r="J649" s="42">
        <f>_xlfn.XLOOKUP(A649,Table4[instant],Table4[windspeed], ,0,1)</f>
        <v>0</v>
      </c>
      <c r="K649" s="42">
        <f>_xlfn.XLOOKUP(A649,Table4[instant],Table4[casual], ,0,1)</f>
        <v>0</v>
      </c>
      <c r="L649" s="42">
        <f>_xlfn.XLOOKUP(A649,Table4[instant],Table4[registered], ,0,1)</f>
        <v>3</v>
      </c>
      <c r="M649" s="46">
        <f>_xlfn.XLOOKUP(A649,Table4[instant],Table4[cnt], ,0,1)</f>
        <v>3</v>
      </c>
      <c r="N649" s="1" t="str">
        <f>IF(OR(Table3[[#This Row],[weekday]]=0,Table3[[#This Row],[weekday]]=6),"Weekend","Weekday")</f>
        <v>Weekend</v>
      </c>
    </row>
    <row r="650" spans="1:14" ht="15" thickBot="1" x14ac:dyDescent="0.35">
      <c r="A650" s="51">
        <v>649</v>
      </c>
      <c r="B650" s="52">
        <v>40573</v>
      </c>
      <c r="C650" s="51">
        <v>8</v>
      </c>
      <c r="D650" s="53" t="b">
        <v>0</v>
      </c>
      <c r="E650" s="51">
        <f>_xlfn.XLOOKUP(A650,Table4[instant],Table4[weekday], ,0,1)</f>
        <v>0</v>
      </c>
      <c r="F650" s="51">
        <f>_xlfn.XLOOKUP(A650,Table4[instant],Table4[weathersit], ,0,1)</f>
        <v>2</v>
      </c>
      <c r="G650" s="42">
        <f>_xlfn.XLOOKUP(A650,Table4[instant],Table4[temp], ,0,1)</f>
        <v>0.14000000000000001</v>
      </c>
      <c r="H650" s="54">
        <f>_xlfn.XLOOKUP(A650,Table4[instant],Table4[atemp], ,0,1)</f>
        <v>0.21210000000000001</v>
      </c>
      <c r="I650" s="42">
        <f>_xlfn.XLOOKUP(A650,Table4[instant],Table4[hum], ,0,1)</f>
        <v>0.86</v>
      </c>
      <c r="J650" s="42">
        <f>_xlfn.XLOOKUP(A650,Table4[instant],Table4[windspeed], ,0,1)</f>
        <v>0</v>
      </c>
      <c r="K650" s="42">
        <f>_xlfn.XLOOKUP(A650,Table4[instant],Table4[casual], ,0,1)</f>
        <v>1</v>
      </c>
      <c r="L650" s="42">
        <f>_xlfn.XLOOKUP(A650,Table4[instant],Table4[registered], ,0,1)</f>
        <v>11</v>
      </c>
      <c r="M650" s="46">
        <f>_xlfn.XLOOKUP(A650,Table4[instant],Table4[cnt], ,0,1)</f>
        <v>12</v>
      </c>
      <c r="N650" s="42" t="str">
        <f>IF(OR(Table3[[#This Row],[weekday]]=0,Table3[[#This Row],[weekday]]=6),"Weekend","Weekday")</f>
        <v>Weekend</v>
      </c>
    </row>
    <row r="651" spans="1:14" ht="15" thickBot="1" x14ac:dyDescent="0.35">
      <c r="A651" s="48">
        <v>650</v>
      </c>
      <c r="B651" s="49">
        <v>40573</v>
      </c>
      <c r="C651" s="48">
        <v>9</v>
      </c>
      <c r="D651" s="50" t="b">
        <v>0</v>
      </c>
      <c r="E651" s="51">
        <f>_xlfn.XLOOKUP(A651,Table4[instant],Table4[weekday], ,0,1)</f>
        <v>0</v>
      </c>
      <c r="F651" s="51">
        <f>_xlfn.XLOOKUP(A651,Table4[instant],Table4[weathersit], ,0,1)</f>
        <v>2</v>
      </c>
      <c r="G651" s="42">
        <f>_xlfn.XLOOKUP(A651,Table4[instant],Table4[temp], ,0,1)</f>
        <v>0.16</v>
      </c>
      <c r="H651" s="54">
        <f>_xlfn.XLOOKUP(A651,Table4[instant],Table4[atemp], ,0,1)</f>
        <v>0.2273</v>
      </c>
      <c r="I651" s="42">
        <f>_xlfn.XLOOKUP(A651,Table4[instant],Table4[hum], ,0,1)</f>
        <v>0.8</v>
      </c>
      <c r="J651" s="42">
        <f>_xlfn.XLOOKUP(A651,Table4[instant],Table4[windspeed], ,0,1)</f>
        <v>0</v>
      </c>
      <c r="K651" s="42">
        <f>_xlfn.XLOOKUP(A651,Table4[instant],Table4[casual], ,0,1)</f>
        <v>4</v>
      </c>
      <c r="L651" s="42">
        <f>_xlfn.XLOOKUP(A651,Table4[instant],Table4[registered], ,0,1)</f>
        <v>34</v>
      </c>
      <c r="M651" s="46">
        <f>_xlfn.XLOOKUP(A651,Table4[instant],Table4[cnt], ,0,1)</f>
        <v>38</v>
      </c>
      <c r="N651" s="1" t="str">
        <f>IF(OR(Table3[[#This Row],[weekday]]=0,Table3[[#This Row],[weekday]]=6),"Weekend","Weekday")</f>
        <v>Weekend</v>
      </c>
    </row>
    <row r="652" spans="1:14" ht="15" thickBot="1" x14ac:dyDescent="0.35">
      <c r="A652" s="51">
        <v>651</v>
      </c>
      <c r="B652" s="52">
        <v>40573</v>
      </c>
      <c r="C652" s="51">
        <v>10</v>
      </c>
      <c r="D652" s="53" t="b">
        <v>0</v>
      </c>
      <c r="E652" s="51">
        <f>_xlfn.XLOOKUP(A652,Table4[instant],Table4[weekday], ,0,1)</f>
        <v>0</v>
      </c>
      <c r="F652" s="51">
        <f>_xlfn.XLOOKUP(A652,Table4[instant],Table4[weathersit], ,0,1)</f>
        <v>2</v>
      </c>
      <c r="G652" s="42">
        <f>_xlfn.XLOOKUP(A652,Table4[instant],Table4[temp], ,0,1)</f>
        <v>0.18</v>
      </c>
      <c r="H652" s="54">
        <f>_xlfn.XLOOKUP(A652,Table4[instant],Table4[atemp], ,0,1)</f>
        <v>0.2424</v>
      </c>
      <c r="I652" s="42">
        <f>_xlfn.XLOOKUP(A652,Table4[instant],Table4[hum], ,0,1)</f>
        <v>0.8</v>
      </c>
      <c r="J652" s="42">
        <f>_xlfn.XLOOKUP(A652,Table4[instant],Table4[windspeed], ,0,1)</f>
        <v>0</v>
      </c>
      <c r="K652" s="42">
        <f>_xlfn.XLOOKUP(A652,Table4[instant],Table4[casual], ,0,1)</f>
        <v>7</v>
      </c>
      <c r="L652" s="42">
        <f>_xlfn.XLOOKUP(A652,Table4[instant],Table4[registered], ,0,1)</f>
        <v>57</v>
      </c>
      <c r="M652" s="46">
        <f>_xlfn.XLOOKUP(A652,Table4[instant],Table4[cnt], ,0,1)</f>
        <v>64</v>
      </c>
      <c r="N652" s="42" t="str">
        <f>IF(OR(Table3[[#This Row],[weekday]]=0,Table3[[#This Row],[weekday]]=6),"Weekend","Weekday")</f>
        <v>Weekend</v>
      </c>
    </row>
    <row r="653" spans="1:14" ht="15" thickBot="1" x14ac:dyDescent="0.35">
      <c r="A653" s="48">
        <v>652</v>
      </c>
      <c r="B653" s="49">
        <v>40573</v>
      </c>
      <c r="C653" s="48">
        <v>11</v>
      </c>
      <c r="D653" s="50" t="b">
        <v>0</v>
      </c>
      <c r="E653" s="51">
        <f>_xlfn.XLOOKUP(A653,Table4[instant],Table4[weekday], ,0,1)</f>
        <v>0</v>
      </c>
      <c r="F653" s="51">
        <f>_xlfn.XLOOKUP(A653,Table4[instant],Table4[weathersit], ,0,1)</f>
        <v>1</v>
      </c>
      <c r="G653" s="42">
        <f>_xlfn.XLOOKUP(A653,Table4[instant],Table4[temp], ,0,1)</f>
        <v>0.22</v>
      </c>
      <c r="H653" s="54">
        <f>_xlfn.XLOOKUP(A653,Table4[instant],Table4[atemp], ,0,1)</f>
        <v>0.2727</v>
      </c>
      <c r="I653" s="42">
        <f>_xlfn.XLOOKUP(A653,Table4[instant],Table4[hum], ,0,1)</f>
        <v>0.75</v>
      </c>
      <c r="J653" s="42">
        <f>_xlfn.XLOOKUP(A653,Table4[instant],Table4[windspeed], ,0,1)</f>
        <v>0</v>
      </c>
      <c r="K653" s="42">
        <f>_xlfn.XLOOKUP(A653,Table4[instant],Table4[casual], ,0,1)</f>
        <v>9</v>
      </c>
      <c r="L653" s="42">
        <f>_xlfn.XLOOKUP(A653,Table4[instant],Table4[registered], ,0,1)</f>
        <v>50</v>
      </c>
      <c r="M653" s="46">
        <f>_xlfn.XLOOKUP(A653,Table4[instant],Table4[cnt], ,0,1)</f>
        <v>59</v>
      </c>
      <c r="N653" s="1" t="str">
        <f>IF(OR(Table3[[#This Row],[weekday]]=0,Table3[[#This Row],[weekday]]=6),"Weekend","Weekday")</f>
        <v>Weekend</v>
      </c>
    </row>
    <row r="654" spans="1:14" ht="15" thickBot="1" x14ac:dyDescent="0.35">
      <c r="A654" s="51">
        <v>653</v>
      </c>
      <c r="B654" s="52">
        <v>40573</v>
      </c>
      <c r="C654" s="51">
        <v>12</v>
      </c>
      <c r="D654" s="53" t="b">
        <v>0</v>
      </c>
      <c r="E654" s="51">
        <f>_xlfn.XLOOKUP(A654,Table4[instant],Table4[weekday], ,0,1)</f>
        <v>0</v>
      </c>
      <c r="F654" s="51">
        <f>_xlfn.XLOOKUP(A654,Table4[instant],Table4[weathersit], ,0,1)</f>
        <v>1</v>
      </c>
      <c r="G654" s="42">
        <f>_xlfn.XLOOKUP(A654,Table4[instant],Table4[temp], ,0,1)</f>
        <v>0.3</v>
      </c>
      <c r="H654" s="54">
        <f>_xlfn.XLOOKUP(A654,Table4[instant],Table4[atemp], ,0,1)</f>
        <v>0.31819999999999998</v>
      </c>
      <c r="I654" s="42">
        <f>_xlfn.XLOOKUP(A654,Table4[instant],Table4[hum], ,0,1)</f>
        <v>0.52</v>
      </c>
      <c r="J654" s="42">
        <f>_xlfn.XLOOKUP(A654,Table4[instant],Table4[windspeed], ,0,1)</f>
        <v>0.1045</v>
      </c>
      <c r="K654" s="42">
        <f>_xlfn.XLOOKUP(A654,Table4[instant],Table4[casual], ,0,1)</f>
        <v>10</v>
      </c>
      <c r="L654" s="42">
        <f>_xlfn.XLOOKUP(A654,Table4[instant],Table4[registered], ,0,1)</f>
        <v>87</v>
      </c>
      <c r="M654" s="46">
        <f>_xlfn.XLOOKUP(A654,Table4[instant],Table4[cnt], ,0,1)</f>
        <v>97</v>
      </c>
      <c r="N654" s="42" t="str">
        <f>IF(OR(Table3[[#This Row],[weekday]]=0,Table3[[#This Row],[weekday]]=6),"Weekend","Weekday")</f>
        <v>Weekend</v>
      </c>
    </row>
    <row r="655" spans="1:14" ht="15" thickBot="1" x14ac:dyDescent="0.35">
      <c r="A655" s="48">
        <v>654</v>
      </c>
      <c r="B655" s="49">
        <v>40573</v>
      </c>
      <c r="C655" s="48">
        <v>13</v>
      </c>
      <c r="D655" s="50" t="b">
        <v>0</v>
      </c>
      <c r="E655" s="51">
        <f>_xlfn.XLOOKUP(A655,Table4[instant],Table4[weekday], ,0,1)</f>
        <v>0</v>
      </c>
      <c r="F655" s="51">
        <f>_xlfn.XLOOKUP(A655,Table4[instant],Table4[weathersit], ,0,1)</f>
        <v>1</v>
      </c>
      <c r="G655" s="42">
        <f>_xlfn.XLOOKUP(A655,Table4[instant],Table4[temp], ,0,1)</f>
        <v>0.28000000000000003</v>
      </c>
      <c r="H655" s="54">
        <f>_xlfn.XLOOKUP(A655,Table4[instant],Table4[atemp], ,0,1)</f>
        <v>0.28789999999999999</v>
      </c>
      <c r="I655" s="42">
        <f>_xlfn.XLOOKUP(A655,Table4[instant],Table4[hum], ,0,1)</f>
        <v>0.61</v>
      </c>
      <c r="J655" s="42">
        <f>_xlfn.XLOOKUP(A655,Table4[instant],Table4[windspeed], ,0,1)</f>
        <v>0.1045</v>
      </c>
      <c r="K655" s="42">
        <f>_xlfn.XLOOKUP(A655,Table4[instant],Table4[casual], ,0,1)</f>
        <v>13</v>
      </c>
      <c r="L655" s="42">
        <f>_xlfn.XLOOKUP(A655,Table4[instant],Table4[registered], ,0,1)</f>
        <v>71</v>
      </c>
      <c r="M655" s="46">
        <f>_xlfn.XLOOKUP(A655,Table4[instant],Table4[cnt], ,0,1)</f>
        <v>84</v>
      </c>
      <c r="N655" s="1" t="str">
        <f>IF(OR(Table3[[#This Row],[weekday]]=0,Table3[[#This Row],[weekday]]=6),"Weekend","Weekday")</f>
        <v>Weekend</v>
      </c>
    </row>
    <row r="656" spans="1:14" ht="15" thickBot="1" x14ac:dyDescent="0.35">
      <c r="A656" s="51">
        <v>655</v>
      </c>
      <c r="B656" s="52">
        <v>40573</v>
      </c>
      <c r="C656" s="51">
        <v>14</v>
      </c>
      <c r="D656" s="53" t="b">
        <v>0</v>
      </c>
      <c r="E656" s="51">
        <f>_xlfn.XLOOKUP(A656,Table4[instant],Table4[weekday], ,0,1)</f>
        <v>0</v>
      </c>
      <c r="F656" s="51">
        <f>_xlfn.XLOOKUP(A656,Table4[instant],Table4[weathersit], ,0,1)</f>
        <v>1</v>
      </c>
      <c r="G656" s="42">
        <f>_xlfn.XLOOKUP(A656,Table4[instant],Table4[temp], ,0,1)</f>
        <v>0.28000000000000003</v>
      </c>
      <c r="H656" s="54">
        <f>_xlfn.XLOOKUP(A656,Table4[instant],Table4[atemp], ,0,1)</f>
        <v>0.30299999999999999</v>
      </c>
      <c r="I656" s="42">
        <f>_xlfn.XLOOKUP(A656,Table4[instant],Table4[hum], ,0,1)</f>
        <v>0.61</v>
      </c>
      <c r="J656" s="42">
        <f>_xlfn.XLOOKUP(A656,Table4[instant],Table4[windspeed], ,0,1)</f>
        <v>8.9599999999999999E-2</v>
      </c>
      <c r="K656" s="42">
        <f>_xlfn.XLOOKUP(A656,Table4[instant],Table4[casual], ,0,1)</f>
        <v>18</v>
      </c>
      <c r="L656" s="42">
        <f>_xlfn.XLOOKUP(A656,Table4[instant],Table4[registered], ,0,1)</f>
        <v>104</v>
      </c>
      <c r="M656" s="46">
        <f>_xlfn.XLOOKUP(A656,Table4[instant],Table4[cnt], ,0,1)</f>
        <v>122</v>
      </c>
      <c r="N656" s="42" t="str">
        <f>IF(OR(Table3[[#This Row],[weekday]]=0,Table3[[#This Row],[weekday]]=6),"Weekend","Weekday")</f>
        <v>Weekend</v>
      </c>
    </row>
    <row r="657" spans="1:14" ht="15" thickBot="1" x14ac:dyDescent="0.35">
      <c r="A657" s="48">
        <v>656</v>
      </c>
      <c r="B657" s="49">
        <v>40573</v>
      </c>
      <c r="C657" s="48">
        <v>15</v>
      </c>
      <c r="D657" s="50" t="b">
        <v>0</v>
      </c>
      <c r="E657" s="51">
        <f>_xlfn.XLOOKUP(A657,Table4[instant],Table4[weekday], ,0,1)</f>
        <v>0</v>
      </c>
      <c r="F657" s="51">
        <f>_xlfn.XLOOKUP(A657,Table4[instant],Table4[weathersit], ,0,1)</f>
        <v>1</v>
      </c>
      <c r="G657" s="42">
        <f>_xlfn.XLOOKUP(A657,Table4[instant],Table4[temp], ,0,1)</f>
        <v>0.3</v>
      </c>
      <c r="H657" s="54">
        <f>_xlfn.XLOOKUP(A657,Table4[instant],Table4[atemp], ,0,1)</f>
        <v>0.33329999999999999</v>
      </c>
      <c r="I657" s="42">
        <f>_xlfn.XLOOKUP(A657,Table4[instant],Table4[hum], ,0,1)</f>
        <v>0.56000000000000005</v>
      </c>
      <c r="J657" s="42">
        <f>_xlfn.XLOOKUP(A657,Table4[instant],Table4[windspeed], ,0,1)</f>
        <v>0</v>
      </c>
      <c r="K657" s="42">
        <f>_xlfn.XLOOKUP(A657,Table4[instant],Table4[casual], ,0,1)</f>
        <v>14</v>
      </c>
      <c r="L657" s="42">
        <f>_xlfn.XLOOKUP(A657,Table4[instant],Table4[registered], ,0,1)</f>
        <v>95</v>
      </c>
      <c r="M657" s="46">
        <f>_xlfn.XLOOKUP(A657,Table4[instant],Table4[cnt], ,0,1)</f>
        <v>109</v>
      </c>
      <c r="N657" s="1" t="str">
        <f>IF(OR(Table3[[#This Row],[weekday]]=0,Table3[[#This Row],[weekday]]=6),"Weekend","Weekday")</f>
        <v>Weekend</v>
      </c>
    </row>
    <row r="658" spans="1:14" ht="15" thickBot="1" x14ac:dyDescent="0.35">
      <c r="A658" s="51">
        <v>657</v>
      </c>
      <c r="B658" s="52">
        <v>40573</v>
      </c>
      <c r="C658" s="51">
        <v>16</v>
      </c>
      <c r="D658" s="53" t="b">
        <v>0</v>
      </c>
      <c r="E658" s="51">
        <f>_xlfn.XLOOKUP(A658,Table4[instant],Table4[weekday], ,0,1)</f>
        <v>0</v>
      </c>
      <c r="F658" s="51">
        <f>_xlfn.XLOOKUP(A658,Table4[instant],Table4[weathersit], ,0,1)</f>
        <v>1</v>
      </c>
      <c r="G658" s="42">
        <f>_xlfn.XLOOKUP(A658,Table4[instant],Table4[temp], ,0,1)</f>
        <v>0.3</v>
      </c>
      <c r="H658" s="54">
        <f>_xlfn.XLOOKUP(A658,Table4[instant],Table4[atemp], ,0,1)</f>
        <v>0.33329999999999999</v>
      </c>
      <c r="I658" s="42">
        <f>_xlfn.XLOOKUP(A658,Table4[instant],Table4[hum], ,0,1)</f>
        <v>0.56000000000000005</v>
      </c>
      <c r="J658" s="42">
        <f>_xlfn.XLOOKUP(A658,Table4[instant],Table4[windspeed], ,0,1)</f>
        <v>0</v>
      </c>
      <c r="K658" s="42">
        <f>_xlfn.XLOOKUP(A658,Table4[instant],Table4[casual], ,0,1)</f>
        <v>19</v>
      </c>
      <c r="L658" s="42">
        <f>_xlfn.XLOOKUP(A658,Table4[instant],Table4[registered], ,0,1)</f>
        <v>104</v>
      </c>
      <c r="M658" s="46">
        <f>_xlfn.XLOOKUP(A658,Table4[instant],Table4[cnt], ,0,1)</f>
        <v>123</v>
      </c>
      <c r="N658" s="42" t="str">
        <f>IF(OR(Table3[[#This Row],[weekday]]=0,Table3[[#This Row],[weekday]]=6),"Weekend","Weekday")</f>
        <v>Weekend</v>
      </c>
    </row>
    <row r="659" spans="1:14" ht="15" thickBot="1" x14ac:dyDescent="0.35">
      <c r="A659" s="48">
        <v>658</v>
      </c>
      <c r="B659" s="49">
        <v>40573</v>
      </c>
      <c r="C659" s="48">
        <v>17</v>
      </c>
      <c r="D659" s="50" t="b">
        <v>0</v>
      </c>
      <c r="E659" s="51">
        <f>_xlfn.XLOOKUP(A659,Table4[instant],Table4[weekday], ,0,1)</f>
        <v>0</v>
      </c>
      <c r="F659" s="51">
        <f>_xlfn.XLOOKUP(A659,Table4[instant],Table4[weathersit], ,0,1)</f>
        <v>1</v>
      </c>
      <c r="G659" s="42">
        <f>_xlfn.XLOOKUP(A659,Table4[instant],Table4[temp], ,0,1)</f>
        <v>0.3</v>
      </c>
      <c r="H659" s="54">
        <f>_xlfn.XLOOKUP(A659,Table4[instant],Table4[atemp], ,0,1)</f>
        <v>0.28789999999999999</v>
      </c>
      <c r="I659" s="42">
        <f>_xlfn.XLOOKUP(A659,Table4[instant],Table4[hum], ,0,1)</f>
        <v>0.56000000000000005</v>
      </c>
      <c r="J659" s="42">
        <f>_xlfn.XLOOKUP(A659,Table4[instant],Table4[windspeed], ,0,1)</f>
        <v>0.19400000000000001</v>
      </c>
      <c r="K659" s="42">
        <f>_xlfn.XLOOKUP(A659,Table4[instant],Table4[casual], ,0,1)</f>
        <v>6</v>
      </c>
      <c r="L659" s="42">
        <f>_xlfn.XLOOKUP(A659,Table4[instant],Table4[registered], ,0,1)</f>
        <v>71</v>
      </c>
      <c r="M659" s="46">
        <f>_xlfn.XLOOKUP(A659,Table4[instant],Table4[cnt], ,0,1)</f>
        <v>77</v>
      </c>
      <c r="N659" s="1" t="str">
        <f>IF(OR(Table3[[#This Row],[weekday]]=0,Table3[[#This Row],[weekday]]=6),"Weekend","Weekday")</f>
        <v>Weekend</v>
      </c>
    </row>
    <row r="660" spans="1:14" ht="15" thickBot="1" x14ac:dyDescent="0.35">
      <c r="A660" s="51">
        <v>659</v>
      </c>
      <c r="B660" s="52">
        <v>40573</v>
      </c>
      <c r="C660" s="51">
        <v>18</v>
      </c>
      <c r="D660" s="53" t="b">
        <v>0</v>
      </c>
      <c r="E660" s="51">
        <f>_xlfn.XLOOKUP(A660,Table4[instant],Table4[weekday], ,0,1)</f>
        <v>0</v>
      </c>
      <c r="F660" s="51">
        <f>_xlfn.XLOOKUP(A660,Table4[instant],Table4[weathersit], ,0,1)</f>
        <v>1</v>
      </c>
      <c r="G660" s="42">
        <f>_xlfn.XLOOKUP(A660,Table4[instant],Table4[temp], ,0,1)</f>
        <v>0.26</v>
      </c>
      <c r="H660" s="54">
        <f>_xlfn.XLOOKUP(A660,Table4[instant],Table4[atemp], ,0,1)</f>
        <v>0.2576</v>
      </c>
      <c r="I660" s="42">
        <f>_xlfn.XLOOKUP(A660,Table4[instant],Table4[hum], ,0,1)</f>
        <v>0.65</v>
      </c>
      <c r="J660" s="42">
        <f>_xlfn.XLOOKUP(A660,Table4[instant],Table4[windspeed], ,0,1)</f>
        <v>0.16420000000000001</v>
      </c>
      <c r="K660" s="42">
        <f>_xlfn.XLOOKUP(A660,Table4[instant],Table4[casual], ,0,1)</f>
        <v>8</v>
      </c>
      <c r="L660" s="42">
        <f>_xlfn.XLOOKUP(A660,Table4[instant],Table4[registered], ,0,1)</f>
        <v>57</v>
      </c>
      <c r="M660" s="46">
        <f>_xlfn.XLOOKUP(A660,Table4[instant],Table4[cnt], ,0,1)</f>
        <v>65</v>
      </c>
      <c r="N660" s="42" t="str">
        <f>IF(OR(Table3[[#This Row],[weekday]]=0,Table3[[#This Row],[weekday]]=6),"Weekend","Weekday")</f>
        <v>Weekend</v>
      </c>
    </row>
    <row r="661" spans="1:14" ht="15" thickBot="1" x14ac:dyDescent="0.35">
      <c r="A661" s="48">
        <v>660</v>
      </c>
      <c r="B661" s="49">
        <v>40573</v>
      </c>
      <c r="C661" s="48">
        <v>19</v>
      </c>
      <c r="D661" s="50" t="b">
        <v>0</v>
      </c>
      <c r="E661" s="51">
        <f>_xlfn.XLOOKUP(A661,Table4[instant],Table4[weekday], ,0,1)</f>
        <v>0</v>
      </c>
      <c r="F661" s="51">
        <f>_xlfn.XLOOKUP(A661,Table4[instant],Table4[weathersit], ,0,1)</f>
        <v>1</v>
      </c>
      <c r="G661" s="42">
        <f>_xlfn.XLOOKUP(A661,Table4[instant],Table4[temp], ,0,1)</f>
        <v>0.26</v>
      </c>
      <c r="H661" s="54">
        <f>_xlfn.XLOOKUP(A661,Table4[instant],Table4[atemp], ,0,1)</f>
        <v>0.2576</v>
      </c>
      <c r="I661" s="42">
        <f>_xlfn.XLOOKUP(A661,Table4[instant],Table4[hum], ,0,1)</f>
        <v>0.65</v>
      </c>
      <c r="J661" s="42">
        <f>_xlfn.XLOOKUP(A661,Table4[instant],Table4[windspeed], ,0,1)</f>
        <v>0.19400000000000001</v>
      </c>
      <c r="K661" s="42">
        <f>_xlfn.XLOOKUP(A661,Table4[instant],Table4[casual], ,0,1)</f>
        <v>9</v>
      </c>
      <c r="L661" s="42">
        <f>_xlfn.XLOOKUP(A661,Table4[instant],Table4[registered], ,0,1)</f>
        <v>46</v>
      </c>
      <c r="M661" s="46">
        <f>_xlfn.XLOOKUP(A661,Table4[instant],Table4[cnt], ,0,1)</f>
        <v>55</v>
      </c>
      <c r="N661" s="1" t="str">
        <f>IF(OR(Table3[[#This Row],[weekday]]=0,Table3[[#This Row],[weekday]]=6),"Weekend","Weekday")</f>
        <v>Weekend</v>
      </c>
    </row>
    <row r="662" spans="1:14" ht="15" thickBot="1" x14ac:dyDescent="0.35">
      <c r="A662" s="51">
        <v>661</v>
      </c>
      <c r="B662" s="52">
        <v>40573</v>
      </c>
      <c r="C662" s="51">
        <v>20</v>
      </c>
      <c r="D662" s="53" t="b">
        <v>0</v>
      </c>
      <c r="E662" s="51">
        <f>_xlfn.XLOOKUP(A662,Table4[instant],Table4[weekday], ,0,1)</f>
        <v>0</v>
      </c>
      <c r="F662" s="51">
        <f>_xlfn.XLOOKUP(A662,Table4[instant],Table4[weathersit], ,0,1)</f>
        <v>2</v>
      </c>
      <c r="G662" s="42">
        <f>_xlfn.XLOOKUP(A662,Table4[instant],Table4[temp], ,0,1)</f>
        <v>0.26</v>
      </c>
      <c r="H662" s="54">
        <f>_xlfn.XLOOKUP(A662,Table4[instant],Table4[atemp], ,0,1)</f>
        <v>0.2727</v>
      </c>
      <c r="I662" s="42">
        <f>_xlfn.XLOOKUP(A662,Table4[instant],Table4[hum], ,0,1)</f>
        <v>0.65</v>
      </c>
      <c r="J662" s="42">
        <f>_xlfn.XLOOKUP(A662,Table4[instant],Table4[windspeed], ,0,1)</f>
        <v>0.1045</v>
      </c>
      <c r="K662" s="42">
        <f>_xlfn.XLOOKUP(A662,Table4[instant],Table4[casual], ,0,1)</f>
        <v>3</v>
      </c>
      <c r="L662" s="42">
        <f>_xlfn.XLOOKUP(A662,Table4[instant],Table4[registered], ,0,1)</f>
        <v>30</v>
      </c>
      <c r="M662" s="46">
        <f>_xlfn.XLOOKUP(A662,Table4[instant],Table4[cnt], ,0,1)</f>
        <v>33</v>
      </c>
      <c r="N662" s="42" t="str">
        <f>IF(OR(Table3[[#This Row],[weekday]]=0,Table3[[#This Row],[weekday]]=6),"Weekend","Weekday")</f>
        <v>Weekend</v>
      </c>
    </row>
    <row r="663" spans="1:14" ht="15" thickBot="1" x14ac:dyDescent="0.35">
      <c r="A663" s="48">
        <v>662</v>
      </c>
      <c r="B663" s="49">
        <v>40573</v>
      </c>
      <c r="C663" s="48">
        <v>21</v>
      </c>
      <c r="D663" s="50" t="b">
        <v>0</v>
      </c>
      <c r="E663" s="51">
        <f>_xlfn.XLOOKUP(A663,Table4[instant],Table4[weekday], ,0,1)</f>
        <v>0</v>
      </c>
      <c r="F663" s="51">
        <f>_xlfn.XLOOKUP(A663,Table4[instant],Table4[weathersit], ,0,1)</f>
        <v>2</v>
      </c>
      <c r="G663" s="42">
        <f>_xlfn.XLOOKUP(A663,Table4[instant],Table4[temp], ,0,1)</f>
        <v>0.24</v>
      </c>
      <c r="H663" s="54">
        <f>_xlfn.XLOOKUP(A663,Table4[instant],Table4[atemp], ,0,1)</f>
        <v>0.2424</v>
      </c>
      <c r="I663" s="42">
        <f>_xlfn.XLOOKUP(A663,Table4[instant],Table4[hum], ,0,1)</f>
        <v>0.7</v>
      </c>
      <c r="J663" s="42">
        <f>_xlfn.XLOOKUP(A663,Table4[instant],Table4[windspeed], ,0,1)</f>
        <v>0.16420000000000001</v>
      </c>
      <c r="K663" s="42">
        <f>_xlfn.XLOOKUP(A663,Table4[instant],Table4[casual], ,0,1)</f>
        <v>3</v>
      </c>
      <c r="L663" s="42">
        <f>_xlfn.XLOOKUP(A663,Table4[instant],Table4[registered], ,0,1)</f>
        <v>25</v>
      </c>
      <c r="M663" s="46">
        <f>_xlfn.XLOOKUP(A663,Table4[instant],Table4[cnt], ,0,1)</f>
        <v>28</v>
      </c>
      <c r="N663" s="1" t="str">
        <f>IF(OR(Table3[[#This Row],[weekday]]=0,Table3[[#This Row],[weekday]]=6),"Weekend","Weekday")</f>
        <v>Weekend</v>
      </c>
    </row>
    <row r="664" spans="1:14" ht="15" thickBot="1" x14ac:dyDescent="0.35">
      <c r="A664" s="51">
        <v>663</v>
      </c>
      <c r="B664" s="52">
        <v>40573</v>
      </c>
      <c r="C664" s="51">
        <v>22</v>
      </c>
      <c r="D664" s="53" t="b">
        <v>0</v>
      </c>
      <c r="E664" s="51">
        <f>_xlfn.XLOOKUP(A664,Table4[instant],Table4[weekday], ,0,1)</f>
        <v>0</v>
      </c>
      <c r="F664" s="51">
        <f>_xlfn.XLOOKUP(A664,Table4[instant],Table4[weathersit], ,0,1)</f>
        <v>2</v>
      </c>
      <c r="G664" s="42">
        <f>_xlfn.XLOOKUP(A664,Table4[instant],Table4[temp], ,0,1)</f>
        <v>0.24</v>
      </c>
      <c r="H664" s="54">
        <f>_xlfn.XLOOKUP(A664,Table4[instant],Table4[atemp], ,0,1)</f>
        <v>0.2273</v>
      </c>
      <c r="I664" s="42">
        <f>_xlfn.XLOOKUP(A664,Table4[instant],Table4[hum], ,0,1)</f>
        <v>0.7</v>
      </c>
      <c r="J664" s="42">
        <f>_xlfn.XLOOKUP(A664,Table4[instant],Table4[windspeed], ,0,1)</f>
        <v>0.19400000000000001</v>
      </c>
      <c r="K664" s="42">
        <f>_xlfn.XLOOKUP(A664,Table4[instant],Table4[casual], ,0,1)</f>
        <v>2</v>
      </c>
      <c r="L664" s="42">
        <f>_xlfn.XLOOKUP(A664,Table4[instant],Table4[registered], ,0,1)</f>
        <v>19</v>
      </c>
      <c r="M664" s="46">
        <f>_xlfn.XLOOKUP(A664,Table4[instant],Table4[cnt], ,0,1)</f>
        <v>21</v>
      </c>
      <c r="N664" s="42" t="str">
        <f>IF(OR(Table3[[#This Row],[weekday]]=0,Table3[[#This Row],[weekday]]=6),"Weekend","Weekday")</f>
        <v>Weekend</v>
      </c>
    </row>
    <row r="665" spans="1:14" ht="15" thickBot="1" x14ac:dyDescent="0.35">
      <c r="A665" s="48">
        <v>664</v>
      </c>
      <c r="B665" s="49">
        <v>40573</v>
      </c>
      <c r="C665" s="48">
        <v>23</v>
      </c>
      <c r="D665" s="50" t="b">
        <v>0</v>
      </c>
      <c r="E665" s="51">
        <f>_xlfn.XLOOKUP(A665,Table4[instant],Table4[weekday], ,0,1)</f>
        <v>0</v>
      </c>
      <c r="F665" s="51">
        <f>_xlfn.XLOOKUP(A665,Table4[instant],Table4[weathersit], ,0,1)</f>
        <v>2</v>
      </c>
      <c r="G665" s="42">
        <f>_xlfn.XLOOKUP(A665,Table4[instant],Table4[temp], ,0,1)</f>
        <v>0.24</v>
      </c>
      <c r="H665" s="54">
        <f>_xlfn.XLOOKUP(A665,Table4[instant],Table4[atemp], ,0,1)</f>
        <v>0.21210000000000001</v>
      </c>
      <c r="I665" s="42">
        <f>_xlfn.XLOOKUP(A665,Table4[instant],Table4[hum], ,0,1)</f>
        <v>0.65</v>
      </c>
      <c r="J665" s="42">
        <f>_xlfn.XLOOKUP(A665,Table4[instant],Table4[windspeed], ,0,1)</f>
        <v>0.28360000000000002</v>
      </c>
      <c r="K665" s="42">
        <f>_xlfn.XLOOKUP(A665,Table4[instant],Table4[casual], ,0,1)</f>
        <v>5</v>
      </c>
      <c r="L665" s="42">
        <f>_xlfn.XLOOKUP(A665,Table4[instant],Table4[registered], ,0,1)</f>
        <v>16</v>
      </c>
      <c r="M665" s="46">
        <f>_xlfn.XLOOKUP(A665,Table4[instant],Table4[cnt], ,0,1)</f>
        <v>21</v>
      </c>
      <c r="N665" s="1" t="str">
        <f>IF(OR(Table3[[#This Row],[weekday]]=0,Table3[[#This Row],[weekday]]=6),"Weekend","Weekday")</f>
        <v>Weekend</v>
      </c>
    </row>
    <row r="666" spans="1:14" ht="15" thickBot="1" x14ac:dyDescent="0.35">
      <c r="A666" s="51">
        <v>665</v>
      </c>
      <c r="B666" s="52">
        <v>40574</v>
      </c>
      <c r="C666" s="51">
        <v>0</v>
      </c>
      <c r="D666" s="53" t="b">
        <v>0</v>
      </c>
      <c r="E666" s="51">
        <f>_xlfn.XLOOKUP(A666,Table4[instant],Table4[weekday], ,0,1)</f>
        <v>1</v>
      </c>
      <c r="F666" s="51">
        <f>_xlfn.XLOOKUP(A666,Table4[instant],Table4[weathersit], ,0,1)</f>
        <v>2</v>
      </c>
      <c r="G666" s="42">
        <f>_xlfn.XLOOKUP(A666,Table4[instant],Table4[temp], ,0,1)</f>
        <v>0.24</v>
      </c>
      <c r="H666" s="54">
        <f>_xlfn.XLOOKUP(A666,Table4[instant],Table4[atemp], ,0,1)</f>
        <v>0.2273</v>
      </c>
      <c r="I666" s="42">
        <f>_xlfn.XLOOKUP(A666,Table4[instant],Table4[hum], ,0,1)</f>
        <v>0.65</v>
      </c>
      <c r="J666" s="42">
        <f>_xlfn.XLOOKUP(A666,Table4[instant],Table4[windspeed], ,0,1)</f>
        <v>0.22389999999999999</v>
      </c>
      <c r="K666" s="42">
        <f>_xlfn.XLOOKUP(A666,Table4[instant],Table4[casual], ,0,1)</f>
        <v>1</v>
      </c>
      <c r="L666" s="42">
        <f>_xlfn.XLOOKUP(A666,Table4[instant],Table4[registered], ,0,1)</f>
        <v>6</v>
      </c>
      <c r="M666" s="46">
        <f>_xlfn.XLOOKUP(A666,Table4[instant],Table4[cnt], ,0,1)</f>
        <v>7</v>
      </c>
      <c r="N666" s="42" t="str">
        <f>IF(OR(Table3[[#This Row],[weekday]]=0,Table3[[#This Row],[weekday]]=6),"Weekend","Weekday")</f>
        <v>Weekday</v>
      </c>
    </row>
    <row r="667" spans="1:14" ht="15" thickBot="1" x14ac:dyDescent="0.35">
      <c r="A667" s="48">
        <v>666</v>
      </c>
      <c r="B667" s="49">
        <v>40574</v>
      </c>
      <c r="C667" s="48">
        <v>1</v>
      </c>
      <c r="D667" s="50" t="b">
        <v>0</v>
      </c>
      <c r="E667" s="51">
        <f>_xlfn.XLOOKUP(A667,Table4[instant],Table4[weekday], ,0,1)</f>
        <v>1</v>
      </c>
      <c r="F667" s="51">
        <f>_xlfn.XLOOKUP(A667,Table4[instant],Table4[weathersit], ,0,1)</f>
        <v>1</v>
      </c>
      <c r="G667" s="42">
        <f>_xlfn.XLOOKUP(A667,Table4[instant],Table4[temp], ,0,1)</f>
        <v>0.22</v>
      </c>
      <c r="H667" s="54">
        <f>_xlfn.XLOOKUP(A667,Table4[instant],Table4[atemp], ,0,1)</f>
        <v>0.21210000000000001</v>
      </c>
      <c r="I667" s="42">
        <f>_xlfn.XLOOKUP(A667,Table4[instant],Table4[hum], ,0,1)</f>
        <v>0.64</v>
      </c>
      <c r="J667" s="42">
        <f>_xlfn.XLOOKUP(A667,Table4[instant],Table4[windspeed], ,0,1)</f>
        <v>0.25369999999999998</v>
      </c>
      <c r="K667" s="42">
        <f>_xlfn.XLOOKUP(A667,Table4[instant],Table4[casual], ,0,1)</f>
        <v>2</v>
      </c>
      <c r="L667" s="42">
        <f>_xlfn.XLOOKUP(A667,Table4[instant],Table4[registered], ,0,1)</f>
        <v>5</v>
      </c>
      <c r="M667" s="46">
        <f>_xlfn.XLOOKUP(A667,Table4[instant],Table4[cnt], ,0,1)</f>
        <v>7</v>
      </c>
      <c r="N667" s="1" t="str">
        <f>IF(OR(Table3[[#This Row],[weekday]]=0,Table3[[#This Row],[weekday]]=6),"Weekend","Weekday")</f>
        <v>Weekday</v>
      </c>
    </row>
    <row r="668" spans="1:14" ht="15" thickBot="1" x14ac:dyDescent="0.35">
      <c r="A668" s="51">
        <v>667</v>
      </c>
      <c r="B668" s="52">
        <v>40574</v>
      </c>
      <c r="C668" s="51">
        <v>2</v>
      </c>
      <c r="D668" s="53" t="b">
        <v>0</v>
      </c>
      <c r="E668" s="51">
        <f>_xlfn.XLOOKUP(A668,Table4[instant],Table4[weekday], ,0,1)</f>
        <v>1</v>
      </c>
      <c r="F668" s="51">
        <f>_xlfn.XLOOKUP(A668,Table4[instant],Table4[weathersit], ,0,1)</f>
        <v>1</v>
      </c>
      <c r="G668" s="42">
        <f>_xlfn.XLOOKUP(A668,Table4[instant],Table4[temp], ,0,1)</f>
        <v>0.22</v>
      </c>
      <c r="H668" s="54">
        <f>_xlfn.XLOOKUP(A668,Table4[instant],Table4[atemp], ,0,1)</f>
        <v>0.2273</v>
      </c>
      <c r="I668" s="42">
        <f>_xlfn.XLOOKUP(A668,Table4[instant],Table4[hum], ,0,1)</f>
        <v>0.64</v>
      </c>
      <c r="J668" s="42">
        <f>_xlfn.XLOOKUP(A668,Table4[instant],Table4[windspeed], ,0,1)</f>
        <v>0.19400000000000001</v>
      </c>
      <c r="K668" s="42">
        <f>_xlfn.XLOOKUP(A668,Table4[instant],Table4[casual], ,0,1)</f>
        <v>0</v>
      </c>
      <c r="L668" s="42">
        <f>_xlfn.XLOOKUP(A668,Table4[instant],Table4[registered], ,0,1)</f>
        <v>1</v>
      </c>
      <c r="M668" s="46">
        <f>_xlfn.XLOOKUP(A668,Table4[instant],Table4[cnt], ,0,1)</f>
        <v>1</v>
      </c>
      <c r="N668" s="42" t="str">
        <f>IF(OR(Table3[[#This Row],[weekday]]=0,Table3[[#This Row],[weekday]]=6),"Weekend","Weekday")</f>
        <v>Weekday</v>
      </c>
    </row>
    <row r="669" spans="1:14" ht="15" thickBot="1" x14ac:dyDescent="0.35">
      <c r="A669" s="48">
        <v>668</v>
      </c>
      <c r="B669" s="49">
        <v>40574</v>
      </c>
      <c r="C669" s="48">
        <v>3</v>
      </c>
      <c r="D669" s="50" t="b">
        <v>0</v>
      </c>
      <c r="E669" s="51">
        <f>_xlfn.XLOOKUP(A669,Table4[instant],Table4[weekday], ,0,1)</f>
        <v>1</v>
      </c>
      <c r="F669" s="51">
        <f>_xlfn.XLOOKUP(A669,Table4[instant],Table4[weathersit], ,0,1)</f>
        <v>1</v>
      </c>
      <c r="G669" s="42">
        <f>_xlfn.XLOOKUP(A669,Table4[instant],Table4[temp], ,0,1)</f>
        <v>0.22</v>
      </c>
      <c r="H669" s="54">
        <f>_xlfn.XLOOKUP(A669,Table4[instant],Table4[atemp], ,0,1)</f>
        <v>0.2273</v>
      </c>
      <c r="I669" s="42">
        <f>_xlfn.XLOOKUP(A669,Table4[instant],Table4[hum], ,0,1)</f>
        <v>0.64</v>
      </c>
      <c r="J669" s="42">
        <f>_xlfn.XLOOKUP(A669,Table4[instant],Table4[windspeed], ,0,1)</f>
        <v>0.19400000000000001</v>
      </c>
      <c r="K669" s="42">
        <f>_xlfn.XLOOKUP(A669,Table4[instant],Table4[casual], ,0,1)</f>
        <v>0</v>
      </c>
      <c r="L669" s="42">
        <f>_xlfn.XLOOKUP(A669,Table4[instant],Table4[registered], ,0,1)</f>
        <v>2</v>
      </c>
      <c r="M669" s="46">
        <f>_xlfn.XLOOKUP(A669,Table4[instant],Table4[cnt], ,0,1)</f>
        <v>2</v>
      </c>
      <c r="N669" s="1" t="str">
        <f>IF(OR(Table3[[#This Row],[weekday]]=0,Table3[[#This Row],[weekday]]=6),"Weekend","Weekday")</f>
        <v>Weekday</v>
      </c>
    </row>
    <row r="670" spans="1:14" ht="15" thickBot="1" x14ac:dyDescent="0.35">
      <c r="A670" s="51">
        <v>669</v>
      </c>
      <c r="B670" s="52">
        <v>40574</v>
      </c>
      <c r="C670" s="51">
        <v>4</v>
      </c>
      <c r="D670" s="53" t="b">
        <v>0</v>
      </c>
      <c r="E670" s="51">
        <f>_xlfn.XLOOKUP(A670,Table4[instant],Table4[weekday], ,0,1)</f>
        <v>1</v>
      </c>
      <c r="F670" s="51">
        <f>_xlfn.XLOOKUP(A670,Table4[instant],Table4[weathersit], ,0,1)</f>
        <v>1</v>
      </c>
      <c r="G670" s="42">
        <f>_xlfn.XLOOKUP(A670,Table4[instant],Table4[temp], ,0,1)</f>
        <v>0.2</v>
      </c>
      <c r="H670" s="54">
        <f>_xlfn.XLOOKUP(A670,Table4[instant],Table4[atemp], ,0,1)</f>
        <v>0.19700000000000001</v>
      </c>
      <c r="I670" s="42">
        <f>_xlfn.XLOOKUP(A670,Table4[instant],Table4[hum], ,0,1)</f>
        <v>0.59</v>
      </c>
      <c r="J670" s="42">
        <f>_xlfn.XLOOKUP(A670,Table4[instant],Table4[windspeed], ,0,1)</f>
        <v>0.22389999999999999</v>
      </c>
      <c r="K670" s="42">
        <f>_xlfn.XLOOKUP(A670,Table4[instant],Table4[casual], ,0,1)</f>
        <v>0</v>
      </c>
      <c r="L670" s="42">
        <f>_xlfn.XLOOKUP(A670,Table4[instant],Table4[registered], ,0,1)</f>
        <v>2</v>
      </c>
      <c r="M670" s="46">
        <f>_xlfn.XLOOKUP(A670,Table4[instant],Table4[cnt], ,0,1)</f>
        <v>2</v>
      </c>
      <c r="N670" s="42" t="str">
        <f>IF(OR(Table3[[#This Row],[weekday]]=0,Table3[[#This Row],[weekday]]=6),"Weekend","Weekday")</f>
        <v>Weekday</v>
      </c>
    </row>
    <row r="671" spans="1:14" ht="15" thickBot="1" x14ac:dyDescent="0.35">
      <c r="A671" s="48">
        <v>670</v>
      </c>
      <c r="B671" s="49">
        <v>40574</v>
      </c>
      <c r="C671" s="48">
        <v>5</v>
      </c>
      <c r="D671" s="50" t="b">
        <v>0</v>
      </c>
      <c r="E671" s="51">
        <f>_xlfn.XLOOKUP(A671,Table4[instant],Table4[weekday], ,0,1)</f>
        <v>1</v>
      </c>
      <c r="F671" s="51">
        <f>_xlfn.XLOOKUP(A671,Table4[instant],Table4[weathersit], ,0,1)</f>
        <v>1</v>
      </c>
      <c r="G671" s="42">
        <f>_xlfn.XLOOKUP(A671,Table4[instant],Table4[temp], ,0,1)</f>
        <v>0.18</v>
      </c>
      <c r="H671" s="54">
        <f>_xlfn.XLOOKUP(A671,Table4[instant],Table4[atemp], ,0,1)</f>
        <v>0.16669999999999999</v>
      </c>
      <c r="I671" s="42">
        <f>_xlfn.XLOOKUP(A671,Table4[instant],Table4[hum], ,0,1)</f>
        <v>0.64</v>
      </c>
      <c r="J671" s="42">
        <f>_xlfn.XLOOKUP(A671,Table4[instant],Table4[windspeed], ,0,1)</f>
        <v>0.28360000000000002</v>
      </c>
      <c r="K671" s="42">
        <f>_xlfn.XLOOKUP(A671,Table4[instant],Table4[casual], ,0,1)</f>
        <v>0</v>
      </c>
      <c r="L671" s="42">
        <f>_xlfn.XLOOKUP(A671,Table4[instant],Table4[registered], ,0,1)</f>
        <v>8</v>
      </c>
      <c r="M671" s="46">
        <f>_xlfn.XLOOKUP(A671,Table4[instant],Table4[cnt], ,0,1)</f>
        <v>8</v>
      </c>
      <c r="N671" s="1" t="str">
        <f>IF(OR(Table3[[#This Row],[weekday]]=0,Table3[[#This Row],[weekday]]=6),"Weekend","Weekday")</f>
        <v>Weekday</v>
      </c>
    </row>
    <row r="672" spans="1:14" ht="15" thickBot="1" x14ac:dyDescent="0.35">
      <c r="A672" s="51">
        <v>671</v>
      </c>
      <c r="B672" s="52">
        <v>40574</v>
      </c>
      <c r="C672" s="51">
        <v>6</v>
      </c>
      <c r="D672" s="53" t="b">
        <v>0</v>
      </c>
      <c r="E672" s="51">
        <f>_xlfn.XLOOKUP(A672,Table4[instant],Table4[weekday], ,0,1)</f>
        <v>1</v>
      </c>
      <c r="F672" s="51">
        <f>_xlfn.XLOOKUP(A672,Table4[instant],Table4[weathersit], ,0,1)</f>
        <v>1</v>
      </c>
      <c r="G672" s="42">
        <f>_xlfn.XLOOKUP(A672,Table4[instant],Table4[temp], ,0,1)</f>
        <v>0.16</v>
      </c>
      <c r="H672" s="54">
        <f>_xlfn.XLOOKUP(A672,Table4[instant],Table4[atemp], ,0,1)</f>
        <v>0.13639999999999999</v>
      </c>
      <c r="I672" s="42">
        <f>_xlfn.XLOOKUP(A672,Table4[instant],Table4[hum], ,0,1)</f>
        <v>0.69</v>
      </c>
      <c r="J672" s="42">
        <f>_xlfn.XLOOKUP(A672,Table4[instant],Table4[windspeed], ,0,1)</f>
        <v>0.32840000000000003</v>
      </c>
      <c r="K672" s="42">
        <f>_xlfn.XLOOKUP(A672,Table4[instant],Table4[casual], ,0,1)</f>
        <v>0</v>
      </c>
      <c r="L672" s="42">
        <f>_xlfn.XLOOKUP(A672,Table4[instant],Table4[registered], ,0,1)</f>
        <v>37</v>
      </c>
      <c r="M672" s="46">
        <f>_xlfn.XLOOKUP(A672,Table4[instant],Table4[cnt], ,0,1)</f>
        <v>37</v>
      </c>
      <c r="N672" s="42" t="str">
        <f>IF(OR(Table3[[#This Row],[weekday]]=0,Table3[[#This Row],[weekday]]=6),"Weekend","Weekday")</f>
        <v>Weekday</v>
      </c>
    </row>
    <row r="673" spans="1:14" ht="15" thickBot="1" x14ac:dyDescent="0.35">
      <c r="A673" s="48">
        <v>672</v>
      </c>
      <c r="B673" s="49">
        <v>40574</v>
      </c>
      <c r="C673" s="48">
        <v>7</v>
      </c>
      <c r="D673" s="50" t="b">
        <v>0</v>
      </c>
      <c r="E673" s="51">
        <f>_xlfn.XLOOKUP(A673,Table4[instant],Table4[weekday], ,0,1)</f>
        <v>1</v>
      </c>
      <c r="F673" s="51">
        <f>_xlfn.XLOOKUP(A673,Table4[instant],Table4[weathersit], ,0,1)</f>
        <v>2</v>
      </c>
      <c r="G673" s="42">
        <f>_xlfn.XLOOKUP(A673,Table4[instant],Table4[temp], ,0,1)</f>
        <v>0.16</v>
      </c>
      <c r="H673" s="54">
        <f>_xlfn.XLOOKUP(A673,Table4[instant],Table4[atemp], ,0,1)</f>
        <v>0.13639999999999999</v>
      </c>
      <c r="I673" s="42">
        <f>_xlfn.XLOOKUP(A673,Table4[instant],Table4[hum], ,0,1)</f>
        <v>0.64</v>
      </c>
      <c r="J673" s="42">
        <f>_xlfn.XLOOKUP(A673,Table4[instant],Table4[windspeed], ,0,1)</f>
        <v>0.28360000000000002</v>
      </c>
      <c r="K673" s="42">
        <f>_xlfn.XLOOKUP(A673,Table4[instant],Table4[casual], ,0,1)</f>
        <v>1</v>
      </c>
      <c r="L673" s="42">
        <f>_xlfn.XLOOKUP(A673,Table4[instant],Table4[registered], ,0,1)</f>
        <v>71</v>
      </c>
      <c r="M673" s="46">
        <f>_xlfn.XLOOKUP(A673,Table4[instant],Table4[cnt], ,0,1)</f>
        <v>72</v>
      </c>
      <c r="N673" s="1" t="str">
        <f>IF(OR(Table3[[#This Row],[weekday]]=0,Table3[[#This Row],[weekday]]=6),"Weekend","Weekday")</f>
        <v>Weekday</v>
      </c>
    </row>
    <row r="674" spans="1:14" ht="15" thickBot="1" x14ac:dyDescent="0.35">
      <c r="A674" s="51">
        <v>673</v>
      </c>
      <c r="B674" s="52">
        <v>40574</v>
      </c>
      <c r="C674" s="51">
        <v>8</v>
      </c>
      <c r="D674" s="53" t="b">
        <v>0</v>
      </c>
      <c r="E674" s="51">
        <f>_xlfn.XLOOKUP(A674,Table4[instant],Table4[weekday], ,0,1)</f>
        <v>1</v>
      </c>
      <c r="F674" s="51">
        <f>_xlfn.XLOOKUP(A674,Table4[instant],Table4[weathersit], ,0,1)</f>
        <v>2</v>
      </c>
      <c r="G674" s="42">
        <f>_xlfn.XLOOKUP(A674,Table4[instant],Table4[temp], ,0,1)</f>
        <v>0.16</v>
      </c>
      <c r="H674" s="54">
        <f>_xlfn.XLOOKUP(A674,Table4[instant],Table4[atemp], ,0,1)</f>
        <v>0.13639999999999999</v>
      </c>
      <c r="I674" s="42">
        <f>_xlfn.XLOOKUP(A674,Table4[instant],Table4[hum], ,0,1)</f>
        <v>0.59</v>
      </c>
      <c r="J674" s="42">
        <f>_xlfn.XLOOKUP(A674,Table4[instant],Table4[windspeed], ,0,1)</f>
        <v>0.28360000000000002</v>
      </c>
      <c r="K674" s="42">
        <f>_xlfn.XLOOKUP(A674,Table4[instant],Table4[casual], ,0,1)</f>
        <v>3</v>
      </c>
      <c r="L674" s="42">
        <f>_xlfn.XLOOKUP(A674,Table4[instant],Table4[registered], ,0,1)</f>
        <v>182</v>
      </c>
      <c r="M674" s="46">
        <f>_xlfn.XLOOKUP(A674,Table4[instant],Table4[cnt], ,0,1)</f>
        <v>185</v>
      </c>
      <c r="N674" s="42" t="str">
        <f>IF(OR(Table3[[#This Row],[weekday]]=0,Table3[[#This Row],[weekday]]=6),"Weekend","Weekday")</f>
        <v>Weekday</v>
      </c>
    </row>
    <row r="675" spans="1:14" ht="15" thickBot="1" x14ac:dyDescent="0.35">
      <c r="A675" s="48">
        <v>674</v>
      </c>
      <c r="B675" s="49">
        <v>40574</v>
      </c>
      <c r="C675" s="48">
        <v>9</v>
      </c>
      <c r="D675" s="50" t="b">
        <v>0</v>
      </c>
      <c r="E675" s="51">
        <f>_xlfn.XLOOKUP(A675,Table4[instant],Table4[weekday], ,0,1)</f>
        <v>1</v>
      </c>
      <c r="F675" s="51">
        <f>_xlfn.XLOOKUP(A675,Table4[instant],Table4[weathersit], ,0,1)</f>
        <v>2</v>
      </c>
      <c r="G675" s="42">
        <f>_xlfn.XLOOKUP(A675,Table4[instant],Table4[temp], ,0,1)</f>
        <v>0.16</v>
      </c>
      <c r="H675" s="54">
        <f>_xlfn.XLOOKUP(A675,Table4[instant],Table4[atemp], ,0,1)</f>
        <v>0.13639999999999999</v>
      </c>
      <c r="I675" s="42">
        <f>_xlfn.XLOOKUP(A675,Table4[instant],Table4[hum], ,0,1)</f>
        <v>0.59</v>
      </c>
      <c r="J675" s="42">
        <f>_xlfn.XLOOKUP(A675,Table4[instant],Table4[windspeed], ,0,1)</f>
        <v>0.29849999999999999</v>
      </c>
      <c r="K675" s="42">
        <f>_xlfn.XLOOKUP(A675,Table4[instant],Table4[casual], ,0,1)</f>
        <v>0</v>
      </c>
      <c r="L675" s="42">
        <f>_xlfn.XLOOKUP(A675,Table4[instant],Table4[registered], ,0,1)</f>
        <v>112</v>
      </c>
      <c r="M675" s="46">
        <f>_xlfn.XLOOKUP(A675,Table4[instant],Table4[cnt], ,0,1)</f>
        <v>112</v>
      </c>
      <c r="N675" s="1" t="str">
        <f>IF(OR(Table3[[#This Row],[weekday]]=0,Table3[[#This Row],[weekday]]=6),"Weekend","Weekday")</f>
        <v>Weekday</v>
      </c>
    </row>
    <row r="676" spans="1:14" ht="15" thickBot="1" x14ac:dyDescent="0.35">
      <c r="A676" s="51">
        <v>675</v>
      </c>
      <c r="B676" s="52">
        <v>40574</v>
      </c>
      <c r="C676" s="51">
        <v>10</v>
      </c>
      <c r="D676" s="53" t="b">
        <v>0</v>
      </c>
      <c r="E676" s="51">
        <f>_xlfn.XLOOKUP(A676,Table4[instant],Table4[weekday], ,0,1)</f>
        <v>1</v>
      </c>
      <c r="F676" s="51">
        <f>_xlfn.XLOOKUP(A676,Table4[instant],Table4[weathersit], ,0,1)</f>
        <v>2</v>
      </c>
      <c r="G676" s="42">
        <f>_xlfn.XLOOKUP(A676,Table4[instant],Table4[temp], ,0,1)</f>
        <v>0.16</v>
      </c>
      <c r="H676" s="54">
        <f>_xlfn.XLOOKUP(A676,Table4[instant],Table4[atemp], ,0,1)</f>
        <v>0.1515</v>
      </c>
      <c r="I676" s="42">
        <f>_xlfn.XLOOKUP(A676,Table4[instant],Table4[hum], ,0,1)</f>
        <v>0.59</v>
      </c>
      <c r="J676" s="42">
        <f>_xlfn.XLOOKUP(A676,Table4[instant],Table4[windspeed], ,0,1)</f>
        <v>0.19400000000000001</v>
      </c>
      <c r="K676" s="42">
        <f>_xlfn.XLOOKUP(A676,Table4[instant],Table4[casual], ,0,1)</f>
        <v>1</v>
      </c>
      <c r="L676" s="42">
        <f>_xlfn.XLOOKUP(A676,Table4[instant],Table4[registered], ,0,1)</f>
        <v>68</v>
      </c>
      <c r="M676" s="46">
        <f>_xlfn.XLOOKUP(A676,Table4[instant],Table4[cnt], ,0,1)</f>
        <v>69</v>
      </c>
      <c r="N676" s="42" t="str">
        <f>IF(OR(Table3[[#This Row],[weekday]]=0,Table3[[#This Row],[weekday]]=6),"Weekend","Weekday")</f>
        <v>Weekday</v>
      </c>
    </row>
    <row r="677" spans="1:14" ht="15" thickBot="1" x14ac:dyDescent="0.35">
      <c r="A677" s="48">
        <v>676</v>
      </c>
      <c r="B677" s="49">
        <v>40574</v>
      </c>
      <c r="C677" s="48">
        <v>11</v>
      </c>
      <c r="D677" s="50" t="b">
        <v>0</v>
      </c>
      <c r="E677" s="51">
        <f>_xlfn.XLOOKUP(A677,Table4[instant],Table4[weekday], ,0,1)</f>
        <v>1</v>
      </c>
      <c r="F677" s="51">
        <f>_xlfn.XLOOKUP(A677,Table4[instant],Table4[weathersit], ,0,1)</f>
        <v>2</v>
      </c>
      <c r="G677" s="42">
        <f>_xlfn.XLOOKUP(A677,Table4[instant],Table4[temp], ,0,1)</f>
        <v>0.16</v>
      </c>
      <c r="H677" s="54">
        <f>_xlfn.XLOOKUP(A677,Table4[instant],Table4[atemp], ,0,1)</f>
        <v>0.1515</v>
      </c>
      <c r="I677" s="42">
        <f>_xlfn.XLOOKUP(A677,Table4[instant],Table4[hum], ,0,1)</f>
        <v>0.59</v>
      </c>
      <c r="J677" s="42">
        <f>_xlfn.XLOOKUP(A677,Table4[instant],Table4[windspeed], ,0,1)</f>
        <v>0.19400000000000001</v>
      </c>
      <c r="K677" s="42">
        <f>_xlfn.XLOOKUP(A677,Table4[instant],Table4[casual], ,0,1)</f>
        <v>2</v>
      </c>
      <c r="L677" s="42">
        <f>_xlfn.XLOOKUP(A677,Table4[instant],Table4[registered], ,0,1)</f>
        <v>46</v>
      </c>
      <c r="M677" s="46">
        <f>_xlfn.XLOOKUP(A677,Table4[instant],Table4[cnt], ,0,1)</f>
        <v>48</v>
      </c>
      <c r="N677" s="1" t="str">
        <f>IF(OR(Table3[[#This Row],[weekday]]=0,Table3[[#This Row],[weekday]]=6),"Weekend","Weekday")</f>
        <v>Weekday</v>
      </c>
    </row>
    <row r="678" spans="1:14" ht="15" thickBot="1" x14ac:dyDescent="0.35">
      <c r="A678" s="51">
        <v>677</v>
      </c>
      <c r="B678" s="52">
        <v>40574</v>
      </c>
      <c r="C678" s="51">
        <v>12</v>
      </c>
      <c r="D678" s="53" t="b">
        <v>0</v>
      </c>
      <c r="E678" s="51">
        <f>_xlfn.XLOOKUP(A678,Table4[instant],Table4[weekday], ,0,1)</f>
        <v>1</v>
      </c>
      <c r="F678" s="51">
        <f>_xlfn.XLOOKUP(A678,Table4[instant],Table4[weathersit], ,0,1)</f>
        <v>2</v>
      </c>
      <c r="G678" s="42">
        <f>_xlfn.XLOOKUP(A678,Table4[instant],Table4[temp], ,0,1)</f>
        <v>0.18</v>
      </c>
      <c r="H678" s="54">
        <f>_xlfn.XLOOKUP(A678,Table4[instant],Table4[atemp], ,0,1)</f>
        <v>0.21210000000000001</v>
      </c>
      <c r="I678" s="42">
        <f>_xlfn.XLOOKUP(A678,Table4[instant],Table4[hum], ,0,1)</f>
        <v>0.55000000000000004</v>
      </c>
      <c r="J678" s="42">
        <f>_xlfn.XLOOKUP(A678,Table4[instant],Table4[windspeed], ,0,1)</f>
        <v>0.1045</v>
      </c>
      <c r="K678" s="42">
        <f>_xlfn.XLOOKUP(A678,Table4[instant],Table4[casual], ,0,1)</f>
        <v>6</v>
      </c>
      <c r="L678" s="42">
        <f>_xlfn.XLOOKUP(A678,Table4[instant],Table4[registered], ,0,1)</f>
        <v>62</v>
      </c>
      <c r="M678" s="46">
        <f>_xlfn.XLOOKUP(A678,Table4[instant],Table4[cnt], ,0,1)</f>
        <v>68</v>
      </c>
      <c r="N678" s="42" t="str">
        <f>IF(OR(Table3[[#This Row],[weekday]]=0,Table3[[#This Row],[weekday]]=6),"Weekend","Weekday")</f>
        <v>Weekday</v>
      </c>
    </row>
    <row r="679" spans="1:14" ht="15" thickBot="1" x14ac:dyDescent="0.35">
      <c r="A679" s="48">
        <v>678</v>
      </c>
      <c r="B679" s="49">
        <v>40574</v>
      </c>
      <c r="C679" s="48">
        <v>13</v>
      </c>
      <c r="D679" s="50" t="b">
        <v>0</v>
      </c>
      <c r="E679" s="51">
        <f>_xlfn.XLOOKUP(A679,Table4[instant],Table4[weekday], ,0,1)</f>
        <v>1</v>
      </c>
      <c r="F679" s="51">
        <f>_xlfn.XLOOKUP(A679,Table4[instant],Table4[weathersit], ,0,1)</f>
        <v>2</v>
      </c>
      <c r="G679" s="42">
        <f>_xlfn.XLOOKUP(A679,Table4[instant],Table4[temp], ,0,1)</f>
        <v>0.16</v>
      </c>
      <c r="H679" s="54">
        <f>_xlfn.XLOOKUP(A679,Table4[instant],Table4[atemp], ,0,1)</f>
        <v>0.2273</v>
      </c>
      <c r="I679" s="42">
        <f>_xlfn.XLOOKUP(A679,Table4[instant],Table4[hum], ,0,1)</f>
        <v>0.59</v>
      </c>
      <c r="J679" s="42">
        <f>_xlfn.XLOOKUP(A679,Table4[instant],Table4[windspeed], ,0,1)</f>
        <v>0</v>
      </c>
      <c r="K679" s="42">
        <f>_xlfn.XLOOKUP(A679,Table4[instant],Table4[casual], ,0,1)</f>
        <v>2</v>
      </c>
      <c r="L679" s="42">
        <f>_xlfn.XLOOKUP(A679,Table4[instant],Table4[registered], ,0,1)</f>
        <v>52</v>
      </c>
      <c r="M679" s="46">
        <f>_xlfn.XLOOKUP(A679,Table4[instant],Table4[cnt], ,0,1)</f>
        <v>54</v>
      </c>
      <c r="N679" s="1" t="str">
        <f>IF(OR(Table3[[#This Row],[weekday]]=0,Table3[[#This Row],[weekday]]=6),"Weekend","Weekday")</f>
        <v>Weekday</v>
      </c>
    </row>
    <row r="680" spans="1:14" ht="15" thickBot="1" x14ac:dyDescent="0.35">
      <c r="A680" s="51">
        <v>679</v>
      </c>
      <c r="B680" s="52">
        <v>40574</v>
      </c>
      <c r="C680" s="51">
        <v>14</v>
      </c>
      <c r="D680" s="53" t="b">
        <v>0</v>
      </c>
      <c r="E680" s="51">
        <f>_xlfn.XLOOKUP(A680,Table4[instant],Table4[weekday], ,0,1)</f>
        <v>1</v>
      </c>
      <c r="F680" s="51">
        <f>_xlfn.XLOOKUP(A680,Table4[instant],Table4[weathersit], ,0,1)</f>
        <v>2</v>
      </c>
      <c r="G680" s="42">
        <f>_xlfn.XLOOKUP(A680,Table4[instant],Table4[temp], ,0,1)</f>
        <v>0.18</v>
      </c>
      <c r="H680" s="54">
        <f>_xlfn.XLOOKUP(A680,Table4[instant],Table4[atemp], ,0,1)</f>
        <v>0.19700000000000001</v>
      </c>
      <c r="I680" s="42">
        <f>_xlfn.XLOOKUP(A680,Table4[instant],Table4[hum], ,0,1)</f>
        <v>0.55000000000000004</v>
      </c>
      <c r="J680" s="42">
        <f>_xlfn.XLOOKUP(A680,Table4[instant],Table4[windspeed], ,0,1)</f>
        <v>0.1343</v>
      </c>
      <c r="K680" s="42">
        <f>_xlfn.XLOOKUP(A680,Table4[instant],Table4[casual], ,0,1)</f>
        <v>1</v>
      </c>
      <c r="L680" s="42">
        <f>_xlfn.XLOOKUP(A680,Table4[instant],Table4[registered], ,0,1)</f>
        <v>85</v>
      </c>
      <c r="M680" s="46">
        <f>_xlfn.XLOOKUP(A680,Table4[instant],Table4[cnt], ,0,1)</f>
        <v>86</v>
      </c>
      <c r="N680" s="42" t="str">
        <f>IF(OR(Table3[[#This Row],[weekday]]=0,Table3[[#This Row],[weekday]]=6),"Weekend","Weekday")</f>
        <v>Weekday</v>
      </c>
    </row>
    <row r="681" spans="1:14" ht="15" thickBot="1" x14ac:dyDescent="0.35">
      <c r="A681" s="48">
        <v>680</v>
      </c>
      <c r="B681" s="49">
        <v>40574</v>
      </c>
      <c r="C681" s="48">
        <v>15</v>
      </c>
      <c r="D681" s="50" t="b">
        <v>0</v>
      </c>
      <c r="E681" s="51">
        <f>_xlfn.XLOOKUP(A681,Table4[instant],Table4[weekday], ,0,1)</f>
        <v>1</v>
      </c>
      <c r="F681" s="51">
        <f>_xlfn.XLOOKUP(A681,Table4[instant],Table4[weathersit], ,0,1)</f>
        <v>2</v>
      </c>
      <c r="G681" s="42">
        <f>_xlfn.XLOOKUP(A681,Table4[instant],Table4[temp], ,0,1)</f>
        <v>0.16</v>
      </c>
      <c r="H681" s="54">
        <f>_xlfn.XLOOKUP(A681,Table4[instant],Table4[atemp], ,0,1)</f>
        <v>0.18179999999999999</v>
      </c>
      <c r="I681" s="42">
        <f>_xlfn.XLOOKUP(A681,Table4[instant],Table4[hum], ,0,1)</f>
        <v>0.59</v>
      </c>
      <c r="J681" s="42">
        <f>_xlfn.XLOOKUP(A681,Table4[instant],Table4[windspeed], ,0,1)</f>
        <v>0.1343</v>
      </c>
      <c r="K681" s="42">
        <f>_xlfn.XLOOKUP(A681,Table4[instant],Table4[casual], ,0,1)</f>
        <v>3</v>
      </c>
      <c r="L681" s="42">
        <f>_xlfn.XLOOKUP(A681,Table4[instant],Table4[registered], ,0,1)</f>
        <v>41</v>
      </c>
      <c r="M681" s="46">
        <f>_xlfn.XLOOKUP(A681,Table4[instant],Table4[cnt], ,0,1)</f>
        <v>44</v>
      </c>
      <c r="N681" s="1" t="str">
        <f>IF(OR(Table3[[#This Row],[weekday]]=0,Table3[[#This Row],[weekday]]=6),"Weekend","Weekday")</f>
        <v>Weekday</v>
      </c>
    </row>
    <row r="682" spans="1:14" ht="15" thickBot="1" x14ac:dyDescent="0.35">
      <c r="A682" s="51">
        <v>681</v>
      </c>
      <c r="B682" s="52">
        <v>40574</v>
      </c>
      <c r="C682" s="51">
        <v>16</v>
      </c>
      <c r="D682" s="53" t="b">
        <v>0</v>
      </c>
      <c r="E682" s="51">
        <f>_xlfn.XLOOKUP(A682,Table4[instant],Table4[weekday], ,0,1)</f>
        <v>1</v>
      </c>
      <c r="F682" s="51">
        <f>_xlfn.XLOOKUP(A682,Table4[instant],Table4[weathersit], ,0,1)</f>
        <v>2</v>
      </c>
      <c r="G682" s="42">
        <f>_xlfn.XLOOKUP(A682,Table4[instant],Table4[temp], ,0,1)</f>
        <v>0.16</v>
      </c>
      <c r="H682" s="54">
        <f>_xlfn.XLOOKUP(A682,Table4[instant],Table4[atemp], ,0,1)</f>
        <v>0.18179999999999999</v>
      </c>
      <c r="I682" s="42">
        <f>_xlfn.XLOOKUP(A682,Table4[instant],Table4[hum], ,0,1)</f>
        <v>0.56000000000000005</v>
      </c>
      <c r="J682" s="42">
        <f>_xlfn.XLOOKUP(A682,Table4[instant],Table4[windspeed], ,0,1)</f>
        <v>0.19400000000000001</v>
      </c>
      <c r="K682" s="42">
        <f>_xlfn.XLOOKUP(A682,Table4[instant],Table4[casual], ,0,1)</f>
        <v>3</v>
      </c>
      <c r="L682" s="42">
        <f>_xlfn.XLOOKUP(A682,Table4[instant],Table4[registered], ,0,1)</f>
        <v>83</v>
      </c>
      <c r="M682" s="46">
        <f>_xlfn.XLOOKUP(A682,Table4[instant],Table4[cnt], ,0,1)</f>
        <v>86</v>
      </c>
      <c r="N682" s="42" t="str">
        <f>IF(OR(Table3[[#This Row],[weekday]]=0,Table3[[#This Row],[weekday]]=6),"Weekend","Weekday")</f>
        <v>Weekday</v>
      </c>
    </row>
    <row r="683" spans="1:14" ht="15" thickBot="1" x14ac:dyDescent="0.35">
      <c r="A683" s="48">
        <v>682</v>
      </c>
      <c r="B683" s="49">
        <v>40574</v>
      </c>
      <c r="C683" s="48">
        <v>17</v>
      </c>
      <c r="D683" s="50" t="b">
        <v>0</v>
      </c>
      <c r="E683" s="51">
        <f>_xlfn.XLOOKUP(A683,Table4[instant],Table4[weekday], ,0,1)</f>
        <v>1</v>
      </c>
      <c r="F683" s="51">
        <f>_xlfn.XLOOKUP(A683,Table4[instant],Table4[weathersit], ,0,1)</f>
        <v>2</v>
      </c>
      <c r="G683" s="42">
        <f>_xlfn.XLOOKUP(A683,Table4[instant],Table4[temp], ,0,1)</f>
        <v>0.16</v>
      </c>
      <c r="H683" s="54">
        <f>_xlfn.XLOOKUP(A683,Table4[instant],Table4[atemp], ,0,1)</f>
        <v>0.1515</v>
      </c>
      <c r="I683" s="42">
        <f>_xlfn.XLOOKUP(A683,Table4[instant],Table4[hum], ,0,1)</f>
        <v>0.59</v>
      </c>
      <c r="J683" s="42">
        <f>_xlfn.XLOOKUP(A683,Table4[instant],Table4[windspeed], ,0,1)</f>
        <v>0.19400000000000001</v>
      </c>
      <c r="K683" s="42">
        <f>_xlfn.XLOOKUP(A683,Table4[instant],Table4[casual], ,0,1)</f>
        <v>6</v>
      </c>
      <c r="L683" s="42">
        <f>_xlfn.XLOOKUP(A683,Table4[instant],Table4[registered], ,0,1)</f>
        <v>155</v>
      </c>
      <c r="M683" s="46">
        <f>_xlfn.XLOOKUP(A683,Table4[instant],Table4[cnt], ,0,1)</f>
        <v>161</v>
      </c>
      <c r="N683" s="1" t="str">
        <f>IF(OR(Table3[[#This Row],[weekday]]=0,Table3[[#This Row],[weekday]]=6),"Weekend","Weekday")</f>
        <v>Weekday</v>
      </c>
    </row>
    <row r="684" spans="1:14" ht="15" thickBot="1" x14ac:dyDescent="0.35">
      <c r="A684" s="51">
        <v>683</v>
      </c>
      <c r="B684" s="52">
        <v>40574</v>
      </c>
      <c r="C684" s="51">
        <v>18</v>
      </c>
      <c r="D684" s="53" t="b">
        <v>0</v>
      </c>
      <c r="E684" s="51">
        <f>_xlfn.XLOOKUP(A684,Table4[instant],Table4[weekday], ,0,1)</f>
        <v>1</v>
      </c>
      <c r="F684" s="51">
        <f>_xlfn.XLOOKUP(A684,Table4[instant],Table4[weathersit], ,0,1)</f>
        <v>2</v>
      </c>
      <c r="G684" s="42">
        <f>_xlfn.XLOOKUP(A684,Table4[instant],Table4[temp], ,0,1)</f>
        <v>0.16</v>
      </c>
      <c r="H684" s="54">
        <f>_xlfn.XLOOKUP(A684,Table4[instant],Table4[atemp], ,0,1)</f>
        <v>0.1515</v>
      </c>
      <c r="I684" s="42">
        <f>_xlfn.XLOOKUP(A684,Table4[instant],Table4[hum], ,0,1)</f>
        <v>0.55000000000000004</v>
      </c>
      <c r="J684" s="42">
        <f>_xlfn.XLOOKUP(A684,Table4[instant],Table4[windspeed], ,0,1)</f>
        <v>0.22389999999999999</v>
      </c>
      <c r="K684" s="42">
        <f>_xlfn.XLOOKUP(A684,Table4[instant],Table4[casual], ,0,1)</f>
        <v>3</v>
      </c>
      <c r="L684" s="42">
        <f>_xlfn.XLOOKUP(A684,Table4[instant],Table4[registered], ,0,1)</f>
        <v>153</v>
      </c>
      <c r="M684" s="46">
        <f>_xlfn.XLOOKUP(A684,Table4[instant],Table4[cnt], ,0,1)</f>
        <v>156</v>
      </c>
      <c r="N684" s="42" t="str">
        <f>IF(OR(Table3[[#This Row],[weekday]]=0,Table3[[#This Row],[weekday]]=6),"Weekend","Weekday")</f>
        <v>Weekday</v>
      </c>
    </row>
    <row r="685" spans="1:14" ht="15" thickBot="1" x14ac:dyDescent="0.35">
      <c r="A685" s="48">
        <v>684</v>
      </c>
      <c r="B685" s="49">
        <v>40574</v>
      </c>
      <c r="C685" s="48">
        <v>19</v>
      </c>
      <c r="D685" s="50" t="b">
        <v>0</v>
      </c>
      <c r="E685" s="51">
        <f>_xlfn.XLOOKUP(A685,Table4[instant],Table4[weekday], ,0,1)</f>
        <v>1</v>
      </c>
      <c r="F685" s="51">
        <f>_xlfn.XLOOKUP(A685,Table4[instant],Table4[weathersit], ,0,1)</f>
        <v>1</v>
      </c>
      <c r="G685" s="42">
        <f>_xlfn.XLOOKUP(A685,Table4[instant],Table4[temp], ,0,1)</f>
        <v>0.3</v>
      </c>
      <c r="H685" s="54">
        <f>_xlfn.XLOOKUP(A685,Table4[instant],Table4[atemp], ,0,1)</f>
        <v>0.31819999999999998</v>
      </c>
      <c r="I685" s="42">
        <f>_xlfn.XLOOKUP(A685,Table4[instant],Table4[hum], ,0,1)</f>
        <v>0.61</v>
      </c>
      <c r="J685" s="42">
        <f>_xlfn.XLOOKUP(A685,Table4[instant],Table4[windspeed], ,0,1)</f>
        <v>0.1045</v>
      </c>
      <c r="K685" s="42">
        <f>_xlfn.XLOOKUP(A685,Table4[instant],Table4[casual], ,0,1)</f>
        <v>3</v>
      </c>
      <c r="L685" s="42">
        <f>_xlfn.XLOOKUP(A685,Table4[instant],Table4[registered], ,0,1)</f>
        <v>108</v>
      </c>
      <c r="M685" s="46">
        <f>_xlfn.XLOOKUP(A685,Table4[instant],Table4[cnt], ,0,1)</f>
        <v>111</v>
      </c>
      <c r="N685" s="1" t="str">
        <f>IF(OR(Table3[[#This Row],[weekday]]=0,Table3[[#This Row],[weekday]]=6),"Weekend","Weekday")</f>
        <v>Weekday</v>
      </c>
    </row>
    <row r="686" spans="1:14" ht="15" thickBot="1" x14ac:dyDescent="0.35">
      <c r="A686" s="51">
        <v>685</v>
      </c>
      <c r="B686" s="52">
        <v>40574</v>
      </c>
      <c r="C686" s="51">
        <v>20</v>
      </c>
      <c r="D686" s="53" t="b">
        <v>0</v>
      </c>
      <c r="E686" s="51">
        <f>_xlfn.XLOOKUP(A686,Table4[instant],Table4[weekday], ,0,1)</f>
        <v>1</v>
      </c>
      <c r="F686" s="51">
        <f>_xlfn.XLOOKUP(A686,Table4[instant],Table4[weathersit], ,0,1)</f>
        <v>3</v>
      </c>
      <c r="G686" s="42">
        <f>_xlfn.XLOOKUP(A686,Table4[instant],Table4[temp], ,0,1)</f>
        <v>0.16</v>
      </c>
      <c r="H686" s="54">
        <f>_xlfn.XLOOKUP(A686,Table4[instant],Table4[atemp], ,0,1)</f>
        <v>0.16669999999999999</v>
      </c>
      <c r="I686" s="42">
        <f>_xlfn.XLOOKUP(A686,Table4[instant],Table4[hum], ,0,1)</f>
        <v>0.59</v>
      </c>
      <c r="J686" s="42">
        <f>_xlfn.XLOOKUP(A686,Table4[instant],Table4[windspeed], ,0,1)</f>
        <v>0.16420000000000001</v>
      </c>
      <c r="K686" s="42">
        <f>_xlfn.XLOOKUP(A686,Table4[instant],Table4[casual], ,0,1)</f>
        <v>0</v>
      </c>
      <c r="L686" s="42">
        <f>_xlfn.XLOOKUP(A686,Table4[instant],Table4[registered], ,0,1)</f>
        <v>78</v>
      </c>
      <c r="M686" s="46">
        <f>_xlfn.XLOOKUP(A686,Table4[instant],Table4[cnt], ,0,1)</f>
        <v>78</v>
      </c>
      <c r="N686" s="42" t="str">
        <f>IF(OR(Table3[[#This Row],[weekday]]=0,Table3[[#This Row],[weekday]]=6),"Weekend","Weekday")</f>
        <v>Weekday</v>
      </c>
    </row>
    <row r="687" spans="1:14" ht="15" thickBot="1" x14ac:dyDescent="0.35">
      <c r="A687" s="48">
        <v>686</v>
      </c>
      <c r="B687" s="49">
        <v>40574</v>
      </c>
      <c r="C687" s="48">
        <v>21</v>
      </c>
      <c r="D687" s="50" t="b">
        <v>0</v>
      </c>
      <c r="E687" s="51">
        <f>_xlfn.XLOOKUP(A687,Table4[instant],Table4[weekday], ,0,1)</f>
        <v>1</v>
      </c>
      <c r="F687" s="51">
        <f>_xlfn.XLOOKUP(A687,Table4[instant],Table4[weathersit], ,0,1)</f>
        <v>3</v>
      </c>
      <c r="G687" s="42">
        <f>_xlfn.XLOOKUP(A687,Table4[instant],Table4[temp], ,0,1)</f>
        <v>0.16</v>
      </c>
      <c r="H687" s="54">
        <f>_xlfn.XLOOKUP(A687,Table4[instant],Table4[atemp], ,0,1)</f>
        <v>0.19700000000000001</v>
      </c>
      <c r="I687" s="42">
        <f>_xlfn.XLOOKUP(A687,Table4[instant],Table4[hum], ,0,1)</f>
        <v>0.59</v>
      </c>
      <c r="J687" s="42">
        <f>_xlfn.XLOOKUP(A687,Table4[instant],Table4[windspeed], ,0,1)</f>
        <v>8.9599999999999999E-2</v>
      </c>
      <c r="K687" s="42">
        <f>_xlfn.XLOOKUP(A687,Table4[instant],Table4[casual], ,0,1)</f>
        <v>3</v>
      </c>
      <c r="L687" s="42">
        <f>_xlfn.XLOOKUP(A687,Table4[instant],Table4[registered], ,0,1)</f>
        <v>53</v>
      </c>
      <c r="M687" s="46">
        <f>_xlfn.XLOOKUP(A687,Table4[instant],Table4[cnt], ,0,1)</f>
        <v>56</v>
      </c>
      <c r="N687" s="1" t="str">
        <f>IF(OR(Table3[[#This Row],[weekday]]=0,Table3[[#This Row],[weekday]]=6),"Weekend","Weekday")</f>
        <v>Weekday</v>
      </c>
    </row>
    <row r="688" spans="1:14" ht="15" thickBot="1" x14ac:dyDescent="0.35">
      <c r="A688" s="51">
        <v>687</v>
      </c>
      <c r="B688" s="52">
        <v>40574</v>
      </c>
      <c r="C688" s="51">
        <v>22</v>
      </c>
      <c r="D688" s="53" t="b">
        <v>0</v>
      </c>
      <c r="E688" s="51">
        <f>_xlfn.XLOOKUP(A688,Table4[instant],Table4[weekday], ,0,1)</f>
        <v>1</v>
      </c>
      <c r="F688" s="51">
        <f>_xlfn.XLOOKUP(A688,Table4[instant],Table4[weathersit], ,0,1)</f>
        <v>2</v>
      </c>
      <c r="G688" s="42">
        <f>_xlfn.XLOOKUP(A688,Table4[instant],Table4[temp], ,0,1)</f>
        <v>0.16</v>
      </c>
      <c r="H688" s="54">
        <f>_xlfn.XLOOKUP(A688,Table4[instant],Table4[atemp], ,0,1)</f>
        <v>0.18179999999999999</v>
      </c>
      <c r="I688" s="42">
        <f>_xlfn.XLOOKUP(A688,Table4[instant],Table4[hum], ,0,1)</f>
        <v>0.59</v>
      </c>
      <c r="J688" s="42">
        <f>_xlfn.XLOOKUP(A688,Table4[instant],Table4[windspeed], ,0,1)</f>
        <v>0.1045</v>
      </c>
      <c r="K688" s="42">
        <f>_xlfn.XLOOKUP(A688,Table4[instant],Table4[casual], ,0,1)</f>
        <v>0</v>
      </c>
      <c r="L688" s="42">
        <f>_xlfn.XLOOKUP(A688,Table4[instant],Table4[registered], ,0,1)</f>
        <v>34</v>
      </c>
      <c r="M688" s="46">
        <f>_xlfn.XLOOKUP(A688,Table4[instant],Table4[cnt], ,0,1)</f>
        <v>34</v>
      </c>
      <c r="N688" s="42" t="str">
        <f>IF(OR(Table3[[#This Row],[weekday]]=0,Table3[[#This Row],[weekday]]=6),"Weekend","Weekday")</f>
        <v>Weekday</v>
      </c>
    </row>
    <row r="689" spans="1:14" ht="15" thickBot="1" x14ac:dyDescent="0.35">
      <c r="A689" s="48">
        <v>688</v>
      </c>
      <c r="B689" s="49">
        <v>40574</v>
      </c>
      <c r="C689" s="48">
        <v>23</v>
      </c>
      <c r="D689" s="50" t="b">
        <v>0</v>
      </c>
      <c r="E689" s="51">
        <f>_xlfn.XLOOKUP(A689,Table4[instant],Table4[weekday], ,0,1)</f>
        <v>1</v>
      </c>
      <c r="F689" s="51">
        <f>_xlfn.XLOOKUP(A689,Table4[instant],Table4[weathersit], ,0,1)</f>
        <v>2</v>
      </c>
      <c r="G689" s="42">
        <f>_xlfn.XLOOKUP(A689,Table4[instant],Table4[temp], ,0,1)</f>
        <v>0.16</v>
      </c>
      <c r="H689" s="54">
        <f>_xlfn.XLOOKUP(A689,Table4[instant],Table4[atemp], ,0,1)</f>
        <v>0.19700000000000001</v>
      </c>
      <c r="I689" s="42">
        <f>_xlfn.XLOOKUP(A689,Table4[instant],Table4[hum], ,0,1)</f>
        <v>0.64</v>
      </c>
      <c r="J689" s="42">
        <f>_xlfn.XLOOKUP(A689,Table4[instant],Table4[windspeed], ,0,1)</f>
        <v>8.9599999999999999E-2</v>
      </c>
      <c r="K689" s="42">
        <f>_xlfn.XLOOKUP(A689,Table4[instant],Table4[casual], ,0,1)</f>
        <v>2</v>
      </c>
      <c r="L689" s="42">
        <f>_xlfn.XLOOKUP(A689,Table4[instant],Table4[registered], ,0,1)</f>
        <v>15</v>
      </c>
      <c r="M689" s="46">
        <f>_xlfn.XLOOKUP(A689,Table4[instant],Table4[cnt], ,0,1)</f>
        <v>17</v>
      </c>
      <c r="N689" s="1" t="str">
        <f>IF(OR(Table3[[#This Row],[weekday]]=0,Table3[[#This Row],[weekday]]=6),"Weekend","Weekday")</f>
        <v>Weekday</v>
      </c>
    </row>
    <row r="690" spans="1:14" ht="15" thickBot="1" x14ac:dyDescent="0.35">
      <c r="A690" s="51">
        <v>689</v>
      </c>
      <c r="B690" s="52">
        <v>40575</v>
      </c>
      <c r="C690" s="51">
        <v>0</v>
      </c>
      <c r="D690" s="53" t="b">
        <v>0</v>
      </c>
      <c r="E690" s="51">
        <f>_xlfn.XLOOKUP(A690,Table4[instant],Table4[weekday], ,0,1)</f>
        <v>2</v>
      </c>
      <c r="F690" s="51">
        <f>_xlfn.XLOOKUP(A690,Table4[instant],Table4[weathersit], ,0,1)</f>
        <v>2</v>
      </c>
      <c r="G690" s="42">
        <f>_xlfn.XLOOKUP(A690,Table4[instant],Table4[temp], ,0,1)</f>
        <v>0.16</v>
      </c>
      <c r="H690" s="54">
        <f>_xlfn.XLOOKUP(A690,Table4[instant],Table4[atemp], ,0,1)</f>
        <v>0.18179999999999999</v>
      </c>
      <c r="I690" s="42">
        <f>_xlfn.XLOOKUP(A690,Table4[instant],Table4[hum], ,0,1)</f>
        <v>0.64</v>
      </c>
      <c r="J690" s="42">
        <f>_xlfn.XLOOKUP(A690,Table4[instant],Table4[windspeed], ,0,1)</f>
        <v>0.1045</v>
      </c>
      <c r="K690" s="42">
        <f>_xlfn.XLOOKUP(A690,Table4[instant],Table4[casual], ,0,1)</f>
        <v>2</v>
      </c>
      <c r="L690" s="42">
        <f>_xlfn.XLOOKUP(A690,Table4[instant],Table4[registered], ,0,1)</f>
        <v>6</v>
      </c>
      <c r="M690" s="46">
        <f>_xlfn.XLOOKUP(A690,Table4[instant],Table4[cnt], ,0,1)</f>
        <v>8</v>
      </c>
      <c r="N690" s="42" t="str">
        <f>IF(OR(Table3[[#This Row],[weekday]]=0,Table3[[#This Row],[weekday]]=6),"Weekend","Weekday")</f>
        <v>Weekday</v>
      </c>
    </row>
    <row r="691" spans="1:14" ht="15" thickBot="1" x14ac:dyDescent="0.35">
      <c r="A691" s="48">
        <v>690</v>
      </c>
      <c r="B691" s="49">
        <v>40575</v>
      </c>
      <c r="C691" s="48">
        <v>1</v>
      </c>
      <c r="D691" s="50" t="b">
        <v>0</v>
      </c>
      <c r="E691" s="51">
        <f>_xlfn.XLOOKUP(A691,Table4[instant],Table4[weekday], ,0,1)</f>
        <v>2</v>
      </c>
      <c r="F691" s="51">
        <f>_xlfn.XLOOKUP(A691,Table4[instant],Table4[weathersit], ,0,1)</f>
        <v>2</v>
      </c>
      <c r="G691" s="42">
        <f>_xlfn.XLOOKUP(A691,Table4[instant],Table4[temp], ,0,1)</f>
        <v>0.16</v>
      </c>
      <c r="H691" s="54">
        <f>_xlfn.XLOOKUP(A691,Table4[instant],Table4[atemp], ,0,1)</f>
        <v>0.18179999999999999</v>
      </c>
      <c r="I691" s="42">
        <f>_xlfn.XLOOKUP(A691,Table4[instant],Table4[hum], ,0,1)</f>
        <v>0.69</v>
      </c>
      <c r="J691" s="42">
        <f>_xlfn.XLOOKUP(A691,Table4[instant],Table4[windspeed], ,0,1)</f>
        <v>0.1045</v>
      </c>
      <c r="K691" s="42">
        <f>_xlfn.XLOOKUP(A691,Table4[instant],Table4[casual], ,0,1)</f>
        <v>0</v>
      </c>
      <c r="L691" s="42">
        <f>_xlfn.XLOOKUP(A691,Table4[instant],Table4[registered], ,0,1)</f>
        <v>3</v>
      </c>
      <c r="M691" s="46">
        <f>_xlfn.XLOOKUP(A691,Table4[instant],Table4[cnt], ,0,1)</f>
        <v>3</v>
      </c>
      <c r="N691" s="1" t="str">
        <f>IF(OR(Table3[[#This Row],[weekday]]=0,Table3[[#This Row],[weekday]]=6),"Weekend","Weekday")</f>
        <v>Weekday</v>
      </c>
    </row>
    <row r="692" spans="1:14" ht="15" thickBot="1" x14ac:dyDescent="0.35">
      <c r="A692" s="51">
        <v>691</v>
      </c>
      <c r="B692" s="52">
        <v>40575</v>
      </c>
      <c r="C692" s="51">
        <v>2</v>
      </c>
      <c r="D692" s="53" t="b">
        <v>0</v>
      </c>
      <c r="E692" s="51">
        <f>_xlfn.XLOOKUP(A692,Table4[instant],Table4[weekday], ,0,1)</f>
        <v>2</v>
      </c>
      <c r="F692" s="51">
        <f>_xlfn.XLOOKUP(A692,Table4[instant],Table4[weathersit], ,0,1)</f>
        <v>2</v>
      </c>
      <c r="G692" s="42">
        <f>_xlfn.XLOOKUP(A692,Table4[instant],Table4[temp], ,0,1)</f>
        <v>0.16</v>
      </c>
      <c r="H692" s="54">
        <f>_xlfn.XLOOKUP(A692,Table4[instant],Table4[atemp], ,0,1)</f>
        <v>0.2273</v>
      </c>
      <c r="I692" s="42">
        <f>_xlfn.XLOOKUP(A692,Table4[instant],Table4[hum], ,0,1)</f>
        <v>0.69</v>
      </c>
      <c r="J692" s="42">
        <f>_xlfn.XLOOKUP(A692,Table4[instant],Table4[windspeed], ,0,1)</f>
        <v>0</v>
      </c>
      <c r="K692" s="42">
        <f>_xlfn.XLOOKUP(A692,Table4[instant],Table4[casual], ,0,1)</f>
        <v>0</v>
      </c>
      <c r="L692" s="42">
        <f>_xlfn.XLOOKUP(A692,Table4[instant],Table4[registered], ,0,1)</f>
        <v>2</v>
      </c>
      <c r="M692" s="46">
        <f>_xlfn.XLOOKUP(A692,Table4[instant],Table4[cnt], ,0,1)</f>
        <v>2</v>
      </c>
      <c r="N692" s="42" t="str">
        <f>IF(OR(Table3[[#This Row],[weekday]]=0,Table3[[#This Row],[weekday]]=6),"Weekend","Weekday")</f>
        <v>Weekday</v>
      </c>
    </row>
    <row r="693" spans="1:14" ht="15" thickBot="1" x14ac:dyDescent="0.35">
      <c r="A693" s="48">
        <v>692</v>
      </c>
      <c r="B693" s="49">
        <v>40575</v>
      </c>
      <c r="C693" s="48">
        <v>3</v>
      </c>
      <c r="D693" s="50" t="b">
        <v>0</v>
      </c>
      <c r="E693" s="51">
        <f>_xlfn.XLOOKUP(A693,Table4[instant],Table4[weekday], ,0,1)</f>
        <v>2</v>
      </c>
      <c r="F693" s="51">
        <f>_xlfn.XLOOKUP(A693,Table4[instant],Table4[weathersit], ,0,1)</f>
        <v>2</v>
      </c>
      <c r="G693" s="42">
        <f>_xlfn.XLOOKUP(A693,Table4[instant],Table4[temp], ,0,1)</f>
        <v>0.16</v>
      </c>
      <c r="H693" s="54">
        <f>_xlfn.XLOOKUP(A693,Table4[instant],Table4[atemp], ,0,1)</f>
        <v>0.2273</v>
      </c>
      <c r="I693" s="42">
        <f>_xlfn.XLOOKUP(A693,Table4[instant],Table4[hum], ,0,1)</f>
        <v>0.69</v>
      </c>
      <c r="J693" s="42">
        <f>_xlfn.XLOOKUP(A693,Table4[instant],Table4[windspeed], ,0,1)</f>
        <v>0</v>
      </c>
      <c r="K693" s="42">
        <f>_xlfn.XLOOKUP(A693,Table4[instant],Table4[casual], ,0,1)</f>
        <v>0</v>
      </c>
      <c r="L693" s="42">
        <f>_xlfn.XLOOKUP(A693,Table4[instant],Table4[registered], ,0,1)</f>
        <v>2</v>
      </c>
      <c r="M693" s="46">
        <f>_xlfn.XLOOKUP(A693,Table4[instant],Table4[cnt], ,0,1)</f>
        <v>2</v>
      </c>
      <c r="N693" s="1" t="str">
        <f>IF(OR(Table3[[#This Row],[weekday]]=0,Table3[[#This Row],[weekday]]=6),"Weekend","Weekday")</f>
        <v>Weekday</v>
      </c>
    </row>
    <row r="694" spans="1:14" ht="15" thickBot="1" x14ac:dyDescent="0.35">
      <c r="A694" s="51">
        <v>693</v>
      </c>
      <c r="B694" s="52">
        <v>40575</v>
      </c>
      <c r="C694" s="51">
        <v>5</v>
      </c>
      <c r="D694" s="53" t="b">
        <v>0</v>
      </c>
      <c r="E694" s="51">
        <f>_xlfn.XLOOKUP(A694,Table4[instant],Table4[weekday], ,0,1)</f>
        <v>2</v>
      </c>
      <c r="F694" s="51">
        <f>_xlfn.XLOOKUP(A694,Table4[instant],Table4[weathersit], ,0,1)</f>
        <v>3</v>
      </c>
      <c r="G694" s="42">
        <f>_xlfn.XLOOKUP(A694,Table4[instant],Table4[temp], ,0,1)</f>
        <v>0.14000000000000001</v>
      </c>
      <c r="H694" s="54">
        <f>_xlfn.XLOOKUP(A694,Table4[instant],Table4[atemp], ,0,1)</f>
        <v>0.21210000000000001</v>
      </c>
      <c r="I694" s="42">
        <f>_xlfn.XLOOKUP(A694,Table4[instant],Table4[hum], ,0,1)</f>
        <v>0.93</v>
      </c>
      <c r="J694" s="42">
        <f>_xlfn.XLOOKUP(A694,Table4[instant],Table4[windspeed], ,0,1)</f>
        <v>0</v>
      </c>
      <c r="K694" s="42">
        <f>_xlfn.XLOOKUP(A694,Table4[instant],Table4[casual], ,0,1)</f>
        <v>0</v>
      </c>
      <c r="L694" s="42">
        <f>_xlfn.XLOOKUP(A694,Table4[instant],Table4[registered], ,0,1)</f>
        <v>3</v>
      </c>
      <c r="M694" s="46">
        <f>_xlfn.XLOOKUP(A694,Table4[instant],Table4[cnt], ,0,1)</f>
        <v>3</v>
      </c>
      <c r="N694" s="42" t="str">
        <f>IF(OR(Table3[[#This Row],[weekday]]=0,Table3[[#This Row],[weekday]]=6),"Weekend","Weekday")</f>
        <v>Weekday</v>
      </c>
    </row>
    <row r="695" spans="1:14" ht="15" thickBot="1" x14ac:dyDescent="0.35">
      <c r="A695" s="48">
        <v>694</v>
      </c>
      <c r="B695" s="49">
        <v>40575</v>
      </c>
      <c r="C695" s="48">
        <v>6</v>
      </c>
      <c r="D695" s="50" t="b">
        <v>0</v>
      </c>
      <c r="E695" s="51">
        <f>_xlfn.XLOOKUP(A695,Table4[instant],Table4[weekday], ,0,1)</f>
        <v>2</v>
      </c>
      <c r="F695" s="51">
        <f>_xlfn.XLOOKUP(A695,Table4[instant],Table4[weathersit], ,0,1)</f>
        <v>3</v>
      </c>
      <c r="G695" s="42">
        <f>_xlfn.XLOOKUP(A695,Table4[instant],Table4[temp], ,0,1)</f>
        <v>0.14000000000000001</v>
      </c>
      <c r="H695" s="54">
        <f>_xlfn.XLOOKUP(A695,Table4[instant],Table4[atemp], ,0,1)</f>
        <v>0.21210000000000001</v>
      </c>
      <c r="I695" s="42">
        <f>_xlfn.XLOOKUP(A695,Table4[instant],Table4[hum], ,0,1)</f>
        <v>0.93</v>
      </c>
      <c r="J695" s="42">
        <f>_xlfn.XLOOKUP(A695,Table4[instant],Table4[windspeed], ,0,1)</f>
        <v>0</v>
      </c>
      <c r="K695" s="42">
        <f>_xlfn.XLOOKUP(A695,Table4[instant],Table4[casual], ,0,1)</f>
        <v>0</v>
      </c>
      <c r="L695" s="42">
        <f>_xlfn.XLOOKUP(A695,Table4[instant],Table4[registered], ,0,1)</f>
        <v>22</v>
      </c>
      <c r="M695" s="46">
        <f>_xlfn.XLOOKUP(A695,Table4[instant],Table4[cnt], ,0,1)</f>
        <v>22</v>
      </c>
      <c r="N695" s="1" t="str">
        <f>IF(OR(Table3[[#This Row],[weekday]]=0,Table3[[#This Row],[weekday]]=6),"Weekend","Weekday")</f>
        <v>Weekday</v>
      </c>
    </row>
    <row r="696" spans="1:14" ht="15" thickBot="1" x14ac:dyDescent="0.35">
      <c r="A696" s="51">
        <v>695</v>
      </c>
      <c r="B696" s="52">
        <v>40575</v>
      </c>
      <c r="C696" s="51">
        <v>7</v>
      </c>
      <c r="D696" s="53" t="b">
        <v>0</v>
      </c>
      <c r="E696" s="51">
        <f>_xlfn.XLOOKUP(A696,Table4[instant],Table4[weekday], ,0,1)</f>
        <v>2</v>
      </c>
      <c r="F696" s="51">
        <f>_xlfn.XLOOKUP(A696,Table4[instant],Table4[weathersit], ,0,1)</f>
        <v>3</v>
      </c>
      <c r="G696" s="42">
        <f>_xlfn.XLOOKUP(A696,Table4[instant],Table4[temp], ,0,1)</f>
        <v>0.16</v>
      </c>
      <c r="H696" s="54">
        <f>_xlfn.XLOOKUP(A696,Table4[instant],Table4[atemp], ,0,1)</f>
        <v>0.2273</v>
      </c>
      <c r="I696" s="42">
        <f>_xlfn.XLOOKUP(A696,Table4[instant],Table4[hum], ,0,1)</f>
        <v>0.93</v>
      </c>
      <c r="J696" s="42">
        <f>_xlfn.XLOOKUP(A696,Table4[instant],Table4[windspeed], ,0,1)</f>
        <v>0</v>
      </c>
      <c r="K696" s="42">
        <f>_xlfn.XLOOKUP(A696,Table4[instant],Table4[casual], ,0,1)</f>
        <v>0</v>
      </c>
      <c r="L696" s="42">
        <f>_xlfn.XLOOKUP(A696,Table4[instant],Table4[registered], ,0,1)</f>
        <v>52</v>
      </c>
      <c r="M696" s="46">
        <f>_xlfn.XLOOKUP(A696,Table4[instant],Table4[cnt], ,0,1)</f>
        <v>52</v>
      </c>
      <c r="N696" s="42" t="str">
        <f>IF(OR(Table3[[#This Row],[weekday]]=0,Table3[[#This Row],[weekday]]=6),"Weekend","Weekday")</f>
        <v>Weekday</v>
      </c>
    </row>
    <row r="697" spans="1:14" ht="15" thickBot="1" x14ac:dyDescent="0.35">
      <c r="A697" s="48">
        <v>696</v>
      </c>
      <c r="B697" s="49">
        <v>40575</v>
      </c>
      <c r="C697" s="48">
        <v>8</v>
      </c>
      <c r="D697" s="50" t="b">
        <v>0</v>
      </c>
      <c r="E697" s="51">
        <f>_xlfn.XLOOKUP(A697,Table4[instant],Table4[weekday], ,0,1)</f>
        <v>2</v>
      </c>
      <c r="F697" s="51">
        <f>_xlfn.XLOOKUP(A697,Table4[instant],Table4[weathersit], ,0,1)</f>
        <v>3</v>
      </c>
      <c r="G697" s="42">
        <f>_xlfn.XLOOKUP(A697,Table4[instant],Table4[temp], ,0,1)</f>
        <v>0.16</v>
      </c>
      <c r="H697" s="54">
        <f>_xlfn.XLOOKUP(A697,Table4[instant],Table4[atemp], ,0,1)</f>
        <v>0.2273</v>
      </c>
      <c r="I697" s="42">
        <f>_xlfn.XLOOKUP(A697,Table4[instant],Table4[hum], ,0,1)</f>
        <v>0.93</v>
      </c>
      <c r="J697" s="42">
        <f>_xlfn.XLOOKUP(A697,Table4[instant],Table4[windspeed], ,0,1)</f>
        <v>0</v>
      </c>
      <c r="K697" s="42">
        <f>_xlfn.XLOOKUP(A697,Table4[instant],Table4[casual], ,0,1)</f>
        <v>3</v>
      </c>
      <c r="L697" s="42">
        <f>_xlfn.XLOOKUP(A697,Table4[instant],Table4[registered], ,0,1)</f>
        <v>132</v>
      </c>
      <c r="M697" s="46">
        <f>_xlfn.XLOOKUP(A697,Table4[instant],Table4[cnt], ,0,1)</f>
        <v>135</v>
      </c>
      <c r="N697" s="1" t="str">
        <f>IF(OR(Table3[[#This Row],[weekday]]=0,Table3[[#This Row],[weekday]]=6),"Weekend","Weekday")</f>
        <v>Weekday</v>
      </c>
    </row>
    <row r="698" spans="1:14" ht="15" thickBot="1" x14ac:dyDescent="0.35">
      <c r="A698" s="51">
        <v>697</v>
      </c>
      <c r="B698" s="52">
        <v>40575</v>
      </c>
      <c r="C698" s="51">
        <v>9</v>
      </c>
      <c r="D698" s="53" t="b">
        <v>0</v>
      </c>
      <c r="E698" s="51">
        <f>_xlfn.XLOOKUP(A698,Table4[instant],Table4[weekday], ,0,1)</f>
        <v>2</v>
      </c>
      <c r="F698" s="51">
        <f>_xlfn.XLOOKUP(A698,Table4[instant],Table4[weathersit], ,0,1)</f>
        <v>2</v>
      </c>
      <c r="G698" s="42">
        <f>_xlfn.XLOOKUP(A698,Table4[instant],Table4[temp], ,0,1)</f>
        <v>0.16</v>
      </c>
      <c r="H698" s="54">
        <f>_xlfn.XLOOKUP(A698,Table4[instant],Table4[atemp], ,0,1)</f>
        <v>0.2273</v>
      </c>
      <c r="I698" s="42">
        <f>_xlfn.XLOOKUP(A698,Table4[instant],Table4[hum], ,0,1)</f>
        <v>0.93</v>
      </c>
      <c r="J698" s="42">
        <f>_xlfn.XLOOKUP(A698,Table4[instant],Table4[windspeed], ,0,1)</f>
        <v>0</v>
      </c>
      <c r="K698" s="42">
        <f>_xlfn.XLOOKUP(A698,Table4[instant],Table4[casual], ,0,1)</f>
        <v>2</v>
      </c>
      <c r="L698" s="42">
        <f>_xlfn.XLOOKUP(A698,Table4[instant],Table4[registered], ,0,1)</f>
        <v>114</v>
      </c>
      <c r="M698" s="46">
        <f>_xlfn.XLOOKUP(A698,Table4[instant],Table4[cnt], ,0,1)</f>
        <v>116</v>
      </c>
      <c r="N698" s="42" t="str">
        <f>IF(OR(Table3[[#This Row],[weekday]]=0,Table3[[#This Row],[weekday]]=6),"Weekend","Weekday")</f>
        <v>Weekday</v>
      </c>
    </row>
    <row r="699" spans="1:14" ht="15" thickBot="1" x14ac:dyDescent="0.35">
      <c r="A699" s="48">
        <v>698</v>
      </c>
      <c r="B699" s="49">
        <v>40575</v>
      </c>
      <c r="C699" s="48">
        <v>10</v>
      </c>
      <c r="D699" s="50" t="b">
        <v>0</v>
      </c>
      <c r="E699" s="51">
        <f>_xlfn.XLOOKUP(A699,Table4[instant],Table4[weekday], ,0,1)</f>
        <v>2</v>
      </c>
      <c r="F699" s="51">
        <f>_xlfn.XLOOKUP(A699,Table4[instant],Table4[weathersit], ,0,1)</f>
        <v>2</v>
      </c>
      <c r="G699" s="42">
        <f>_xlfn.XLOOKUP(A699,Table4[instant],Table4[temp], ,0,1)</f>
        <v>0.16</v>
      </c>
      <c r="H699" s="54">
        <f>_xlfn.XLOOKUP(A699,Table4[instant],Table4[atemp], ,0,1)</f>
        <v>0.2273</v>
      </c>
      <c r="I699" s="42">
        <f>_xlfn.XLOOKUP(A699,Table4[instant],Table4[hum], ,0,1)</f>
        <v>0.93</v>
      </c>
      <c r="J699" s="42">
        <f>_xlfn.XLOOKUP(A699,Table4[instant],Table4[windspeed], ,0,1)</f>
        <v>0</v>
      </c>
      <c r="K699" s="42">
        <f>_xlfn.XLOOKUP(A699,Table4[instant],Table4[casual], ,0,1)</f>
        <v>0</v>
      </c>
      <c r="L699" s="42">
        <f>_xlfn.XLOOKUP(A699,Table4[instant],Table4[registered], ,0,1)</f>
        <v>47</v>
      </c>
      <c r="M699" s="46">
        <f>_xlfn.XLOOKUP(A699,Table4[instant],Table4[cnt], ,0,1)</f>
        <v>47</v>
      </c>
      <c r="N699" s="1" t="str">
        <f>IF(OR(Table3[[#This Row],[weekday]]=0,Table3[[#This Row],[weekday]]=6),"Weekend","Weekday")</f>
        <v>Weekday</v>
      </c>
    </row>
    <row r="700" spans="1:14" ht="15" thickBot="1" x14ac:dyDescent="0.35">
      <c r="A700" s="51">
        <v>699</v>
      </c>
      <c r="B700" s="52">
        <v>40575</v>
      </c>
      <c r="C700" s="51">
        <v>11</v>
      </c>
      <c r="D700" s="53" t="b">
        <v>0</v>
      </c>
      <c r="E700" s="51">
        <f>_xlfn.XLOOKUP(A700,Table4[instant],Table4[weekday], ,0,1)</f>
        <v>2</v>
      </c>
      <c r="F700" s="51">
        <f>_xlfn.XLOOKUP(A700,Table4[instant],Table4[weathersit], ,0,1)</f>
        <v>2</v>
      </c>
      <c r="G700" s="42">
        <f>_xlfn.XLOOKUP(A700,Table4[instant],Table4[temp], ,0,1)</f>
        <v>0.18</v>
      </c>
      <c r="H700" s="54">
        <f>_xlfn.XLOOKUP(A700,Table4[instant],Table4[atemp], ,0,1)</f>
        <v>0.2424</v>
      </c>
      <c r="I700" s="42">
        <f>_xlfn.XLOOKUP(A700,Table4[instant],Table4[hum], ,0,1)</f>
        <v>0.86</v>
      </c>
      <c r="J700" s="42">
        <f>_xlfn.XLOOKUP(A700,Table4[instant],Table4[windspeed], ,0,1)</f>
        <v>0</v>
      </c>
      <c r="K700" s="42">
        <f>_xlfn.XLOOKUP(A700,Table4[instant],Table4[casual], ,0,1)</f>
        <v>2</v>
      </c>
      <c r="L700" s="42">
        <f>_xlfn.XLOOKUP(A700,Table4[instant],Table4[registered], ,0,1)</f>
        <v>49</v>
      </c>
      <c r="M700" s="46">
        <f>_xlfn.XLOOKUP(A700,Table4[instant],Table4[cnt], ,0,1)</f>
        <v>51</v>
      </c>
      <c r="N700" s="42" t="str">
        <f>IF(OR(Table3[[#This Row],[weekday]]=0,Table3[[#This Row],[weekday]]=6),"Weekend","Weekday")</f>
        <v>Weekday</v>
      </c>
    </row>
    <row r="701" spans="1:14" ht="15" thickBot="1" x14ac:dyDescent="0.35">
      <c r="A701" s="48">
        <v>700</v>
      </c>
      <c r="B701" s="49">
        <v>40575</v>
      </c>
      <c r="C701" s="48">
        <v>12</v>
      </c>
      <c r="D701" s="50" t="b">
        <v>0</v>
      </c>
      <c r="E701" s="51">
        <f>_xlfn.XLOOKUP(A701,Table4[instant],Table4[weekday], ,0,1)</f>
        <v>2</v>
      </c>
      <c r="F701" s="51">
        <f>_xlfn.XLOOKUP(A701,Table4[instant],Table4[weathersit], ,0,1)</f>
        <v>2</v>
      </c>
      <c r="G701" s="42">
        <f>_xlfn.XLOOKUP(A701,Table4[instant],Table4[temp], ,0,1)</f>
        <v>0.2</v>
      </c>
      <c r="H701" s="54">
        <f>_xlfn.XLOOKUP(A701,Table4[instant],Table4[atemp], ,0,1)</f>
        <v>0.2576</v>
      </c>
      <c r="I701" s="42">
        <f>_xlfn.XLOOKUP(A701,Table4[instant],Table4[hum], ,0,1)</f>
        <v>0.86</v>
      </c>
      <c r="J701" s="42">
        <f>_xlfn.XLOOKUP(A701,Table4[instant],Table4[windspeed], ,0,1)</f>
        <v>0</v>
      </c>
      <c r="K701" s="42">
        <f>_xlfn.XLOOKUP(A701,Table4[instant],Table4[casual], ,0,1)</f>
        <v>2</v>
      </c>
      <c r="L701" s="42">
        <f>_xlfn.XLOOKUP(A701,Table4[instant],Table4[registered], ,0,1)</f>
        <v>53</v>
      </c>
      <c r="M701" s="46">
        <f>_xlfn.XLOOKUP(A701,Table4[instant],Table4[cnt], ,0,1)</f>
        <v>55</v>
      </c>
      <c r="N701" s="1" t="str">
        <f>IF(OR(Table3[[#This Row],[weekday]]=0,Table3[[#This Row],[weekday]]=6),"Weekend","Weekday")</f>
        <v>Weekday</v>
      </c>
    </row>
    <row r="702" spans="1:14" ht="15" thickBot="1" x14ac:dyDescent="0.35">
      <c r="A702" s="51">
        <v>701</v>
      </c>
      <c r="B702" s="52">
        <v>40575</v>
      </c>
      <c r="C702" s="51">
        <v>13</v>
      </c>
      <c r="D702" s="53" t="b">
        <v>0</v>
      </c>
      <c r="E702" s="51">
        <f>_xlfn.XLOOKUP(A702,Table4[instant],Table4[weekday], ,0,1)</f>
        <v>2</v>
      </c>
      <c r="F702" s="51">
        <f>_xlfn.XLOOKUP(A702,Table4[instant],Table4[weathersit], ,0,1)</f>
        <v>2</v>
      </c>
      <c r="G702" s="42">
        <f>_xlfn.XLOOKUP(A702,Table4[instant],Table4[temp], ,0,1)</f>
        <v>0.2</v>
      </c>
      <c r="H702" s="54">
        <f>_xlfn.XLOOKUP(A702,Table4[instant],Table4[atemp], ,0,1)</f>
        <v>0.2576</v>
      </c>
      <c r="I702" s="42">
        <f>_xlfn.XLOOKUP(A702,Table4[instant],Table4[hum], ,0,1)</f>
        <v>0.86</v>
      </c>
      <c r="J702" s="42">
        <f>_xlfn.XLOOKUP(A702,Table4[instant],Table4[windspeed], ,0,1)</f>
        <v>0</v>
      </c>
      <c r="K702" s="42">
        <f>_xlfn.XLOOKUP(A702,Table4[instant],Table4[casual], ,0,1)</f>
        <v>3</v>
      </c>
      <c r="L702" s="42">
        <f>_xlfn.XLOOKUP(A702,Table4[instant],Table4[registered], ,0,1)</f>
        <v>49</v>
      </c>
      <c r="M702" s="46">
        <f>_xlfn.XLOOKUP(A702,Table4[instant],Table4[cnt], ,0,1)</f>
        <v>52</v>
      </c>
      <c r="N702" s="42" t="str">
        <f>IF(OR(Table3[[#This Row],[weekday]]=0,Table3[[#This Row],[weekday]]=6),"Weekend","Weekday")</f>
        <v>Weekday</v>
      </c>
    </row>
    <row r="703" spans="1:14" ht="15" thickBot="1" x14ac:dyDescent="0.35">
      <c r="A703" s="48">
        <v>702</v>
      </c>
      <c r="B703" s="49">
        <v>40575</v>
      </c>
      <c r="C703" s="48">
        <v>14</v>
      </c>
      <c r="D703" s="50" t="b">
        <v>0</v>
      </c>
      <c r="E703" s="51">
        <f>_xlfn.XLOOKUP(A703,Table4[instant],Table4[weekday], ,0,1)</f>
        <v>2</v>
      </c>
      <c r="F703" s="51">
        <f>_xlfn.XLOOKUP(A703,Table4[instant],Table4[weathersit], ,0,1)</f>
        <v>2</v>
      </c>
      <c r="G703" s="42">
        <f>_xlfn.XLOOKUP(A703,Table4[instant],Table4[temp], ,0,1)</f>
        <v>0.22</v>
      </c>
      <c r="H703" s="54">
        <f>_xlfn.XLOOKUP(A703,Table4[instant],Table4[atemp], ,0,1)</f>
        <v>0.2576</v>
      </c>
      <c r="I703" s="42">
        <f>_xlfn.XLOOKUP(A703,Table4[instant],Table4[hum], ,0,1)</f>
        <v>0.8</v>
      </c>
      <c r="J703" s="42">
        <f>_xlfn.XLOOKUP(A703,Table4[instant],Table4[windspeed], ,0,1)</f>
        <v>8.9599999999999999E-2</v>
      </c>
      <c r="K703" s="42">
        <f>_xlfn.XLOOKUP(A703,Table4[instant],Table4[casual], ,0,1)</f>
        <v>5</v>
      </c>
      <c r="L703" s="42">
        <f>_xlfn.XLOOKUP(A703,Table4[instant],Table4[registered], ,0,1)</f>
        <v>49</v>
      </c>
      <c r="M703" s="46">
        <f>_xlfn.XLOOKUP(A703,Table4[instant],Table4[cnt], ,0,1)</f>
        <v>54</v>
      </c>
      <c r="N703" s="1" t="str">
        <f>IF(OR(Table3[[#This Row],[weekday]]=0,Table3[[#This Row],[weekday]]=6),"Weekend","Weekday")</f>
        <v>Weekday</v>
      </c>
    </row>
    <row r="704" spans="1:14" ht="15" thickBot="1" x14ac:dyDescent="0.35">
      <c r="A704" s="51">
        <v>703</v>
      </c>
      <c r="B704" s="52">
        <v>40575</v>
      </c>
      <c r="C704" s="51">
        <v>15</v>
      </c>
      <c r="D704" s="53" t="b">
        <v>0</v>
      </c>
      <c r="E704" s="51">
        <f>_xlfn.XLOOKUP(A704,Table4[instant],Table4[weekday], ,0,1)</f>
        <v>2</v>
      </c>
      <c r="F704" s="51">
        <f>_xlfn.XLOOKUP(A704,Table4[instant],Table4[weathersit], ,0,1)</f>
        <v>2</v>
      </c>
      <c r="G704" s="42">
        <f>_xlfn.XLOOKUP(A704,Table4[instant],Table4[temp], ,0,1)</f>
        <v>0.24</v>
      </c>
      <c r="H704" s="54">
        <f>_xlfn.XLOOKUP(A704,Table4[instant],Table4[atemp], ,0,1)</f>
        <v>0.28789999999999999</v>
      </c>
      <c r="I704" s="42">
        <f>_xlfn.XLOOKUP(A704,Table4[instant],Table4[hum], ,0,1)</f>
        <v>0.75</v>
      </c>
      <c r="J704" s="42">
        <f>_xlfn.XLOOKUP(A704,Table4[instant],Table4[windspeed], ,0,1)</f>
        <v>0</v>
      </c>
      <c r="K704" s="42">
        <f>_xlfn.XLOOKUP(A704,Table4[instant],Table4[casual], ,0,1)</f>
        <v>7</v>
      </c>
      <c r="L704" s="42">
        <f>_xlfn.XLOOKUP(A704,Table4[instant],Table4[registered], ,0,1)</f>
        <v>45</v>
      </c>
      <c r="M704" s="46">
        <f>_xlfn.XLOOKUP(A704,Table4[instant],Table4[cnt], ,0,1)</f>
        <v>52</v>
      </c>
      <c r="N704" s="42" t="str">
        <f>IF(OR(Table3[[#This Row],[weekday]]=0,Table3[[#This Row],[weekday]]=6),"Weekend","Weekday")</f>
        <v>Weekday</v>
      </c>
    </row>
    <row r="705" spans="1:14" ht="15" thickBot="1" x14ac:dyDescent="0.35">
      <c r="A705" s="48">
        <v>704</v>
      </c>
      <c r="B705" s="49">
        <v>40575</v>
      </c>
      <c r="C705" s="48">
        <v>16</v>
      </c>
      <c r="D705" s="50" t="b">
        <v>0</v>
      </c>
      <c r="E705" s="51">
        <f>_xlfn.XLOOKUP(A705,Table4[instant],Table4[weekday], ,0,1)</f>
        <v>2</v>
      </c>
      <c r="F705" s="51">
        <f>_xlfn.XLOOKUP(A705,Table4[instant],Table4[weathersit], ,0,1)</f>
        <v>2</v>
      </c>
      <c r="G705" s="42">
        <f>_xlfn.XLOOKUP(A705,Table4[instant],Table4[temp], ,0,1)</f>
        <v>0.24</v>
      </c>
      <c r="H705" s="54">
        <f>_xlfn.XLOOKUP(A705,Table4[instant],Table4[atemp], ,0,1)</f>
        <v>0.2424</v>
      </c>
      <c r="I705" s="42">
        <f>_xlfn.XLOOKUP(A705,Table4[instant],Table4[hum], ,0,1)</f>
        <v>0.75</v>
      </c>
      <c r="J705" s="42">
        <f>_xlfn.XLOOKUP(A705,Table4[instant],Table4[windspeed], ,0,1)</f>
        <v>0.1343</v>
      </c>
      <c r="K705" s="42">
        <f>_xlfn.XLOOKUP(A705,Table4[instant],Table4[casual], ,0,1)</f>
        <v>3</v>
      </c>
      <c r="L705" s="42">
        <f>_xlfn.XLOOKUP(A705,Table4[instant],Table4[registered], ,0,1)</f>
        <v>61</v>
      </c>
      <c r="M705" s="46">
        <f>_xlfn.XLOOKUP(A705,Table4[instant],Table4[cnt], ,0,1)</f>
        <v>64</v>
      </c>
      <c r="N705" s="1" t="str">
        <f>IF(OR(Table3[[#This Row],[weekday]]=0,Table3[[#This Row],[weekday]]=6),"Weekend","Weekday")</f>
        <v>Weekday</v>
      </c>
    </row>
    <row r="706" spans="1:14" ht="15" thickBot="1" x14ac:dyDescent="0.35">
      <c r="A706" s="51">
        <v>705</v>
      </c>
      <c r="B706" s="52">
        <v>40575</v>
      </c>
      <c r="C706" s="51">
        <v>17</v>
      </c>
      <c r="D706" s="53" t="b">
        <v>0</v>
      </c>
      <c r="E706" s="51">
        <f>_xlfn.XLOOKUP(A706,Table4[instant],Table4[weekday], ,0,1)</f>
        <v>2</v>
      </c>
      <c r="F706" s="51">
        <f>_xlfn.XLOOKUP(A706,Table4[instant],Table4[weathersit], ,0,1)</f>
        <v>2</v>
      </c>
      <c r="G706" s="42">
        <f>_xlfn.XLOOKUP(A706,Table4[instant],Table4[temp], ,0,1)</f>
        <v>0.24</v>
      </c>
      <c r="H706" s="54">
        <f>_xlfn.XLOOKUP(A706,Table4[instant],Table4[atemp], ,0,1)</f>
        <v>0.28789999999999999</v>
      </c>
      <c r="I706" s="42">
        <f>_xlfn.XLOOKUP(A706,Table4[instant],Table4[hum], ,0,1)</f>
        <v>0.75</v>
      </c>
      <c r="J706" s="42">
        <f>_xlfn.XLOOKUP(A706,Table4[instant],Table4[windspeed], ,0,1)</f>
        <v>0</v>
      </c>
      <c r="K706" s="42">
        <f>_xlfn.XLOOKUP(A706,Table4[instant],Table4[casual], ,0,1)</f>
        <v>4</v>
      </c>
      <c r="L706" s="42">
        <f>_xlfn.XLOOKUP(A706,Table4[instant],Table4[registered], ,0,1)</f>
        <v>172</v>
      </c>
      <c r="M706" s="46">
        <f>_xlfn.XLOOKUP(A706,Table4[instant],Table4[cnt], ,0,1)</f>
        <v>176</v>
      </c>
      <c r="N706" s="42" t="str">
        <f>IF(OR(Table3[[#This Row],[weekday]]=0,Table3[[#This Row],[weekday]]=6),"Weekend","Weekday")</f>
        <v>Weekday</v>
      </c>
    </row>
    <row r="707" spans="1:14" ht="15" thickBot="1" x14ac:dyDescent="0.35">
      <c r="A707" s="48">
        <v>706</v>
      </c>
      <c r="B707" s="49">
        <v>40575</v>
      </c>
      <c r="C707" s="48">
        <v>18</v>
      </c>
      <c r="D707" s="50" t="b">
        <v>0</v>
      </c>
      <c r="E707" s="51">
        <f>_xlfn.XLOOKUP(A707,Table4[instant],Table4[weekday], ,0,1)</f>
        <v>2</v>
      </c>
      <c r="F707" s="51">
        <f>_xlfn.XLOOKUP(A707,Table4[instant],Table4[weathersit], ,0,1)</f>
        <v>2</v>
      </c>
      <c r="G707" s="42">
        <f>_xlfn.XLOOKUP(A707,Table4[instant],Table4[temp], ,0,1)</f>
        <v>0.24</v>
      </c>
      <c r="H707" s="54">
        <f>_xlfn.XLOOKUP(A707,Table4[instant],Table4[atemp], ,0,1)</f>
        <v>0.2576</v>
      </c>
      <c r="I707" s="42">
        <f>_xlfn.XLOOKUP(A707,Table4[instant],Table4[hum], ,0,1)</f>
        <v>0.81</v>
      </c>
      <c r="J707" s="42">
        <f>_xlfn.XLOOKUP(A707,Table4[instant],Table4[windspeed], ,0,1)</f>
        <v>0.1045</v>
      </c>
      <c r="K707" s="42">
        <f>_xlfn.XLOOKUP(A707,Table4[instant],Table4[casual], ,0,1)</f>
        <v>3</v>
      </c>
      <c r="L707" s="42">
        <f>_xlfn.XLOOKUP(A707,Table4[instant],Table4[registered], ,0,1)</f>
        <v>165</v>
      </c>
      <c r="M707" s="46">
        <f>_xlfn.XLOOKUP(A707,Table4[instant],Table4[cnt], ,0,1)</f>
        <v>168</v>
      </c>
      <c r="N707" s="1" t="str">
        <f>IF(OR(Table3[[#This Row],[weekday]]=0,Table3[[#This Row],[weekday]]=6),"Weekend","Weekday")</f>
        <v>Weekday</v>
      </c>
    </row>
    <row r="708" spans="1:14" ht="15" thickBot="1" x14ac:dyDescent="0.35">
      <c r="A708" s="51">
        <v>707</v>
      </c>
      <c r="B708" s="52">
        <v>40575</v>
      </c>
      <c r="C708" s="51">
        <v>19</v>
      </c>
      <c r="D708" s="53" t="b">
        <v>0</v>
      </c>
      <c r="E708" s="51">
        <f>_xlfn.XLOOKUP(A708,Table4[instant],Table4[weekday], ,0,1)</f>
        <v>2</v>
      </c>
      <c r="F708" s="51">
        <f>_xlfn.XLOOKUP(A708,Table4[instant],Table4[weathersit], ,0,1)</f>
        <v>2</v>
      </c>
      <c r="G708" s="42">
        <f>_xlfn.XLOOKUP(A708,Table4[instant],Table4[temp], ,0,1)</f>
        <v>0.24</v>
      </c>
      <c r="H708" s="54">
        <f>_xlfn.XLOOKUP(A708,Table4[instant],Table4[atemp], ,0,1)</f>
        <v>0.2424</v>
      </c>
      <c r="I708" s="42">
        <f>_xlfn.XLOOKUP(A708,Table4[instant],Table4[hum], ,0,1)</f>
        <v>0.81</v>
      </c>
      <c r="J708" s="42">
        <f>_xlfn.XLOOKUP(A708,Table4[instant],Table4[windspeed], ,0,1)</f>
        <v>0.1343</v>
      </c>
      <c r="K708" s="42">
        <f>_xlfn.XLOOKUP(A708,Table4[instant],Table4[casual], ,0,1)</f>
        <v>3</v>
      </c>
      <c r="L708" s="42">
        <f>_xlfn.XLOOKUP(A708,Table4[instant],Table4[registered], ,0,1)</f>
        <v>105</v>
      </c>
      <c r="M708" s="46">
        <f>_xlfn.XLOOKUP(A708,Table4[instant],Table4[cnt], ,0,1)</f>
        <v>108</v>
      </c>
      <c r="N708" s="42" t="str">
        <f>IF(OR(Table3[[#This Row],[weekday]]=0,Table3[[#This Row],[weekday]]=6),"Weekend","Weekday")</f>
        <v>Weekday</v>
      </c>
    </row>
    <row r="709" spans="1:14" ht="15" thickBot="1" x14ac:dyDescent="0.35">
      <c r="A709" s="48">
        <v>708</v>
      </c>
      <c r="B709" s="49">
        <v>40575</v>
      </c>
      <c r="C709" s="48">
        <v>20</v>
      </c>
      <c r="D709" s="50" t="b">
        <v>0</v>
      </c>
      <c r="E709" s="51">
        <f>_xlfn.XLOOKUP(A709,Table4[instant],Table4[weekday], ,0,1)</f>
        <v>2</v>
      </c>
      <c r="F709" s="51">
        <f>_xlfn.XLOOKUP(A709,Table4[instant],Table4[weathersit], ,0,1)</f>
        <v>2</v>
      </c>
      <c r="G709" s="42">
        <f>_xlfn.XLOOKUP(A709,Table4[instant],Table4[temp], ,0,1)</f>
        <v>0.22</v>
      </c>
      <c r="H709" s="54">
        <f>_xlfn.XLOOKUP(A709,Table4[instant],Table4[atemp], ,0,1)</f>
        <v>0.2273</v>
      </c>
      <c r="I709" s="42">
        <f>_xlfn.XLOOKUP(A709,Table4[instant],Table4[hum], ,0,1)</f>
        <v>0.87</v>
      </c>
      <c r="J709" s="42">
        <f>_xlfn.XLOOKUP(A709,Table4[instant],Table4[windspeed], ,0,1)</f>
        <v>0.1343</v>
      </c>
      <c r="K709" s="42">
        <f>_xlfn.XLOOKUP(A709,Table4[instant],Table4[casual], ,0,1)</f>
        <v>5</v>
      </c>
      <c r="L709" s="42">
        <f>_xlfn.XLOOKUP(A709,Table4[instant],Table4[registered], ,0,1)</f>
        <v>69</v>
      </c>
      <c r="M709" s="46">
        <f>_xlfn.XLOOKUP(A709,Table4[instant],Table4[cnt], ,0,1)</f>
        <v>74</v>
      </c>
      <c r="N709" s="1" t="str">
        <f>IF(OR(Table3[[#This Row],[weekday]]=0,Table3[[#This Row],[weekday]]=6),"Weekend","Weekday")</f>
        <v>Weekday</v>
      </c>
    </row>
    <row r="710" spans="1:14" ht="15" thickBot="1" x14ac:dyDescent="0.35">
      <c r="A710" s="51">
        <v>709</v>
      </c>
      <c r="B710" s="52">
        <v>40575</v>
      </c>
      <c r="C710" s="51">
        <v>21</v>
      </c>
      <c r="D710" s="53" t="b">
        <v>0</v>
      </c>
      <c r="E710" s="51">
        <f>_xlfn.XLOOKUP(A710,Table4[instant],Table4[weekday], ,0,1)</f>
        <v>2</v>
      </c>
      <c r="F710" s="51">
        <f>_xlfn.XLOOKUP(A710,Table4[instant],Table4[weathersit], ,0,1)</f>
        <v>2</v>
      </c>
      <c r="G710" s="42">
        <f>_xlfn.XLOOKUP(A710,Table4[instant],Table4[temp], ,0,1)</f>
        <v>0.22</v>
      </c>
      <c r="H710" s="54">
        <f>_xlfn.XLOOKUP(A710,Table4[instant],Table4[atemp], ,0,1)</f>
        <v>0.2273</v>
      </c>
      <c r="I710" s="42">
        <f>_xlfn.XLOOKUP(A710,Table4[instant],Table4[hum], ,0,1)</f>
        <v>0.87</v>
      </c>
      <c r="J710" s="42">
        <f>_xlfn.XLOOKUP(A710,Table4[instant],Table4[windspeed], ,0,1)</f>
        <v>0.1343</v>
      </c>
      <c r="K710" s="42">
        <f>_xlfn.XLOOKUP(A710,Table4[instant],Table4[casual], ,0,1)</f>
        <v>0</v>
      </c>
      <c r="L710" s="42">
        <f>_xlfn.XLOOKUP(A710,Table4[instant],Table4[registered], ,0,1)</f>
        <v>64</v>
      </c>
      <c r="M710" s="46">
        <f>_xlfn.XLOOKUP(A710,Table4[instant],Table4[cnt], ,0,1)</f>
        <v>64</v>
      </c>
      <c r="N710" s="42" t="str">
        <f>IF(OR(Table3[[#This Row],[weekday]]=0,Table3[[#This Row],[weekday]]=6),"Weekend","Weekday")</f>
        <v>Weekday</v>
      </c>
    </row>
    <row r="711" spans="1:14" ht="15" thickBot="1" x14ac:dyDescent="0.35">
      <c r="A711" s="48">
        <v>710</v>
      </c>
      <c r="B711" s="49">
        <v>40575</v>
      </c>
      <c r="C711" s="48">
        <v>22</v>
      </c>
      <c r="D711" s="50" t="b">
        <v>0</v>
      </c>
      <c r="E711" s="51">
        <f>_xlfn.XLOOKUP(A711,Table4[instant],Table4[weekday], ,0,1)</f>
        <v>2</v>
      </c>
      <c r="F711" s="51">
        <f>_xlfn.XLOOKUP(A711,Table4[instant],Table4[weathersit], ,0,1)</f>
        <v>2</v>
      </c>
      <c r="G711" s="42">
        <f>_xlfn.XLOOKUP(A711,Table4[instant],Table4[temp], ,0,1)</f>
        <v>0.22</v>
      </c>
      <c r="H711" s="54">
        <f>_xlfn.XLOOKUP(A711,Table4[instant],Table4[atemp], ,0,1)</f>
        <v>0.2576</v>
      </c>
      <c r="I711" s="42">
        <f>_xlfn.XLOOKUP(A711,Table4[instant],Table4[hum], ,0,1)</f>
        <v>0.87</v>
      </c>
      <c r="J711" s="42">
        <f>_xlfn.XLOOKUP(A711,Table4[instant],Table4[windspeed], ,0,1)</f>
        <v>8.9599999999999999E-2</v>
      </c>
      <c r="K711" s="42">
        <f>_xlfn.XLOOKUP(A711,Table4[instant],Table4[casual], ,0,1)</f>
        <v>2</v>
      </c>
      <c r="L711" s="42">
        <f>_xlfn.XLOOKUP(A711,Table4[instant],Table4[registered], ,0,1)</f>
        <v>34</v>
      </c>
      <c r="M711" s="46">
        <f>_xlfn.XLOOKUP(A711,Table4[instant],Table4[cnt], ,0,1)</f>
        <v>36</v>
      </c>
      <c r="N711" s="1" t="str">
        <f>IF(OR(Table3[[#This Row],[weekday]]=0,Table3[[#This Row],[weekday]]=6),"Weekend","Weekday")</f>
        <v>Weekday</v>
      </c>
    </row>
    <row r="712" spans="1:14" ht="15" thickBot="1" x14ac:dyDescent="0.35">
      <c r="A712" s="51">
        <v>711</v>
      </c>
      <c r="B712" s="52">
        <v>40575</v>
      </c>
      <c r="C712" s="51">
        <v>23</v>
      </c>
      <c r="D712" s="53" t="b">
        <v>0</v>
      </c>
      <c r="E712" s="51">
        <f>_xlfn.XLOOKUP(A712,Table4[instant],Table4[weekday], ,0,1)</f>
        <v>2</v>
      </c>
      <c r="F712" s="51">
        <f>_xlfn.XLOOKUP(A712,Table4[instant],Table4[weathersit], ,0,1)</f>
        <v>3</v>
      </c>
      <c r="G712" s="42">
        <f>_xlfn.XLOOKUP(A712,Table4[instant],Table4[temp], ,0,1)</f>
        <v>0.2</v>
      </c>
      <c r="H712" s="54">
        <f>_xlfn.XLOOKUP(A712,Table4[instant],Table4[atemp], ,0,1)</f>
        <v>0.19700000000000001</v>
      </c>
      <c r="I712" s="42">
        <f>_xlfn.XLOOKUP(A712,Table4[instant],Table4[hum], ,0,1)</f>
        <v>0.93</v>
      </c>
      <c r="J712" s="42">
        <f>_xlfn.XLOOKUP(A712,Table4[instant],Table4[windspeed], ,0,1)</f>
        <v>0.19400000000000001</v>
      </c>
      <c r="K712" s="42">
        <f>_xlfn.XLOOKUP(A712,Table4[instant],Table4[casual], ,0,1)</f>
        <v>1</v>
      </c>
      <c r="L712" s="42">
        <f>_xlfn.XLOOKUP(A712,Table4[instant],Table4[registered], ,0,1)</f>
        <v>15</v>
      </c>
      <c r="M712" s="46">
        <f>_xlfn.XLOOKUP(A712,Table4[instant],Table4[cnt], ,0,1)</f>
        <v>16</v>
      </c>
      <c r="N712" s="42" t="str">
        <f>IF(OR(Table3[[#This Row],[weekday]]=0,Table3[[#This Row],[weekday]]=6),"Weekend","Weekday")</f>
        <v>Weekday</v>
      </c>
    </row>
    <row r="713" spans="1:14" ht="15" thickBot="1" x14ac:dyDescent="0.35">
      <c r="A713" s="48">
        <v>712</v>
      </c>
      <c r="B713" s="49">
        <v>40576</v>
      </c>
      <c r="C713" s="48">
        <v>0</v>
      </c>
      <c r="D713" s="50" t="b">
        <v>0</v>
      </c>
      <c r="E713" s="51">
        <f>_xlfn.XLOOKUP(A713,Table4[instant],Table4[weekday], ,0,1)</f>
        <v>3</v>
      </c>
      <c r="F713" s="51">
        <f>_xlfn.XLOOKUP(A713,Table4[instant],Table4[weathersit], ,0,1)</f>
        <v>3</v>
      </c>
      <c r="G713" s="42">
        <f>_xlfn.XLOOKUP(A713,Table4[instant],Table4[temp], ,0,1)</f>
        <v>0.22</v>
      </c>
      <c r="H713" s="54">
        <f>_xlfn.XLOOKUP(A713,Table4[instant],Table4[atemp], ,0,1)</f>
        <v>0.2424</v>
      </c>
      <c r="I713" s="42">
        <f>_xlfn.XLOOKUP(A713,Table4[instant],Table4[hum], ,0,1)</f>
        <v>0.93</v>
      </c>
      <c r="J713" s="42">
        <f>_xlfn.XLOOKUP(A713,Table4[instant],Table4[windspeed], ,0,1)</f>
        <v>0.1045</v>
      </c>
      <c r="K713" s="42">
        <f>_xlfn.XLOOKUP(A713,Table4[instant],Table4[casual], ,0,1)</f>
        <v>0</v>
      </c>
      <c r="L713" s="42">
        <f>_xlfn.XLOOKUP(A713,Table4[instant],Table4[registered], ,0,1)</f>
        <v>2</v>
      </c>
      <c r="M713" s="46">
        <f>_xlfn.XLOOKUP(A713,Table4[instant],Table4[cnt], ,0,1)</f>
        <v>2</v>
      </c>
      <c r="N713" s="1" t="str">
        <f>IF(OR(Table3[[#This Row],[weekday]]=0,Table3[[#This Row],[weekday]]=6),"Weekend","Weekday")</f>
        <v>Weekday</v>
      </c>
    </row>
    <row r="714" spans="1:14" ht="15" thickBot="1" x14ac:dyDescent="0.35">
      <c r="A714" s="51">
        <v>713</v>
      </c>
      <c r="B714" s="52">
        <v>40576</v>
      </c>
      <c r="C714" s="51">
        <v>1</v>
      </c>
      <c r="D714" s="53" t="b">
        <v>0</v>
      </c>
      <c r="E714" s="51">
        <f>_xlfn.XLOOKUP(A714,Table4[instant],Table4[weekday], ,0,1)</f>
        <v>3</v>
      </c>
      <c r="F714" s="51">
        <f>_xlfn.XLOOKUP(A714,Table4[instant],Table4[weathersit], ,0,1)</f>
        <v>3</v>
      </c>
      <c r="G714" s="42">
        <f>_xlfn.XLOOKUP(A714,Table4[instant],Table4[temp], ,0,1)</f>
        <v>0.22</v>
      </c>
      <c r="H714" s="54">
        <f>_xlfn.XLOOKUP(A714,Table4[instant],Table4[atemp], ,0,1)</f>
        <v>0.2273</v>
      </c>
      <c r="I714" s="42">
        <f>_xlfn.XLOOKUP(A714,Table4[instant],Table4[hum], ,0,1)</f>
        <v>0.93</v>
      </c>
      <c r="J714" s="42">
        <f>_xlfn.XLOOKUP(A714,Table4[instant],Table4[windspeed], ,0,1)</f>
        <v>0.19400000000000001</v>
      </c>
      <c r="K714" s="42">
        <f>_xlfn.XLOOKUP(A714,Table4[instant],Table4[casual], ,0,1)</f>
        <v>0</v>
      </c>
      <c r="L714" s="42">
        <f>_xlfn.XLOOKUP(A714,Table4[instant],Table4[registered], ,0,1)</f>
        <v>3</v>
      </c>
      <c r="M714" s="46">
        <f>_xlfn.XLOOKUP(A714,Table4[instant],Table4[cnt], ,0,1)</f>
        <v>3</v>
      </c>
      <c r="N714" s="42" t="str">
        <f>IF(OR(Table3[[#This Row],[weekday]]=0,Table3[[#This Row],[weekday]]=6),"Weekend","Weekday")</f>
        <v>Weekday</v>
      </c>
    </row>
    <row r="715" spans="1:14" ht="15" thickBot="1" x14ac:dyDescent="0.35">
      <c r="A715" s="48">
        <v>714</v>
      </c>
      <c r="B715" s="49">
        <v>40576</v>
      </c>
      <c r="C715" s="48">
        <v>2</v>
      </c>
      <c r="D715" s="50" t="b">
        <v>0</v>
      </c>
      <c r="E715" s="51">
        <f>_xlfn.XLOOKUP(A715,Table4[instant],Table4[weekday], ,0,1)</f>
        <v>3</v>
      </c>
      <c r="F715" s="51">
        <f>_xlfn.XLOOKUP(A715,Table4[instant],Table4[weathersit], ,0,1)</f>
        <v>3</v>
      </c>
      <c r="G715" s="42">
        <f>_xlfn.XLOOKUP(A715,Table4[instant],Table4[temp], ,0,1)</f>
        <v>0.22</v>
      </c>
      <c r="H715" s="54">
        <f>_xlfn.XLOOKUP(A715,Table4[instant],Table4[atemp], ,0,1)</f>
        <v>0.2273</v>
      </c>
      <c r="I715" s="42">
        <f>_xlfn.XLOOKUP(A715,Table4[instant],Table4[hum], ,0,1)</f>
        <v>0.93</v>
      </c>
      <c r="J715" s="42">
        <f>_xlfn.XLOOKUP(A715,Table4[instant],Table4[windspeed], ,0,1)</f>
        <v>0.1343</v>
      </c>
      <c r="K715" s="42">
        <f>_xlfn.XLOOKUP(A715,Table4[instant],Table4[casual], ,0,1)</f>
        <v>4</v>
      </c>
      <c r="L715" s="42">
        <f>_xlfn.XLOOKUP(A715,Table4[instant],Table4[registered], ,0,1)</f>
        <v>0</v>
      </c>
      <c r="M715" s="46">
        <f>_xlfn.XLOOKUP(A715,Table4[instant],Table4[cnt], ,0,1)</f>
        <v>4</v>
      </c>
      <c r="N715" s="1" t="str">
        <f>IF(OR(Table3[[#This Row],[weekday]]=0,Table3[[#This Row],[weekday]]=6),"Weekend","Weekday")</f>
        <v>Weekday</v>
      </c>
    </row>
    <row r="716" spans="1:14" ht="15" thickBot="1" x14ac:dyDescent="0.35">
      <c r="A716" s="51">
        <v>715</v>
      </c>
      <c r="B716" s="52">
        <v>40576</v>
      </c>
      <c r="C716" s="51">
        <v>3</v>
      </c>
      <c r="D716" s="53" t="b">
        <v>0</v>
      </c>
      <c r="E716" s="51">
        <f>_xlfn.XLOOKUP(A716,Table4[instant],Table4[weekday], ,0,1)</f>
        <v>3</v>
      </c>
      <c r="F716" s="51">
        <f>_xlfn.XLOOKUP(A716,Table4[instant],Table4[weathersit], ,0,1)</f>
        <v>3</v>
      </c>
      <c r="G716" s="42">
        <f>_xlfn.XLOOKUP(A716,Table4[instant],Table4[temp], ,0,1)</f>
        <v>0.22</v>
      </c>
      <c r="H716" s="54">
        <f>_xlfn.XLOOKUP(A716,Table4[instant],Table4[atemp], ,0,1)</f>
        <v>0.2273</v>
      </c>
      <c r="I716" s="42">
        <f>_xlfn.XLOOKUP(A716,Table4[instant],Table4[hum], ,0,1)</f>
        <v>0.93</v>
      </c>
      <c r="J716" s="42">
        <f>_xlfn.XLOOKUP(A716,Table4[instant],Table4[windspeed], ,0,1)</f>
        <v>0.1343</v>
      </c>
      <c r="K716" s="42">
        <f>_xlfn.XLOOKUP(A716,Table4[instant],Table4[casual], ,0,1)</f>
        <v>0</v>
      </c>
      <c r="L716" s="42">
        <f>_xlfn.XLOOKUP(A716,Table4[instant],Table4[registered], ,0,1)</f>
        <v>1</v>
      </c>
      <c r="M716" s="46">
        <f>_xlfn.XLOOKUP(A716,Table4[instant],Table4[cnt], ,0,1)</f>
        <v>1</v>
      </c>
      <c r="N716" s="42" t="str">
        <f>IF(OR(Table3[[#This Row],[weekday]]=0,Table3[[#This Row],[weekday]]=6),"Weekend","Weekday")</f>
        <v>Weekday</v>
      </c>
    </row>
    <row r="717" spans="1:14" ht="15" thickBot="1" x14ac:dyDescent="0.35">
      <c r="A717" s="48">
        <v>716</v>
      </c>
      <c r="B717" s="49">
        <v>40576</v>
      </c>
      <c r="C717" s="48">
        <v>4</v>
      </c>
      <c r="D717" s="50" t="b">
        <v>0</v>
      </c>
      <c r="E717" s="51">
        <f>_xlfn.XLOOKUP(A717,Table4[instant],Table4[weekday], ,0,1)</f>
        <v>3</v>
      </c>
      <c r="F717" s="51">
        <f>_xlfn.XLOOKUP(A717,Table4[instant],Table4[weathersit], ,0,1)</f>
        <v>3</v>
      </c>
      <c r="G717" s="42">
        <f>_xlfn.XLOOKUP(A717,Table4[instant],Table4[temp], ,0,1)</f>
        <v>0.22</v>
      </c>
      <c r="H717" s="54">
        <f>_xlfn.XLOOKUP(A717,Table4[instant],Table4[atemp], ,0,1)</f>
        <v>0.21210000000000001</v>
      </c>
      <c r="I717" s="42">
        <f>_xlfn.XLOOKUP(A717,Table4[instant],Table4[hum], ,0,1)</f>
        <v>0.93</v>
      </c>
      <c r="J717" s="42">
        <f>_xlfn.XLOOKUP(A717,Table4[instant],Table4[windspeed], ,0,1)</f>
        <v>0.28360000000000002</v>
      </c>
      <c r="K717" s="42">
        <f>_xlfn.XLOOKUP(A717,Table4[instant],Table4[casual], ,0,1)</f>
        <v>0</v>
      </c>
      <c r="L717" s="42">
        <f>_xlfn.XLOOKUP(A717,Table4[instant],Table4[registered], ,0,1)</f>
        <v>1</v>
      </c>
      <c r="M717" s="46">
        <f>_xlfn.XLOOKUP(A717,Table4[instant],Table4[cnt], ,0,1)</f>
        <v>1</v>
      </c>
      <c r="N717" s="1" t="str">
        <f>IF(OR(Table3[[#This Row],[weekday]]=0,Table3[[#This Row],[weekday]]=6),"Weekend","Weekday")</f>
        <v>Weekday</v>
      </c>
    </row>
    <row r="718" spans="1:14" ht="15" thickBot="1" x14ac:dyDescent="0.35">
      <c r="A718" s="51">
        <v>717</v>
      </c>
      <c r="B718" s="52">
        <v>40576</v>
      </c>
      <c r="C718" s="51">
        <v>5</v>
      </c>
      <c r="D718" s="53" t="b">
        <v>0</v>
      </c>
      <c r="E718" s="51">
        <f>_xlfn.XLOOKUP(A718,Table4[instant],Table4[weekday], ,0,1)</f>
        <v>3</v>
      </c>
      <c r="F718" s="51">
        <f>_xlfn.XLOOKUP(A718,Table4[instant],Table4[weathersit], ,0,1)</f>
        <v>3</v>
      </c>
      <c r="G718" s="42">
        <f>_xlfn.XLOOKUP(A718,Table4[instant],Table4[temp], ,0,1)</f>
        <v>0.22</v>
      </c>
      <c r="H718" s="54">
        <f>_xlfn.XLOOKUP(A718,Table4[instant],Table4[atemp], ,0,1)</f>
        <v>0.2424</v>
      </c>
      <c r="I718" s="42">
        <f>_xlfn.XLOOKUP(A718,Table4[instant],Table4[hum], ,0,1)</f>
        <v>0.93</v>
      </c>
      <c r="J718" s="42">
        <f>_xlfn.XLOOKUP(A718,Table4[instant],Table4[windspeed], ,0,1)</f>
        <v>0.1045</v>
      </c>
      <c r="K718" s="42">
        <f>_xlfn.XLOOKUP(A718,Table4[instant],Table4[casual], ,0,1)</f>
        <v>0</v>
      </c>
      <c r="L718" s="42">
        <f>_xlfn.XLOOKUP(A718,Table4[instant],Table4[registered], ,0,1)</f>
        <v>3</v>
      </c>
      <c r="M718" s="46">
        <f>_xlfn.XLOOKUP(A718,Table4[instant],Table4[cnt], ,0,1)</f>
        <v>3</v>
      </c>
      <c r="N718" s="42" t="str">
        <f>IF(OR(Table3[[#This Row],[weekday]]=0,Table3[[#This Row],[weekday]]=6),"Weekend","Weekday")</f>
        <v>Weekday</v>
      </c>
    </row>
    <row r="719" spans="1:14" ht="15" thickBot="1" x14ac:dyDescent="0.35">
      <c r="A719" s="48">
        <v>718</v>
      </c>
      <c r="B719" s="49">
        <v>40576</v>
      </c>
      <c r="C719" s="48">
        <v>6</v>
      </c>
      <c r="D719" s="50" t="b">
        <v>0</v>
      </c>
      <c r="E719" s="51">
        <f>_xlfn.XLOOKUP(A719,Table4[instant],Table4[weekday], ,0,1)</f>
        <v>3</v>
      </c>
      <c r="F719" s="51">
        <f>_xlfn.XLOOKUP(A719,Table4[instant],Table4[weathersit], ,0,1)</f>
        <v>3</v>
      </c>
      <c r="G719" s="42">
        <f>_xlfn.XLOOKUP(A719,Table4[instant],Table4[temp], ,0,1)</f>
        <v>0.22</v>
      </c>
      <c r="H719" s="54">
        <f>_xlfn.XLOOKUP(A719,Table4[instant],Table4[atemp], ,0,1)</f>
        <v>0.2424</v>
      </c>
      <c r="I719" s="42">
        <f>_xlfn.XLOOKUP(A719,Table4[instant],Table4[hum], ,0,1)</f>
        <v>0.93</v>
      </c>
      <c r="J719" s="42">
        <f>_xlfn.XLOOKUP(A719,Table4[instant],Table4[windspeed], ,0,1)</f>
        <v>0.1045</v>
      </c>
      <c r="K719" s="42">
        <f>_xlfn.XLOOKUP(A719,Table4[instant],Table4[casual], ,0,1)</f>
        <v>1</v>
      </c>
      <c r="L719" s="42">
        <f>_xlfn.XLOOKUP(A719,Table4[instant],Table4[registered], ,0,1)</f>
        <v>17</v>
      </c>
      <c r="M719" s="46">
        <f>_xlfn.XLOOKUP(A719,Table4[instant],Table4[cnt], ,0,1)</f>
        <v>18</v>
      </c>
      <c r="N719" s="1" t="str">
        <f>IF(OR(Table3[[#This Row],[weekday]]=0,Table3[[#This Row],[weekday]]=6),"Weekend","Weekday")</f>
        <v>Weekday</v>
      </c>
    </row>
    <row r="720" spans="1:14" ht="15" thickBot="1" x14ac:dyDescent="0.35">
      <c r="A720" s="51">
        <v>719</v>
      </c>
      <c r="B720" s="52">
        <v>40576</v>
      </c>
      <c r="C720" s="51">
        <v>7</v>
      </c>
      <c r="D720" s="53" t="b">
        <v>0</v>
      </c>
      <c r="E720" s="51">
        <f>_xlfn.XLOOKUP(A720,Table4[instant],Table4[weekday], ,0,1)</f>
        <v>3</v>
      </c>
      <c r="F720" s="51">
        <f>_xlfn.XLOOKUP(A720,Table4[instant],Table4[weathersit], ,0,1)</f>
        <v>3</v>
      </c>
      <c r="G720" s="42">
        <f>_xlfn.XLOOKUP(A720,Table4[instant],Table4[temp], ,0,1)</f>
        <v>0.22</v>
      </c>
      <c r="H720" s="54">
        <f>_xlfn.XLOOKUP(A720,Table4[instant],Table4[atemp], ,0,1)</f>
        <v>0.21210000000000001</v>
      </c>
      <c r="I720" s="42">
        <f>_xlfn.XLOOKUP(A720,Table4[instant],Table4[hum], ,0,1)</f>
        <v>0.93</v>
      </c>
      <c r="J720" s="42">
        <f>_xlfn.XLOOKUP(A720,Table4[instant],Table4[windspeed], ,0,1)</f>
        <v>0.22389999999999999</v>
      </c>
      <c r="K720" s="42">
        <f>_xlfn.XLOOKUP(A720,Table4[instant],Table4[casual], ,0,1)</f>
        <v>1</v>
      </c>
      <c r="L720" s="42">
        <f>_xlfn.XLOOKUP(A720,Table4[instant],Table4[registered], ,0,1)</f>
        <v>48</v>
      </c>
      <c r="M720" s="46">
        <f>_xlfn.XLOOKUP(A720,Table4[instant],Table4[cnt], ,0,1)</f>
        <v>49</v>
      </c>
      <c r="N720" s="42" t="str">
        <f>IF(OR(Table3[[#This Row],[weekday]]=0,Table3[[#This Row],[weekday]]=6),"Weekend","Weekday")</f>
        <v>Weekday</v>
      </c>
    </row>
    <row r="721" spans="1:14" ht="15" thickBot="1" x14ac:dyDescent="0.35">
      <c r="A721" s="48">
        <v>720</v>
      </c>
      <c r="B721" s="49">
        <v>40576</v>
      </c>
      <c r="C721" s="48">
        <v>8</v>
      </c>
      <c r="D721" s="50" t="b">
        <v>0</v>
      </c>
      <c r="E721" s="51">
        <f>_xlfn.XLOOKUP(A721,Table4[instant],Table4[weekday], ,0,1)</f>
        <v>3</v>
      </c>
      <c r="F721" s="51">
        <f>_xlfn.XLOOKUP(A721,Table4[instant],Table4[weathersit], ,0,1)</f>
        <v>3</v>
      </c>
      <c r="G721" s="42">
        <f>_xlfn.XLOOKUP(A721,Table4[instant],Table4[temp], ,0,1)</f>
        <v>0.22</v>
      </c>
      <c r="H721" s="54">
        <f>_xlfn.XLOOKUP(A721,Table4[instant],Table4[atemp], ,0,1)</f>
        <v>0.21210000000000001</v>
      </c>
      <c r="I721" s="42">
        <f>_xlfn.XLOOKUP(A721,Table4[instant],Table4[hum], ,0,1)</f>
        <v>0.93</v>
      </c>
      <c r="J721" s="42">
        <f>_xlfn.XLOOKUP(A721,Table4[instant],Table4[windspeed], ,0,1)</f>
        <v>0.22389999999999999</v>
      </c>
      <c r="K721" s="42">
        <f>_xlfn.XLOOKUP(A721,Table4[instant],Table4[casual], ,0,1)</f>
        <v>1</v>
      </c>
      <c r="L721" s="42">
        <f>_xlfn.XLOOKUP(A721,Table4[instant],Table4[registered], ,0,1)</f>
        <v>154</v>
      </c>
      <c r="M721" s="46">
        <f>_xlfn.XLOOKUP(A721,Table4[instant],Table4[cnt], ,0,1)</f>
        <v>155</v>
      </c>
      <c r="N721" s="1" t="str">
        <f>IF(OR(Table3[[#This Row],[weekday]]=0,Table3[[#This Row],[weekday]]=6),"Weekend","Weekday")</f>
        <v>Weekday</v>
      </c>
    </row>
    <row r="722" spans="1:14" ht="15" thickBot="1" x14ac:dyDescent="0.35">
      <c r="A722" s="51">
        <v>721</v>
      </c>
      <c r="B722" s="52">
        <v>40576</v>
      </c>
      <c r="C722" s="51">
        <v>9</v>
      </c>
      <c r="D722" s="53" t="b">
        <v>0</v>
      </c>
      <c r="E722" s="51">
        <f>_xlfn.XLOOKUP(A722,Table4[instant],Table4[weekday], ,0,1)</f>
        <v>3</v>
      </c>
      <c r="F722" s="51">
        <f>_xlfn.XLOOKUP(A722,Table4[instant],Table4[weathersit], ,0,1)</f>
        <v>2</v>
      </c>
      <c r="G722" s="42">
        <f>_xlfn.XLOOKUP(A722,Table4[instant],Table4[temp], ,0,1)</f>
        <v>0.24</v>
      </c>
      <c r="H722" s="54">
        <f>_xlfn.XLOOKUP(A722,Table4[instant],Table4[atemp], ,0,1)</f>
        <v>0.2576</v>
      </c>
      <c r="I722" s="42">
        <f>_xlfn.XLOOKUP(A722,Table4[instant],Table4[hum], ,0,1)</f>
        <v>0.93</v>
      </c>
      <c r="J722" s="42">
        <f>_xlfn.XLOOKUP(A722,Table4[instant],Table4[windspeed], ,0,1)</f>
        <v>8.9599999999999999E-2</v>
      </c>
      <c r="K722" s="42">
        <f>_xlfn.XLOOKUP(A722,Table4[instant],Table4[casual], ,0,1)</f>
        <v>4</v>
      </c>
      <c r="L722" s="42">
        <f>_xlfn.XLOOKUP(A722,Table4[instant],Table4[registered], ,0,1)</f>
        <v>119</v>
      </c>
      <c r="M722" s="46">
        <f>_xlfn.XLOOKUP(A722,Table4[instant],Table4[cnt], ,0,1)</f>
        <v>123</v>
      </c>
      <c r="N722" s="42" t="str">
        <f>IF(OR(Table3[[#This Row],[weekday]]=0,Table3[[#This Row],[weekday]]=6),"Weekend","Weekday")</f>
        <v>Weekday</v>
      </c>
    </row>
    <row r="723" spans="1:14" ht="15" thickBot="1" x14ac:dyDescent="0.35">
      <c r="A723" s="48">
        <v>722</v>
      </c>
      <c r="B723" s="49">
        <v>40576</v>
      </c>
      <c r="C723" s="48">
        <v>10</v>
      </c>
      <c r="D723" s="50" t="b">
        <v>0</v>
      </c>
      <c r="E723" s="51">
        <f>_xlfn.XLOOKUP(A723,Table4[instant],Table4[weekday], ,0,1)</f>
        <v>3</v>
      </c>
      <c r="F723" s="51">
        <f>_xlfn.XLOOKUP(A723,Table4[instant],Table4[weathersit], ,0,1)</f>
        <v>2</v>
      </c>
      <c r="G723" s="42">
        <f>_xlfn.XLOOKUP(A723,Table4[instant],Table4[temp], ,0,1)</f>
        <v>0.22</v>
      </c>
      <c r="H723" s="54">
        <f>_xlfn.XLOOKUP(A723,Table4[instant],Table4[atemp], ,0,1)</f>
        <v>0.2727</v>
      </c>
      <c r="I723" s="42">
        <f>_xlfn.XLOOKUP(A723,Table4[instant],Table4[hum], ,0,1)</f>
        <v>1</v>
      </c>
      <c r="J723" s="42">
        <f>_xlfn.XLOOKUP(A723,Table4[instant],Table4[windspeed], ,0,1)</f>
        <v>0</v>
      </c>
      <c r="K723" s="42">
        <f>_xlfn.XLOOKUP(A723,Table4[instant],Table4[casual], ,0,1)</f>
        <v>2</v>
      </c>
      <c r="L723" s="42">
        <f>_xlfn.XLOOKUP(A723,Table4[instant],Table4[registered], ,0,1)</f>
        <v>59</v>
      </c>
      <c r="M723" s="46">
        <f>_xlfn.XLOOKUP(A723,Table4[instant],Table4[cnt], ,0,1)</f>
        <v>61</v>
      </c>
      <c r="N723" s="1" t="str">
        <f>IF(OR(Table3[[#This Row],[weekday]]=0,Table3[[#This Row],[weekday]]=6),"Weekend","Weekday")</f>
        <v>Weekday</v>
      </c>
    </row>
    <row r="724" spans="1:14" ht="15" thickBot="1" x14ac:dyDescent="0.35">
      <c r="A724" s="51">
        <v>723</v>
      </c>
      <c r="B724" s="52">
        <v>40576</v>
      </c>
      <c r="C724" s="51">
        <v>11</v>
      </c>
      <c r="D724" s="53" t="b">
        <v>0</v>
      </c>
      <c r="E724" s="51">
        <f>_xlfn.XLOOKUP(A724,Table4[instant],Table4[weekday], ,0,1)</f>
        <v>3</v>
      </c>
      <c r="F724" s="51">
        <f>_xlfn.XLOOKUP(A724,Table4[instant],Table4[weathersit], ,0,1)</f>
        <v>2</v>
      </c>
      <c r="G724" s="42">
        <f>_xlfn.XLOOKUP(A724,Table4[instant],Table4[temp], ,0,1)</f>
        <v>0.24</v>
      </c>
      <c r="H724" s="54">
        <f>_xlfn.XLOOKUP(A724,Table4[instant],Table4[atemp], ,0,1)</f>
        <v>0.2273</v>
      </c>
      <c r="I724" s="42">
        <f>_xlfn.XLOOKUP(A724,Table4[instant],Table4[hum], ,0,1)</f>
        <v>0.93</v>
      </c>
      <c r="J724" s="42">
        <f>_xlfn.XLOOKUP(A724,Table4[instant],Table4[windspeed], ,0,1)</f>
        <v>0.19400000000000001</v>
      </c>
      <c r="K724" s="42">
        <f>_xlfn.XLOOKUP(A724,Table4[instant],Table4[casual], ,0,1)</f>
        <v>5</v>
      </c>
      <c r="L724" s="42">
        <f>_xlfn.XLOOKUP(A724,Table4[instant],Table4[registered], ,0,1)</f>
        <v>47</v>
      </c>
      <c r="M724" s="46">
        <f>_xlfn.XLOOKUP(A724,Table4[instant],Table4[cnt], ,0,1)</f>
        <v>52</v>
      </c>
      <c r="N724" s="42" t="str">
        <f>IF(OR(Table3[[#This Row],[weekday]]=0,Table3[[#This Row],[weekday]]=6),"Weekend","Weekday")</f>
        <v>Weekday</v>
      </c>
    </row>
    <row r="725" spans="1:14" ht="15" thickBot="1" x14ac:dyDescent="0.35">
      <c r="A725" s="48">
        <v>724</v>
      </c>
      <c r="B725" s="49">
        <v>40576</v>
      </c>
      <c r="C725" s="48">
        <v>12</v>
      </c>
      <c r="D725" s="50" t="b">
        <v>0</v>
      </c>
      <c r="E725" s="51">
        <f>_xlfn.XLOOKUP(A725,Table4[instant],Table4[weekday], ,0,1)</f>
        <v>3</v>
      </c>
      <c r="F725" s="51">
        <f>_xlfn.XLOOKUP(A725,Table4[instant],Table4[weathersit], ,0,1)</f>
        <v>2</v>
      </c>
      <c r="G725" s="42">
        <f>_xlfn.XLOOKUP(A725,Table4[instant],Table4[temp], ,0,1)</f>
        <v>0.24</v>
      </c>
      <c r="H725" s="54">
        <f>_xlfn.XLOOKUP(A725,Table4[instant],Table4[atemp], ,0,1)</f>
        <v>0.2273</v>
      </c>
      <c r="I725" s="42">
        <f>_xlfn.XLOOKUP(A725,Table4[instant],Table4[hum], ,0,1)</f>
        <v>0.93</v>
      </c>
      <c r="J725" s="42">
        <f>_xlfn.XLOOKUP(A725,Table4[instant],Table4[windspeed], ,0,1)</f>
        <v>0.22389999999999999</v>
      </c>
      <c r="K725" s="42">
        <f>_xlfn.XLOOKUP(A725,Table4[instant],Table4[casual], ,0,1)</f>
        <v>3</v>
      </c>
      <c r="L725" s="42">
        <f>_xlfn.XLOOKUP(A725,Table4[instant],Table4[registered], ,0,1)</f>
        <v>61</v>
      </c>
      <c r="M725" s="46">
        <f>_xlfn.XLOOKUP(A725,Table4[instant],Table4[cnt], ,0,1)</f>
        <v>64</v>
      </c>
      <c r="N725" s="1" t="str">
        <f>IF(OR(Table3[[#This Row],[weekday]]=0,Table3[[#This Row],[weekday]]=6),"Weekend","Weekday")</f>
        <v>Weekday</v>
      </c>
    </row>
    <row r="726" spans="1:14" ht="15" thickBot="1" x14ac:dyDescent="0.35">
      <c r="A726" s="51">
        <v>725</v>
      </c>
      <c r="B726" s="52">
        <v>40576</v>
      </c>
      <c r="C726" s="51">
        <v>13</v>
      </c>
      <c r="D726" s="53" t="b">
        <v>0</v>
      </c>
      <c r="E726" s="51">
        <f>_xlfn.XLOOKUP(A726,Table4[instant],Table4[weekday], ,0,1)</f>
        <v>3</v>
      </c>
      <c r="F726" s="51">
        <f>_xlfn.XLOOKUP(A726,Table4[instant],Table4[weathersit], ,0,1)</f>
        <v>1</v>
      </c>
      <c r="G726" s="42">
        <f>_xlfn.XLOOKUP(A726,Table4[instant],Table4[temp], ,0,1)</f>
        <v>0.34</v>
      </c>
      <c r="H726" s="54">
        <f>_xlfn.XLOOKUP(A726,Table4[instant],Table4[atemp], ,0,1)</f>
        <v>0.33329999999999999</v>
      </c>
      <c r="I726" s="42">
        <f>_xlfn.XLOOKUP(A726,Table4[instant],Table4[hum], ,0,1)</f>
        <v>0.93</v>
      </c>
      <c r="J726" s="42">
        <f>_xlfn.XLOOKUP(A726,Table4[instant],Table4[windspeed], ,0,1)</f>
        <v>0.16420000000000001</v>
      </c>
      <c r="K726" s="42">
        <f>_xlfn.XLOOKUP(A726,Table4[instant],Table4[casual], ,0,1)</f>
        <v>1</v>
      </c>
      <c r="L726" s="42">
        <f>_xlfn.XLOOKUP(A726,Table4[instant],Table4[registered], ,0,1)</f>
        <v>74</v>
      </c>
      <c r="M726" s="46">
        <f>_xlfn.XLOOKUP(A726,Table4[instant],Table4[cnt], ,0,1)</f>
        <v>75</v>
      </c>
      <c r="N726" s="42" t="str">
        <f>IF(OR(Table3[[#This Row],[weekday]]=0,Table3[[#This Row],[weekday]]=6),"Weekend","Weekday")</f>
        <v>Weekday</v>
      </c>
    </row>
    <row r="727" spans="1:14" ht="15" thickBot="1" x14ac:dyDescent="0.35">
      <c r="A727" s="48">
        <v>726</v>
      </c>
      <c r="B727" s="49">
        <v>40576</v>
      </c>
      <c r="C727" s="48">
        <v>14</v>
      </c>
      <c r="D727" s="50" t="b">
        <v>0</v>
      </c>
      <c r="E727" s="51">
        <f>_xlfn.XLOOKUP(A727,Table4[instant],Table4[weekday], ,0,1)</f>
        <v>3</v>
      </c>
      <c r="F727" s="51">
        <f>_xlfn.XLOOKUP(A727,Table4[instant],Table4[weathersit], ,0,1)</f>
        <v>1</v>
      </c>
      <c r="G727" s="42">
        <f>_xlfn.XLOOKUP(A727,Table4[instant],Table4[temp], ,0,1)</f>
        <v>0.38</v>
      </c>
      <c r="H727" s="54">
        <f>_xlfn.XLOOKUP(A727,Table4[instant],Table4[atemp], ,0,1)</f>
        <v>0.39389999999999997</v>
      </c>
      <c r="I727" s="42">
        <f>_xlfn.XLOOKUP(A727,Table4[instant],Table4[hum], ,0,1)</f>
        <v>0.82</v>
      </c>
      <c r="J727" s="42">
        <f>_xlfn.XLOOKUP(A727,Table4[instant],Table4[windspeed], ,0,1)</f>
        <v>0.3881</v>
      </c>
      <c r="K727" s="42">
        <f>_xlfn.XLOOKUP(A727,Table4[instant],Table4[casual], ,0,1)</f>
        <v>2</v>
      </c>
      <c r="L727" s="42">
        <f>_xlfn.XLOOKUP(A727,Table4[instant],Table4[registered], ,0,1)</f>
        <v>61</v>
      </c>
      <c r="M727" s="46">
        <f>_xlfn.XLOOKUP(A727,Table4[instant],Table4[cnt], ,0,1)</f>
        <v>63</v>
      </c>
      <c r="N727" s="1" t="str">
        <f>IF(OR(Table3[[#This Row],[weekday]]=0,Table3[[#This Row],[weekday]]=6),"Weekend","Weekday")</f>
        <v>Weekday</v>
      </c>
    </row>
    <row r="728" spans="1:14" ht="15" thickBot="1" x14ac:dyDescent="0.35">
      <c r="A728" s="51">
        <v>727</v>
      </c>
      <c r="B728" s="52">
        <v>40576</v>
      </c>
      <c r="C728" s="51">
        <v>15</v>
      </c>
      <c r="D728" s="53" t="b">
        <v>0</v>
      </c>
      <c r="E728" s="51">
        <f>_xlfn.XLOOKUP(A728,Table4[instant],Table4[weekday], ,0,1)</f>
        <v>3</v>
      </c>
      <c r="F728" s="51">
        <f>_xlfn.XLOOKUP(A728,Table4[instant],Table4[weathersit], ,0,1)</f>
        <v>1</v>
      </c>
      <c r="G728" s="42">
        <f>_xlfn.XLOOKUP(A728,Table4[instant],Table4[temp], ,0,1)</f>
        <v>0.38</v>
      </c>
      <c r="H728" s="54">
        <f>_xlfn.XLOOKUP(A728,Table4[instant],Table4[atemp], ,0,1)</f>
        <v>0.39389999999999997</v>
      </c>
      <c r="I728" s="42">
        <f>_xlfn.XLOOKUP(A728,Table4[instant],Table4[hum], ,0,1)</f>
        <v>0.76</v>
      </c>
      <c r="J728" s="42">
        <f>_xlfn.XLOOKUP(A728,Table4[instant],Table4[windspeed], ,0,1)</f>
        <v>0.32840000000000003</v>
      </c>
      <c r="K728" s="42">
        <f>_xlfn.XLOOKUP(A728,Table4[instant],Table4[casual], ,0,1)</f>
        <v>10</v>
      </c>
      <c r="L728" s="42">
        <f>_xlfn.XLOOKUP(A728,Table4[instant],Table4[registered], ,0,1)</f>
        <v>66</v>
      </c>
      <c r="M728" s="46">
        <f>_xlfn.XLOOKUP(A728,Table4[instant],Table4[cnt], ,0,1)</f>
        <v>76</v>
      </c>
      <c r="N728" s="42" t="str">
        <f>IF(OR(Table3[[#This Row],[weekday]]=0,Table3[[#This Row],[weekday]]=6),"Weekend","Weekday")</f>
        <v>Weekday</v>
      </c>
    </row>
    <row r="729" spans="1:14" ht="15" thickBot="1" x14ac:dyDescent="0.35">
      <c r="A729" s="48">
        <v>728</v>
      </c>
      <c r="B729" s="49">
        <v>40576</v>
      </c>
      <c r="C729" s="48">
        <v>16</v>
      </c>
      <c r="D729" s="50" t="b">
        <v>0</v>
      </c>
      <c r="E729" s="51">
        <f>_xlfn.XLOOKUP(A729,Table4[instant],Table4[weekday], ,0,1)</f>
        <v>3</v>
      </c>
      <c r="F729" s="51">
        <f>_xlfn.XLOOKUP(A729,Table4[instant],Table4[weathersit], ,0,1)</f>
        <v>1</v>
      </c>
      <c r="G729" s="42">
        <f>_xlfn.XLOOKUP(A729,Table4[instant],Table4[temp], ,0,1)</f>
        <v>0.36</v>
      </c>
      <c r="H729" s="54">
        <f>_xlfn.XLOOKUP(A729,Table4[instant],Table4[atemp], ,0,1)</f>
        <v>0.33329999999999999</v>
      </c>
      <c r="I729" s="42">
        <f>_xlfn.XLOOKUP(A729,Table4[instant],Table4[hum], ,0,1)</f>
        <v>0.71</v>
      </c>
      <c r="J729" s="42">
        <f>_xlfn.XLOOKUP(A729,Table4[instant],Table4[windspeed], ,0,1)</f>
        <v>0.29849999999999999</v>
      </c>
      <c r="K729" s="42">
        <f>_xlfn.XLOOKUP(A729,Table4[instant],Table4[casual], ,0,1)</f>
        <v>8</v>
      </c>
      <c r="L729" s="42">
        <f>_xlfn.XLOOKUP(A729,Table4[instant],Table4[registered], ,0,1)</f>
        <v>95</v>
      </c>
      <c r="M729" s="46">
        <f>_xlfn.XLOOKUP(A729,Table4[instant],Table4[cnt], ,0,1)</f>
        <v>103</v>
      </c>
      <c r="N729" s="1" t="str">
        <f>IF(OR(Table3[[#This Row],[weekday]]=0,Table3[[#This Row],[weekday]]=6),"Weekend","Weekday")</f>
        <v>Weekday</v>
      </c>
    </row>
    <row r="730" spans="1:14" ht="15" thickBot="1" x14ac:dyDescent="0.35">
      <c r="A730" s="51">
        <v>729</v>
      </c>
      <c r="B730" s="52">
        <v>40576</v>
      </c>
      <c r="C730" s="51">
        <v>17</v>
      </c>
      <c r="D730" s="53" t="b">
        <v>0</v>
      </c>
      <c r="E730" s="51">
        <f>_xlfn.XLOOKUP(A730,Table4[instant],Table4[weekday], ,0,1)</f>
        <v>3</v>
      </c>
      <c r="F730" s="51">
        <f>_xlfn.XLOOKUP(A730,Table4[instant],Table4[weathersit], ,0,1)</f>
        <v>1</v>
      </c>
      <c r="G730" s="42">
        <f>_xlfn.XLOOKUP(A730,Table4[instant],Table4[temp], ,0,1)</f>
        <v>0.36</v>
      </c>
      <c r="H730" s="54">
        <f>_xlfn.XLOOKUP(A730,Table4[instant],Table4[atemp], ,0,1)</f>
        <v>0.31819999999999998</v>
      </c>
      <c r="I730" s="42">
        <f>_xlfn.XLOOKUP(A730,Table4[instant],Table4[hum], ,0,1)</f>
        <v>0.53</v>
      </c>
      <c r="J730" s="42">
        <f>_xlfn.XLOOKUP(A730,Table4[instant],Table4[windspeed], ,0,1)</f>
        <v>0.52239999999999998</v>
      </c>
      <c r="K730" s="42">
        <f>_xlfn.XLOOKUP(A730,Table4[instant],Table4[casual], ,0,1)</f>
        <v>7</v>
      </c>
      <c r="L730" s="42">
        <f>_xlfn.XLOOKUP(A730,Table4[instant],Table4[registered], ,0,1)</f>
        <v>183</v>
      </c>
      <c r="M730" s="46">
        <f>_xlfn.XLOOKUP(A730,Table4[instant],Table4[cnt], ,0,1)</f>
        <v>190</v>
      </c>
      <c r="N730" s="42" t="str">
        <f>IF(OR(Table3[[#This Row],[weekday]]=0,Table3[[#This Row],[weekday]]=6),"Weekend","Weekday")</f>
        <v>Weekday</v>
      </c>
    </row>
    <row r="731" spans="1:14" ht="15" thickBot="1" x14ac:dyDescent="0.35">
      <c r="A731" s="48">
        <v>730</v>
      </c>
      <c r="B731" s="49">
        <v>40576</v>
      </c>
      <c r="C731" s="48">
        <v>18</v>
      </c>
      <c r="D731" s="50" t="b">
        <v>0</v>
      </c>
      <c r="E731" s="51">
        <f>_xlfn.XLOOKUP(A731,Table4[instant],Table4[weekday], ,0,1)</f>
        <v>3</v>
      </c>
      <c r="F731" s="51">
        <f>_xlfn.XLOOKUP(A731,Table4[instant],Table4[weathersit], ,0,1)</f>
        <v>1</v>
      </c>
      <c r="G731" s="42">
        <f>_xlfn.XLOOKUP(A731,Table4[instant],Table4[temp], ,0,1)</f>
        <v>0.34</v>
      </c>
      <c r="H731" s="54">
        <f>_xlfn.XLOOKUP(A731,Table4[instant],Table4[atemp], ,0,1)</f>
        <v>0.28789999999999999</v>
      </c>
      <c r="I731" s="42">
        <f>_xlfn.XLOOKUP(A731,Table4[instant],Table4[hum], ,0,1)</f>
        <v>0.42</v>
      </c>
      <c r="J731" s="42">
        <f>_xlfn.XLOOKUP(A731,Table4[instant],Table4[windspeed], ,0,1)</f>
        <v>0.55220000000000002</v>
      </c>
      <c r="K731" s="42">
        <f>_xlfn.XLOOKUP(A731,Table4[instant],Table4[casual], ,0,1)</f>
        <v>7</v>
      </c>
      <c r="L731" s="42">
        <f>_xlfn.XLOOKUP(A731,Table4[instant],Table4[registered], ,0,1)</f>
        <v>175</v>
      </c>
      <c r="M731" s="46">
        <f>_xlfn.XLOOKUP(A731,Table4[instant],Table4[cnt], ,0,1)</f>
        <v>182</v>
      </c>
      <c r="N731" s="1" t="str">
        <f>IF(OR(Table3[[#This Row],[weekday]]=0,Table3[[#This Row],[weekday]]=6),"Weekend","Weekday")</f>
        <v>Weekday</v>
      </c>
    </row>
    <row r="732" spans="1:14" ht="15" thickBot="1" x14ac:dyDescent="0.35">
      <c r="A732" s="51">
        <v>731</v>
      </c>
      <c r="B732" s="52">
        <v>40576</v>
      </c>
      <c r="C732" s="51">
        <v>19</v>
      </c>
      <c r="D732" s="53" t="b">
        <v>0</v>
      </c>
      <c r="E732" s="51">
        <f>_xlfn.XLOOKUP(A732,Table4[instant],Table4[weekday], ,0,1)</f>
        <v>3</v>
      </c>
      <c r="F732" s="51">
        <f>_xlfn.XLOOKUP(A732,Table4[instant],Table4[weathersit], ,0,1)</f>
        <v>1</v>
      </c>
      <c r="G732" s="42">
        <f>_xlfn.XLOOKUP(A732,Table4[instant],Table4[temp], ,0,1)</f>
        <v>0.28000000000000003</v>
      </c>
      <c r="H732" s="54">
        <f>_xlfn.XLOOKUP(A732,Table4[instant],Table4[atemp], ,0,1)</f>
        <v>0.2424</v>
      </c>
      <c r="I732" s="42">
        <f>_xlfn.XLOOKUP(A732,Table4[instant],Table4[hum], ,0,1)</f>
        <v>0.45</v>
      </c>
      <c r="J732" s="42">
        <f>_xlfn.XLOOKUP(A732,Table4[instant],Table4[windspeed], ,0,1)</f>
        <v>0.49249999999999999</v>
      </c>
      <c r="K732" s="42">
        <f>_xlfn.XLOOKUP(A732,Table4[instant],Table4[casual], ,0,1)</f>
        <v>3</v>
      </c>
      <c r="L732" s="42">
        <f>_xlfn.XLOOKUP(A732,Table4[instant],Table4[registered], ,0,1)</f>
        <v>88</v>
      </c>
      <c r="M732" s="46">
        <f>_xlfn.XLOOKUP(A732,Table4[instant],Table4[cnt], ,0,1)</f>
        <v>91</v>
      </c>
      <c r="N732" s="42" t="str">
        <f>IF(OR(Table3[[#This Row],[weekday]]=0,Table3[[#This Row],[weekday]]=6),"Weekend","Weekday")</f>
        <v>Weekday</v>
      </c>
    </row>
    <row r="733" spans="1:14" ht="15" thickBot="1" x14ac:dyDescent="0.35">
      <c r="A733" s="48">
        <v>732</v>
      </c>
      <c r="B733" s="49">
        <v>40576</v>
      </c>
      <c r="C733" s="48">
        <v>20</v>
      </c>
      <c r="D733" s="50" t="b">
        <v>0</v>
      </c>
      <c r="E733" s="51">
        <f>_xlfn.XLOOKUP(A733,Table4[instant],Table4[weekday], ,0,1)</f>
        <v>3</v>
      </c>
      <c r="F733" s="51">
        <f>_xlfn.XLOOKUP(A733,Table4[instant],Table4[weathersit], ,0,1)</f>
        <v>1</v>
      </c>
      <c r="G733" s="42">
        <f>_xlfn.XLOOKUP(A733,Table4[instant],Table4[temp], ,0,1)</f>
        <v>0.24</v>
      </c>
      <c r="H733" s="54">
        <f>_xlfn.XLOOKUP(A733,Table4[instant],Table4[atemp], ,0,1)</f>
        <v>0.19700000000000001</v>
      </c>
      <c r="I733" s="42">
        <f>_xlfn.XLOOKUP(A733,Table4[instant],Table4[hum], ,0,1)</f>
        <v>0.48</v>
      </c>
      <c r="J733" s="42">
        <f>_xlfn.XLOOKUP(A733,Table4[instant],Table4[windspeed], ,0,1)</f>
        <v>0.55220000000000002</v>
      </c>
      <c r="K733" s="42">
        <f>_xlfn.XLOOKUP(A733,Table4[instant],Table4[casual], ,0,1)</f>
        <v>4</v>
      </c>
      <c r="L733" s="42">
        <f>_xlfn.XLOOKUP(A733,Table4[instant],Table4[registered], ,0,1)</f>
        <v>71</v>
      </c>
      <c r="M733" s="46">
        <f>_xlfn.XLOOKUP(A733,Table4[instant],Table4[cnt], ,0,1)</f>
        <v>75</v>
      </c>
      <c r="N733" s="1" t="str">
        <f>IF(OR(Table3[[#This Row],[weekday]]=0,Table3[[#This Row],[weekday]]=6),"Weekend","Weekday")</f>
        <v>Weekday</v>
      </c>
    </row>
    <row r="734" spans="1:14" ht="15" thickBot="1" x14ac:dyDescent="0.35">
      <c r="A734" s="51">
        <v>733</v>
      </c>
      <c r="B734" s="52">
        <v>40576</v>
      </c>
      <c r="C734" s="51">
        <v>21</v>
      </c>
      <c r="D734" s="53" t="b">
        <v>0</v>
      </c>
      <c r="E734" s="51">
        <f>_xlfn.XLOOKUP(A734,Table4[instant],Table4[weekday], ,0,1)</f>
        <v>3</v>
      </c>
      <c r="F734" s="51">
        <f>_xlfn.XLOOKUP(A734,Table4[instant],Table4[weathersit], ,0,1)</f>
        <v>1</v>
      </c>
      <c r="G734" s="42">
        <f>_xlfn.XLOOKUP(A734,Table4[instant],Table4[temp], ,0,1)</f>
        <v>0.22</v>
      </c>
      <c r="H734" s="54">
        <f>_xlfn.XLOOKUP(A734,Table4[instant],Table4[atemp], ,0,1)</f>
        <v>0.19700000000000001</v>
      </c>
      <c r="I734" s="42">
        <f>_xlfn.XLOOKUP(A734,Table4[instant],Table4[hum], ,0,1)</f>
        <v>0.47</v>
      </c>
      <c r="J734" s="42">
        <f>_xlfn.XLOOKUP(A734,Table4[instant],Table4[windspeed], ,0,1)</f>
        <v>0.32840000000000003</v>
      </c>
      <c r="K734" s="42">
        <f>_xlfn.XLOOKUP(A734,Table4[instant],Table4[casual], ,0,1)</f>
        <v>1</v>
      </c>
      <c r="L734" s="42">
        <f>_xlfn.XLOOKUP(A734,Table4[instant],Table4[registered], ,0,1)</f>
        <v>62</v>
      </c>
      <c r="M734" s="46">
        <f>_xlfn.XLOOKUP(A734,Table4[instant],Table4[cnt], ,0,1)</f>
        <v>63</v>
      </c>
      <c r="N734" s="42" t="str">
        <f>IF(OR(Table3[[#This Row],[weekday]]=0,Table3[[#This Row],[weekday]]=6),"Weekend","Weekday")</f>
        <v>Weekday</v>
      </c>
    </row>
    <row r="735" spans="1:14" ht="15" thickBot="1" x14ac:dyDescent="0.35">
      <c r="A735" s="48">
        <v>734</v>
      </c>
      <c r="B735" s="49">
        <v>40576</v>
      </c>
      <c r="C735" s="48">
        <v>22</v>
      </c>
      <c r="D735" s="50" t="b">
        <v>0</v>
      </c>
      <c r="E735" s="51">
        <f>_xlfn.XLOOKUP(A735,Table4[instant],Table4[weekday], ,0,1)</f>
        <v>3</v>
      </c>
      <c r="F735" s="51">
        <f>_xlfn.XLOOKUP(A735,Table4[instant],Table4[weathersit], ,0,1)</f>
        <v>1</v>
      </c>
      <c r="G735" s="42">
        <f>_xlfn.XLOOKUP(A735,Table4[instant],Table4[temp], ,0,1)</f>
        <v>0.22</v>
      </c>
      <c r="H735" s="54">
        <f>_xlfn.XLOOKUP(A735,Table4[instant],Table4[atemp], ,0,1)</f>
        <v>0.21210000000000001</v>
      </c>
      <c r="I735" s="42">
        <f>_xlfn.XLOOKUP(A735,Table4[instant],Table4[hum], ,0,1)</f>
        <v>0.44</v>
      </c>
      <c r="J735" s="42">
        <f>_xlfn.XLOOKUP(A735,Table4[instant],Table4[windspeed], ,0,1)</f>
        <v>0.25369999999999998</v>
      </c>
      <c r="K735" s="42">
        <f>_xlfn.XLOOKUP(A735,Table4[instant],Table4[casual], ,0,1)</f>
        <v>5</v>
      </c>
      <c r="L735" s="42">
        <f>_xlfn.XLOOKUP(A735,Table4[instant],Table4[registered], ,0,1)</f>
        <v>35</v>
      </c>
      <c r="M735" s="46">
        <f>_xlfn.XLOOKUP(A735,Table4[instant],Table4[cnt], ,0,1)</f>
        <v>40</v>
      </c>
      <c r="N735" s="1" t="str">
        <f>IF(OR(Table3[[#This Row],[weekday]]=0,Table3[[#This Row],[weekday]]=6),"Weekend","Weekday")</f>
        <v>Weekday</v>
      </c>
    </row>
    <row r="736" spans="1:14" ht="15" thickBot="1" x14ac:dyDescent="0.35">
      <c r="A736" s="51">
        <v>735</v>
      </c>
      <c r="B736" s="52">
        <v>40576</v>
      </c>
      <c r="C736" s="51">
        <v>23</v>
      </c>
      <c r="D736" s="53" t="b">
        <v>0</v>
      </c>
      <c r="E736" s="51">
        <f>_xlfn.XLOOKUP(A736,Table4[instant],Table4[weekday], ,0,1)</f>
        <v>3</v>
      </c>
      <c r="F736" s="51">
        <f>_xlfn.XLOOKUP(A736,Table4[instant],Table4[weathersit], ,0,1)</f>
        <v>1</v>
      </c>
      <c r="G736" s="42">
        <f>_xlfn.XLOOKUP(A736,Table4[instant],Table4[temp], ,0,1)</f>
        <v>0.2</v>
      </c>
      <c r="H736" s="54">
        <f>_xlfn.XLOOKUP(A736,Table4[instant],Table4[atemp], ,0,1)</f>
        <v>0.16669999999999999</v>
      </c>
      <c r="I736" s="42">
        <f>_xlfn.XLOOKUP(A736,Table4[instant],Table4[hum], ,0,1)</f>
        <v>0.44</v>
      </c>
      <c r="J736" s="42">
        <f>_xlfn.XLOOKUP(A736,Table4[instant],Table4[windspeed], ,0,1)</f>
        <v>0.44779999999999998</v>
      </c>
      <c r="K736" s="42">
        <f>_xlfn.XLOOKUP(A736,Table4[instant],Table4[casual], ,0,1)</f>
        <v>3</v>
      </c>
      <c r="L736" s="42">
        <f>_xlfn.XLOOKUP(A736,Table4[instant],Table4[registered], ,0,1)</f>
        <v>29</v>
      </c>
      <c r="M736" s="46">
        <f>_xlfn.XLOOKUP(A736,Table4[instant],Table4[cnt], ,0,1)</f>
        <v>32</v>
      </c>
      <c r="N736" s="42" t="str">
        <f>IF(OR(Table3[[#This Row],[weekday]]=0,Table3[[#This Row],[weekday]]=6),"Weekend","Weekday")</f>
        <v>Weekday</v>
      </c>
    </row>
    <row r="737" spans="1:14" ht="15" thickBot="1" x14ac:dyDescent="0.35">
      <c r="A737" s="48">
        <v>736</v>
      </c>
      <c r="B737" s="49">
        <v>40577</v>
      </c>
      <c r="C737" s="48">
        <v>0</v>
      </c>
      <c r="D737" s="50" t="b">
        <v>0</v>
      </c>
      <c r="E737" s="51">
        <f>_xlfn.XLOOKUP(A737,Table4[instant],Table4[weekday], ,0,1)</f>
        <v>4</v>
      </c>
      <c r="F737" s="51">
        <f>_xlfn.XLOOKUP(A737,Table4[instant],Table4[weathersit], ,0,1)</f>
        <v>1</v>
      </c>
      <c r="G737" s="42">
        <f>_xlfn.XLOOKUP(A737,Table4[instant],Table4[temp], ,0,1)</f>
        <v>0.2</v>
      </c>
      <c r="H737" s="54">
        <f>_xlfn.XLOOKUP(A737,Table4[instant],Table4[atemp], ,0,1)</f>
        <v>0.16669999999999999</v>
      </c>
      <c r="I737" s="42">
        <f>_xlfn.XLOOKUP(A737,Table4[instant],Table4[hum], ,0,1)</f>
        <v>0.4</v>
      </c>
      <c r="J737" s="42">
        <f>_xlfn.XLOOKUP(A737,Table4[instant],Table4[windspeed], ,0,1)</f>
        <v>0.44779999999999998</v>
      </c>
      <c r="K737" s="42">
        <f>_xlfn.XLOOKUP(A737,Table4[instant],Table4[casual], ,0,1)</f>
        <v>1</v>
      </c>
      <c r="L737" s="42">
        <f>_xlfn.XLOOKUP(A737,Table4[instant],Table4[registered], ,0,1)</f>
        <v>11</v>
      </c>
      <c r="M737" s="46">
        <f>_xlfn.XLOOKUP(A737,Table4[instant],Table4[cnt], ,0,1)</f>
        <v>12</v>
      </c>
      <c r="N737" s="1" t="str">
        <f>IF(OR(Table3[[#This Row],[weekday]]=0,Table3[[#This Row],[weekday]]=6),"Weekend","Weekday")</f>
        <v>Weekday</v>
      </c>
    </row>
    <row r="738" spans="1:14" ht="15" thickBot="1" x14ac:dyDescent="0.35">
      <c r="A738" s="51">
        <v>737</v>
      </c>
      <c r="B738" s="52">
        <v>40577</v>
      </c>
      <c r="C738" s="51">
        <v>1</v>
      </c>
      <c r="D738" s="53" t="b">
        <v>0</v>
      </c>
      <c r="E738" s="51">
        <f>_xlfn.XLOOKUP(A738,Table4[instant],Table4[weekday], ,0,1)</f>
        <v>4</v>
      </c>
      <c r="F738" s="51">
        <f>_xlfn.XLOOKUP(A738,Table4[instant],Table4[weathersit], ,0,1)</f>
        <v>1</v>
      </c>
      <c r="G738" s="42">
        <f>_xlfn.XLOOKUP(A738,Table4[instant],Table4[temp], ,0,1)</f>
        <v>0.2</v>
      </c>
      <c r="H738" s="54">
        <f>_xlfn.XLOOKUP(A738,Table4[instant],Table4[atemp], ,0,1)</f>
        <v>0.1515</v>
      </c>
      <c r="I738" s="42">
        <f>_xlfn.XLOOKUP(A738,Table4[instant],Table4[hum], ,0,1)</f>
        <v>0.44</v>
      </c>
      <c r="J738" s="42">
        <f>_xlfn.XLOOKUP(A738,Table4[instant],Table4[windspeed], ,0,1)</f>
        <v>0.52239999999999998</v>
      </c>
      <c r="K738" s="42">
        <f>_xlfn.XLOOKUP(A738,Table4[instant],Table4[casual], ,0,1)</f>
        <v>0</v>
      </c>
      <c r="L738" s="42">
        <f>_xlfn.XLOOKUP(A738,Table4[instant],Table4[registered], ,0,1)</f>
        <v>5</v>
      </c>
      <c r="M738" s="46">
        <f>_xlfn.XLOOKUP(A738,Table4[instant],Table4[cnt], ,0,1)</f>
        <v>5</v>
      </c>
      <c r="N738" s="42" t="str">
        <f>IF(OR(Table3[[#This Row],[weekday]]=0,Table3[[#This Row],[weekday]]=6),"Weekend","Weekday")</f>
        <v>Weekday</v>
      </c>
    </row>
    <row r="739" spans="1:14" ht="15" thickBot="1" x14ac:dyDescent="0.35">
      <c r="A739" s="48">
        <v>738</v>
      </c>
      <c r="B739" s="49">
        <v>40577</v>
      </c>
      <c r="C739" s="48">
        <v>2</v>
      </c>
      <c r="D739" s="50" t="b">
        <v>0</v>
      </c>
      <c r="E739" s="51">
        <f>_xlfn.XLOOKUP(A739,Table4[instant],Table4[weekday], ,0,1)</f>
        <v>4</v>
      </c>
      <c r="F739" s="51">
        <f>_xlfn.XLOOKUP(A739,Table4[instant],Table4[weathersit], ,0,1)</f>
        <v>1</v>
      </c>
      <c r="G739" s="42">
        <f>_xlfn.XLOOKUP(A739,Table4[instant],Table4[temp], ,0,1)</f>
        <v>0.18</v>
      </c>
      <c r="H739" s="54">
        <f>_xlfn.XLOOKUP(A739,Table4[instant],Table4[atemp], ,0,1)</f>
        <v>0.16669999999999999</v>
      </c>
      <c r="I739" s="42">
        <f>_xlfn.XLOOKUP(A739,Table4[instant],Table4[hum], ,0,1)</f>
        <v>0.43</v>
      </c>
      <c r="J739" s="42">
        <f>_xlfn.XLOOKUP(A739,Table4[instant],Table4[windspeed], ,0,1)</f>
        <v>0.25369999999999998</v>
      </c>
      <c r="K739" s="42">
        <f>_xlfn.XLOOKUP(A739,Table4[instant],Table4[casual], ,0,1)</f>
        <v>0</v>
      </c>
      <c r="L739" s="42">
        <f>_xlfn.XLOOKUP(A739,Table4[instant],Table4[registered], ,0,1)</f>
        <v>2</v>
      </c>
      <c r="M739" s="46">
        <f>_xlfn.XLOOKUP(A739,Table4[instant],Table4[cnt], ,0,1)</f>
        <v>2</v>
      </c>
      <c r="N739" s="1" t="str">
        <f>IF(OR(Table3[[#This Row],[weekday]]=0,Table3[[#This Row],[weekday]]=6),"Weekend","Weekday")</f>
        <v>Weekday</v>
      </c>
    </row>
    <row r="740" spans="1:14" ht="15" thickBot="1" x14ac:dyDescent="0.35">
      <c r="A740" s="51">
        <v>739</v>
      </c>
      <c r="B740" s="52">
        <v>40577</v>
      </c>
      <c r="C740" s="51">
        <v>3</v>
      </c>
      <c r="D740" s="53" t="b">
        <v>0</v>
      </c>
      <c r="E740" s="51">
        <f>_xlfn.XLOOKUP(A740,Table4[instant],Table4[weekday], ,0,1)</f>
        <v>4</v>
      </c>
      <c r="F740" s="51">
        <f>_xlfn.XLOOKUP(A740,Table4[instant],Table4[weathersit], ,0,1)</f>
        <v>1</v>
      </c>
      <c r="G740" s="42">
        <f>_xlfn.XLOOKUP(A740,Table4[instant],Table4[temp], ,0,1)</f>
        <v>0.18</v>
      </c>
      <c r="H740" s="54">
        <f>_xlfn.XLOOKUP(A740,Table4[instant],Table4[atemp], ,0,1)</f>
        <v>0.16669999999999999</v>
      </c>
      <c r="I740" s="42">
        <f>_xlfn.XLOOKUP(A740,Table4[instant],Table4[hum], ,0,1)</f>
        <v>0.43</v>
      </c>
      <c r="J740" s="42">
        <f>_xlfn.XLOOKUP(A740,Table4[instant],Table4[windspeed], ,0,1)</f>
        <v>0.25369999999999998</v>
      </c>
      <c r="K740" s="42">
        <f>_xlfn.XLOOKUP(A740,Table4[instant],Table4[casual], ,0,1)</f>
        <v>0</v>
      </c>
      <c r="L740" s="42">
        <f>_xlfn.XLOOKUP(A740,Table4[instant],Table4[registered], ,0,1)</f>
        <v>1</v>
      </c>
      <c r="M740" s="46">
        <f>_xlfn.XLOOKUP(A740,Table4[instant],Table4[cnt], ,0,1)</f>
        <v>1</v>
      </c>
      <c r="N740" s="42" t="str">
        <f>IF(OR(Table3[[#This Row],[weekday]]=0,Table3[[#This Row],[weekday]]=6),"Weekend","Weekday")</f>
        <v>Weekday</v>
      </c>
    </row>
    <row r="741" spans="1:14" ht="15" thickBot="1" x14ac:dyDescent="0.35">
      <c r="A741" s="48">
        <v>740</v>
      </c>
      <c r="B741" s="49">
        <v>40577</v>
      </c>
      <c r="C741" s="48">
        <v>5</v>
      </c>
      <c r="D741" s="50" t="b">
        <v>0</v>
      </c>
      <c r="E741" s="51">
        <f>_xlfn.XLOOKUP(A741,Table4[instant],Table4[weekday], ,0,1)</f>
        <v>4</v>
      </c>
      <c r="F741" s="51">
        <f>_xlfn.XLOOKUP(A741,Table4[instant],Table4[weathersit], ,0,1)</f>
        <v>1</v>
      </c>
      <c r="G741" s="42">
        <f>_xlfn.XLOOKUP(A741,Table4[instant],Table4[temp], ,0,1)</f>
        <v>0.16</v>
      </c>
      <c r="H741" s="54">
        <f>_xlfn.XLOOKUP(A741,Table4[instant],Table4[atemp], ,0,1)</f>
        <v>0.13639999999999999</v>
      </c>
      <c r="I741" s="42">
        <f>_xlfn.XLOOKUP(A741,Table4[instant],Table4[hum], ,0,1)</f>
        <v>0.5</v>
      </c>
      <c r="J741" s="42">
        <f>_xlfn.XLOOKUP(A741,Table4[instant],Table4[windspeed], ,0,1)</f>
        <v>0.29849999999999999</v>
      </c>
      <c r="K741" s="42">
        <f>_xlfn.XLOOKUP(A741,Table4[instant],Table4[casual], ,0,1)</f>
        <v>0</v>
      </c>
      <c r="L741" s="42">
        <f>_xlfn.XLOOKUP(A741,Table4[instant],Table4[registered], ,0,1)</f>
        <v>2</v>
      </c>
      <c r="M741" s="46">
        <f>_xlfn.XLOOKUP(A741,Table4[instant],Table4[cnt], ,0,1)</f>
        <v>2</v>
      </c>
      <c r="N741" s="1" t="str">
        <f>IF(OR(Table3[[#This Row],[weekday]]=0,Table3[[#This Row],[weekday]]=6),"Weekend","Weekday")</f>
        <v>Weekday</v>
      </c>
    </row>
    <row r="742" spans="1:14" ht="15" thickBot="1" x14ac:dyDescent="0.35">
      <c r="A742" s="51">
        <v>741</v>
      </c>
      <c r="B742" s="52">
        <v>40577</v>
      </c>
      <c r="C742" s="51">
        <v>6</v>
      </c>
      <c r="D742" s="53" t="b">
        <v>0</v>
      </c>
      <c r="E742" s="51">
        <f>_xlfn.XLOOKUP(A742,Table4[instant],Table4[weekday], ,0,1)</f>
        <v>4</v>
      </c>
      <c r="F742" s="51">
        <f>_xlfn.XLOOKUP(A742,Table4[instant],Table4[weathersit], ,0,1)</f>
        <v>1</v>
      </c>
      <c r="G742" s="42">
        <f>_xlfn.XLOOKUP(A742,Table4[instant],Table4[temp], ,0,1)</f>
        <v>0.16</v>
      </c>
      <c r="H742" s="54">
        <f>_xlfn.XLOOKUP(A742,Table4[instant],Table4[atemp], ,0,1)</f>
        <v>0.13639999999999999</v>
      </c>
      <c r="I742" s="42">
        <f>_xlfn.XLOOKUP(A742,Table4[instant],Table4[hum], ,0,1)</f>
        <v>0.43</v>
      </c>
      <c r="J742" s="42">
        <f>_xlfn.XLOOKUP(A742,Table4[instant],Table4[windspeed], ,0,1)</f>
        <v>0.35820000000000002</v>
      </c>
      <c r="K742" s="42">
        <f>_xlfn.XLOOKUP(A742,Table4[instant],Table4[casual], ,0,1)</f>
        <v>0</v>
      </c>
      <c r="L742" s="42">
        <f>_xlfn.XLOOKUP(A742,Table4[instant],Table4[registered], ,0,1)</f>
        <v>39</v>
      </c>
      <c r="M742" s="46">
        <f>_xlfn.XLOOKUP(A742,Table4[instant],Table4[cnt], ,0,1)</f>
        <v>39</v>
      </c>
      <c r="N742" s="42" t="str">
        <f>IF(OR(Table3[[#This Row],[weekday]]=0,Table3[[#This Row],[weekday]]=6),"Weekend","Weekday")</f>
        <v>Weekday</v>
      </c>
    </row>
    <row r="743" spans="1:14" ht="15" thickBot="1" x14ac:dyDescent="0.35">
      <c r="A743" s="48">
        <v>742</v>
      </c>
      <c r="B743" s="49">
        <v>40577</v>
      </c>
      <c r="C743" s="48">
        <v>7</v>
      </c>
      <c r="D743" s="50" t="b">
        <v>0</v>
      </c>
      <c r="E743" s="51">
        <f>_xlfn.XLOOKUP(A743,Table4[instant],Table4[weekday], ,0,1)</f>
        <v>4</v>
      </c>
      <c r="F743" s="51">
        <f>_xlfn.XLOOKUP(A743,Table4[instant],Table4[weathersit], ,0,1)</f>
        <v>1</v>
      </c>
      <c r="G743" s="42">
        <f>_xlfn.XLOOKUP(A743,Table4[instant],Table4[temp], ,0,1)</f>
        <v>0.14000000000000001</v>
      </c>
      <c r="H743" s="54">
        <f>_xlfn.XLOOKUP(A743,Table4[instant],Table4[atemp], ,0,1)</f>
        <v>0.1212</v>
      </c>
      <c r="I743" s="42">
        <f>_xlfn.XLOOKUP(A743,Table4[instant],Table4[hum], ,0,1)</f>
        <v>0.5</v>
      </c>
      <c r="J743" s="42">
        <f>_xlfn.XLOOKUP(A743,Table4[instant],Table4[windspeed], ,0,1)</f>
        <v>0.32840000000000003</v>
      </c>
      <c r="K743" s="42">
        <f>_xlfn.XLOOKUP(A743,Table4[instant],Table4[casual], ,0,1)</f>
        <v>1</v>
      </c>
      <c r="L743" s="42">
        <f>_xlfn.XLOOKUP(A743,Table4[instant],Table4[registered], ,0,1)</f>
        <v>86</v>
      </c>
      <c r="M743" s="46">
        <f>_xlfn.XLOOKUP(A743,Table4[instant],Table4[cnt], ,0,1)</f>
        <v>87</v>
      </c>
      <c r="N743" s="1" t="str">
        <f>IF(OR(Table3[[#This Row],[weekday]]=0,Table3[[#This Row],[weekday]]=6),"Weekend","Weekday")</f>
        <v>Weekday</v>
      </c>
    </row>
    <row r="744" spans="1:14" ht="15" thickBot="1" x14ac:dyDescent="0.35">
      <c r="A744" s="51">
        <v>743</v>
      </c>
      <c r="B744" s="52">
        <v>40577</v>
      </c>
      <c r="C744" s="51">
        <v>8</v>
      </c>
      <c r="D744" s="53" t="b">
        <v>0</v>
      </c>
      <c r="E744" s="51">
        <f>_xlfn.XLOOKUP(A744,Table4[instant],Table4[weekday], ,0,1)</f>
        <v>4</v>
      </c>
      <c r="F744" s="51">
        <f>_xlfn.XLOOKUP(A744,Table4[instant],Table4[weathersit], ,0,1)</f>
        <v>1</v>
      </c>
      <c r="G744" s="42">
        <f>_xlfn.XLOOKUP(A744,Table4[instant],Table4[temp], ,0,1)</f>
        <v>0.14000000000000001</v>
      </c>
      <c r="H744" s="54">
        <f>_xlfn.XLOOKUP(A744,Table4[instant],Table4[atemp], ,0,1)</f>
        <v>0.1212</v>
      </c>
      <c r="I744" s="42">
        <f>_xlfn.XLOOKUP(A744,Table4[instant],Table4[hum], ,0,1)</f>
        <v>0.5</v>
      </c>
      <c r="J744" s="42">
        <f>_xlfn.XLOOKUP(A744,Table4[instant],Table4[windspeed], ,0,1)</f>
        <v>0.35820000000000002</v>
      </c>
      <c r="K744" s="42">
        <f>_xlfn.XLOOKUP(A744,Table4[instant],Table4[casual], ,0,1)</f>
        <v>4</v>
      </c>
      <c r="L744" s="42">
        <f>_xlfn.XLOOKUP(A744,Table4[instant],Table4[registered], ,0,1)</f>
        <v>184</v>
      </c>
      <c r="M744" s="46">
        <f>_xlfn.XLOOKUP(A744,Table4[instant],Table4[cnt], ,0,1)</f>
        <v>188</v>
      </c>
      <c r="N744" s="42" t="str">
        <f>IF(OR(Table3[[#This Row],[weekday]]=0,Table3[[#This Row],[weekday]]=6),"Weekend","Weekday")</f>
        <v>Weekday</v>
      </c>
    </row>
    <row r="745" spans="1:14" ht="15" thickBot="1" x14ac:dyDescent="0.35">
      <c r="A745" s="48">
        <v>744</v>
      </c>
      <c r="B745" s="49">
        <v>40577</v>
      </c>
      <c r="C745" s="48">
        <v>9</v>
      </c>
      <c r="D745" s="50" t="b">
        <v>0</v>
      </c>
      <c r="E745" s="51">
        <f>_xlfn.XLOOKUP(A745,Table4[instant],Table4[weekday], ,0,1)</f>
        <v>4</v>
      </c>
      <c r="F745" s="51">
        <f>_xlfn.XLOOKUP(A745,Table4[instant],Table4[weathersit], ,0,1)</f>
        <v>1</v>
      </c>
      <c r="G745" s="42">
        <f>_xlfn.XLOOKUP(A745,Table4[instant],Table4[temp], ,0,1)</f>
        <v>0.16</v>
      </c>
      <c r="H745" s="54">
        <f>_xlfn.XLOOKUP(A745,Table4[instant],Table4[atemp], ,0,1)</f>
        <v>0.13639999999999999</v>
      </c>
      <c r="I745" s="42">
        <f>_xlfn.XLOOKUP(A745,Table4[instant],Table4[hum], ,0,1)</f>
        <v>0.47</v>
      </c>
      <c r="J745" s="42">
        <f>_xlfn.XLOOKUP(A745,Table4[instant],Table4[windspeed], ,0,1)</f>
        <v>0.29849999999999999</v>
      </c>
      <c r="K745" s="42">
        <f>_xlfn.XLOOKUP(A745,Table4[instant],Table4[casual], ,0,1)</f>
        <v>6</v>
      </c>
      <c r="L745" s="42">
        <f>_xlfn.XLOOKUP(A745,Table4[instant],Table4[registered], ,0,1)</f>
        <v>127</v>
      </c>
      <c r="M745" s="46">
        <f>_xlfn.XLOOKUP(A745,Table4[instant],Table4[cnt], ,0,1)</f>
        <v>133</v>
      </c>
      <c r="N745" s="1" t="str">
        <f>IF(OR(Table3[[#This Row],[weekday]]=0,Table3[[#This Row],[weekday]]=6),"Weekend","Weekday")</f>
        <v>Weekday</v>
      </c>
    </row>
    <row r="746" spans="1:14" ht="15" thickBot="1" x14ac:dyDescent="0.35">
      <c r="A746" s="51">
        <v>745</v>
      </c>
      <c r="B746" s="52">
        <v>40577</v>
      </c>
      <c r="C746" s="51">
        <v>10</v>
      </c>
      <c r="D746" s="53" t="b">
        <v>0</v>
      </c>
      <c r="E746" s="51">
        <f>_xlfn.XLOOKUP(A746,Table4[instant],Table4[weekday], ,0,1)</f>
        <v>4</v>
      </c>
      <c r="F746" s="51">
        <f>_xlfn.XLOOKUP(A746,Table4[instant],Table4[weathersit], ,0,1)</f>
        <v>1</v>
      </c>
      <c r="G746" s="42">
        <f>_xlfn.XLOOKUP(A746,Table4[instant],Table4[temp], ,0,1)</f>
        <v>0.18</v>
      </c>
      <c r="H746" s="54">
        <f>_xlfn.XLOOKUP(A746,Table4[instant],Table4[atemp], ,0,1)</f>
        <v>0.1515</v>
      </c>
      <c r="I746" s="42">
        <f>_xlfn.XLOOKUP(A746,Table4[instant],Table4[hum], ,0,1)</f>
        <v>0.43</v>
      </c>
      <c r="J746" s="42">
        <f>_xlfn.XLOOKUP(A746,Table4[instant],Table4[windspeed], ,0,1)</f>
        <v>0.32840000000000003</v>
      </c>
      <c r="K746" s="42">
        <f>_xlfn.XLOOKUP(A746,Table4[instant],Table4[casual], ,0,1)</f>
        <v>2</v>
      </c>
      <c r="L746" s="42">
        <f>_xlfn.XLOOKUP(A746,Table4[instant],Table4[registered], ,0,1)</f>
        <v>50</v>
      </c>
      <c r="M746" s="46">
        <f>_xlfn.XLOOKUP(A746,Table4[instant],Table4[cnt], ,0,1)</f>
        <v>52</v>
      </c>
      <c r="N746" s="42" t="str">
        <f>IF(OR(Table3[[#This Row],[weekday]]=0,Table3[[#This Row],[weekday]]=6),"Weekend","Weekday")</f>
        <v>Weekday</v>
      </c>
    </row>
    <row r="747" spans="1:14" ht="15" thickBot="1" x14ac:dyDescent="0.35">
      <c r="A747" s="48">
        <v>746</v>
      </c>
      <c r="B747" s="49">
        <v>40577</v>
      </c>
      <c r="C747" s="48">
        <v>11</v>
      </c>
      <c r="D747" s="50" t="b">
        <v>0</v>
      </c>
      <c r="E747" s="51">
        <f>_xlfn.XLOOKUP(A747,Table4[instant],Table4[weekday], ,0,1)</f>
        <v>4</v>
      </c>
      <c r="F747" s="51">
        <f>_xlfn.XLOOKUP(A747,Table4[instant],Table4[weathersit], ,0,1)</f>
        <v>1</v>
      </c>
      <c r="G747" s="42">
        <f>_xlfn.XLOOKUP(A747,Table4[instant],Table4[temp], ,0,1)</f>
        <v>0.18</v>
      </c>
      <c r="H747" s="54">
        <f>_xlfn.XLOOKUP(A747,Table4[instant],Table4[atemp], ,0,1)</f>
        <v>0.13639999999999999</v>
      </c>
      <c r="I747" s="42">
        <f>_xlfn.XLOOKUP(A747,Table4[instant],Table4[hum], ,0,1)</f>
        <v>0.43</v>
      </c>
      <c r="J747" s="42">
        <f>_xlfn.XLOOKUP(A747,Table4[instant],Table4[windspeed], ,0,1)</f>
        <v>0.44779999999999998</v>
      </c>
      <c r="K747" s="42">
        <f>_xlfn.XLOOKUP(A747,Table4[instant],Table4[casual], ,0,1)</f>
        <v>9</v>
      </c>
      <c r="L747" s="42">
        <f>_xlfn.XLOOKUP(A747,Table4[instant],Table4[registered], ,0,1)</f>
        <v>55</v>
      </c>
      <c r="M747" s="46">
        <f>_xlfn.XLOOKUP(A747,Table4[instant],Table4[cnt], ,0,1)</f>
        <v>64</v>
      </c>
      <c r="N747" s="1" t="str">
        <f>IF(OR(Table3[[#This Row],[weekday]]=0,Table3[[#This Row],[weekday]]=6),"Weekend","Weekday")</f>
        <v>Weekday</v>
      </c>
    </row>
    <row r="748" spans="1:14" ht="15" thickBot="1" x14ac:dyDescent="0.35">
      <c r="A748" s="51">
        <v>747</v>
      </c>
      <c r="B748" s="52">
        <v>40577</v>
      </c>
      <c r="C748" s="51">
        <v>12</v>
      </c>
      <c r="D748" s="53" t="b">
        <v>0</v>
      </c>
      <c r="E748" s="51">
        <f>_xlfn.XLOOKUP(A748,Table4[instant],Table4[weekday], ,0,1)</f>
        <v>4</v>
      </c>
      <c r="F748" s="51">
        <f>_xlfn.XLOOKUP(A748,Table4[instant],Table4[weathersit], ,0,1)</f>
        <v>1</v>
      </c>
      <c r="G748" s="42">
        <f>_xlfn.XLOOKUP(A748,Table4[instant],Table4[temp], ,0,1)</f>
        <v>0.2</v>
      </c>
      <c r="H748" s="54">
        <f>_xlfn.XLOOKUP(A748,Table4[instant],Table4[atemp], ,0,1)</f>
        <v>0.18179999999999999</v>
      </c>
      <c r="I748" s="42">
        <f>_xlfn.XLOOKUP(A748,Table4[instant],Table4[hum], ,0,1)</f>
        <v>0.4</v>
      </c>
      <c r="J748" s="42">
        <f>_xlfn.XLOOKUP(A748,Table4[instant],Table4[windspeed], ,0,1)</f>
        <v>0.35820000000000002</v>
      </c>
      <c r="K748" s="42">
        <f>_xlfn.XLOOKUP(A748,Table4[instant],Table4[casual], ,0,1)</f>
        <v>2</v>
      </c>
      <c r="L748" s="42">
        <f>_xlfn.XLOOKUP(A748,Table4[instant],Table4[registered], ,0,1)</f>
        <v>67</v>
      </c>
      <c r="M748" s="46">
        <f>_xlfn.XLOOKUP(A748,Table4[instant],Table4[cnt], ,0,1)</f>
        <v>69</v>
      </c>
      <c r="N748" s="42" t="str">
        <f>IF(OR(Table3[[#This Row],[weekday]]=0,Table3[[#This Row],[weekday]]=6),"Weekend","Weekday")</f>
        <v>Weekday</v>
      </c>
    </row>
    <row r="749" spans="1:14" ht="15" thickBot="1" x14ac:dyDescent="0.35">
      <c r="A749" s="48">
        <v>748</v>
      </c>
      <c r="B749" s="49">
        <v>40577</v>
      </c>
      <c r="C749" s="48">
        <v>13</v>
      </c>
      <c r="D749" s="50" t="b">
        <v>0</v>
      </c>
      <c r="E749" s="51">
        <f>_xlfn.XLOOKUP(A749,Table4[instant],Table4[weekday], ,0,1)</f>
        <v>4</v>
      </c>
      <c r="F749" s="51">
        <f>_xlfn.XLOOKUP(A749,Table4[instant],Table4[weathersit], ,0,1)</f>
        <v>1</v>
      </c>
      <c r="G749" s="42">
        <f>_xlfn.XLOOKUP(A749,Table4[instant],Table4[temp], ,0,1)</f>
        <v>0.2</v>
      </c>
      <c r="H749" s="54">
        <f>_xlfn.XLOOKUP(A749,Table4[instant],Table4[atemp], ,0,1)</f>
        <v>0.16669999999999999</v>
      </c>
      <c r="I749" s="42">
        <f>_xlfn.XLOOKUP(A749,Table4[instant],Table4[hum], ,0,1)</f>
        <v>0.4</v>
      </c>
      <c r="J749" s="42">
        <f>_xlfn.XLOOKUP(A749,Table4[instant],Table4[windspeed], ,0,1)</f>
        <v>0.41789999999999999</v>
      </c>
      <c r="K749" s="42">
        <f>_xlfn.XLOOKUP(A749,Table4[instant],Table4[casual], ,0,1)</f>
        <v>4</v>
      </c>
      <c r="L749" s="42">
        <f>_xlfn.XLOOKUP(A749,Table4[instant],Table4[registered], ,0,1)</f>
        <v>47</v>
      </c>
      <c r="M749" s="46">
        <f>_xlfn.XLOOKUP(A749,Table4[instant],Table4[cnt], ,0,1)</f>
        <v>51</v>
      </c>
      <c r="N749" s="1" t="str">
        <f>IF(OR(Table3[[#This Row],[weekday]]=0,Table3[[#This Row],[weekday]]=6),"Weekend","Weekday")</f>
        <v>Weekday</v>
      </c>
    </row>
    <row r="750" spans="1:14" ht="15" thickBot="1" x14ac:dyDescent="0.35">
      <c r="A750" s="51">
        <v>749</v>
      </c>
      <c r="B750" s="52">
        <v>40577</v>
      </c>
      <c r="C750" s="51">
        <v>14</v>
      </c>
      <c r="D750" s="53" t="b">
        <v>0</v>
      </c>
      <c r="E750" s="51">
        <f>_xlfn.XLOOKUP(A750,Table4[instant],Table4[weekday], ,0,1)</f>
        <v>4</v>
      </c>
      <c r="F750" s="51">
        <f>_xlfn.XLOOKUP(A750,Table4[instant],Table4[weathersit], ,0,1)</f>
        <v>1</v>
      </c>
      <c r="G750" s="42">
        <f>_xlfn.XLOOKUP(A750,Table4[instant],Table4[temp], ,0,1)</f>
        <v>0.22</v>
      </c>
      <c r="H750" s="54">
        <f>_xlfn.XLOOKUP(A750,Table4[instant],Table4[atemp], ,0,1)</f>
        <v>0.19700000000000001</v>
      </c>
      <c r="I750" s="42">
        <f>_xlfn.XLOOKUP(A750,Table4[instant],Table4[hum], ,0,1)</f>
        <v>0.37</v>
      </c>
      <c r="J750" s="42">
        <f>_xlfn.XLOOKUP(A750,Table4[instant],Table4[windspeed], ,0,1)</f>
        <v>0.3881</v>
      </c>
      <c r="K750" s="42">
        <f>_xlfn.XLOOKUP(A750,Table4[instant],Table4[casual], ,0,1)</f>
        <v>4</v>
      </c>
      <c r="L750" s="42">
        <f>_xlfn.XLOOKUP(A750,Table4[instant],Table4[registered], ,0,1)</f>
        <v>43</v>
      </c>
      <c r="M750" s="46">
        <f>_xlfn.XLOOKUP(A750,Table4[instant],Table4[cnt], ,0,1)</f>
        <v>47</v>
      </c>
      <c r="N750" s="42" t="str">
        <f>IF(OR(Table3[[#This Row],[weekday]]=0,Table3[[#This Row],[weekday]]=6),"Weekend","Weekday")</f>
        <v>Weekday</v>
      </c>
    </row>
    <row r="751" spans="1:14" ht="15" thickBot="1" x14ac:dyDescent="0.35">
      <c r="A751" s="48">
        <v>750</v>
      </c>
      <c r="B751" s="49">
        <v>40577</v>
      </c>
      <c r="C751" s="48">
        <v>15</v>
      </c>
      <c r="D751" s="50" t="b">
        <v>0</v>
      </c>
      <c r="E751" s="51">
        <f>_xlfn.XLOOKUP(A751,Table4[instant],Table4[weekday], ,0,1)</f>
        <v>4</v>
      </c>
      <c r="F751" s="51">
        <f>_xlfn.XLOOKUP(A751,Table4[instant],Table4[weathersit], ,0,1)</f>
        <v>1</v>
      </c>
      <c r="G751" s="42">
        <f>_xlfn.XLOOKUP(A751,Table4[instant],Table4[temp], ,0,1)</f>
        <v>0.22</v>
      </c>
      <c r="H751" s="54">
        <f>_xlfn.XLOOKUP(A751,Table4[instant],Table4[atemp], ,0,1)</f>
        <v>0.19700000000000001</v>
      </c>
      <c r="I751" s="42">
        <f>_xlfn.XLOOKUP(A751,Table4[instant],Table4[hum], ,0,1)</f>
        <v>0.37</v>
      </c>
      <c r="J751" s="42">
        <f>_xlfn.XLOOKUP(A751,Table4[instant],Table4[windspeed], ,0,1)</f>
        <v>0.32840000000000003</v>
      </c>
      <c r="K751" s="42">
        <f>_xlfn.XLOOKUP(A751,Table4[instant],Table4[casual], ,0,1)</f>
        <v>4</v>
      </c>
      <c r="L751" s="42">
        <f>_xlfn.XLOOKUP(A751,Table4[instant],Table4[registered], ,0,1)</f>
        <v>56</v>
      </c>
      <c r="M751" s="46">
        <f>_xlfn.XLOOKUP(A751,Table4[instant],Table4[cnt], ,0,1)</f>
        <v>60</v>
      </c>
      <c r="N751" s="1" t="str">
        <f>IF(OR(Table3[[#This Row],[weekday]]=0,Table3[[#This Row],[weekday]]=6),"Weekend","Weekday")</f>
        <v>Weekday</v>
      </c>
    </row>
    <row r="752" spans="1:14" ht="15" thickBot="1" x14ac:dyDescent="0.35">
      <c r="A752" s="51">
        <v>751</v>
      </c>
      <c r="B752" s="52">
        <v>40577</v>
      </c>
      <c r="C752" s="51">
        <v>16</v>
      </c>
      <c r="D752" s="53" t="b">
        <v>0</v>
      </c>
      <c r="E752" s="51">
        <f>_xlfn.XLOOKUP(A752,Table4[instant],Table4[weekday], ,0,1)</f>
        <v>4</v>
      </c>
      <c r="F752" s="51">
        <f>_xlfn.XLOOKUP(A752,Table4[instant],Table4[weathersit], ,0,1)</f>
        <v>1</v>
      </c>
      <c r="G752" s="42">
        <f>_xlfn.XLOOKUP(A752,Table4[instant],Table4[temp], ,0,1)</f>
        <v>0.22</v>
      </c>
      <c r="H752" s="54">
        <f>_xlfn.XLOOKUP(A752,Table4[instant],Table4[atemp], ,0,1)</f>
        <v>0.21210000000000001</v>
      </c>
      <c r="I752" s="42">
        <f>_xlfn.XLOOKUP(A752,Table4[instant],Table4[hum], ,0,1)</f>
        <v>0.37</v>
      </c>
      <c r="J752" s="42">
        <f>_xlfn.XLOOKUP(A752,Table4[instant],Table4[windspeed], ,0,1)</f>
        <v>0.25369999999999998</v>
      </c>
      <c r="K752" s="42">
        <f>_xlfn.XLOOKUP(A752,Table4[instant],Table4[casual], ,0,1)</f>
        <v>5</v>
      </c>
      <c r="L752" s="42">
        <f>_xlfn.XLOOKUP(A752,Table4[instant],Table4[registered], ,0,1)</f>
        <v>73</v>
      </c>
      <c r="M752" s="46">
        <f>_xlfn.XLOOKUP(A752,Table4[instant],Table4[cnt], ,0,1)</f>
        <v>78</v>
      </c>
      <c r="N752" s="42" t="str">
        <f>IF(OR(Table3[[#This Row],[weekday]]=0,Table3[[#This Row],[weekday]]=6),"Weekend","Weekday")</f>
        <v>Weekday</v>
      </c>
    </row>
    <row r="753" spans="1:14" ht="15" thickBot="1" x14ac:dyDescent="0.35">
      <c r="A753" s="48">
        <v>752</v>
      </c>
      <c r="B753" s="49">
        <v>40577</v>
      </c>
      <c r="C753" s="48">
        <v>17</v>
      </c>
      <c r="D753" s="50" t="b">
        <v>0</v>
      </c>
      <c r="E753" s="51">
        <f>_xlfn.XLOOKUP(A753,Table4[instant],Table4[weekday], ,0,1)</f>
        <v>4</v>
      </c>
      <c r="F753" s="51">
        <f>_xlfn.XLOOKUP(A753,Table4[instant],Table4[weathersit], ,0,1)</f>
        <v>1</v>
      </c>
      <c r="G753" s="42">
        <f>_xlfn.XLOOKUP(A753,Table4[instant],Table4[temp], ,0,1)</f>
        <v>0.2</v>
      </c>
      <c r="H753" s="54">
        <f>_xlfn.XLOOKUP(A753,Table4[instant],Table4[atemp], ,0,1)</f>
        <v>0.19700000000000001</v>
      </c>
      <c r="I753" s="42">
        <f>_xlfn.XLOOKUP(A753,Table4[instant],Table4[hum], ,0,1)</f>
        <v>0.4</v>
      </c>
      <c r="J753" s="42">
        <f>_xlfn.XLOOKUP(A753,Table4[instant],Table4[windspeed], ,0,1)</f>
        <v>0.19400000000000001</v>
      </c>
      <c r="K753" s="42">
        <f>_xlfn.XLOOKUP(A753,Table4[instant],Table4[casual], ,0,1)</f>
        <v>5</v>
      </c>
      <c r="L753" s="42">
        <f>_xlfn.XLOOKUP(A753,Table4[instant],Table4[registered], ,0,1)</f>
        <v>170</v>
      </c>
      <c r="M753" s="46">
        <f>_xlfn.XLOOKUP(A753,Table4[instant],Table4[cnt], ,0,1)</f>
        <v>175</v>
      </c>
      <c r="N753" s="1" t="str">
        <f>IF(OR(Table3[[#This Row],[weekday]]=0,Table3[[#This Row],[weekday]]=6),"Weekend","Weekday")</f>
        <v>Weekday</v>
      </c>
    </row>
    <row r="754" spans="1:14" ht="15" thickBot="1" x14ac:dyDescent="0.35">
      <c r="A754" s="51">
        <v>753</v>
      </c>
      <c r="B754" s="52">
        <v>40577</v>
      </c>
      <c r="C754" s="51">
        <v>18</v>
      </c>
      <c r="D754" s="53" t="b">
        <v>0</v>
      </c>
      <c r="E754" s="51">
        <f>_xlfn.XLOOKUP(A754,Table4[instant],Table4[weekday], ,0,1)</f>
        <v>4</v>
      </c>
      <c r="F754" s="51">
        <f>_xlfn.XLOOKUP(A754,Table4[instant],Table4[weathersit], ,0,1)</f>
        <v>1</v>
      </c>
      <c r="G754" s="42">
        <f>_xlfn.XLOOKUP(A754,Table4[instant],Table4[temp], ,0,1)</f>
        <v>0.2</v>
      </c>
      <c r="H754" s="54">
        <f>_xlfn.XLOOKUP(A754,Table4[instant],Table4[atemp], ,0,1)</f>
        <v>0.21210000000000001</v>
      </c>
      <c r="I754" s="42">
        <f>_xlfn.XLOOKUP(A754,Table4[instant],Table4[hum], ,0,1)</f>
        <v>0.4</v>
      </c>
      <c r="J754" s="42">
        <f>_xlfn.XLOOKUP(A754,Table4[instant],Table4[windspeed], ,0,1)</f>
        <v>0.16420000000000001</v>
      </c>
      <c r="K754" s="42">
        <f>_xlfn.XLOOKUP(A754,Table4[instant],Table4[casual], ,0,1)</f>
        <v>2</v>
      </c>
      <c r="L754" s="42">
        <f>_xlfn.XLOOKUP(A754,Table4[instant],Table4[registered], ,0,1)</f>
        <v>145</v>
      </c>
      <c r="M754" s="46">
        <f>_xlfn.XLOOKUP(A754,Table4[instant],Table4[cnt], ,0,1)</f>
        <v>147</v>
      </c>
      <c r="N754" s="42" t="str">
        <f>IF(OR(Table3[[#This Row],[weekday]]=0,Table3[[#This Row],[weekday]]=6),"Weekend","Weekday")</f>
        <v>Weekday</v>
      </c>
    </row>
    <row r="755" spans="1:14" ht="15" thickBot="1" x14ac:dyDescent="0.35">
      <c r="A755" s="48">
        <v>754</v>
      </c>
      <c r="B755" s="49">
        <v>40577</v>
      </c>
      <c r="C755" s="48">
        <v>19</v>
      </c>
      <c r="D755" s="50" t="b">
        <v>0</v>
      </c>
      <c r="E755" s="51">
        <f>_xlfn.XLOOKUP(A755,Table4[instant],Table4[weekday], ,0,1)</f>
        <v>4</v>
      </c>
      <c r="F755" s="51">
        <f>_xlfn.XLOOKUP(A755,Table4[instant],Table4[weathersit], ,0,1)</f>
        <v>1</v>
      </c>
      <c r="G755" s="42">
        <f>_xlfn.XLOOKUP(A755,Table4[instant],Table4[temp], ,0,1)</f>
        <v>0.2</v>
      </c>
      <c r="H755" s="54">
        <f>_xlfn.XLOOKUP(A755,Table4[instant],Table4[atemp], ,0,1)</f>
        <v>0.2576</v>
      </c>
      <c r="I755" s="42">
        <f>_xlfn.XLOOKUP(A755,Table4[instant],Table4[hum], ,0,1)</f>
        <v>0.4</v>
      </c>
      <c r="J755" s="42">
        <f>_xlfn.XLOOKUP(A755,Table4[instant],Table4[windspeed], ,0,1)</f>
        <v>0</v>
      </c>
      <c r="K755" s="42">
        <f>_xlfn.XLOOKUP(A755,Table4[instant],Table4[casual], ,0,1)</f>
        <v>4</v>
      </c>
      <c r="L755" s="42">
        <f>_xlfn.XLOOKUP(A755,Table4[instant],Table4[registered], ,0,1)</f>
        <v>92</v>
      </c>
      <c r="M755" s="46">
        <f>_xlfn.XLOOKUP(A755,Table4[instant],Table4[cnt], ,0,1)</f>
        <v>96</v>
      </c>
      <c r="N755" s="1" t="str">
        <f>IF(OR(Table3[[#This Row],[weekday]]=0,Table3[[#This Row],[weekday]]=6),"Weekend","Weekday")</f>
        <v>Weekday</v>
      </c>
    </row>
    <row r="756" spans="1:14" ht="15" thickBot="1" x14ac:dyDescent="0.35">
      <c r="A756" s="51">
        <v>755</v>
      </c>
      <c r="B756" s="52">
        <v>40577</v>
      </c>
      <c r="C756" s="51">
        <v>20</v>
      </c>
      <c r="D756" s="53" t="b">
        <v>0</v>
      </c>
      <c r="E756" s="51">
        <f>_xlfn.XLOOKUP(A756,Table4[instant],Table4[weekday], ,0,1)</f>
        <v>4</v>
      </c>
      <c r="F756" s="51">
        <f>_xlfn.XLOOKUP(A756,Table4[instant],Table4[weathersit], ,0,1)</f>
        <v>1</v>
      </c>
      <c r="G756" s="42">
        <f>_xlfn.XLOOKUP(A756,Table4[instant],Table4[temp], ,0,1)</f>
        <v>0.2</v>
      </c>
      <c r="H756" s="54">
        <f>_xlfn.XLOOKUP(A756,Table4[instant],Table4[atemp], ,0,1)</f>
        <v>0.2273</v>
      </c>
      <c r="I756" s="42">
        <f>_xlfn.XLOOKUP(A756,Table4[instant],Table4[hum], ,0,1)</f>
        <v>0.47</v>
      </c>
      <c r="J756" s="42">
        <f>_xlfn.XLOOKUP(A756,Table4[instant],Table4[windspeed], ,0,1)</f>
        <v>8.9599999999999999E-2</v>
      </c>
      <c r="K756" s="42">
        <f>_xlfn.XLOOKUP(A756,Table4[instant],Table4[casual], ,0,1)</f>
        <v>1</v>
      </c>
      <c r="L756" s="42">
        <f>_xlfn.XLOOKUP(A756,Table4[instant],Table4[registered], ,0,1)</f>
        <v>108</v>
      </c>
      <c r="M756" s="46">
        <f>_xlfn.XLOOKUP(A756,Table4[instant],Table4[cnt], ,0,1)</f>
        <v>109</v>
      </c>
      <c r="N756" s="42" t="str">
        <f>IF(OR(Table3[[#This Row],[weekday]]=0,Table3[[#This Row],[weekday]]=6),"Weekend","Weekday")</f>
        <v>Weekday</v>
      </c>
    </row>
    <row r="757" spans="1:14" ht="15" thickBot="1" x14ac:dyDescent="0.35">
      <c r="A757" s="48">
        <v>756</v>
      </c>
      <c r="B757" s="49">
        <v>40577</v>
      </c>
      <c r="C757" s="48">
        <v>21</v>
      </c>
      <c r="D757" s="50" t="b">
        <v>0</v>
      </c>
      <c r="E757" s="51">
        <f>_xlfn.XLOOKUP(A757,Table4[instant],Table4[weekday], ,0,1)</f>
        <v>4</v>
      </c>
      <c r="F757" s="51">
        <f>_xlfn.XLOOKUP(A757,Table4[instant],Table4[weathersit], ,0,1)</f>
        <v>1</v>
      </c>
      <c r="G757" s="42">
        <f>_xlfn.XLOOKUP(A757,Table4[instant],Table4[temp], ,0,1)</f>
        <v>0.18</v>
      </c>
      <c r="H757" s="54">
        <f>_xlfn.XLOOKUP(A757,Table4[instant],Table4[atemp], ,0,1)</f>
        <v>0.21210000000000001</v>
      </c>
      <c r="I757" s="42">
        <f>_xlfn.XLOOKUP(A757,Table4[instant],Table4[hum], ,0,1)</f>
        <v>0.55000000000000004</v>
      </c>
      <c r="J757" s="42">
        <f>_xlfn.XLOOKUP(A757,Table4[instant],Table4[windspeed], ,0,1)</f>
        <v>0.1045</v>
      </c>
      <c r="K757" s="42">
        <f>_xlfn.XLOOKUP(A757,Table4[instant],Table4[casual], ,0,1)</f>
        <v>1</v>
      </c>
      <c r="L757" s="42">
        <f>_xlfn.XLOOKUP(A757,Table4[instant],Table4[registered], ,0,1)</f>
        <v>53</v>
      </c>
      <c r="M757" s="46">
        <f>_xlfn.XLOOKUP(A757,Table4[instant],Table4[cnt], ,0,1)</f>
        <v>54</v>
      </c>
      <c r="N757" s="1" t="str">
        <f>IF(OR(Table3[[#This Row],[weekday]]=0,Table3[[#This Row],[weekday]]=6),"Weekend","Weekday")</f>
        <v>Weekday</v>
      </c>
    </row>
    <row r="758" spans="1:14" ht="15" thickBot="1" x14ac:dyDescent="0.35">
      <c r="A758" s="51">
        <v>757</v>
      </c>
      <c r="B758" s="52">
        <v>40577</v>
      </c>
      <c r="C758" s="51">
        <v>22</v>
      </c>
      <c r="D758" s="53" t="b">
        <v>0</v>
      </c>
      <c r="E758" s="51">
        <f>_xlfn.XLOOKUP(A758,Table4[instant],Table4[weekday], ,0,1)</f>
        <v>4</v>
      </c>
      <c r="F758" s="51">
        <f>_xlfn.XLOOKUP(A758,Table4[instant],Table4[weathersit], ,0,1)</f>
        <v>1</v>
      </c>
      <c r="G758" s="42">
        <f>_xlfn.XLOOKUP(A758,Table4[instant],Table4[temp], ,0,1)</f>
        <v>0.18</v>
      </c>
      <c r="H758" s="54">
        <f>_xlfn.XLOOKUP(A758,Table4[instant],Table4[atemp], ,0,1)</f>
        <v>0.21210000000000001</v>
      </c>
      <c r="I758" s="42">
        <f>_xlfn.XLOOKUP(A758,Table4[instant],Table4[hum], ,0,1)</f>
        <v>0.51</v>
      </c>
      <c r="J758" s="42">
        <f>_xlfn.XLOOKUP(A758,Table4[instant],Table4[windspeed], ,0,1)</f>
        <v>8.9599999999999999E-2</v>
      </c>
      <c r="K758" s="42">
        <f>_xlfn.XLOOKUP(A758,Table4[instant],Table4[casual], ,0,1)</f>
        <v>2</v>
      </c>
      <c r="L758" s="42">
        <f>_xlfn.XLOOKUP(A758,Table4[instant],Table4[registered], ,0,1)</f>
        <v>39</v>
      </c>
      <c r="M758" s="46">
        <f>_xlfn.XLOOKUP(A758,Table4[instant],Table4[cnt], ,0,1)</f>
        <v>41</v>
      </c>
      <c r="N758" s="42" t="str">
        <f>IF(OR(Table3[[#This Row],[weekday]]=0,Table3[[#This Row],[weekday]]=6),"Weekend","Weekday")</f>
        <v>Weekday</v>
      </c>
    </row>
    <row r="759" spans="1:14" ht="15" thickBot="1" x14ac:dyDescent="0.35">
      <c r="A759" s="48">
        <v>758</v>
      </c>
      <c r="B759" s="49">
        <v>40577</v>
      </c>
      <c r="C759" s="48">
        <v>23</v>
      </c>
      <c r="D759" s="50" t="b">
        <v>0</v>
      </c>
      <c r="E759" s="51">
        <f>_xlfn.XLOOKUP(A759,Table4[instant],Table4[weekday], ,0,1)</f>
        <v>4</v>
      </c>
      <c r="F759" s="51">
        <f>_xlfn.XLOOKUP(A759,Table4[instant],Table4[weathersit], ,0,1)</f>
        <v>1</v>
      </c>
      <c r="G759" s="42">
        <f>_xlfn.XLOOKUP(A759,Table4[instant],Table4[temp], ,0,1)</f>
        <v>0.2</v>
      </c>
      <c r="H759" s="54">
        <f>_xlfn.XLOOKUP(A759,Table4[instant],Table4[atemp], ,0,1)</f>
        <v>0.2273</v>
      </c>
      <c r="I759" s="42">
        <f>_xlfn.XLOOKUP(A759,Table4[instant],Table4[hum], ,0,1)</f>
        <v>0.47</v>
      </c>
      <c r="J759" s="42">
        <f>_xlfn.XLOOKUP(A759,Table4[instant],Table4[windspeed], ,0,1)</f>
        <v>0.1045</v>
      </c>
      <c r="K759" s="42">
        <f>_xlfn.XLOOKUP(A759,Table4[instant],Table4[casual], ,0,1)</f>
        <v>4</v>
      </c>
      <c r="L759" s="42">
        <f>_xlfn.XLOOKUP(A759,Table4[instant],Table4[registered], ,0,1)</f>
        <v>34</v>
      </c>
      <c r="M759" s="46">
        <f>_xlfn.XLOOKUP(A759,Table4[instant],Table4[cnt], ,0,1)</f>
        <v>38</v>
      </c>
      <c r="N759" s="1" t="str">
        <f>IF(OR(Table3[[#This Row],[weekday]]=0,Table3[[#This Row],[weekday]]=6),"Weekend","Weekday")</f>
        <v>Weekday</v>
      </c>
    </row>
    <row r="760" spans="1:14" ht="15" thickBot="1" x14ac:dyDescent="0.35">
      <c r="A760" s="51">
        <v>759</v>
      </c>
      <c r="B760" s="52">
        <v>40578</v>
      </c>
      <c r="C760" s="51">
        <v>0</v>
      </c>
      <c r="D760" s="53" t="b">
        <v>0</v>
      </c>
      <c r="E760" s="51">
        <f>_xlfn.XLOOKUP(A760,Table4[instant],Table4[weekday], ,0,1)</f>
        <v>5</v>
      </c>
      <c r="F760" s="51">
        <f>_xlfn.XLOOKUP(A760,Table4[instant],Table4[weathersit], ,0,1)</f>
        <v>2</v>
      </c>
      <c r="G760" s="42">
        <f>_xlfn.XLOOKUP(A760,Table4[instant],Table4[temp], ,0,1)</f>
        <v>0.2</v>
      </c>
      <c r="H760" s="54">
        <f>_xlfn.XLOOKUP(A760,Table4[instant],Table4[atemp], ,0,1)</f>
        <v>0.2576</v>
      </c>
      <c r="I760" s="42">
        <f>_xlfn.XLOOKUP(A760,Table4[instant],Table4[hum], ,0,1)</f>
        <v>0.44</v>
      </c>
      <c r="J760" s="42">
        <f>_xlfn.XLOOKUP(A760,Table4[instant],Table4[windspeed], ,0,1)</f>
        <v>0</v>
      </c>
      <c r="K760" s="42">
        <f>_xlfn.XLOOKUP(A760,Table4[instant],Table4[casual], ,0,1)</f>
        <v>3</v>
      </c>
      <c r="L760" s="42">
        <f>_xlfn.XLOOKUP(A760,Table4[instant],Table4[registered], ,0,1)</f>
        <v>10</v>
      </c>
      <c r="M760" s="46">
        <f>_xlfn.XLOOKUP(A760,Table4[instant],Table4[cnt], ,0,1)</f>
        <v>13</v>
      </c>
      <c r="N760" s="42" t="str">
        <f>IF(OR(Table3[[#This Row],[weekday]]=0,Table3[[#This Row],[weekday]]=6),"Weekend","Weekday")</f>
        <v>Weekday</v>
      </c>
    </row>
    <row r="761" spans="1:14" ht="15" thickBot="1" x14ac:dyDescent="0.35">
      <c r="A761" s="48">
        <v>760</v>
      </c>
      <c r="B761" s="49">
        <v>40578</v>
      </c>
      <c r="C761" s="48">
        <v>1</v>
      </c>
      <c r="D761" s="50" t="b">
        <v>0</v>
      </c>
      <c r="E761" s="51">
        <f>_xlfn.XLOOKUP(A761,Table4[instant],Table4[weekday], ,0,1)</f>
        <v>5</v>
      </c>
      <c r="F761" s="51">
        <f>_xlfn.XLOOKUP(A761,Table4[instant],Table4[weathersit], ,0,1)</f>
        <v>2</v>
      </c>
      <c r="G761" s="42">
        <f>_xlfn.XLOOKUP(A761,Table4[instant],Table4[temp], ,0,1)</f>
        <v>0.16</v>
      </c>
      <c r="H761" s="54">
        <f>_xlfn.XLOOKUP(A761,Table4[instant],Table4[atemp], ,0,1)</f>
        <v>0.2273</v>
      </c>
      <c r="I761" s="42">
        <f>_xlfn.XLOOKUP(A761,Table4[instant],Table4[hum], ,0,1)</f>
        <v>0.59</v>
      </c>
      <c r="J761" s="42">
        <f>_xlfn.XLOOKUP(A761,Table4[instant],Table4[windspeed], ,0,1)</f>
        <v>0</v>
      </c>
      <c r="K761" s="42">
        <f>_xlfn.XLOOKUP(A761,Table4[instant],Table4[casual], ,0,1)</f>
        <v>0</v>
      </c>
      <c r="L761" s="42">
        <f>_xlfn.XLOOKUP(A761,Table4[instant],Table4[registered], ,0,1)</f>
        <v>7</v>
      </c>
      <c r="M761" s="46">
        <f>_xlfn.XLOOKUP(A761,Table4[instant],Table4[cnt], ,0,1)</f>
        <v>7</v>
      </c>
      <c r="N761" s="1" t="str">
        <f>IF(OR(Table3[[#This Row],[weekday]]=0,Table3[[#This Row],[weekday]]=6),"Weekend","Weekday")</f>
        <v>Weekday</v>
      </c>
    </row>
    <row r="762" spans="1:14" ht="15" thickBot="1" x14ac:dyDescent="0.35">
      <c r="A762" s="51">
        <v>761</v>
      </c>
      <c r="B762" s="52">
        <v>40578</v>
      </c>
      <c r="C762" s="51">
        <v>2</v>
      </c>
      <c r="D762" s="53" t="b">
        <v>0</v>
      </c>
      <c r="E762" s="51">
        <f>_xlfn.XLOOKUP(A762,Table4[instant],Table4[weekday], ,0,1)</f>
        <v>5</v>
      </c>
      <c r="F762" s="51">
        <f>_xlfn.XLOOKUP(A762,Table4[instant],Table4[weathersit], ,0,1)</f>
        <v>2</v>
      </c>
      <c r="G762" s="42">
        <f>_xlfn.XLOOKUP(A762,Table4[instant],Table4[temp], ,0,1)</f>
        <v>0.14000000000000001</v>
      </c>
      <c r="H762" s="54">
        <f>_xlfn.XLOOKUP(A762,Table4[instant],Table4[atemp], ,0,1)</f>
        <v>0.16669999999999999</v>
      </c>
      <c r="I762" s="42">
        <f>_xlfn.XLOOKUP(A762,Table4[instant],Table4[hum], ,0,1)</f>
        <v>0.63</v>
      </c>
      <c r="J762" s="42">
        <f>_xlfn.XLOOKUP(A762,Table4[instant],Table4[windspeed], ,0,1)</f>
        <v>0.1045</v>
      </c>
      <c r="K762" s="42">
        <f>_xlfn.XLOOKUP(A762,Table4[instant],Table4[casual], ,0,1)</f>
        <v>0</v>
      </c>
      <c r="L762" s="42">
        <f>_xlfn.XLOOKUP(A762,Table4[instant],Table4[registered], ,0,1)</f>
        <v>1</v>
      </c>
      <c r="M762" s="46">
        <f>_xlfn.XLOOKUP(A762,Table4[instant],Table4[cnt], ,0,1)</f>
        <v>1</v>
      </c>
      <c r="N762" s="42" t="str">
        <f>IF(OR(Table3[[#This Row],[weekday]]=0,Table3[[#This Row],[weekday]]=6),"Weekend","Weekday")</f>
        <v>Weekday</v>
      </c>
    </row>
    <row r="763" spans="1:14" ht="15" thickBot="1" x14ac:dyDescent="0.35">
      <c r="A763" s="48">
        <v>762</v>
      </c>
      <c r="B763" s="49">
        <v>40578</v>
      </c>
      <c r="C763" s="48">
        <v>3</v>
      </c>
      <c r="D763" s="50" t="b">
        <v>0</v>
      </c>
      <c r="E763" s="51">
        <f>_xlfn.XLOOKUP(A763,Table4[instant],Table4[weekday], ,0,1)</f>
        <v>5</v>
      </c>
      <c r="F763" s="51">
        <f>_xlfn.XLOOKUP(A763,Table4[instant],Table4[weathersit], ,0,1)</f>
        <v>2</v>
      </c>
      <c r="G763" s="42">
        <f>_xlfn.XLOOKUP(A763,Table4[instant],Table4[temp], ,0,1)</f>
        <v>0.14000000000000001</v>
      </c>
      <c r="H763" s="54">
        <f>_xlfn.XLOOKUP(A763,Table4[instant],Table4[atemp], ,0,1)</f>
        <v>0.16669999999999999</v>
      </c>
      <c r="I763" s="42">
        <f>_xlfn.XLOOKUP(A763,Table4[instant],Table4[hum], ,0,1)</f>
        <v>0.63</v>
      </c>
      <c r="J763" s="42">
        <f>_xlfn.XLOOKUP(A763,Table4[instant],Table4[windspeed], ,0,1)</f>
        <v>0.1045</v>
      </c>
      <c r="K763" s="42">
        <f>_xlfn.XLOOKUP(A763,Table4[instant],Table4[casual], ,0,1)</f>
        <v>0</v>
      </c>
      <c r="L763" s="42">
        <f>_xlfn.XLOOKUP(A763,Table4[instant],Table4[registered], ,0,1)</f>
        <v>1</v>
      </c>
      <c r="M763" s="46">
        <f>_xlfn.XLOOKUP(A763,Table4[instant],Table4[cnt], ,0,1)</f>
        <v>1</v>
      </c>
      <c r="N763" s="1" t="str">
        <f>IF(OR(Table3[[#This Row],[weekday]]=0,Table3[[#This Row],[weekday]]=6),"Weekend","Weekday")</f>
        <v>Weekday</v>
      </c>
    </row>
    <row r="764" spans="1:14" ht="15" thickBot="1" x14ac:dyDescent="0.35">
      <c r="A764" s="51">
        <v>763</v>
      </c>
      <c r="B764" s="52">
        <v>40578</v>
      </c>
      <c r="C764" s="51">
        <v>5</v>
      </c>
      <c r="D764" s="53" t="b">
        <v>0</v>
      </c>
      <c r="E764" s="51">
        <f>_xlfn.XLOOKUP(A764,Table4[instant],Table4[weekday], ,0,1)</f>
        <v>5</v>
      </c>
      <c r="F764" s="51">
        <f>_xlfn.XLOOKUP(A764,Table4[instant],Table4[weathersit], ,0,1)</f>
        <v>2</v>
      </c>
      <c r="G764" s="42">
        <f>_xlfn.XLOOKUP(A764,Table4[instant],Table4[temp], ,0,1)</f>
        <v>0.14000000000000001</v>
      </c>
      <c r="H764" s="54">
        <f>_xlfn.XLOOKUP(A764,Table4[instant],Table4[atemp], ,0,1)</f>
        <v>0.1515</v>
      </c>
      <c r="I764" s="42">
        <f>_xlfn.XLOOKUP(A764,Table4[instant],Table4[hum], ,0,1)</f>
        <v>0.63</v>
      </c>
      <c r="J764" s="42">
        <f>_xlfn.XLOOKUP(A764,Table4[instant],Table4[windspeed], ,0,1)</f>
        <v>0.1343</v>
      </c>
      <c r="K764" s="42">
        <f>_xlfn.XLOOKUP(A764,Table4[instant],Table4[casual], ,0,1)</f>
        <v>0</v>
      </c>
      <c r="L764" s="42">
        <f>_xlfn.XLOOKUP(A764,Table4[instant],Table4[registered], ,0,1)</f>
        <v>7</v>
      </c>
      <c r="M764" s="46">
        <f>_xlfn.XLOOKUP(A764,Table4[instant],Table4[cnt], ,0,1)</f>
        <v>7</v>
      </c>
      <c r="N764" s="42" t="str">
        <f>IF(OR(Table3[[#This Row],[weekday]]=0,Table3[[#This Row],[weekday]]=6),"Weekend","Weekday")</f>
        <v>Weekday</v>
      </c>
    </row>
    <row r="765" spans="1:14" ht="15" thickBot="1" x14ac:dyDescent="0.35">
      <c r="A765" s="48">
        <v>764</v>
      </c>
      <c r="B765" s="49">
        <v>40578</v>
      </c>
      <c r="C765" s="48">
        <v>6</v>
      </c>
      <c r="D765" s="50" t="b">
        <v>0</v>
      </c>
      <c r="E765" s="51">
        <f>_xlfn.XLOOKUP(A765,Table4[instant],Table4[weekday], ,0,1)</f>
        <v>5</v>
      </c>
      <c r="F765" s="51">
        <f>_xlfn.XLOOKUP(A765,Table4[instant],Table4[weathersit], ,0,1)</f>
        <v>2</v>
      </c>
      <c r="G765" s="42">
        <f>_xlfn.XLOOKUP(A765,Table4[instant],Table4[temp], ,0,1)</f>
        <v>0.16</v>
      </c>
      <c r="H765" s="54">
        <f>_xlfn.XLOOKUP(A765,Table4[instant],Table4[atemp], ,0,1)</f>
        <v>0.2273</v>
      </c>
      <c r="I765" s="42">
        <f>_xlfn.XLOOKUP(A765,Table4[instant],Table4[hum], ,0,1)</f>
        <v>0.55000000000000004</v>
      </c>
      <c r="J765" s="42">
        <f>_xlfn.XLOOKUP(A765,Table4[instant],Table4[windspeed], ,0,1)</f>
        <v>0</v>
      </c>
      <c r="K765" s="42">
        <f>_xlfn.XLOOKUP(A765,Table4[instant],Table4[casual], ,0,1)</f>
        <v>2</v>
      </c>
      <c r="L765" s="42">
        <f>_xlfn.XLOOKUP(A765,Table4[instant],Table4[registered], ,0,1)</f>
        <v>26</v>
      </c>
      <c r="M765" s="46">
        <f>_xlfn.XLOOKUP(A765,Table4[instant],Table4[cnt], ,0,1)</f>
        <v>28</v>
      </c>
      <c r="N765" s="1" t="str">
        <f>IF(OR(Table3[[#This Row],[weekday]]=0,Table3[[#This Row],[weekday]]=6),"Weekend","Weekday")</f>
        <v>Weekday</v>
      </c>
    </row>
    <row r="766" spans="1:14" ht="15" thickBot="1" x14ac:dyDescent="0.35">
      <c r="A766" s="51">
        <v>765</v>
      </c>
      <c r="B766" s="52">
        <v>40578</v>
      </c>
      <c r="C766" s="51">
        <v>7</v>
      </c>
      <c r="D766" s="53" t="b">
        <v>0</v>
      </c>
      <c r="E766" s="51">
        <f>_xlfn.XLOOKUP(A766,Table4[instant],Table4[weekday], ,0,1)</f>
        <v>5</v>
      </c>
      <c r="F766" s="51">
        <f>_xlfn.XLOOKUP(A766,Table4[instant],Table4[weathersit], ,0,1)</f>
        <v>1</v>
      </c>
      <c r="G766" s="42">
        <f>_xlfn.XLOOKUP(A766,Table4[instant],Table4[temp], ,0,1)</f>
        <v>0.14000000000000001</v>
      </c>
      <c r="H766" s="54">
        <f>_xlfn.XLOOKUP(A766,Table4[instant],Table4[atemp], ,0,1)</f>
        <v>0.21210000000000001</v>
      </c>
      <c r="I766" s="42">
        <f>_xlfn.XLOOKUP(A766,Table4[instant],Table4[hum], ,0,1)</f>
        <v>0.59</v>
      </c>
      <c r="J766" s="42">
        <f>_xlfn.XLOOKUP(A766,Table4[instant],Table4[windspeed], ,0,1)</f>
        <v>0</v>
      </c>
      <c r="K766" s="42">
        <f>_xlfn.XLOOKUP(A766,Table4[instant],Table4[casual], ,0,1)</f>
        <v>0</v>
      </c>
      <c r="L766" s="42">
        <f>_xlfn.XLOOKUP(A766,Table4[instant],Table4[registered], ,0,1)</f>
        <v>87</v>
      </c>
      <c r="M766" s="46">
        <f>_xlfn.XLOOKUP(A766,Table4[instant],Table4[cnt], ,0,1)</f>
        <v>87</v>
      </c>
      <c r="N766" s="42" t="str">
        <f>IF(OR(Table3[[#This Row],[weekday]]=0,Table3[[#This Row],[weekday]]=6),"Weekend","Weekday")</f>
        <v>Weekday</v>
      </c>
    </row>
    <row r="767" spans="1:14" ht="15" thickBot="1" x14ac:dyDescent="0.35">
      <c r="A767" s="48">
        <v>766</v>
      </c>
      <c r="B767" s="49">
        <v>40578</v>
      </c>
      <c r="C767" s="48">
        <v>8</v>
      </c>
      <c r="D767" s="50" t="b">
        <v>0</v>
      </c>
      <c r="E767" s="51">
        <f>_xlfn.XLOOKUP(A767,Table4[instant],Table4[weekday], ,0,1)</f>
        <v>5</v>
      </c>
      <c r="F767" s="51">
        <f>_xlfn.XLOOKUP(A767,Table4[instant],Table4[weathersit], ,0,1)</f>
        <v>1</v>
      </c>
      <c r="G767" s="42">
        <f>_xlfn.XLOOKUP(A767,Table4[instant],Table4[temp], ,0,1)</f>
        <v>0.14000000000000001</v>
      </c>
      <c r="H767" s="54">
        <f>_xlfn.XLOOKUP(A767,Table4[instant],Table4[atemp], ,0,1)</f>
        <v>0.1515</v>
      </c>
      <c r="I767" s="42">
        <f>_xlfn.XLOOKUP(A767,Table4[instant],Table4[hum], ,0,1)</f>
        <v>0.74</v>
      </c>
      <c r="J767" s="42">
        <f>_xlfn.XLOOKUP(A767,Table4[instant],Table4[windspeed], ,0,1)</f>
        <v>0.1343</v>
      </c>
      <c r="K767" s="42">
        <f>_xlfn.XLOOKUP(A767,Table4[instant],Table4[casual], ,0,1)</f>
        <v>3</v>
      </c>
      <c r="L767" s="42">
        <f>_xlfn.XLOOKUP(A767,Table4[instant],Table4[registered], ,0,1)</f>
        <v>217</v>
      </c>
      <c r="M767" s="46">
        <f>_xlfn.XLOOKUP(A767,Table4[instant],Table4[cnt], ,0,1)</f>
        <v>220</v>
      </c>
      <c r="N767" s="1" t="str">
        <f>IF(OR(Table3[[#This Row],[weekday]]=0,Table3[[#This Row],[weekday]]=6),"Weekend","Weekday")</f>
        <v>Weekday</v>
      </c>
    </row>
    <row r="768" spans="1:14" ht="15" thickBot="1" x14ac:dyDescent="0.35">
      <c r="A768" s="51">
        <v>767</v>
      </c>
      <c r="B768" s="52">
        <v>40578</v>
      </c>
      <c r="C768" s="51">
        <v>9</v>
      </c>
      <c r="D768" s="53" t="b">
        <v>0</v>
      </c>
      <c r="E768" s="51">
        <f>_xlfn.XLOOKUP(A768,Table4[instant],Table4[weekday], ,0,1)</f>
        <v>5</v>
      </c>
      <c r="F768" s="51">
        <f>_xlfn.XLOOKUP(A768,Table4[instant],Table4[weathersit], ,0,1)</f>
        <v>2</v>
      </c>
      <c r="G768" s="42">
        <f>_xlfn.XLOOKUP(A768,Table4[instant],Table4[temp], ,0,1)</f>
        <v>0.16</v>
      </c>
      <c r="H768" s="54">
        <f>_xlfn.XLOOKUP(A768,Table4[instant],Table4[atemp], ,0,1)</f>
        <v>0.18179999999999999</v>
      </c>
      <c r="I768" s="42">
        <f>_xlfn.XLOOKUP(A768,Table4[instant],Table4[hum], ,0,1)</f>
        <v>0.8</v>
      </c>
      <c r="J768" s="42">
        <f>_xlfn.XLOOKUP(A768,Table4[instant],Table4[windspeed], ,0,1)</f>
        <v>0.1343</v>
      </c>
      <c r="K768" s="42">
        <f>_xlfn.XLOOKUP(A768,Table4[instant],Table4[casual], ,0,1)</f>
        <v>3</v>
      </c>
      <c r="L768" s="42">
        <f>_xlfn.XLOOKUP(A768,Table4[instant],Table4[registered], ,0,1)</f>
        <v>124</v>
      </c>
      <c r="M768" s="46">
        <f>_xlfn.XLOOKUP(A768,Table4[instant],Table4[cnt], ,0,1)</f>
        <v>127</v>
      </c>
      <c r="N768" s="42" t="str">
        <f>IF(OR(Table3[[#This Row],[weekday]]=0,Table3[[#This Row],[weekday]]=6),"Weekend","Weekday")</f>
        <v>Weekday</v>
      </c>
    </row>
    <row r="769" spans="1:14" ht="15" thickBot="1" x14ac:dyDescent="0.35">
      <c r="A769" s="48">
        <v>768</v>
      </c>
      <c r="B769" s="49">
        <v>40578</v>
      </c>
      <c r="C769" s="48">
        <v>10</v>
      </c>
      <c r="D769" s="50" t="b">
        <v>0</v>
      </c>
      <c r="E769" s="51">
        <f>_xlfn.XLOOKUP(A769,Table4[instant],Table4[weekday], ,0,1)</f>
        <v>5</v>
      </c>
      <c r="F769" s="51">
        <f>_xlfn.XLOOKUP(A769,Table4[instant],Table4[weathersit], ,0,1)</f>
        <v>2</v>
      </c>
      <c r="G769" s="42">
        <f>_xlfn.XLOOKUP(A769,Table4[instant],Table4[temp], ,0,1)</f>
        <v>0.2</v>
      </c>
      <c r="H769" s="54">
        <f>_xlfn.XLOOKUP(A769,Table4[instant],Table4[atemp], ,0,1)</f>
        <v>0.21210000000000001</v>
      </c>
      <c r="I769" s="42">
        <f>_xlfn.XLOOKUP(A769,Table4[instant],Table4[hum], ,0,1)</f>
        <v>0.51</v>
      </c>
      <c r="J769" s="42">
        <f>_xlfn.XLOOKUP(A769,Table4[instant],Table4[windspeed], ,0,1)</f>
        <v>0.1343</v>
      </c>
      <c r="K769" s="42">
        <f>_xlfn.XLOOKUP(A769,Table4[instant],Table4[casual], ,0,1)</f>
        <v>5</v>
      </c>
      <c r="L769" s="42">
        <f>_xlfn.XLOOKUP(A769,Table4[instant],Table4[registered], ,0,1)</f>
        <v>46</v>
      </c>
      <c r="M769" s="46">
        <f>_xlfn.XLOOKUP(A769,Table4[instant],Table4[cnt], ,0,1)</f>
        <v>51</v>
      </c>
      <c r="N769" s="1" t="str">
        <f>IF(OR(Table3[[#This Row],[weekday]]=0,Table3[[#This Row],[weekday]]=6),"Weekend","Weekday")</f>
        <v>Weekday</v>
      </c>
    </row>
    <row r="770" spans="1:14" ht="15" thickBot="1" x14ac:dyDescent="0.35">
      <c r="A770" s="51">
        <v>769</v>
      </c>
      <c r="B770" s="52">
        <v>40578</v>
      </c>
      <c r="C770" s="51">
        <v>11</v>
      </c>
      <c r="D770" s="53" t="b">
        <v>0</v>
      </c>
      <c r="E770" s="51">
        <f>_xlfn.XLOOKUP(A770,Table4[instant],Table4[weekday], ,0,1)</f>
        <v>5</v>
      </c>
      <c r="F770" s="51">
        <f>_xlfn.XLOOKUP(A770,Table4[instant],Table4[weathersit], ,0,1)</f>
        <v>1</v>
      </c>
      <c r="G770" s="42">
        <f>_xlfn.XLOOKUP(A770,Table4[instant],Table4[temp], ,0,1)</f>
        <v>0.22</v>
      </c>
      <c r="H770" s="54">
        <f>_xlfn.XLOOKUP(A770,Table4[instant],Table4[atemp], ,0,1)</f>
        <v>0.2273</v>
      </c>
      <c r="I770" s="42">
        <f>_xlfn.XLOOKUP(A770,Table4[instant],Table4[hum], ,0,1)</f>
        <v>0.51</v>
      </c>
      <c r="J770" s="42">
        <f>_xlfn.XLOOKUP(A770,Table4[instant],Table4[windspeed], ,0,1)</f>
        <v>0.16420000000000001</v>
      </c>
      <c r="K770" s="42">
        <f>_xlfn.XLOOKUP(A770,Table4[instant],Table4[casual], ,0,1)</f>
        <v>3</v>
      </c>
      <c r="L770" s="42">
        <f>_xlfn.XLOOKUP(A770,Table4[instant],Table4[registered], ,0,1)</f>
        <v>61</v>
      </c>
      <c r="M770" s="46">
        <f>_xlfn.XLOOKUP(A770,Table4[instant],Table4[cnt], ,0,1)</f>
        <v>64</v>
      </c>
      <c r="N770" s="42" t="str">
        <f>IF(OR(Table3[[#This Row],[weekday]]=0,Table3[[#This Row],[weekday]]=6),"Weekend","Weekday")</f>
        <v>Weekday</v>
      </c>
    </row>
    <row r="771" spans="1:14" ht="15" thickBot="1" x14ac:dyDescent="0.35">
      <c r="A771" s="48">
        <v>770</v>
      </c>
      <c r="B771" s="49">
        <v>40578</v>
      </c>
      <c r="C771" s="48">
        <v>12</v>
      </c>
      <c r="D771" s="50" t="b">
        <v>0</v>
      </c>
      <c r="E771" s="51">
        <f>_xlfn.XLOOKUP(A771,Table4[instant],Table4[weekday], ,0,1)</f>
        <v>5</v>
      </c>
      <c r="F771" s="51">
        <f>_xlfn.XLOOKUP(A771,Table4[instant],Table4[weathersit], ,0,1)</f>
        <v>2</v>
      </c>
      <c r="G771" s="42">
        <f>_xlfn.XLOOKUP(A771,Table4[instant],Table4[temp], ,0,1)</f>
        <v>0.24</v>
      </c>
      <c r="H771" s="54">
        <f>_xlfn.XLOOKUP(A771,Table4[instant],Table4[atemp], ,0,1)</f>
        <v>0.2424</v>
      </c>
      <c r="I771" s="42">
        <f>_xlfn.XLOOKUP(A771,Table4[instant],Table4[hum], ,0,1)</f>
        <v>0.48</v>
      </c>
      <c r="J771" s="42">
        <f>_xlfn.XLOOKUP(A771,Table4[instant],Table4[windspeed], ,0,1)</f>
        <v>0.16420000000000001</v>
      </c>
      <c r="K771" s="42">
        <f>_xlfn.XLOOKUP(A771,Table4[instant],Table4[casual], ,0,1)</f>
        <v>8</v>
      </c>
      <c r="L771" s="42">
        <f>_xlfn.XLOOKUP(A771,Table4[instant],Table4[registered], ,0,1)</f>
        <v>78</v>
      </c>
      <c r="M771" s="46">
        <f>_xlfn.XLOOKUP(A771,Table4[instant],Table4[cnt], ,0,1)</f>
        <v>86</v>
      </c>
      <c r="N771" s="1" t="str">
        <f>IF(OR(Table3[[#This Row],[weekday]]=0,Table3[[#This Row],[weekday]]=6),"Weekend","Weekday")</f>
        <v>Weekday</v>
      </c>
    </row>
    <row r="772" spans="1:14" ht="15" thickBot="1" x14ac:dyDescent="0.35">
      <c r="A772" s="51">
        <v>771</v>
      </c>
      <c r="B772" s="52">
        <v>40578</v>
      </c>
      <c r="C772" s="51">
        <v>13</v>
      </c>
      <c r="D772" s="53" t="b">
        <v>0</v>
      </c>
      <c r="E772" s="51">
        <f>_xlfn.XLOOKUP(A772,Table4[instant],Table4[weekday], ,0,1)</f>
        <v>5</v>
      </c>
      <c r="F772" s="51">
        <f>_xlfn.XLOOKUP(A772,Table4[instant],Table4[weathersit], ,0,1)</f>
        <v>2</v>
      </c>
      <c r="G772" s="42">
        <f>_xlfn.XLOOKUP(A772,Table4[instant],Table4[temp], ,0,1)</f>
        <v>0.26</v>
      </c>
      <c r="H772" s="54">
        <f>_xlfn.XLOOKUP(A772,Table4[instant],Table4[atemp], ,0,1)</f>
        <v>0.2576</v>
      </c>
      <c r="I772" s="42">
        <f>_xlfn.XLOOKUP(A772,Table4[instant],Table4[hum], ,0,1)</f>
        <v>0.5</v>
      </c>
      <c r="J772" s="42">
        <f>_xlfn.XLOOKUP(A772,Table4[instant],Table4[windspeed], ,0,1)</f>
        <v>0.22389999999999999</v>
      </c>
      <c r="K772" s="42">
        <f>_xlfn.XLOOKUP(A772,Table4[instant],Table4[casual], ,0,1)</f>
        <v>9</v>
      </c>
      <c r="L772" s="42">
        <f>_xlfn.XLOOKUP(A772,Table4[instant],Table4[registered], ,0,1)</f>
        <v>73</v>
      </c>
      <c r="M772" s="46">
        <f>_xlfn.XLOOKUP(A772,Table4[instant],Table4[cnt], ,0,1)</f>
        <v>82</v>
      </c>
      <c r="N772" s="42" t="str">
        <f>IF(OR(Table3[[#This Row],[weekday]]=0,Table3[[#This Row],[weekday]]=6),"Weekend","Weekday")</f>
        <v>Weekday</v>
      </c>
    </row>
    <row r="773" spans="1:14" ht="15" thickBot="1" x14ac:dyDescent="0.35">
      <c r="A773" s="48">
        <v>772</v>
      </c>
      <c r="B773" s="49">
        <v>40578</v>
      </c>
      <c r="C773" s="48">
        <v>14</v>
      </c>
      <c r="D773" s="50" t="b">
        <v>0</v>
      </c>
      <c r="E773" s="51">
        <f>_xlfn.XLOOKUP(A773,Table4[instant],Table4[weekday], ,0,1)</f>
        <v>5</v>
      </c>
      <c r="F773" s="51">
        <f>_xlfn.XLOOKUP(A773,Table4[instant],Table4[weathersit], ,0,1)</f>
        <v>2</v>
      </c>
      <c r="G773" s="42">
        <f>_xlfn.XLOOKUP(A773,Table4[instant],Table4[temp], ,0,1)</f>
        <v>0.28000000000000003</v>
      </c>
      <c r="H773" s="54">
        <f>_xlfn.XLOOKUP(A773,Table4[instant],Table4[atemp], ,0,1)</f>
        <v>0.2727</v>
      </c>
      <c r="I773" s="42">
        <f>_xlfn.XLOOKUP(A773,Table4[instant],Table4[hum], ,0,1)</f>
        <v>0.45</v>
      </c>
      <c r="J773" s="42">
        <f>_xlfn.XLOOKUP(A773,Table4[instant],Table4[windspeed], ,0,1)</f>
        <v>0.16420000000000001</v>
      </c>
      <c r="K773" s="42">
        <f>_xlfn.XLOOKUP(A773,Table4[instant],Table4[casual], ,0,1)</f>
        <v>15</v>
      </c>
      <c r="L773" s="42">
        <f>_xlfn.XLOOKUP(A773,Table4[instant],Table4[registered], ,0,1)</f>
        <v>76</v>
      </c>
      <c r="M773" s="46">
        <f>_xlfn.XLOOKUP(A773,Table4[instant],Table4[cnt], ,0,1)</f>
        <v>91</v>
      </c>
      <c r="N773" s="1" t="str">
        <f>IF(OR(Table3[[#This Row],[weekday]]=0,Table3[[#This Row],[weekday]]=6),"Weekend","Weekday")</f>
        <v>Weekday</v>
      </c>
    </row>
    <row r="774" spans="1:14" ht="15" thickBot="1" x14ac:dyDescent="0.35">
      <c r="A774" s="51">
        <v>773</v>
      </c>
      <c r="B774" s="52">
        <v>40578</v>
      </c>
      <c r="C774" s="51">
        <v>15</v>
      </c>
      <c r="D774" s="53" t="b">
        <v>0</v>
      </c>
      <c r="E774" s="51">
        <f>_xlfn.XLOOKUP(A774,Table4[instant],Table4[weekday], ,0,1)</f>
        <v>5</v>
      </c>
      <c r="F774" s="51">
        <f>_xlfn.XLOOKUP(A774,Table4[instant],Table4[weathersit], ,0,1)</f>
        <v>2</v>
      </c>
      <c r="G774" s="42">
        <f>_xlfn.XLOOKUP(A774,Table4[instant],Table4[temp], ,0,1)</f>
        <v>0.28000000000000003</v>
      </c>
      <c r="H774" s="54">
        <f>_xlfn.XLOOKUP(A774,Table4[instant],Table4[atemp], ,0,1)</f>
        <v>0.2727</v>
      </c>
      <c r="I774" s="42">
        <f>_xlfn.XLOOKUP(A774,Table4[instant],Table4[hum], ,0,1)</f>
        <v>0.48</v>
      </c>
      <c r="J774" s="42">
        <f>_xlfn.XLOOKUP(A774,Table4[instant],Table4[windspeed], ,0,1)</f>
        <v>0.25369999999999998</v>
      </c>
      <c r="K774" s="42">
        <f>_xlfn.XLOOKUP(A774,Table4[instant],Table4[casual], ,0,1)</f>
        <v>9</v>
      </c>
      <c r="L774" s="42">
        <f>_xlfn.XLOOKUP(A774,Table4[instant],Table4[registered], ,0,1)</f>
        <v>81</v>
      </c>
      <c r="M774" s="46">
        <f>_xlfn.XLOOKUP(A774,Table4[instant],Table4[cnt], ,0,1)</f>
        <v>90</v>
      </c>
      <c r="N774" s="42" t="str">
        <f>IF(OR(Table3[[#This Row],[weekday]]=0,Table3[[#This Row],[weekday]]=6),"Weekend","Weekday")</f>
        <v>Weekday</v>
      </c>
    </row>
    <row r="775" spans="1:14" ht="15" thickBot="1" x14ac:dyDescent="0.35">
      <c r="A775" s="48">
        <v>774</v>
      </c>
      <c r="B775" s="49">
        <v>40578</v>
      </c>
      <c r="C775" s="48">
        <v>16</v>
      </c>
      <c r="D775" s="50" t="b">
        <v>0</v>
      </c>
      <c r="E775" s="51">
        <f>_xlfn.XLOOKUP(A775,Table4[instant],Table4[weekday], ,0,1)</f>
        <v>5</v>
      </c>
      <c r="F775" s="51">
        <f>_xlfn.XLOOKUP(A775,Table4[instant],Table4[weathersit], ,0,1)</f>
        <v>2</v>
      </c>
      <c r="G775" s="42">
        <f>_xlfn.XLOOKUP(A775,Table4[instant],Table4[temp], ,0,1)</f>
        <v>0.3</v>
      </c>
      <c r="H775" s="54">
        <f>_xlfn.XLOOKUP(A775,Table4[instant],Table4[atemp], ,0,1)</f>
        <v>0.28789999999999999</v>
      </c>
      <c r="I775" s="42">
        <f>_xlfn.XLOOKUP(A775,Table4[instant],Table4[hum], ,0,1)</f>
        <v>0.42</v>
      </c>
      <c r="J775" s="42">
        <f>_xlfn.XLOOKUP(A775,Table4[instant],Table4[windspeed], ,0,1)</f>
        <v>0.22389999999999999</v>
      </c>
      <c r="K775" s="42">
        <f>_xlfn.XLOOKUP(A775,Table4[instant],Table4[casual], ,0,1)</f>
        <v>8</v>
      </c>
      <c r="L775" s="42">
        <f>_xlfn.XLOOKUP(A775,Table4[instant],Table4[registered], ,0,1)</f>
        <v>91</v>
      </c>
      <c r="M775" s="46">
        <f>_xlfn.XLOOKUP(A775,Table4[instant],Table4[cnt], ,0,1)</f>
        <v>99</v>
      </c>
      <c r="N775" s="1" t="str">
        <f>IF(OR(Table3[[#This Row],[weekday]]=0,Table3[[#This Row],[weekday]]=6),"Weekend","Weekday")</f>
        <v>Weekday</v>
      </c>
    </row>
    <row r="776" spans="1:14" ht="15" thickBot="1" x14ac:dyDescent="0.35">
      <c r="A776" s="51">
        <v>775</v>
      </c>
      <c r="B776" s="52">
        <v>40578</v>
      </c>
      <c r="C776" s="51">
        <v>17</v>
      </c>
      <c r="D776" s="53" t="b">
        <v>0</v>
      </c>
      <c r="E776" s="51">
        <f>_xlfn.XLOOKUP(A776,Table4[instant],Table4[weekday], ,0,1)</f>
        <v>5</v>
      </c>
      <c r="F776" s="51">
        <f>_xlfn.XLOOKUP(A776,Table4[instant],Table4[weathersit], ,0,1)</f>
        <v>2</v>
      </c>
      <c r="G776" s="42">
        <f>_xlfn.XLOOKUP(A776,Table4[instant],Table4[temp], ,0,1)</f>
        <v>0.26</v>
      </c>
      <c r="H776" s="54">
        <f>_xlfn.XLOOKUP(A776,Table4[instant],Table4[atemp], ,0,1)</f>
        <v>0.2727</v>
      </c>
      <c r="I776" s="42">
        <f>_xlfn.XLOOKUP(A776,Table4[instant],Table4[hum], ,0,1)</f>
        <v>0.56000000000000005</v>
      </c>
      <c r="J776" s="42">
        <f>_xlfn.XLOOKUP(A776,Table4[instant],Table4[windspeed], ,0,1)</f>
        <v>0.1343</v>
      </c>
      <c r="K776" s="42">
        <f>_xlfn.XLOOKUP(A776,Table4[instant],Table4[casual], ,0,1)</f>
        <v>10</v>
      </c>
      <c r="L776" s="42">
        <f>_xlfn.XLOOKUP(A776,Table4[instant],Table4[registered], ,0,1)</f>
        <v>195</v>
      </c>
      <c r="M776" s="46">
        <f>_xlfn.XLOOKUP(A776,Table4[instant],Table4[cnt], ,0,1)</f>
        <v>205</v>
      </c>
      <c r="N776" s="42" t="str">
        <f>IF(OR(Table3[[#This Row],[weekday]]=0,Table3[[#This Row],[weekday]]=6),"Weekend","Weekday")</f>
        <v>Weekday</v>
      </c>
    </row>
    <row r="777" spans="1:14" ht="15" thickBot="1" x14ac:dyDescent="0.35">
      <c r="A777" s="48">
        <v>776</v>
      </c>
      <c r="B777" s="49">
        <v>40578</v>
      </c>
      <c r="C777" s="48">
        <v>18</v>
      </c>
      <c r="D777" s="50" t="b">
        <v>0</v>
      </c>
      <c r="E777" s="51">
        <f>_xlfn.XLOOKUP(A777,Table4[instant],Table4[weekday], ,0,1)</f>
        <v>5</v>
      </c>
      <c r="F777" s="51">
        <f>_xlfn.XLOOKUP(A777,Table4[instant],Table4[weathersit], ,0,1)</f>
        <v>2</v>
      </c>
      <c r="G777" s="42">
        <f>_xlfn.XLOOKUP(A777,Table4[instant],Table4[temp], ,0,1)</f>
        <v>0.24</v>
      </c>
      <c r="H777" s="54">
        <f>_xlfn.XLOOKUP(A777,Table4[instant],Table4[atemp], ,0,1)</f>
        <v>0.2576</v>
      </c>
      <c r="I777" s="42">
        <f>_xlfn.XLOOKUP(A777,Table4[instant],Table4[hum], ,0,1)</f>
        <v>0.6</v>
      </c>
      <c r="J777" s="42">
        <f>_xlfn.XLOOKUP(A777,Table4[instant],Table4[windspeed], ,0,1)</f>
        <v>0.1045</v>
      </c>
      <c r="K777" s="42">
        <f>_xlfn.XLOOKUP(A777,Table4[instant],Table4[casual], ,0,1)</f>
        <v>3</v>
      </c>
      <c r="L777" s="42">
        <f>_xlfn.XLOOKUP(A777,Table4[instant],Table4[registered], ,0,1)</f>
        <v>152</v>
      </c>
      <c r="M777" s="46">
        <f>_xlfn.XLOOKUP(A777,Table4[instant],Table4[cnt], ,0,1)</f>
        <v>155</v>
      </c>
      <c r="N777" s="1" t="str">
        <f>IF(OR(Table3[[#This Row],[weekday]]=0,Table3[[#This Row],[weekday]]=6),"Weekend","Weekday")</f>
        <v>Weekday</v>
      </c>
    </row>
    <row r="778" spans="1:14" ht="15" thickBot="1" x14ac:dyDescent="0.35">
      <c r="A778" s="51">
        <v>777</v>
      </c>
      <c r="B778" s="52">
        <v>40578</v>
      </c>
      <c r="C778" s="51">
        <v>19</v>
      </c>
      <c r="D778" s="53" t="b">
        <v>0</v>
      </c>
      <c r="E778" s="51">
        <f>_xlfn.XLOOKUP(A778,Table4[instant],Table4[weekday], ,0,1)</f>
        <v>5</v>
      </c>
      <c r="F778" s="51">
        <f>_xlfn.XLOOKUP(A778,Table4[instant],Table4[weathersit], ,0,1)</f>
        <v>2</v>
      </c>
      <c r="G778" s="42">
        <f>_xlfn.XLOOKUP(A778,Table4[instant],Table4[temp], ,0,1)</f>
        <v>0.24</v>
      </c>
      <c r="H778" s="54">
        <f>_xlfn.XLOOKUP(A778,Table4[instant],Table4[atemp], ,0,1)</f>
        <v>0.2424</v>
      </c>
      <c r="I778" s="42">
        <f>_xlfn.XLOOKUP(A778,Table4[instant],Table4[hum], ,0,1)</f>
        <v>0.65</v>
      </c>
      <c r="J778" s="42">
        <f>_xlfn.XLOOKUP(A778,Table4[instant],Table4[windspeed], ,0,1)</f>
        <v>0.1343</v>
      </c>
      <c r="K778" s="42">
        <f>_xlfn.XLOOKUP(A778,Table4[instant],Table4[casual], ,0,1)</f>
        <v>1</v>
      </c>
      <c r="L778" s="42">
        <f>_xlfn.XLOOKUP(A778,Table4[instant],Table4[registered], ,0,1)</f>
        <v>102</v>
      </c>
      <c r="M778" s="46">
        <f>_xlfn.XLOOKUP(A778,Table4[instant],Table4[cnt], ,0,1)</f>
        <v>103</v>
      </c>
      <c r="N778" s="42" t="str">
        <f>IF(OR(Table3[[#This Row],[weekday]]=0,Table3[[#This Row],[weekday]]=6),"Weekend","Weekday")</f>
        <v>Weekday</v>
      </c>
    </row>
    <row r="779" spans="1:14" ht="15" thickBot="1" x14ac:dyDescent="0.35">
      <c r="A779" s="48">
        <v>778</v>
      </c>
      <c r="B779" s="49">
        <v>40578</v>
      </c>
      <c r="C779" s="48">
        <v>20</v>
      </c>
      <c r="D779" s="50" t="b">
        <v>0</v>
      </c>
      <c r="E779" s="51">
        <f>_xlfn.XLOOKUP(A779,Table4[instant],Table4[weekday], ,0,1)</f>
        <v>5</v>
      </c>
      <c r="F779" s="51">
        <f>_xlfn.XLOOKUP(A779,Table4[instant],Table4[weathersit], ,0,1)</f>
        <v>2</v>
      </c>
      <c r="G779" s="42">
        <f>_xlfn.XLOOKUP(A779,Table4[instant],Table4[temp], ,0,1)</f>
        <v>0.24</v>
      </c>
      <c r="H779" s="54">
        <f>_xlfn.XLOOKUP(A779,Table4[instant],Table4[atemp], ,0,1)</f>
        <v>0.2424</v>
      </c>
      <c r="I779" s="42">
        <f>_xlfn.XLOOKUP(A779,Table4[instant],Table4[hum], ,0,1)</f>
        <v>0.65</v>
      </c>
      <c r="J779" s="42">
        <f>_xlfn.XLOOKUP(A779,Table4[instant],Table4[windspeed], ,0,1)</f>
        <v>0.16420000000000001</v>
      </c>
      <c r="K779" s="42">
        <f>_xlfn.XLOOKUP(A779,Table4[instant],Table4[casual], ,0,1)</f>
        <v>2</v>
      </c>
      <c r="L779" s="42">
        <f>_xlfn.XLOOKUP(A779,Table4[instant],Table4[registered], ,0,1)</f>
        <v>69</v>
      </c>
      <c r="M779" s="46">
        <f>_xlfn.XLOOKUP(A779,Table4[instant],Table4[cnt], ,0,1)</f>
        <v>71</v>
      </c>
      <c r="N779" s="1" t="str">
        <f>IF(OR(Table3[[#This Row],[weekday]]=0,Table3[[#This Row],[weekday]]=6),"Weekend","Weekday")</f>
        <v>Weekday</v>
      </c>
    </row>
    <row r="780" spans="1:14" ht="15" thickBot="1" x14ac:dyDescent="0.35">
      <c r="A780" s="51">
        <v>779</v>
      </c>
      <c r="B780" s="52">
        <v>40578</v>
      </c>
      <c r="C780" s="51">
        <v>21</v>
      </c>
      <c r="D780" s="53" t="b">
        <v>0</v>
      </c>
      <c r="E780" s="51">
        <f>_xlfn.XLOOKUP(A780,Table4[instant],Table4[weekday], ,0,1)</f>
        <v>5</v>
      </c>
      <c r="F780" s="51">
        <f>_xlfn.XLOOKUP(A780,Table4[instant],Table4[weathersit], ,0,1)</f>
        <v>2</v>
      </c>
      <c r="G780" s="42">
        <f>_xlfn.XLOOKUP(A780,Table4[instant],Table4[temp], ,0,1)</f>
        <v>0.24</v>
      </c>
      <c r="H780" s="54">
        <f>_xlfn.XLOOKUP(A780,Table4[instant],Table4[atemp], ,0,1)</f>
        <v>0.2424</v>
      </c>
      <c r="I780" s="42">
        <f>_xlfn.XLOOKUP(A780,Table4[instant],Table4[hum], ,0,1)</f>
        <v>0.7</v>
      </c>
      <c r="J780" s="42">
        <f>_xlfn.XLOOKUP(A780,Table4[instant],Table4[windspeed], ,0,1)</f>
        <v>0.16420000000000001</v>
      </c>
      <c r="K780" s="42">
        <f>_xlfn.XLOOKUP(A780,Table4[instant],Table4[casual], ,0,1)</f>
        <v>2</v>
      </c>
      <c r="L780" s="42">
        <f>_xlfn.XLOOKUP(A780,Table4[instant],Table4[registered], ,0,1)</f>
        <v>41</v>
      </c>
      <c r="M780" s="46">
        <f>_xlfn.XLOOKUP(A780,Table4[instant],Table4[cnt], ,0,1)</f>
        <v>43</v>
      </c>
      <c r="N780" s="42" t="str">
        <f>IF(OR(Table3[[#This Row],[weekday]]=0,Table3[[#This Row],[weekday]]=6),"Weekend","Weekday")</f>
        <v>Weekday</v>
      </c>
    </row>
    <row r="781" spans="1:14" ht="15" thickBot="1" x14ac:dyDescent="0.35">
      <c r="A781" s="48">
        <v>780</v>
      </c>
      <c r="B781" s="49">
        <v>40578</v>
      </c>
      <c r="C781" s="48">
        <v>22</v>
      </c>
      <c r="D781" s="50" t="b">
        <v>0</v>
      </c>
      <c r="E781" s="51">
        <f>_xlfn.XLOOKUP(A781,Table4[instant],Table4[weekday], ,0,1)</f>
        <v>5</v>
      </c>
      <c r="F781" s="51">
        <f>_xlfn.XLOOKUP(A781,Table4[instant],Table4[weathersit], ,0,1)</f>
        <v>2</v>
      </c>
      <c r="G781" s="42">
        <f>_xlfn.XLOOKUP(A781,Table4[instant],Table4[temp], ,0,1)</f>
        <v>0.24</v>
      </c>
      <c r="H781" s="54">
        <f>_xlfn.XLOOKUP(A781,Table4[instant],Table4[atemp], ,0,1)</f>
        <v>0.2424</v>
      </c>
      <c r="I781" s="42">
        <f>_xlfn.XLOOKUP(A781,Table4[instant],Table4[hum], ,0,1)</f>
        <v>0.65</v>
      </c>
      <c r="J781" s="42">
        <f>_xlfn.XLOOKUP(A781,Table4[instant],Table4[windspeed], ,0,1)</f>
        <v>0.16420000000000001</v>
      </c>
      <c r="K781" s="42">
        <f>_xlfn.XLOOKUP(A781,Table4[instant],Table4[casual], ,0,1)</f>
        <v>1</v>
      </c>
      <c r="L781" s="42">
        <f>_xlfn.XLOOKUP(A781,Table4[instant],Table4[registered], ,0,1)</f>
        <v>45</v>
      </c>
      <c r="M781" s="46">
        <f>_xlfn.XLOOKUP(A781,Table4[instant],Table4[cnt], ,0,1)</f>
        <v>46</v>
      </c>
      <c r="N781" s="1" t="str">
        <f>IF(OR(Table3[[#This Row],[weekday]]=0,Table3[[#This Row],[weekday]]=6),"Weekend","Weekday")</f>
        <v>Weekday</v>
      </c>
    </row>
    <row r="782" spans="1:14" ht="15" thickBot="1" x14ac:dyDescent="0.35">
      <c r="A782" s="51">
        <v>781</v>
      </c>
      <c r="B782" s="52">
        <v>40578</v>
      </c>
      <c r="C782" s="51">
        <v>23</v>
      </c>
      <c r="D782" s="53" t="b">
        <v>0</v>
      </c>
      <c r="E782" s="51">
        <f>_xlfn.XLOOKUP(A782,Table4[instant],Table4[weekday], ,0,1)</f>
        <v>5</v>
      </c>
      <c r="F782" s="51">
        <f>_xlfn.XLOOKUP(A782,Table4[instant],Table4[weathersit], ,0,1)</f>
        <v>2</v>
      </c>
      <c r="G782" s="42">
        <f>_xlfn.XLOOKUP(A782,Table4[instant],Table4[temp], ,0,1)</f>
        <v>0.24</v>
      </c>
      <c r="H782" s="54">
        <f>_xlfn.XLOOKUP(A782,Table4[instant],Table4[atemp], ,0,1)</f>
        <v>0.2424</v>
      </c>
      <c r="I782" s="42">
        <f>_xlfn.XLOOKUP(A782,Table4[instant],Table4[hum], ,0,1)</f>
        <v>0.7</v>
      </c>
      <c r="J782" s="42">
        <f>_xlfn.XLOOKUP(A782,Table4[instant],Table4[windspeed], ,0,1)</f>
        <v>0.1343</v>
      </c>
      <c r="K782" s="42">
        <f>_xlfn.XLOOKUP(A782,Table4[instant],Table4[casual], ,0,1)</f>
        <v>1</v>
      </c>
      <c r="L782" s="42">
        <f>_xlfn.XLOOKUP(A782,Table4[instant],Table4[registered], ,0,1)</f>
        <v>30</v>
      </c>
      <c r="M782" s="46">
        <f>_xlfn.XLOOKUP(A782,Table4[instant],Table4[cnt], ,0,1)</f>
        <v>31</v>
      </c>
      <c r="N782" s="42" t="str">
        <f>IF(OR(Table3[[#This Row],[weekday]]=0,Table3[[#This Row],[weekday]]=6),"Weekend","Weekday")</f>
        <v>Weekday</v>
      </c>
    </row>
    <row r="783" spans="1:14" ht="15" thickBot="1" x14ac:dyDescent="0.35">
      <c r="A783" s="48">
        <v>782</v>
      </c>
      <c r="B783" s="49">
        <v>40579</v>
      </c>
      <c r="C783" s="48">
        <v>0</v>
      </c>
      <c r="D783" s="50" t="b">
        <v>0</v>
      </c>
      <c r="E783" s="51">
        <f>_xlfn.XLOOKUP(A783,Table4[instant],Table4[weekday], ,0,1)</f>
        <v>6</v>
      </c>
      <c r="F783" s="51">
        <f>_xlfn.XLOOKUP(A783,Table4[instant],Table4[weathersit], ,0,1)</f>
        <v>2</v>
      </c>
      <c r="G783" s="42">
        <f>_xlfn.XLOOKUP(A783,Table4[instant],Table4[temp], ,0,1)</f>
        <v>0.24</v>
      </c>
      <c r="H783" s="54">
        <f>_xlfn.XLOOKUP(A783,Table4[instant],Table4[atemp], ,0,1)</f>
        <v>0.2424</v>
      </c>
      <c r="I783" s="42">
        <f>_xlfn.XLOOKUP(A783,Table4[instant],Table4[hum], ,0,1)</f>
        <v>0.7</v>
      </c>
      <c r="J783" s="42">
        <f>_xlfn.XLOOKUP(A783,Table4[instant],Table4[windspeed], ,0,1)</f>
        <v>0.16420000000000001</v>
      </c>
      <c r="K783" s="42">
        <f>_xlfn.XLOOKUP(A783,Table4[instant],Table4[casual], ,0,1)</f>
        <v>3</v>
      </c>
      <c r="L783" s="42">
        <f>_xlfn.XLOOKUP(A783,Table4[instant],Table4[registered], ,0,1)</f>
        <v>36</v>
      </c>
      <c r="M783" s="46">
        <f>_xlfn.XLOOKUP(A783,Table4[instant],Table4[cnt], ,0,1)</f>
        <v>39</v>
      </c>
      <c r="N783" s="1" t="str">
        <f>IF(OR(Table3[[#This Row],[weekday]]=0,Table3[[#This Row],[weekday]]=6),"Weekend","Weekday")</f>
        <v>Weekend</v>
      </c>
    </row>
    <row r="784" spans="1:14" ht="15" thickBot="1" x14ac:dyDescent="0.35">
      <c r="A784" s="51">
        <v>783</v>
      </c>
      <c r="B784" s="52">
        <v>40579</v>
      </c>
      <c r="C784" s="51">
        <v>1</v>
      </c>
      <c r="D784" s="53" t="b">
        <v>0</v>
      </c>
      <c r="E784" s="51">
        <f>_xlfn.XLOOKUP(A784,Table4[instant],Table4[weekday], ,0,1)</f>
        <v>6</v>
      </c>
      <c r="F784" s="51">
        <f>_xlfn.XLOOKUP(A784,Table4[instant],Table4[weathersit], ,0,1)</f>
        <v>2</v>
      </c>
      <c r="G784" s="42">
        <f>_xlfn.XLOOKUP(A784,Table4[instant],Table4[temp], ,0,1)</f>
        <v>0.24</v>
      </c>
      <c r="H784" s="54">
        <f>_xlfn.XLOOKUP(A784,Table4[instant],Table4[atemp], ,0,1)</f>
        <v>0.2424</v>
      </c>
      <c r="I784" s="42">
        <f>_xlfn.XLOOKUP(A784,Table4[instant],Table4[hum], ,0,1)</f>
        <v>0.65</v>
      </c>
      <c r="J784" s="42">
        <f>_xlfn.XLOOKUP(A784,Table4[instant],Table4[windspeed], ,0,1)</f>
        <v>0.16420000000000001</v>
      </c>
      <c r="K784" s="42">
        <f>_xlfn.XLOOKUP(A784,Table4[instant],Table4[casual], ,0,1)</f>
        <v>1</v>
      </c>
      <c r="L784" s="42">
        <f>_xlfn.XLOOKUP(A784,Table4[instant],Table4[registered], ,0,1)</f>
        <v>17</v>
      </c>
      <c r="M784" s="46">
        <f>_xlfn.XLOOKUP(A784,Table4[instant],Table4[cnt], ,0,1)</f>
        <v>18</v>
      </c>
      <c r="N784" s="42" t="str">
        <f>IF(OR(Table3[[#This Row],[weekday]]=0,Table3[[#This Row],[weekday]]=6),"Weekend","Weekday")</f>
        <v>Weekend</v>
      </c>
    </row>
    <row r="785" spans="1:14" ht="15" thickBot="1" x14ac:dyDescent="0.35">
      <c r="A785" s="48">
        <v>784</v>
      </c>
      <c r="B785" s="49">
        <v>40579</v>
      </c>
      <c r="C785" s="48">
        <v>2</v>
      </c>
      <c r="D785" s="50" t="b">
        <v>0</v>
      </c>
      <c r="E785" s="51">
        <f>_xlfn.XLOOKUP(A785,Table4[instant],Table4[weekday], ,0,1)</f>
        <v>6</v>
      </c>
      <c r="F785" s="51">
        <f>_xlfn.XLOOKUP(A785,Table4[instant],Table4[weathersit], ,0,1)</f>
        <v>2</v>
      </c>
      <c r="G785" s="42">
        <f>_xlfn.XLOOKUP(A785,Table4[instant],Table4[temp], ,0,1)</f>
        <v>0.24</v>
      </c>
      <c r="H785" s="54">
        <f>_xlfn.XLOOKUP(A785,Table4[instant],Table4[atemp], ,0,1)</f>
        <v>0.2424</v>
      </c>
      <c r="I785" s="42">
        <f>_xlfn.XLOOKUP(A785,Table4[instant],Table4[hum], ,0,1)</f>
        <v>0.75</v>
      </c>
      <c r="J785" s="42">
        <f>_xlfn.XLOOKUP(A785,Table4[instant],Table4[windspeed], ,0,1)</f>
        <v>0.16420000000000001</v>
      </c>
      <c r="K785" s="42">
        <f>_xlfn.XLOOKUP(A785,Table4[instant],Table4[casual], ,0,1)</f>
        <v>5</v>
      </c>
      <c r="L785" s="42">
        <f>_xlfn.XLOOKUP(A785,Table4[instant],Table4[registered], ,0,1)</f>
        <v>12</v>
      </c>
      <c r="M785" s="46">
        <f>_xlfn.XLOOKUP(A785,Table4[instant],Table4[cnt], ,0,1)</f>
        <v>17</v>
      </c>
      <c r="N785" s="1" t="str">
        <f>IF(OR(Table3[[#This Row],[weekday]]=0,Table3[[#This Row],[weekday]]=6),"Weekend","Weekday")</f>
        <v>Weekend</v>
      </c>
    </row>
    <row r="786" spans="1:14" ht="15" thickBot="1" x14ac:dyDescent="0.35">
      <c r="A786" s="51">
        <v>785</v>
      </c>
      <c r="B786" s="52">
        <v>40579</v>
      </c>
      <c r="C786" s="51">
        <v>3</v>
      </c>
      <c r="D786" s="53" t="b">
        <v>0</v>
      </c>
      <c r="E786" s="51">
        <f>_xlfn.XLOOKUP(A786,Table4[instant],Table4[weekday], ,0,1)</f>
        <v>6</v>
      </c>
      <c r="F786" s="51">
        <f>_xlfn.XLOOKUP(A786,Table4[instant],Table4[weathersit], ,0,1)</f>
        <v>2</v>
      </c>
      <c r="G786" s="42">
        <f>_xlfn.XLOOKUP(A786,Table4[instant],Table4[temp], ,0,1)</f>
        <v>0.24</v>
      </c>
      <c r="H786" s="54">
        <f>_xlfn.XLOOKUP(A786,Table4[instant],Table4[atemp], ,0,1)</f>
        <v>0.2424</v>
      </c>
      <c r="I786" s="42">
        <f>_xlfn.XLOOKUP(A786,Table4[instant],Table4[hum], ,0,1)</f>
        <v>0.75</v>
      </c>
      <c r="J786" s="42">
        <f>_xlfn.XLOOKUP(A786,Table4[instant],Table4[windspeed], ,0,1)</f>
        <v>0.16420000000000001</v>
      </c>
      <c r="K786" s="42">
        <f>_xlfn.XLOOKUP(A786,Table4[instant],Table4[casual], ,0,1)</f>
        <v>1</v>
      </c>
      <c r="L786" s="42">
        <f>_xlfn.XLOOKUP(A786,Table4[instant],Table4[registered], ,0,1)</f>
        <v>10</v>
      </c>
      <c r="M786" s="46">
        <f>_xlfn.XLOOKUP(A786,Table4[instant],Table4[cnt], ,0,1)</f>
        <v>11</v>
      </c>
      <c r="N786" s="42" t="str">
        <f>IF(OR(Table3[[#This Row],[weekday]]=0,Table3[[#This Row],[weekday]]=6),"Weekend","Weekday")</f>
        <v>Weekend</v>
      </c>
    </row>
    <row r="787" spans="1:14" ht="15" thickBot="1" x14ac:dyDescent="0.35">
      <c r="A787" s="48">
        <v>786</v>
      </c>
      <c r="B787" s="49">
        <v>40579</v>
      </c>
      <c r="C787" s="48">
        <v>4</v>
      </c>
      <c r="D787" s="50" t="b">
        <v>0</v>
      </c>
      <c r="E787" s="51">
        <f>_xlfn.XLOOKUP(A787,Table4[instant],Table4[weekday], ,0,1)</f>
        <v>6</v>
      </c>
      <c r="F787" s="51">
        <f>_xlfn.XLOOKUP(A787,Table4[instant],Table4[weathersit], ,0,1)</f>
        <v>3</v>
      </c>
      <c r="G787" s="42">
        <f>_xlfn.XLOOKUP(A787,Table4[instant],Table4[temp], ,0,1)</f>
        <v>0.22</v>
      </c>
      <c r="H787" s="54">
        <f>_xlfn.XLOOKUP(A787,Table4[instant],Table4[atemp], ,0,1)</f>
        <v>0.2273</v>
      </c>
      <c r="I787" s="42">
        <f>_xlfn.XLOOKUP(A787,Table4[instant],Table4[hum], ,0,1)</f>
        <v>0.93</v>
      </c>
      <c r="J787" s="42">
        <f>_xlfn.XLOOKUP(A787,Table4[instant],Table4[windspeed], ,0,1)</f>
        <v>0.1343</v>
      </c>
      <c r="K787" s="42">
        <f>_xlfn.XLOOKUP(A787,Table4[instant],Table4[casual], ,0,1)</f>
        <v>0</v>
      </c>
      <c r="L787" s="42">
        <f>_xlfn.XLOOKUP(A787,Table4[instant],Table4[registered], ,0,1)</f>
        <v>8</v>
      </c>
      <c r="M787" s="46">
        <f>_xlfn.XLOOKUP(A787,Table4[instant],Table4[cnt], ,0,1)</f>
        <v>8</v>
      </c>
      <c r="N787" s="1" t="str">
        <f>IF(OR(Table3[[#This Row],[weekday]]=0,Table3[[#This Row],[weekday]]=6),"Weekend","Weekday")</f>
        <v>Weekend</v>
      </c>
    </row>
    <row r="788" spans="1:14" ht="15" thickBot="1" x14ac:dyDescent="0.35">
      <c r="A788" s="51">
        <v>787</v>
      </c>
      <c r="B788" s="52">
        <v>40579</v>
      </c>
      <c r="C788" s="51">
        <v>5</v>
      </c>
      <c r="D788" s="53" t="b">
        <v>0</v>
      </c>
      <c r="E788" s="51">
        <f>_xlfn.XLOOKUP(A788,Table4[instant],Table4[weekday], ,0,1)</f>
        <v>6</v>
      </c>
      <c r="F788" s="51">
        <f>_xlfn.XLOOKUP(A788,Table4[instant],Table4[weathersit], ,0,1)</f>
        <v>3</v>
      </c>
      <c r="G788" s="42">
        <f>_xlfn.XLOOKUP(A788,Table4[instant],Table4[temp], ,0,1)</f>
        <v>0.2</v>
      </c>
      <c r="H788" s="54">
        <f>_xlfn.XLOOKUP(A788,Table4[instant],Table4[atemp], ,0,1)</f>
        <v>0.2273</v>
      </c>
      <c r="I788" s="42">
        <f>_xlfn.XLOOKUP(A788,Table4[instant],Table4[hum], ,0,1)</f>
        <v>1</v>
      </c>
      <c r="J788" s="42">
        <f>_xlfn.XLOOKUP(A788,Table4[instant],Table4[windspeed], ,0,1)</f>
        <v>8.9599999999999999E-2</v>
      </c>
      <c r="K788" s="42">
        <f>_xlfn.XLOOKUP(A788,Table4[instant],Table4[casual], ,0,1)</f>
        <v>0</v>
      </c>
      <c r="L788" s="42">
        <f>_xlfn.XLOOKUP(A788,Table4[instant],Table4[registered], ,0,1)</f>
        <v>9</v>
      </c>
      <c r="M788" s="46">
        <f>_xlfn.XLOOKUP(A788,Table4[instant],Table4[cnt], ,0,1)</f>
        <v>9</v>
      </c>
      <c r="N788" s="42" t="str">
        <f>IF(OR(Table3[[#This Row],[weekday]]=0,Table3[[#This Row],[weekday]]=6),"Weekend","Weekday")</f>
        <v>Weekend</v>
      </c>
    </row>
    <row r="789" spans="1:14" ht="15" thickBot="1" x14ac:dyDescent="0.35">
      <c r="A789" s="48">
        <v>788</v>
      </c>
      <c r="B789" s="49">
        <v>40579</v>
      </c>
      <c r="C789" s="48">
        <v>6</v>
      </c>
      <c r="D789" s="50" t="b">
        <v>0</v>
      </c>
      <c r="E789" s="51">
        <f>_xlfn.XLOOKUP(A789,Table4[instant],Table4[weekday], ,0,1)</f>
        <v>6</v>
      </c>
      <c r="F789" s="51">
        <f>_xlfn.XLOOKUP(A789,Table4[instant],Table4[weathersit], ,0,1)</f>
        <v>3</v>
      </c>
      <c r="G789" s="42">
        <f>_xlfn.XLOOKUP(A789,Table4[instant],Table4[temp], ,0,1)</f>
        <v>0.2</v>
      </c>
      <c r="H789" s="54">
        <f>_xlfn.XLOOKUP(A789,Table4[instant],Table4[atemp], ,0,1)</f>
        <v>0.2576</v>
      </c>
      <c r="I789" s="42">
        <f>_xlfn.XLOOKUP(A789,Table4[instant],Table4[hum], ,0,1)</f>
        <v>1</v>
      </c>
      <c r="J789" s="42">
        <f>_xlfn.XLOOKUP(A789,Table4[instant],Table4[windspeed], ,0,1)</f>
        <v>0</v>
      </c>
      <c r="K789" s="42">
        <f>_xlfn.XLOOKUP(A789,Table4[instant],Table4[casual], ,0,1)</f>
        <v>0</v>
      </c>
      <c r="L789" s="42">
        <f>_xlfn.XLOOKUP(A789,Table4[instant],Table4[registered], ,0,1)</f>
        <v>4</v>
      </c>
      <c r="M789" s="46">
        <f>_xlfn.XLOOKUP(A789,Table4[instant],Table4[cnt], ,0,1)</f>
        <v>4</v>
      </c>
      <c r="N789" s="1" t="str">
        <f>IF(OR(Table3[[#This Row],[weekday]]=0,Table3[[#This Row],[weekday]]=6),"Weekend","Weekday")</f>
        <v>Weekend</v>
      </c>
    </row>
    <row r="790" spans="1:14" ht="15" thickBot="1" x14ac:dyDescent="0.35">
      <c r="A790" s="51">
        <v>789</v>
      </c>
      <c r="B790" s="52">
        <v>40579</v>
      </c>
      <c r="C790" s="51">
        <v>7</v>
      </c>
      <c r="D790" s="53" t="b">
        <v>0</v>
      </c>
      <c r="E790" s="51">
        <f>_xlfn.XLOOKUP(A790,Table4[instant],Table4[weekday], ,0,1)</f>
        <v>6</v>
      </c>
      <c r="F790" s="51">
        <f>_xlfn.XLOOKUP(A790,Table4[instant],Table4[weathersit], ,0,1)</f>
        <v>3</v>
      </c>
      <c r="G790" s="42">
        <f>_xlfn.XLOOKUP(A790,Table4[instant],Table4[temp], ,0,1)</f>
        <v>0.22</v>
      </c>
      <c r="H790" s="54">
        <f>_xlfn.XLOOKUP(A790,Table4[instant],Table4[atemp], ,0,1)</f>
        <v>0.2576</v>
      </c>
      <c r="I790" s="42">
        <f>_xlfn.XLOOKUP(A790,Table4[instant],Table4[hum], ,0,1)</f>
        <v>0.93</v>
      </c>
      <c r="J790" s="42">
        <f>_xlfn.XLOOKUP(A790,Table4[instant],Table4[windspeed], ,0,1)</f>
        <v>8.9599999999999999E-2</v>
      </c>
      <c r="K790" s="42">
        <f>_xlfn.XLOOKUP(A790,Table4[instant],Table4[casual], ,0,1)</f>
        <v>0</v>
      </c>
      <c r="L790" s="42">
        <f>_xlfn.XLOOKUP(A790,Table4[instant],Table4[registered], ,0,1)</f>
        <v>4</v>
      </c>
      <c r="M790" s="46">
        <f>_xlfn.XLOOKUP(A790,Table4[instant],Table4[cnt], ,0,1)</f>
        <v>4</v>
      </c>
      <c r="N790" s="42" t="str">
        <f>IF(OR(Table3[[#This Row],[weekday]]=0,Table3[[#This Row],[weekday]]=6),"Weekend","Weekday")</f>
        <v>Weekend</v>
      </c>
    </row>
    <row r="791" spans="1:14" ht="15" thickBot="1" x14ac:dyDescent="0.35">
      <c r="A791" s="48">
        <v>790</v>
      </c>
      <c r="B791" s="49">
        <v>40579</v>
      </c>
      <c r="C791" s="48">
        <v>8</v>
      </c>
      <c r="D791" s="50" t="b">
        <v>0</v>
      </c>
      <c r="E791" s="51">
        <f>_xlfn.XLOOKUP(A791,Table4[instant],Table4[weekday], ,0,1)</f>
        <v>6</v>
      </c>
      <c r="F791" s="51">
        <f>_xlfn.XLOOKUP(A791,Table4[instant],Table4[weathersit], ,0,1)</f>
        <v>3</v>
      </c>
      <c r="G791" s="42">
        <f>_xlfn.XLOOKUP(A791,Table4[instant],Table4[temp], ,0,1)</f>
        <v>0.2</v>
      </c>
      <c r="H791" s="54">
        <f>_xlfn.XLOOKUP(A791,Table4[instant],Table4[atemp], ,0,1)</f>
        <v>0.2273</v>
      </c>
      <c r="I791" s="42">
        <f>_xlfn.XLOOKUP(A791,Table4[instant],Table4[hum], ,0,1)</f>
        <v>1</v>
      </c>
      <c r="J791" s="42">
        <f>_xlfn.XLOOKUP(A791,Table4[instant],Table4[windspeed], ,0,1)</f>
        <v>8.9599999999999999E-2</v>
      </c>
      <c r="K791" s="42">
        <f>_xlfn.XLOOKUP(A791,Table4[instant],Table4[casual], ,0,1)</f>
        <v>0</v>
      </c>
      <c r="L791" s="42">
        <f>_xlfn.XLOOKUP(A791,Table4[instant],Table4[registered], ,0,1)</f>
        <v>10</v>
      </c>
      <c r="M791" s="46">
        <f>_xlfn.XLOOKUP(A791,Table4[instant],Table4[cnt], ,0,1)</f>
        <v>10</v>
      </c>
      <c r="N791" s="1" t="str">
        <f>IF(OR(Table3[[#This Row],[weekday]]=0,Table3[[#This Row],[weekday]]=6),"Weekend","Weekday")</f>
        <v>Weekend</v>
      </c>
    </row>
    <row r="792" spans="1:14" ht="15" thickBot="1" x14ac:dyDescent="0.35">
      <c r="A792" s="51">
        <v>791</v>
      </c>
      <c r="B792" s="52">
        <v>40579</v>
      </c>
      <c r="C792" s="51">
        <v>9</v>
      </c>
      <c r="D792" s="53" t="b">
        <v>0</v>
      </c>
      <c r="E792" s="51">
        <f>_xlfn.XLOOKUP(A792,Table4[instant],Table4[weekday], ,0,1)</f>
        <v>6</v>
      </c>
      <c r="F792" s="51">
        <f>_xlfn.XLOOKUP(A792,Table4[instant],Table4[weathersit], ,0,1)</f>
        <v>3</v>
      </c>
      <c r="G792" s="42">
        <f>_xlfn.XLOOKUP(A792,Table4[instant],Table4[temp], ,0,1)</f>
        <v>0.2</v>
      </c>
      <c r="H792" s="54">
        <f>_xlfn.XLOOKUP(A792,Table4[instant],Table4[atemp], ,0,1)</f>
        <v>0.2273</v>
      </c>
      <c r="I792" s="42">
        <f>_xlfn.XLOOKUP(A792,Table4[instant],Table4[hum], ,0,1)</f>
        <v>1</v>
      </c>
      <c r="J792" s="42">
        <f>_xlfn.XLOOKUP(A792,Table4[instant],Table4[windspeed], ,0,1)</f>
        <v>8.9599999999999999E-2</v>
      </c>
      <c r="K792" s="42">
        <f>_xlfn.XLOOKUP(A792,Table4[instant],Table4[casual], ,0,1)</f>
        <v>3</v>
      </c>
      <c r="L792" s="42">
        <f>_xlfn.XLOOKUP(A792,Table4[instant],Table4[registered], ,0,1)</f>
        <v>17</v>
      </c>
      <c r="M792" s="46">
        <f>_xlfn.XLOOKUP(A792,Table4[instant],Table4[cnt], ,0,1)</f>
        <v>20</v>
      </c>
      <c r="N792" s="42" t="str">
        <f>IF(OR(Table3[[#This Row],[weekday]]=0,Table3[[#This Row],[weekday]]=6),"Weekend","Weekday")</f>
        <v>Weekend</v>
      </c>
    </row>
    <row r="793" spans="1:14" ht="15" thickBot="1" x14ac:dyDescent="0.35">
      <c r="A793" s="48">
        <v>792</v>
      </c>
      <c r="B793" s="49">
        <v>40579</v>
      </c>
      <c r="C793" s="48">
        <v>10</v>
      </c>
      <c r="D793" s="50" t="b">
        <v>0</v>
      </c>
      <c r="E793" s="51">
        <f>_xlfn.XLOOKUP(A793,Table4[instant],Table4[weekday], ,0,1)</f>
        <v>6</v>
      </c>
      <c r="F793" s="51">
        <f>_xlfn.XLOOKUP(A793,Table4[instant],Table4[weathersit], ,0,1)</f>
        <v>3</v>
      </c>
      <c r="G793" s="42">
        <f>_xlfn.XLOOKUP(A793,Table4[instant],Table4[temp], ,0,1)</f>
        <v>0.2</v>
      </c>
      <c r="H793" s="54">
        <f>_xlfn.XLOOKUP(A793,Table4[instant],Table4[atemp], ,0,1)</f>
        <v>0.21210000000000001</v>
      </c>
      <c r="I793" s="42">
        <f>_xlfn.XLOOKUP(A793,Table4[instant],Table4[hum], ,0,1)</f>
        <v>1</v>
      </c>
      <c r="J793" s="42">
        <f>_xlfn.XLOOKUP(A793,Table4[instant],Table4[windspeed], ,0,1)</f>
        <v>0.1343</v>
      </c>
      <c r="K793" s="42">
        <f>_xlfn.XLOOKUP(A793,Table4[instant],Table4[casual], ,0,1)</f>
        <v>3</v>
      </c>
      <c r="L793" s="42">
        <f>_xlfn.XLOOKUP(A793,Table4[instant],Table4[registered], ,0,1)</f>
        <v>31</v>
      </c>
      <c r="M793" s="46">
        <f>_xlfn.XLOOKUP(A793,Table4[instant],Table4[cnt], ,0,1)</f>
        <v>34</v>
      </c>
      <c r="N793" s="1" t="str">
        <f>IF(OR(Table3[[#This Row],[weekday]]=0,Table3[[#This Row],[weekday]]=6),"Weekend","Weekday")</f>
        <v>Weekend</v>
      </c>
    </row>
    <row r="794" spans="1:14" ht="15" thickBot="1" x14ac:dyDescent="0.35">
      <c r="A794" s="51">
        <v>793</v>
      </c>
      <c r="B794" s="52">
        <v>40579</v>
      </c>
      <c r="C794" s="51">
        <v>11</v>
      </c>
      <c r="D794" s="53" t="b">
        <v>0</v>
      </c>
      <c r="E794" s="51">
        <f>_xlfn.XLOOKUP(A794,Table4[instant],Table4[weekday], ,0,1)</f>
        <v>6</v>
      </c>
      <c r="F794" s="51">
        <f>_xlfn.XLOOKUP(A794,Table4[instant],Table4[weathersit], ,0,1)</f>
        <v>3</v>
      </c>
      <c r="G794" s="42">
        <f>_xlfn.XLOOKUP(A794,Table4[instant],Table4[temp], ,0,1)</f>
        <v>0.22</v>
      </c>
      <c r="H794" s="54">
        <f>_xlfn.XLOOKUP(A794,Table4[instant],Table4[atemp], ,0,1)</f>
        <v>0.2273</v>
      </c>
      <c r="I794" s="42">
        <f>_xlfn.XLOOKUP(A794,Table4[instant],Table4[hum], ,0,1)</f>
        <v>1</v>
      </c>
      <c r="J794" s="42">
        <f>_xlfn.XLOOKUP(A794,Table4[instant],Table4[windspeed], ,0,1)</f>
        <v>0.1343</v>
      </c>
      <c r="K794" s="42">
        <f>_xlfn.XLOOKUP(A794,Table4[instant],Table4[casual], ,0,1)</f>
        <v>1</v>
      </c>
      <c r="L794" s="42">
        <f>_xlfn.XLOOKUP(A794,Table4[instant],Table4[registered], ,0,1)</f>
        <v>46</v>
      </c>
      <c r="M794" s="46">
        <f>_xlfn.XLOOKUP(A794,Table4[instant],Table4[cnt], ,0,1)</f>
        <v>47</v>
      </c>
      <c r="N794" s="42" t="str">
        <f>IF(OR(Table3[[#This Row],[weekday]]=0,Table3[[#This Row],[weekday]]=6),"Weekend","Weekday")</f>
        <v>Weekend</v>
      </c>
    </row>
    <row r="795" spans="1:14" ht="15" thickBot="1" x14ac:dyDescent="0.35">
      <c r="A795" s="48">
        <v>794</v>
      </c>
      <c r="B795" s="49">
        <v>40579</v>
      </c>
      <c r="C795" s="48">
        <v>12</v>
      </c>
      <c r="D795" s="50" t="b">
        <v>0</v>
      </c>
      <c r="E795" s="51">
        <f>_xlfn.XLOOKUP(A795,Table4[instant],Table4[weekday], ,0,1)</f>
        <v>6</v>
      </c>
      <c r="F795" s="51">
        <f>_xlfn.XLOOKUP(A795,Table4[instant],Table4[weathersit], ,0,1)</f>
        <v>3</v>
      </c>
      <c r="G795" s="42">
        <f>_xlfn.XLOOKUP(A795,Table4[instant],Table4[temp], ,0,1)</f>
        <v>0.22</v>
      </c>
      <c r="H795" s="54">
        <f>_xlfn.XLOOKUP(A795,Table4[instant],Table4[atemp], ,0,1)</f>
        <v>0.2273</v>
      </c>
      <c r="I795" s="42">
        <f>_xlfn.XLOOKUP(A795,Table4[instant],Table4[hum], ,0,1)</f>
        <v>1</v>
      </c>
      <c r="J795" s="42">
        <f>_xlfn.XLOOKUP(A795,Table4[instant],Table4[windspeed], ,0,1)</f>
        <v>0.16420000000000001</v>
      </c>
      <c r="K795" s="42">
        <f>_xlfn.XLOOKUP(A795,Table4[instant],Table4[casual], ,0,1)</f>
        <v>10</v>
      </c>
      <c r="L795" s="42">
        <f>_xlfn.XLOOKUP(A795,Table4[instant],Table4[registered], ,0,1)</f>
        <v>42</v>
      </c>
      <c r="M795" s="46">
        <f>_xlfn.XLOOKUP(A795,Table4[instant],Table4[cnt], ,0,1)</f>
        <v>52</v>
      </c>
      <c r="N795" s="1" t="str">
        <f>IF(OR(Table3[[#This Row],[weekday]]=0,Table3[[#This Row],[weekday]]=6),"Weekend","Weekday")</f>
        <v>Weekend</v>
      </c>
    </row>
    <row r="796" spans="1:14" ht="15" thickBot="1" x14ac:dyDescent="0.35">
      <c r="A796" s="51">
        <v>795</v>
      </c>
      <c r="B796" s="52">
        <v>40579</v>
      </c>
      <c r="C796" s="51">
        <v>13</v>
      </c>
      <c r="D796" s="53" t="b">
        <v>0</v>
      </c>
      <c r="E796" s="51">
        <f>_xlfn.XLOOKUP(A796,Table4[instant],Table4[weekday], ,0,1)</f>
        <v>6</v>
      </c>
      <c r="F796" s="51">
        <f>_xlfn.XLOOKUP(A796,Table4[instant],Table4[weathersit], ,0,1)</f>
        <v>3</v>
      </c>
      <c r="G796" s="42">
        <f>_xlfn.XLOOKUP(A796,Table4[instant],Table4[temp], ,0,1)</f>
        <v>0.22</v>
      </c>
      <c r="H796" s="54">
        <f>_xlfn.XLOOKUP(A796,Table4[instant],Table4[atemp], ,0,1)</f>
        <v>0.2273</v>
      </c>
      <c r="I796" s="42">
        <f>_xlfn.XLOOKUP(A796,Table4[instant],Table4[hum], ,0,1)</f>
        <v>1</v>
      </c>
      <c r="J796" s="42">
        <f>_xlfn.XLOOKUP(A796,Table4[instant],Table4[windspeed], ,0,1)</f>
        <v>0.16420000000000001</v>
      </c>
      <c r="K796" s="42">
        <f>_xlfn.XLOOKUP(A796,Table4[instant],Table4[casual], ,0,1)</f>
        <v>10</v>
      </c>
      <c r="L796" s="42">
        <f>_xlfn.XLOOKUP(A796,Table4[instant],Table4[registered], ,0,1)</f>
        <v>62</v>
      </c>
      <c r="M796" s="46">
        <f>_xlfn.XLOOKUP(A796,Table4[instant],Table4[cnt], ,0,1)</f>
        <v>72</v>
      </c>
      <c r="N796" s="42" t="str">
        <f>IF(OR(Table3[[#This Row],[weekday]]=0,Table3[[#This Row],[weekday]]=6),"Weekend","Weekday")</f>
        <v>Weekend</v>
      </c>
    </row>
    <row r="797" spans="1:14" ht="15" thickBot="1" x14ac:dyDescent="0.35">
      <c r="A797" s="48">
        <v>796</v>
      </c>
      <c r="B797" s="49">
        <v>40579</v>
      </c>
      <c r="C797" s="48">
        <v>14</v>
      </c>
      <c r="D797" s="50" t="b">
        <v>0</v>
      </c>
      <c r="E797" s="51">
        <f>_xlfn.XLOOKUP(A797,Table4[instant],Table4[weekday], ,0,1)</f>
        <v>6</v>
      </c>
      <c r="F797" s="51">
        <f>_xlfn.XLOOKUP(A797,Table4[instant],Table4[weathersit], ,0,1)</f>
        <v>3</v>
      </c>
      <c r="G797" s="42">
        <f>_xlfn.XLOOKUP(A797,Table4[instant],Table4[temp], ,0,1)</f>
        <v>0.22</v>
      </c>
      <c r="H797" s="54">
        <f>_xlfn.XLOOKUP(A797,Table4[instant],Table4[atemp], ,0,1)</f>
        <v>0.2727</v>
      </c>
      <c r="I797" s="42">
        <f>_xlfn.XLOOKUP(A797,Table4[instant],Table4[hum], ,0,1)</f>
        <v>1</v>
      </c>
      <c r="J797" s="42">
        <f>_xlfn.XLOOKUP(A797,Table4[instant],Table4[windspeed], ,0,1)</f>
        <v>0</v>
      </c>
      <c r="K797" s="42">
        <f>_xlfn.XLOOKUP(A797,Table4[instant],Table4[casual], ,0,1)</f>
        <v>5</v>
      </c>
      <c r="L797" s="42">
        <f>_xlfn.XLOOKUP(A797,Table4[instant],Table4[registered], ,0,1)</f>
        <v>50</v>
      </c>
      <c r="M797" s="46">
        <f>_xlfn.XLOOKUP(A797,Table4[instant],Table4[cnt], ,0,1)</f>
        <v>55</v>
      </c>
      <c r="N797" s="1" t="str">
        <f>IF(OR(Table3[[#This Row],[weekday]]=0,Table3[[#This Row],[weekday]]=6),"Weekend","Weekday")</f>
        <v>Weekend</v>
      </c>
    </row>
    <row r="798" spans="1:14" ht="15" thickBot="1" x14ac:dyDescent="0.35">
      <c r="A798" s="51">
        <v>797</v>
      </c>
      <c r="B798" s="52">
        <v>40579</v>
      </c>
      <c r="C798" s="51">
        <v>15</v>
      </c>
      <c r="D798" s="53" t="b">
        <v>0</v>
      </c>
      <c r="E798" s="51">
        <f>_xlfn.XLOOKUP(A798,Table4[instant],Table4[weekday], ,0,1)</f>
        <v>6</v>
      </c>
      <c r="F798" s="51">
        <f>_xlfn.XLOOKUP(A798,Table4[instant],Table4[weathersit], ,0,1)</f>
        <v>3</v>
      </c>
      <c r="G798" s="42">
        <f>_xlfn.XLOOKUP(A798,Table4[instant],Table4[temp], ,0,1)</f>
        <v>0.22</v>
      </c>
      <c r="H798" s="54">
        <f>_xlfn.XLOOKUP(A798,Table4[instant],Table4[atemp], ,0,1)</f>
        <v>0.2727</v>
      </c>
      <c r="I798" s="42">
        <f>_xlfn.XLOOKUP(A798,Table4[instant],Table4[hum], ,0,1)</f>
        <v>1</v>
      </c>
      <c r="J798" s="42">
        <f>_xlfn.XLOOKUP(A798,Table4[instant],Table4[windspeed], ,0,1)</f>
        <v>0</v>
      </c>
      <c r="K798" s="42">
        <f>_xlfn.XLOOKUP(A798,Table4[instant],Table4[casual], ,0,1)</f>
        <v>11</v>
      </c>
      <c r="L798" s="42">
        <f>_xlfn.XLOOKUP(A798,Table4[instant],Table4[registered], ,0,1)</f>
        <v>49</v>
      </c>
      <c r="M798" s="46">
        <f>_xlfn.XLOOKUP(A798,Table4[instant],Table4[cnt], ,0,1)</f>
        <v>60</v>
      </c>
      <c r="N798" s="42" t="str">
        <f>IF(OR(Table3[[#This Row],[weekday]]=0,Table3[[#This Row],[weekday]]=6),"Weekend","Weekday")</f>
        <v>Weekend</v>
      </c>
    </row>
    <row r="799" spans="1:14" ht="15" thickBot="1" x14ac:dyDescent="0.35">
      <c r="A799" s="48">
        <v>798</v>
      </c>
      <c r="B799" s="49">
        <v>40579</v>
      </c>
      <c r="C799" s="48">
        <v>16</v>
      </c>
      <c r="D799" s="50" t="b">
        <v>0</v>
      </c>
      <c r="E799" s="51">
        <f>_xlfn.XLOOKUP(A799,Table4[instant],Table4[weekday], ,0,1)</f>
        <v>6</v>
      </c>
      <c r="F799" s="51">
        <f>_xlfn.XLOOKUP(A799,Table4[instant],Table4[weathersit], ,0,1)</f>
        <v>3</v>
      </c>
      <c r="G799" s="42">
        <f>_xlfn.XLOOKUP(A799,Table4[instant],Table4[temp], ,0,1)</f>
        <v>0.22</v>
      </c>
      <c r="H799" s="54">
        <f>_xlfn.XLOOKUP(A799,Table4[instant],Table4[atemp], ,0,1)</f>
        <v>0.2273</v>
      </c>
      <c r="I799" s="42">
        <f>_xlfn.XLOOKUP(A799,Table4[instant],Table4[hum], ,0,1)</f>
        <v>1</v>
      </c>
      <c r="J799" s="42">
        <f>_xlfn.XLOOKUP(A799,Table4[instant],Table4[windspeed], ,0,1)</f>
        <v>0.1343</v>
      </c>
      <c r="K799" s="42">
        <f>_xlfn.XLOOKUP(A799,Table4[instant],Table4[casual], ,0,1)</f>
        <v>8</v>
      </c>
      <c r="L799" s="42">
        <f>_xlfn.XLOOKUP(A799,Table4[instant],Table4[registered], ,0,1)</f>
        <v>63</v>
      </c>
      <c r="M799" s="46">
        <f>_xlfn.XLOOKUP(A799,Table4[instant],Table4[cnt], ,0,1)</f>
        <v>71</v>
      </c>
      <c r="N799" s="1" t="str">
        <f>IF(OR(Table3[[#This Row],[weekday]]=0,Table3[[#This Row],[weekday]]=6),"Weekend","Weekday")</f>
        <v>Weekend</v>
      </c>
    </row>
    <row r="800" spans="1:14" ht="15" thickBot="1" x14ac:dyDescent="0.35">
      <c r="A800" s="51">
        <v>799</v>
      </c>
      <c r="B800" s="52">
        <v>40579</v>
      </c>
      <c r="C800" s="51">
        <v>17</v>
      </c>
      <c r="D800" s="53" t="b">
        <v>0</v>
      </c>
      <c r="E800" s="51">
        <f>_xlfn.XLOOKUP(A800,Table4[instant],Table4[weekday], ,0,1)</f>
        <v>6</v>
      </c>
      <c r="F800" s="51">
        <f>_xlfn.XLOOKUP(A800,Table4[instant],Table4[weathersit], ,0,1)</f>
        <v>2</v>
      </c>
      <c r="G800" s="42">
        <f>_xlfn.XLOOKUP(A800,Table4[instant],Table4[temp], ,0,1)</f>
        <v>0.24</v>
      </c>
      <c r="H800" s="54">
        <f>_xlfn.XLOOKUP(A800,Table4[instant],Table4[atemp], ,0,1)</f>
        <v>0.21210000000000001</v>
      </c>
      <c r="I800" s="42">
        <f>_xlfn.XLOOKUP(A800,Table4[instant],Table4[hum], ,0,1)</f>
        <v>1</v>
      </c>
      <c r="J800" s="42">
        <f>_xlfn.XLOOKUP(A800,Table4[instant],Table4[windspeed], ,0,1)</f>
        <v>0.28360000000000002</v>
      </c>
      <c r="K800" s="42">
        <f>_xlfn.XLOOKUP(A800,Table4[instant],Table4[casual], ,0,1)</f>
        <v>14</v>
      </c>
      <c r="L800" s="42">
        <f>_xlfn.XLOOKUP(A800,Table4[instant],Table4[registered], ,0,1)</f>
        <v>64</v>
      </c>
      <c r="M800" s="46">
        <f>_xlfn.XLOOKUP(A800,Table4[instant],Table4[cnt], ,0,1)</f>
        <v>78</v>
      </c>
      <c r="N800" s="42" t="str">
        <f>IF(OR(Table3[[#This Row],[weekday]]=0,Table3[[#This Row],[weekday]]=6),"Weekend","Weekday")</f>
        <v>Weekend</v>
      </c>
    </row>
    <row r="801" spans="1:14" ht="15" thickBot="1" x14ac:dyDescent="0.35">
      <c r="A801" s="48">
        <v>800</v>
      </c>
      <c r="B801" s="49">
        <v>40579</v>
      </c>
      <c r="C801" s="48">
        <v>18</v>
      </c>
      <c r="D801" s="50" t="b">
        <v>0</v>
      </c>
      <c r="E801" s="51">
        <f>_xlfn.XLOOKUP(A801,Table4[instant],Table4[weekday], ,0,1)</f>
        <v>6</v>
      </c>
      <c r="F801" s="51">
        <f>_xlfn.XLOOKUP(A801,Table4[instant],Table4[weathersit], ,0,1)</f>
        <v>2</v>
      </c>
      <c r="G801" s="42">
        <f>_xlfn.XLOOKUP(A801,Table4[instant],Table4[temp], ,0,1)</f>
        <v>0.28000000000000003</v>
      </c>
      <c r="H801" s="54">
        <f>_xlfn.XLOOKUP(A801,Table4[instant],Table4[atemp], ,0,1)</f>
        <v>0.2424</v>
      </c>
      <c r="I801" s="42">
        <f>_xlfn.XLOOKUP(A801,Table4[instant],Table4[hum], ,0,1)</f>
        <v>0.93</v>
      </c>
      <c r="J801" s="42">
        <f>_xlfn.XLOOKUP(A801,Table4[instant],Table4[windspeed], ,0,1)</f>
        <v>0.44779999999999998</v>
      </c>
      <c r="K801" s="42">
        <f>_xlfn.XLOOKUP(A801,Table4[instant],Table4[casual], ,0,1)</f>
        <v>2</v>
      </c>
      <c r="L801" s="42">
        <f>_xlfn.XLOOKUP(A801,Table4[instant],Table4[registered], ,0,1)</f>
        <v>81</v>
      </c>
      <c r="M801" s="46">
        <f>_xlfn.XLOOKUP(A801,Table4[instant],Table4[cnt], ,0,1)</f>
        <v>83</v>
      </c>
      <c r="N801" s="1" t="str">
        <f>IF(OR(Table3[[#This Row],[weekday]]=0,Table3[[#This Row],[weekday]]=6),"Weekend","Weekday")</f>
        <v>Weekend</v>
      </c>
    </row>
    <row r="802" spans="1:14" ht="15" thickBot="1" x14ac:dyDescent="0.35">
      <c r="A802" s="51">
        <v>801</v>
      </c>
      <c r="B802" s="52">
        <v>40579</v>
      </c>
      <c r="C802" s="51">
        <v>19</v>
      </c>
      <c r="D802" s="53" t="b">
        <v>0</v>
      </c>
      <c r="E802" s="51">
        <f>_xlfn.XLOOKUP(A802,Table4[instant],Table4[weekday], ,0,1)</f>
        <v>6</v>
      </c>
      <c r="F802" s="51">
        <f>_xlfn.XLOOKUP(A802,Table4[instant],Table4[weathersit], ,0,1)</f>
        <v>2</v>
      </c>
      <c r="G802" s="42">
        <f>_xlfn.XLOOKUP(A802,Table4[instant],Table4[temp], ,0,1)</f>
        <v>0.28000000000000003</v>
      </c>
      <c r="H802" s="54">
        <f>_xlfn.XLOOKUP(A802,Table4[instant],Table4[atemp], ,0,1)</f>
        <v>0.2424</v>
      </c>
      <c r="I802" s="42">
        <f>_xlfn.XLOOKUP(A802,Table4[instant],Table4[hum], ,0,1)</f>
        <v>0.93</v>
      </c>
      <c r="J802" s="42">
        <f>_xlfn.XLOOKUP(A802,Table4[instant],Table4[windspeed], ,0,1)</f>
        <v>0.44779999999999998</v>
      </c>
      <c r="K802" s="42">
        <f>_xlfn.XLOOKUP(A802,Table4[instant],Table4[casual], ,0,1)</f>
        <v>6</v>
      </c>
      <c r="L802" s="42">
        <f>_xlfn.XLOOKUP(A802,Table4[instant],Table4[registered], ,0,1)</f>
        <v>78</v>
      </c>
      <c r="M802" s="46">
        <f>_xlfn.XLOOKUP(A802,Table4[instant],Table4[cnt], ,0,1)</f>
        <v>84</v>
      </c>
      <c r="N802" s="42" t="str">
        <f>IF(OR(Table3[[#This Row],[weekday]]=0,Table3[[#This Row],[weekday]]=6),"Weekend","Weekday")</f>
        <v>Weekend</v>
      </c>
    </row>
    <row r="803" spans="1:14" ht="15" thickBot="1" x14ac:dyDescent="0.35">
      <c r="A803" s="48">
        <v>802</v>
      </c>
      <c r="B803" s="49">
        <v>40579</v>
      </c>
      <c r="C803" s="48">
        <v>20</v>
      </c>
      <c r="D803" s="50" t="b">
        <v>0</v>
      </c>
      <c r="E803" s="51">
        <f>_xlfn.XLOOKUP(A803,Table4[instant],Table4[weekday], ,0,1)</f>
        <v>6</v>
      </c>
      <c r="F803" s="51">
        <f>_xlfn.XLOOKUP(A803,Table4[instant],Table4[weathersit], ,0,1)</f>
        <v>1</v>
      </c>
      <c r="G803" s="42">
        <f>_xlfn.XLOOKUP(A803,Table4[instant],Table4[temp], ,0,1)</f>
        <v>0.3</v>
      </c>
      <c r="H803" s="54">
        <f>_xlfn.XLOOKUP(A803,Table4[instant],Table4[atemp], ,0,1)</f>
        <v>0.28789999999999999</v>
      </c>
      <c r="I803" s="42">
        <f>_xlfn.XLOOKUP(A803,Table4[instant],Table4[hum], ,0,1)</f>
        <v>0.87</v>
      </c>
      <c r="J803" s="42">
        <f>_xlfn.XLOOKUP(A803,Table4[instant],Table4[windspeed], ,0,1)</f>
        <v>0.25369999999999998</v>
      </c>
      <c r="K803" s="42">
        <f>_xlfn.XLOOKUP(A803,Table4[instant],Table4[casual], ,0,1)</f>
        <v>5</v>
      </c>
      <c r="L803" s="42">
        <f>_xlfn.XLOOKUP(A803,Table4[instant],Table4[registered], ,0,1)</f>
        <v>64</v>
      </c>
      <c r="M803" s="46">
        <f>_xlfn.XLOOKUP(A803,Table4[instant],Table4[cnt], ,0,1)</f>
        <v>69</v>
      </c>
      <c r="N803" s="1" t="str">
        <f>IF(OR(Table3[[#This Row],[weekday]]=0,Table3[[#This Row],[weekday]]=6),"Weekend","Weekday")</f>
        <v>Weekend</v>
      </c>
    </row>
    <row r="804" spans="1:14" ht="15" thickBot="1" x14ac:dyDescent="0.35">
      <c r="A804" s="51">
        <v>803</v>
      </c>
      <c r="B804" s="52">
        <v>40579</v>
      </c>
      <c r="C804" s="51">
        <v>21</v>
      </c>
      <c r="D804" s="53" t="b">
        <v>0</v>
      </c>
      <c r="E804" s="51">
        <f>_xlfn.XLOOKUP(A804,Table4[instant],Table4[weekday], ,0,1)</f>
        <v>6</v>
      </c>
      <c r="F804" s="51">
        <f>_xlfn.XLOOKUP(A804,Table4[instant],Table4[weathersit], ,0,1)</f>
        <v>1</v>
      </c>
      <c r="G804" s="42">
        <f>_xlfn.XLOOKUP(A804,Table4[instant],Table4[temp], ,0,1)</f>
        <v>0.26</v>
      </c>
      <c r="H804" s="54">
        <f>_xlfn.XLOOKUP(A804,Table4[instant],Table4[atemp], ,0,1)</f>
        <v>0.2576</v>
      </c>
      <c r="I804" s="42">
        <f>_xlfn.XLOOKUP(A804,Table4[instant],Table4[hum], ,0,1)</f>
        <v>1</v>
      </c>
      <c r="J804" s="42">
        <f>_xlfn.XLOOKUP(A804,Table4[instant],Table4[windspeed], ,0,1)</f>
        <v>0.19400000000000001</v>
      </c>
      <c r="K804" s="42">
        <f>_xlfn.XLOOKUP(A804,Table4[instant],Table4[casual], ,0,1)</f>
        <v>3</v>
      </c>
      <c r="L804" s="42">
        <f>_xlfn.XLOOKUP(A804,Table4[instant],Table4[registered], ,0,1)</f>
        <v>53</v>
      </c>
      <c r="M804" s="46">
        <f>_xlfn.XLOOKUP(A804,Table4[instant],Table4[cnt], ,0,1)</f>
        <v>56</v>
      </c>
      <c r="N804" s="42" t="str">
        <f>IF(OR(Table3[[#This Row],[weekday]]=0,Table3[[#This Row],[weekday]]=6),"Weekend","Weekday")</f>
        <v>Weekend</v>
      </c>
    </row>
    <row r="805" spans="1:14" ht="15" thickBot="1" x14ac:dyDescent="0.35">
      <c r="A805" s="48">
        <v>804</v>
      </c>
      <c r="B805" s="49">
        <v>40579</v>
      </c>
      <c r="C805" s="48">
        <v>22</v>
      </c>
      <c r="D805" s="50" t="b">
        <v>0</v>
      </c>
      <c r="E805" s="51">
        <f>_xlfn.XLOOKUP(A805,Table4[instant],Table4[weekday], ,0,1)</f>
        <v>6</v>
      </c>
      <c r="F805" s="51">
        <f>_xlfn.XLOOKUP(A805,Table4[instant],Table4[weathersit], ,0,1)</f>
        <v>1</v>
      </c>
      <c r="G805" s="42">
        <f>_xlfn.XLOOKUP(A805,Table4[instant],Table4[temp], ,0,1)</f>
        <v>0.26</v>
      </c>
      <c r="H805" s="54">
        <f>_xlfn.XLOOKUP(A805,Table4[instant],Table4[atemp], ,0,1)</f>
        <v>0.2727</v>
      </c>
      <c r="I805" s="42">
        <f>_xlfn.XLOOKUP(A805,Table4[instant],Table4[hum], ,0,1)</f>
        <v>0.93</v>
      </c>
      <c r="J805" s="42">
        <f>_xlfn.XLOOKUP(A805,Table4[instant],Table4[windspeed], ,0,1)</f>
        <v>0.1343</v>
      </c>
      <c r="K805" s="42">
        <f>_xlfn.XLOOKUP(A805,Table4[instant],Table4[casual], ,0,1)</f>
        <v>2</v>
      </c>
      <c r="L805" s="42">
        <f>_xlfn.XLOOKUP(A805,Table4[instant],Table4[registered], ,0,1)</f>
        <v>43</v>
      </c>
      <c r="M805" s="46">
        <f>_xlfn.XLOOKUP(A805,Table4[instant],Table4[cnt], ,0,1)</f>
        <v>45</v>
      </c>
      <c r="N805" s="1" t="str">
        <f>IF(OR(Table3[[#This Row],[weekday]]=0,Table3[[#This Row],[weekday]]=6),"Weekend","Weekday")</f>
        <v>Weekend</v>
      </c>
    </row>
    <row r="806" spans="1:14" ht="15" thickBot="1" x14ac:dyDescent="0.35">
      <c r="A806" s="51">
        <v>805</v>
      </c>
      <c r="B806" s="52">
        <v>40579</v>
      </c>
      <c r="C806" s="51">
        <v>23</v>
      </c>
      <c r="D806" s="53" t="b">
        <v>0</v>
      </c>
      <c r="E806" s="51">
        <f>_xlfn.XLOOKUP(A806,Table4[instant],Table4[weekday], ,0,1)</f>
        <v>6</v>
      </c>
      <c r="F806" s="51">
        <f>_xlfn.XLOOKUP(A806,Table4[instant],Table4[weathersit], ,0,1)</f>
        <v>1</v>
      </c>
      <c r="G806" s="42">
        <f>_xlfn.XLOOKUP(A806,Table4[instant],Table4[temp], ,0,1)</f>
        <v>0.26</v>
      </c>
      <c r="H806" s="54">
        <f>_xlfn.XLOOKUP(A806,Table4[instant],Table4[atemp], ,0,1)</f>
        <v>0.2576</v>
      </c>
      <c r="I806" s="42">
        <f>_xlfn.XLOOKUP(A806,Table4[instant],Table4[hum], ,0,1)</f>
        <v>0.93</v>
      </c>
      <c r="J806" s="42">
        <f>_xlfn.XLOOKUP(A806,Table4[instant],Table4[windspeed], ,0,1)</f>
        <v>0.22389999999999999</v>
      </c>
      <c r="K806" s="42">
        <f>_xlfn.XLOOKUP(A806,Table4[instant],Table4[casual], ,0,1)</f>
        <v>7</v>
      </c>
      <c r="L806" s="42">
        <f>_xlfn.XLOOKUP(A806,Table4[instant],Table4[registered], ,0,1)</f>
        <v>52</v>
      </c>
      <c r="M806" s="46">
        <f>_xlfn.XLOOKUP(A806,Table4[instant],Table4[cnt], ,0,1)</f>
        <v>59</v>
      </c>
      <c r="N806" s="42" t="str">
        <f>IF(OR(Table3[[#This Row],[weekday]]=0,Table3[[#This Row],[weekday]]=6),"Weekend","Weekday")</f>
        <v>Weekend</v>
      </c>
    </row>
    <row r="807" spans="1:14" ht="15" thickBot="1" x14ac:dyDescent="0.35">
      <c r="A807" s="48">
        <v>806</v>
      </c>
      <c r="B807" s="49">
        <v>40580</v>
      </c>
      <c r="C807" s="48">
        <v>0</v>
      </c>
      <c r="D807" s="50" t="b">
        <v>0</v>
      </c>
      <c r="E807" s="51">
        <f>_xlfn.XLOOKUP(A807,Table4[instant],Table4[weekday], ,0,1)</f>
        <v>0</v>
      </c>
      <c r="F807" s="51">
        <f>_xlfn.XLOOKUP(A807,Table4[instant],Table4[weathersit], ,0,1)</f>
        <v>1</v>
      </c>
      <c r="G807" s="42">
        <f>_xlfn.XLOOKUP(A807,Table4[instant],Table4[temp], ,0,1)</f>
        <v>0.26</v>
      </c>
      <c r="H807" s="54">
        <f>_xlfn.XLOOKUP(A807,Table4[instant],Table4[atemp], ,0,1)</f>
        <v>0.2576</v>
      </c>
      <c r="I807" s="42">
        <f>_xlfn.XLOOKUP(A807,Table4[instant],Table4[hum], ,0,1)</f>
        <v>0.7</v>
      </c>
      <c r="J807" s="42">
        <f>_xlfn.XLOOKUP(A807,Table4[instant],Table4[windspeed], ,0,1)</f>
        <v>0.19400000000000001</v>
      </c>
      <c r="K807" s="42">
        <f>_xlfn.XLOOKUP(A807,Table4[instant],Table4[casual], ,0,1)</f>
        <v>2</v>
      </c>
      <c r="L807" s="42">
        <f>_xlfn.XLOOKUP(A807,Table4[instant],Table4[registered], ,0,1)</f>
        <v>37</v>
      </c>
      <c r="M807" s="46">
        <f>_xlfn.XLOOKUP(A807,Table4[instant],Table4[cnt], ,0,1)</f>
        <v>39</v>
      </c>
      <c r="N807" s="1" t="str">
        <f>IF(OR(Table3[[#This Row],[weekday]]=0,Table3[[#This Row],[weekday]]=6),"Weekend","Weekday")</f>
        <v>Weekend</v>
      </c>
    </row>
    <row r="808" spans="1:14" ht="15" thickBot="1" x14ac:dyDescent="0.35">
      <c r="A808" s="51">
        <v>807</v>
      </c>
      <c r="B808" s="52">
        <v>40580</v>
      </c>
      <c r="C808" s="51">
        <v>1</v>
      </c>
      <c r="D808" s="53" t="b">
        <v>0</v>
      </c>
      <c r="E808" s="51">
        <f>_xlfn.XLOOKUP(A808,Table4[instant],Table4[weekday], ,0,1)</f>
        <v>0</v>
      </c>
      <c r="F808" s="51">
        <f>_xlfn.XLOOKUP(A808,Table4[instant],Table4[weathersit], ,0,1)</f>
        <v>1</v>
      </c>
      <c r="G808" s="42">
        <f>_xlfn.XLOOKUP(A808,Table4[instant],Table4[temp], ,0,1)</f>
        <v>0.26</v>
      </c>
      <c r="H808" s="54">
        <f>_xlfn.XLOOKUP(A808,Table4[instant],Table4[atemp], ,0,1)</f>
        <v>0.2273</v>
      </c>
      <c r="I808" s="42">
        <f>_xlfn.XLOOKUP(A808,Table4[instant],Table4[hum], ,0,1)</f>
        <v>0.65</v>
      </c>
      <c r="J808" s="42">
        <f>_xlfn.XLOOKUP(A808,Table4[instant],Table4[windspeed], ,0,1)</f>
        <v>0.41789999999999999</v>
      </c>
      <c r="K808" s="42">
        <f>_xlfn.XLOOKUP(A808,Table4[instant],Table4[casual], ,0,1)</f>
        <v>4</v>
      </c>
      <c r="L808" s="42">
        <f>_xlfn.XLOOKUP(A808,Table4[instant],Table4[registered], ,0,1)</f>
        <v>40</v>
      </c>
      <c r="M808" s="46">
        <f>_xlfn.XLOOKUP(A808,Table4[instant],Table4[cnt], ,0,1)</f>
        <v>44</v>
      </c>
      <c r="N808" s="42" t="str">
        <f>IF(OR(Table3[[#This Row],[weekday]]=0,Table3[[#This Row],[weekday]]=6),"Weekend","Weekday")</f>
        <v>Weekend</v>
      </c>
    </row>
    <row r="809" spans="1:14" ht="15" thickBot="1" x14ac:dyDescent="0.35">
      <c r="A809" s="48">
        <v>808</v>
      </c>
      <c r="B809" s="49">
        <v>40580</v>
      </c>
      <c r="C809" s="48">
        <v>2</v>
      </c>
      <c r="D809" s="50" t="b">
        <v>0</v>
      </c>
      <c r="E809" s="51">
        <f>_xlfn.XLOOKUP(A809,Table4[instant],Table4[weekday], ,0,1)</f>
        <v>0</v>
      </c>
      <c r="F809" s="51">
        <f>_xlfn.XLOOKUP(A809,Table4[instant],Table4[weathersit], ,0,1)</f>
        <v>1</v>
      </c>
      <c r="G809" s="42">
        <f>_xlfn.XLOOKUP(A809,Table4[instant],Table4[temp], ,0,1)</f>
        <v>0.26</v>
      </c>
      <c r="H809" s="54">
        <f>_xlfn.XLOOKUP(A809,Table4[instant],Table4[atemp], ,0,1)</f>
        <v>0.2273</v>
      </c>
      <c r="I809" s="42">
        <f>_xlfn.XLOOKUP(A809,Table4[instant],Table4[hum], ,0,1)</f>
        <v>0.6</v>
      </c>
      <c r="J809" s="42">
        <f>_xlfn.XLOOKUP(A809,Table4[instant],Table4[windspeed], ,0,1)</f>
        <v>0.32840000000000003</v>
      </c>
      <c r="K809" s="42">
        <f>_xlfn.XLOOKUP(A809,Table4[instant],Table4[casual], ,0,1)</f>
        <v>0</v>
      </c>
      <c r="L809" s="42">
        <f>_xlfn.XLOOKUP(A809,Table4[instant],Table4[registered], ,0,1)</f>
        <v>20</v>
      </c>
      <c r="M809" s="46">
        <f>_xlfn.XLOOKUP(A809,Table4[instant],Table4[cnt], ,0,1)</f>
        <v>20</v>
      </c>
      <c r="N809" s="1" t="str">
        <f>IF(OR(Table3[[#This Row],[weekday]]=0,Table3[[#This Row],[weekday]]=6),"Weekend","Weekday")</f>
        <v>Weekend</v>
      </c>
    </row>
    <row r="810" spans="1:14" ht="15" thickBot="1" x14ac:dyDescent="0.35">
      <c r="A810" s="51">
        <v>809</v>
      </c>
      <c r="B810" s="52">
        <v>40580</v>
      </c>
      <c r="C810" s="51">
        <v>3</v>
      </c>
      <c r="D810" s="53" t="b">
        <v>0</v>
      </c>
      <c r="E810" s="51">
        <f>_xlfn.XLOOKUP(A810,Table4[instant],Table4[weekday], ,0,1)</f>
        <v>0</v>
      </c>
      <c r="F810" s="51">
        <f>_xlfn.XLOOKUP(A810,Table4[instant],Table4[weathersit], ,0,1)</f>
        <v>1</v>
      </c>
      <c r="G810" s="42">
        <f>_xlfn.XLOOKUP(A810,Table4[instant],Table4[temp], ,0,1)</f>
        <v>0.26</v>
      </c>
      <c r="H810" s="54">
        <f>_xlfn.XLOOKUP(A810,Table4[instant],Table4[atemp], ,0,1)</f>
        <v>0.28789999999999999</v>
      </c>
      <c r="I810" s="42">
        <f>_xlfn.XLOOKUP(A810,Table4[instant],Table4[hum], ,0,1)</f>
        <v>0.6</v>
      </c>
      <c r="J810" s="42">
        <f>_xlfn.XLOOKUP(A810,Table4[instant],Table4[windspeed], ,0,1)</f>
        <v>8.9599999999999999E-2</v>
      </c>
      <c r="K810" s="42">
        <f>_xlfn.XLOOKUP(A810,Table4[instant],Table4[casual], ,0,1)</f>
        <v>3</v>
      </c>
      <c r="L810" s="42">
        <f>_xlfn.XLOOKUP(A810,Table4[instant],Table4[registered], ,0,1)</f>
        <v>10</v>
      </c>
      <c r="M810" s="46">
        <f>_xlfn.XLOOKUP(A810,Table4[instant],Table4[cnt], ,0,1)</f>
        <v>13</v>
      </c>
      <c r="N810" s="42" t="str">
        <f>IF(OR(Table3[[#This Row],[weekday]]=0,Table3[[#This Row],[weekday]]=6),"Weekend","Weekday")</f>
        <v>Weekend</v>
      </c>
    </row>
    <row r="811" spans="1:14" ht="15" thickBot="1" x14ac:dyDescent="0.35">
      <c r="A811" s="48">
        <v>810</v>
      </c>
      <c r="B811" s="49">
        <v>40580</v>
      </c>
      <c r="C811" s="48">
        <v>4</v>
      </c>
      <c r="D811" s="50" t="b">
        <v>0</v>
      </c>
      <c r="E811" s="51">
        <f>_xlfn.XLOOKUP(A811,Table4[instant],Table4[weekday], ,0,1)</f>
        <v>0</v>
      </c>
      <c r="F811" s="51">
        <f>_xlfn.XLOOKUP(A811,Table4[instant],Table4[weathersit], ,0,1)</f>
        <v>1</v>
      </c>
      <c r="G811" s="42">
        <f>_xlfn.XLOOKUP(A811,Table4[instant],Table4[temp], ,0,1)</f>
        <v>0.26</v>
      </c>
      <c r="H811" s="54">
        <f>_xlfn.XLOOKUP(A811,Table4[instant],Table4[atemp], ,0,1)</f>
        <v>0.2273</v>
      </c>
      <c r="I811" s="42">
        <f>_xlfn.XLOOKUP(A811,Table4[instant],Table4[hum], ,0,1)</f>
        <v>0.6</v>
      </c>
      <c r="J811" s="42">
        <f>_xlfn.XLOOKUP(A811,Table4[instant],Table4[windspeed], ,0,1)</f>
        <v>0.35820000000000002</v>
      </c>
      <c r="K811" s="42">
        <f>_xlfn.XLOOKUP(A811,Table4[instant],Table4[casual], ,0,1)</f>
        <v>0</v>
      </c>
      <c r="L811" s="42">
        <f>_xlfn.XLOOKUP(A811,Table4[instant],Table4[registered], ,0,1)</f>
        <v>2</v>
      </c>
      <c r="M811" s="46">
        <f>_xlfn.XLOOKUP(A811,Table4[instant],Table4[cnt], ,0,1)</f>
        <v>2</v>
      </c>
      <c r="N811" s="1" t="str">
        <f>IF(OR(Table3[[#This Row],[weekday]]=0,Table3[[#This Row],[weekday]]=6),"Weekend","Weekday")</f>
        <v>Weekend</v>
      </c>
    </row>
    <row r="812" spans="1:14" ht="15" thickBot="1" x14ac:dyDescent="0.35">
      <c r="A812" s="51">
        <v>811</v>
      </c>
      <c r="B812" s="52">
        <v>40580</v>
      </c>
      <c r="C812" s="51">
        <v>5</v>
      </c>
      <c r="D812" s="53" t="b">
        <v>0</v>
      </c>
      <c r="E812" s="51">
        <f>_xlfn.XLOOKUP(A812,Table4[instant],Table4[weekday], ,0,1)</f>
        <v>0</v>
      </c>
      <c r="F812" s="51">
        <f>_xlfn.XLOOKUP(A812,Table4[instant],Table4[weathersit], ,0,1)</f>
        <v>1</v>
      </c>
      <c r="G812" s="42">
        <f>_xlfn.XLOOKUP(A812,Table4[instant],Table4[temp], ,0,1)</f>
        <v>0.26</v>
      </c>
      <c r="H812" s="54">
        <f>_xlfn.XLOOKUP(A812,Table4[instant],Table4[atemp], ,0,1)</f>
        <v>0.2576</v>
      </c>
      <c r="I812" s="42">
        <f>_xlfn.XLOOKUP(A812,Table4[instant],Table4[hum], ,0,1)</f>
        <v>0.6</v>
      </c>
      <c r="J812" s="42">
        <f>_xlfn.XLOOKUP(A812,Table4[instant],Table4[windspeed], ,0,1)</f>
        <v>0.22389999999999999</v>
      </c>
      <c r="K812" s="42">
        <f>_xlfn.XLOOKUP(A812,Table4[instant],Table4[casual], ,0,1)</f>
        <v>0</v>
      </c>
      <c r="L812" s="42">
        <f>_xlfn.XLOOKUP(A812,Table4[instant],Table4[registered], ,0,1)</f>
        <v>1</v>
      </c>
      <c r="M812" s="46">
        <f>_xlfn.XLOOKUP(A812,Table4[instant],Table4[cnt], ,0,1)</f>
        <v>1</v>
      </c>
      <c r="N812" s="42" t="str">
        <f>IF(OR(Table3[[#This Row],[weekday]]=0,Table3[[#This Row],[weekday]]=6),"Weekend","Weekday")</f>
        <v>Weekend</v>
      </c>
    </row>
    <row r="813" spans="1:14" ht="15" thickBot="1" x14ac:dyDescent="0.35">
      <c r="A813" s="48">
        <v>812</v>
      </c>
      <c r="B813" s="49">
        <v>40580</v>
      </c>
      <c r="C813" s="48">
        <v>6</v>
      </c>
      <c r="D813" s="50" t="b">
        <v>0</v>
      </c>
      <c r="E813" s="51">
        <f>_xlfn.XLOOKUP(A813,Table4[instant],Table4[weekday], ,0,1)</f>
        <v>0</v>
      </c>
      <c r="F813" s="51">
        <f>_xlfn.XLOOKUP(A813,Table4[instant],Table4[weathersit], ,0,1)</f>
        <v>1</v>
      </c>
      <c r="G813" s="42">
        <f>_xlfn.XLOOKUP(A813,Table4[instant],Table4[temp], ,0,1)</f>
        <v>0.26</v>
      </c>
      <c r="H813" s="54">
        <f>_xlfn.XLOOKUP(A813,Table4[instant],Table4[atemp], ,0,1)</f>
        <v>0.2576</v>
      </c>
      <c r="I813" s="42">
        <f>_xlfn.XLOOKUP(A813,Table4[instant],Table4[hum], ,0,1)</f>
        <v>0.6</v>
      </c>
      <c r="J813" s="42">
        <f>_xlfn.XLOOKUP(A813,Table4[instant],Table4[windspeed], ,0,1)</f>
        <v>0.22389999999999999</v>
      </c>
      <c r="K813" s="42">
        <f>_xlfn.XLOOKUP(A813,Table4[instant],Table4[casual], ,0,1)</f>
        <v>0</v>
      </c>
      <c r="L813" s="42">
        <f>_xlfn.XLOOKUP(A813,Table4[instant],Table4[registered], ,0,1)</f>
        <v>1</v>
      </c>
      <c r="M813" s="46">
        <f>_xlfn.XLOOKUP(A813,Table4[instant],Table4[cnt], ,0,1)</f>
        <v>1</v>
      </c>
      <c r="N813" s="1" t="str">
        <f>IF(OR(Table3[[#This Row],[weekday]]=0,Table3[[#This Row],[weekday]]=6),"Weekend","Weekday")</f>
        <v>Weekend</v>
      </c>
    </row>
    <row r="814" spans="1:14" ht="15" thickBot="1" x14ac:dyDescent="0.35">
      <c r="A814" s="51">
        <v>813</v>
      </c>
      <c r="B814" s="52">
        <v>40580</v>
      </c>
      <c r="C814" s="51">
        <v>7</v>
      </c>
      <c r="D814" s="53" t="b">
        <v>0</v>
      </c>
      <c r="E814" s="51">
        <f>_xlfn.XLOOKUP(A814,Table4[instant],Table4[weekday], ,0,1)</f>
        <v>0</v>
      </c>
      <c r="F814" s="51">
        <f>_xlfn.XLOOKUP(A814,Table4[instant],Table4[weathersit], ,0,1)</f>
        <v>1</v>
      </c>
      <c r="G814" s="42">
        <f>_xlfn.XLOOKUP(A814,Table4[instant],Table4[temp], ,0,1)</f>
        <v>0.24</v>
      </c>
      <c r="H814" s="54">
        <f>_xlfn.XLOOKUP(A814,Table4[instant],Table4[atemp], ,0,1)</f>
        <v>0.2424</v>
      </c>
      <c r="I814" s="42">
        <f>_xlfn.XLOOKUP(A814,Table4[instant],Table4[hum], ,0,1)</f>
        <v>0.65</v>
      </c>
      <c r="J814" s="42">
        <f>_xlfn.XLOOKUP(A814,Table4[instant],Table4[windspeed], ,0,1)</f>
        <v>0.16420000000000001</v>
      </c>
      <c r="K814" s="42">
        <f>_xlfn.XLOOKUP(A814,Table4[instant],Table4[casual], ,0,1)</f>
        <v>0</v>
      </c>
      <c r="L814" s="42">
        <f>_xlfn.XLOOKUP(A814,Table4[instant],Table4[registered], ,0,1)</f>
        <v>8</v>
      </c>
      <c r="M814" s="46">
        <f>_xlfn.XLOOKUP(A814,Table4[instant],Table4[cnt], ,0,1)</f>
        <v>8</v>
      </c>
      <c r="N814" s="42" t="str">
        <f>IF(OR(Table3[[#This Row],[weekday]]=0,Table3[[#This Row],[weekday]]=6),"Weekend","Weekday")</f>
        <v>Weekend</v>
      </c>
    </row>
    <row r="815" spans="1:14" ht="15" thickBot="1" x14ac:dyDescent="0.35">
      <c r="A815" s="48">
        <v>814</v>
      </c>
      <c r="B815" s="49">
        <v>40580</v>
      </c>
      <c r="C815" s="48">
        <v>8</v>
      </c>
      <c r="D815" s="50" t="b">
        <v>0</v>
      </c>
      <c r="E815" s="51">
        <f>_xlfn.XLOOKUP(A815,Table4[instant],Table4[weekday], ,0,1)</f>
        <v>0</v>
      </c>
      <c r="F815" s="51">
        <f>_xlfn.XLOOKUP(A815,Table4[instant],Table4[weathersit], ,0,1)</f>
        <v>1</v>
      </c>
      <c r="G815" s="42">
        <f>_xlfn.XLOOKUP(A815,Table4[instant],Table4[temp], ,0,1)</f>
        <v>0.24</v>
      </c>
      <c r="H815" s="54">
        <f>_xlfn.XLOOKUP(A815,Table4[instant],Table4[atemp], ,0,1)</f>
        <v>0.2576</v>
      </c>
      <c r="I815" s="42">
        <f>_xlfn.XLOOKUP(A815,Table4[instant],Table4[hum], ,0,1)</f>
        <v>0.65</v>
      </c>
      <c r="J815" s="42">
        <f>_xlfn.XLOOKUP(A815,Table4[instant],Table4[windspeed], ,0,1)</f>
        <v>0.1045</v>
      </c>
      <c r="K815" s="42">
        <f>_xlfn.XLOOKUP(A815,Table4[instant],Table4[casual], ,0,1)</f>
        <v>2</v>
      </c>
      <c r="L815" s="42">
        <f>_xlfn.XLOOKUP(A815,Table4[instant],Table4[registered], ,0,1)</f>
        <v>21</v>
      </c>
      <c r="M815" s="46">
        <f>_xlfn.XLOOKUP(A815,Table4[instant],Table4[cnt], ,0,1)</f>
        <v>23</v>
      </c>
      <c r="N815" s="1" t="str">
        <f>IF(OR(Table3[[#This Row],[weekday]]=0,Table3[[#This Row],[weekday]]=6),"Weekend","Weekday")</f>
        <v>Weekend</v>
      </c>
    </row>
    <row r="816" spans="1:14" ht="15" thickBot="1" x14ac:dyDescent="0.35">
      <c r="A816" s="51">
        <v>815</v>
      </c>
      <c r="B816" s="52">
        <v>40580</v>
      </c>
      <c r="C816" s="51">
        <v>9</v>
      </c>
      <c r="D816" s="53" t="b">
        <v>0</v>
      </c>
      <c r="E816" s="51">
        <f>_xlfn.XLOOKUP(A816,Table4[instant],Table4[weekday], ,0,1)</f>
        <v>0</v>
      </c>
      <c r="F816" s="51">
        <f>_xlfn.XLOOKUP(A816,Table4[instant],Table4[weathersit], ,0,1)</f>
        <v>1</v>
      </c>
      <c r="G816" s="42">
        <f>_xlfn.XLOOKUP(A816,Table4[instant],Table4[temp], ,0,1)</f>
        <v>0.28000000000000003</v>
      </c>
      <c r="H816" s="54">
        <f>_xlfn.XLOOKUP(A816,Table4[instant],Table4[atemp], ,0,1)</f>
        <v>0.28789999999999999</v>
      </c>
      <c r="I816" s="42">
        <f>_xlfn.XLOOKUP(A816,Table4[instant],Table4[hum], ,0,1)</f>
        <v>0.56000000000000005</v>
      </c>
      <c r="J816" s="42">
        <f>_xlfn.XLOOKUP(A816,Table4[instant],Table4[windspeed], ,0,1)</f>
        <v>0.1045</v>
      </c>
      <c r="K816" s="42">
        <f>_xlfn.XLOOKUP(A816,Table4[instant],Table4[casual], ,0,1)</f>
        <v>7</v>
      </c>
      <c r="L816" s="42">
        <f>_xlfn.XLOOKUP(A816,Table4[instant],Table4[registered], ,0,1)</f>
        <v>38</v>
      </c>
      <c r="M816" s="46">
        <f>_xlfn.XLOOKUP(A816,Table4[instant],Table4[cnt], ,0,1)</f>
        <v>45</v>
      </c>
      <c r="N816" s="42" t="str">
        <f>IF(OR(Table3[[#This Row],[weekday]]=0,Table3[[#This Row],[weekday]]=6),"Weekend","Weekday")</f>
        <v>Weekend</v>
      </c>
    </row>
    <row r="817" spans="1:14" ht="15" thickBot="1" x14ac:dyDescent="0.35">
      <c r="A817" s="48">
        <v>816</v>
      </c>
      <c r="B817" s="49">
        <v>40580</v>
      </c>
      <c r="C817" s="48">
        <v>10</v>
      </c>
      <c r="D817" s="50" t="b">
        <v>0</v>
      </c>
      <c r="E817" s="51">
        <f>_xlfn.XLOOKUP(A817,Table4[instant],Table4[weekday], ,0,1)</f>
        <v>0</v>
      </c>
      <c r="F817" s="51">
        <f>_xlfn.XLOOKUP(A817,Table4[instant],Table4[weathersit], ,0,1)</f>
        <v>1</v>
      </c>
      <c r="G817" s="42">
        <f>_xlfn.XLOOKUP(A817,Table4[instant],Table4[temp], ,0,1)</f>
        <v>0.3</v>
      </c>
      <c r="H817" s="54">
        <f>_xlfn.XLOOKUP(A817,Table4[instant],Table4[atemp], ,0,1)</f>
        <v>0.28789999999999999</v>
      </c>
      <c r="I817" s="42">
        <f>_xlfn.XLOOKUP(A817,Table4[instant],Table4[hum], ,0,1)</f>
        <v>0.52</v>
      </c>
      <c r="J817" s="42">
        <f>_xlfn.XLOOKUP(A817,Table4[instant],Table4[windspeed], ,0,1)</f>
        <v>0.25369999999999998</v>
      </c>
      <c r="K817" s="42">
        <f>_xlfn.XLOOKUP(A817,Table4[instant],Table4[casual], ,0,1)</f>
        <v>15</v>
      </c>
      <c r="L817" s="42">
        <f>_xlfn.XLOOKUP(A817,Table4[instant],Table4[registered], ,0,1)</f>
        <v>74</v>
      </c>
      <c r="M817" s="46">
        <f>_xlfn.XLOOKUP(A817,Table4[instant],Table4[cnt], ,0,1)</f>
        <v>89</v>
      </c>
      <c r="N817" s="1" t="str">
        <f>IF(OR(Table3[[#This Row],[weekday]]=0,Table3[[#This Row],[weekday]]=6),"Weekend","Weekday")</f>
        <v>Weekend</v>
      </c>
    </row>
    <row r="818" spans="1:14" ht="15" thickBot="1" x14ac:dyDescent="0.35">
      <c r="A818" s="51">
        <v>817</v>
      </c>
      <c r="B818" s="52">
        <v>40580</v>
      </c>
      <c r="C818" s="51">
        <v>11</v>
      </c>
      <c r="D818" s="53" t="b">
        <v>0</v>
      </c>
      <c r="E818" s="51">
        <f>_xlfn.XLOOKUP(A818,Table4[instant],Table4[weekday], ,0,1)</f>
        <v>0</v>
      </c>
      <c r="F818" s="51">
        <f>_xlfn.XLOOKUP(A818,Table4[instant],Table4[weathersit], ,0,1)</f>
        <v>1</v>
      </c>
      <c r="G818" s="42">
        <f>_xlfn.XLOOKUP(A818,Table4[instant],Table4[temp], ,0,1)</f>
        <v>0.32</v>
      </c>
      <c r="H818" s="54">
        <f>_xlfn.XLOOKUP(A818,Table4[instant],Table4[atemp], ,0,1)</f>
        <v>0.30299999999999999</v>
      </c>
      <c r="I818" s="42">
        <f>_xlfn.XLOOKUP(A818,Table4[instant],Table4[hum], ,0,1)</f>
        <v>0.49</v>
      </c>
      <c r="J818" s="42">
        <f>_xlfn.XLOOKUP(A818,Table4[instant],Table4[windspeed], ,0,1)</f>
        <v>0.25369999999999998</v>
      </c>
      <c r="K818" s="42">
        <f>_xlfn.XLOOKUP(A818,Table4[instant],Table4[casual], ,0,1)</f>
        <v>28</v>
      </c>
      <c r="L818" s="42">
        <f>_xlfn.XLOOKUP(A818,Table4[instant],Table4[registered], ,0,1)</f>
        <v>89</v>
      </c>
      <c r="M818" s="46">
        <f>_xlfn.XLOOKUP(A818,Table4[instant],Table4[cnt], ,0,1)</f>
        <v>117</v>
      </c>
      <c r="N818" s="42" t="str">
        <f>IF(OR(Table3[[#This Row],[weekday]]=0,Table3[[#This Row],[weekday]]=6),"Weekend","Weekday")</f>
        <v>Weekend</v>
      </c>
    </row>
    <row r="819" spans="1:14" ht="15" thickBot="1" x14ac:dyDescent="0.35">
      <c r="A819" s="48">
        <v>818</v>
      </c>
      <c r="B819" s="49">
        <v>40580</v>
      </c>
      <c r="C819" s="48">
        <v>12</v>
      </c>
      <c r="D819" s="50" t="b">
        <v>0</v>
      </c>
      <c r="E819" s="51">
        <f>_xlfn.XLOOKUP(A819,Table4[instant],Table4[weekday], ,0,1)</f>
        <v>0</v>
      </c>
      <c r="F819" s="51">
        <f>_xlfn.XLOOKUP(A819,Table4[instant],Table4[weathersit], ,0,1)</f>
        <v>1</v>
      </c>
      <c r="G819" s="42">
        <f>_xlfn.XLOOKUP(A819,Table4[instant],Table4[temp], ,0,1)</f>
        <v>0.34</v>
      </c>
      <c r="H819" s="54">
        <f>_xlfn.XLOOKUP(A819,Table4[instant],Table4[atemp], ,0,1)</f>
        <v>0.33329999999999999</v>
      </c>
      <c r="I819" s="42">
        <f>_xlfn.XLOOKUP(A819,Table4[instant],Table4[hum], ,0,1)</f>
        <v>0.46</v>
      </c>
      <c r="J819" s="42">
        <f>_xlfn.XLOOKUP(A819,Table4[instant],Table4[windspeed], ,0,1)</f>
        <v>0</v>
      </c>
      <c r="K819" s="42">
        <f>_xlfn.XLOOKUP(A819,Table4[instant],Table4[casual], ,0,1)</f>
        <v>48</v>
      </c>
      <c r="L819" s="42">
        <f>_xlfn.XLOOKUP(A819,Table4[instant],Table4[registered], ,0,1)</f>
        <v>126</v>
      </c>
      <c r="M819" s="46">
        <f>_xlfn.XLOOKUP(A819,Table4[instant],Table4[cnt], ,0,1)</f>
        <v>174</v>
      </c>
      <c r="N819" s="1" t="str">
        <f>IF(OR(Table3[[#This Row],[weekday]]=0,Table3[[#This Row],[weekday]]=6),"Weekend","Weekday")</f>
        <v>Weekend</v>
      </c>
    </row>
    <row r="820" spans="1:14" ht="15" thickBot="1" x14ac:dyDescent="0.35">
      <c r="A820" s="51">
        <v>819</v>
      </c>
      <c r="B820" s="52">
        <v>40580</v>
      </c>
      <c r="C820" s="51">
        <v>13</v>
      </c>
      <c r="D820" s="53" t="b">
        <v>0</v>
      </c>
      <c r="E820" s="51">
        <f>_xlfn.XLOOKUP(A820,Table4[instant],Table4[weekday], ,0,1)</f>
        <v>0</v>
      </c>
      <c r="F820" s="51">
        <f>_xlfn.XLOOKUP(A820,Table4[instant],Table4[weathersit], ,0,1)</f>
        <v>1</v>
      </c>
      <c r="G820" s="42">
        <f>_xlfn.XLOOKUP(A820,Table4[instant],Table4[temp], ,0,1)</f>
        <v>0.34</v>
      </c>
      <c r="H820" s="54">
        <f>_xlfn.XLOOKUP(A820,Table4[instant],Table4[atemp], ,0,1)</f>
        <v>0.36359999999999998</v>
      </c>
      <c r="I820" s="42">
        <f>_xlfn.XLOOKUP(A820,Table4[instant],Table4[hum], ,0,1)</f>
        <v>0.46</v>
      </c>
      <c r="J820" s="42">
        <f>_xlfn.XLOOKUP(A820,Table4[instant],Table4[windspeed], ,0,1)</f>
        <v>0</v>
      </c>
      <c r="K820" s="42">
        <f>_xlfn.XLOOKUP(A820,Table4[instant],Table4[casual], ,0,1)</f>
        <v>47</v>
      </c>
      <c r="L820" s="42">
        <f>_xlfn.XLOOKUP(A820,Table4[instant],Table4[registered], ,0,1)</f>
        <v>135</v>
      </c>
      <c r="M820" s="46">
        <f>_xlfn.XLOOKUP(A820,Table4[instant],Table4[cnt], ,0,1)</f>
        <v>182</v>
      </c>
      <c r="N820" s="42" t="str">
        <f>IF(OR(Table3[[#This Row],[weekday]]=0,Table3[[#This Row],[weekday]]=6),"Weekend","Weekday")</f>
        <v>Weekend</v>
      </c>
    </row>
    <row r="821" spans="1:14" ht="15" thickBot="1" x14ac:dyDescent="0.35">
      <c r="A821" s="48">
        <v>820</v>
      </c>
      <c r="B821" s="49">
        <v>40580</v>
      </c>
      <c r="C821" s="48">
        <v>14</v>
      </c>
      <c r="D821" s="50" t="b">
        <v>0</v>
      </c>
      <c r="E821" s="51">
        <f>_xlfn.XLOOKUP(A821,Table4[instant],Table4[weekday], ,0,1)</f>
        <v>0</v>
      </c>
      <c r="F821" s="51">
        <f>_xlfn.XLOOKUP(A821,Table4[instant],Table4[weathersit], ,0,1)</f>
        <v>1</v>
      </c>
      <c r="G821" s="42">
        <f>_xlfn.XLOOKUP(A821,Table4[instant],Table4[temp], ,0,1)</f>
        <v>0.34</v>
      </c>
      <c r="H821" s="54">
        <f>_xlfn.XLOOKUP(A821,Table4[instant],Table4[atemp], ,0,1)</f>
        <v>0.34849999999999998</v>
      </c>
      <c r="I821" s="42">
        <f>_xlfn.XLOOKUP(A821,Table4[instant],Table4[hum], ,0,1)</f>
        <v>0.46</v>
      </c>
      <c r="J821" s="42">
        <f>_xlfn.XLOOKUP(A821,Table4[instant],Table4[windspeed], ,0,1)</f>
        <v>8.9599999999999999E-2</v>
      </c>
      <c r="K821" s="42">
        <f>_xlfn.XLOOKUP(A821,Table4[instant],Table4[casual], ,0,1)</f>
        <v>47</v>
      </c>
      <c r="L821" s="42">
        <f>_xlfn.XLOOKUP(A821,Table4[instant],Table4[registered], ,0,1)</f>
        <v>114</v>
      </c>
      <c r="M821" s="46">
        <f>_xlfn.XLOOKUP(A821,Table4[instant],Table4[cnt], ,0,1)</f>
        <v>161</v>
      </c>
      <c r="N821" s="1" t="str">
        <f>IF(OR(Table3[[#This Row],[weekday]]=0,Table3[[#This Row],[weekday]]=6),"Weekend","Weekday")</f>
        <v>Weekend</v>
      </c>
    </row>
    <row r="822" spans="1:14" ht="15" thickBot="1" x14ac:dyDescent="0.35">
      <c r="A822" s="51">
        <v>821</v>
      </c>
      <c r="B822" s="52">
        <v>40580</v>
      </c>
      <c r="C822" s="51">
        <v>15</v>
      </c>
      <c r="D822" s="53" t="b">
        <v>0</v>
      </c>
      <c r="E822" s="51">
        <f>_xlfn.XLOOKUP(A822,Table4[instant],Table4[weekday], ,0,1)</f>
        <v>0</v>
      </c>
      <c r="F822" s="51">
        <f>_xlfn.XLOOKUP(A822,Table4[instant],Table4[weathersit], ,0,1)</f>
        <v>1</v>
      </c>
      <c r="G822" s="42">
        <f>_xlfn.XLOOKUP(A822,Table4[instant],Table4[temp], ,0,1)</f>
        <v>0.34</v>
      </c>
      <c r="H822" s="54">
        <f>_xlfn.XLOOKUP(A822,Table4[instant],Table4[atemp], ,0,1)</f>
        <v>0.34849999999999998</v>
      </c>
      <c r="I822" s="42">
        <f>_xlfn.XLOOKUP(A822,Table4[instant],Table4[hum], ,0,1)</f>
        <v>0.46</v>
      </c>
      <c r="J822" s="42">
        <f>_xlfn.XLOOKUP(A822,Table4[instant],Table4[windspeed], ,0,1)</f>
        <v>8.9599999999999999E-2</v>
      </c>
      <c r="K822" s="42">
        <f>_xlfn.XLOOKUP(A822,Table4[instant],Table4[casual], ,0,1)</f>
        <v>52</v>
      </c>
      <c r="L822" s="42">
        <f>_xlfn.XLOOKUP(A822,Table4[instant],Table4[registered], ,0,1)</f>
        <v>130</v>
      </c>
      <c r="M822" s="46">
        <f>_xlfn.XLOOKUP(A822,Table4[instant],Table4[cnt], ,0,1)</f>
        <v>182</v>
      </c>
      <c r="N822" s="42" t="str">
        <f>IF(OR(Table3[[#This Row],[weekday]]=0,Table3[[#This Row],[weekday]]=6),"Weekend","Weekday")</f>
        <v>Weekend</v>
      </c>
    </row>
    <row r="823" spans="1:14" ht="15" thickBot="1" x14ac:dyDescent="0.35">
      <c r="A823" s="48">
        <v>822</v>
      </c>
      <c r="B823" s="49">
        <v>40580</v>
      </c>
      <c r="C823" s="48">
        <v>16</v>
      </c>
      <c r="D823" s="50" t="b">
        <v>0</v>
      </c>
      <c r="E823" s="51">
        <f>_xlfn.XLOOKUP(A823,Table4[instant],Table4[weekday], ,0,1)</f>
        <v>0</v>
      </c>
      <c r="F823" s="51">
        <f>_xlfn.XLOOKUP(A823,Table4[instant],Table4[weathersit], ,0,1)</f>
        <v>1</v>
      </c>
      <c r="G823" s="42">
        <f>_xlfn.XLOOKUP(A823,Table4[instant],Table4[temp], ,0,1)</f>
        <v>0.34</v>
      </c>
      <c r="H823" s="54">
        <f>_xlfn.XLOOKUP(A823,Table4[instant],Table4[atemp], ,0,1)</f>
        <v>0.34849999999999998</v>
      </c>
      <c r="I823" s="42">
        <f>_xlfn.XLOOKUP(A823,Table4[instant],Table4[hum], ,0,1)</f>
        <v>0.49</v>
      </c>
      <c r="J823" s="42">
        <f>_xlfn.XLOOKUP(A823,Table4[instant],Table4[windspeed], ,0,1)</f>
        <v>0.1045</v>
      </c>
      <c r="K823" s="42">
        <f>_xlfn.XLOOKUP(A823,Table4[instant],Table4[casual], ,0,1)</f>
        <v>42</v>
      </c>
      <c r="L823" s="42">
        <f>_xlfn.XLOOKUP(A823,Table4[instant],Table4[registered], ,0,1)</f>
        <v>115</v>
      </c>
      <c r="M823" s="46">
        <f>_xlfn.XLOOKUP(A823,Table4[instant],Table4[cnt], ,0,1)</f>
        <v>157</v>
      </c>
      <c r="N823" s="1" t="str">
        <f>IF(OR(Table3[[#This Row],[weekday]]=0,Table3[[#This Row],[weekday]]=6),"Weekend","Weekday")</f>
        <v>Weekend</v>
      </c>
    </row>
    <row r="824" spans="1:14" ht="15" thickBot="1" x14ac:dyDescent="0.35">
      <c r="A824" s="51">
        <v>823</v>
      </c>
      <c r="B824" s="52">
        <v>40580</v>
      </c>
      <c r="C824" s="51">
        <v>17</v>
      </c>
      <c r="D824" s="53" t="b">
        <v>0</v>
      </c>
      <c r="E824" s="51">
        <f>_xlfn.XLOOKUP(A824,Table4[instant],Table4[weekday], ,0,1)</f>
        <v>0</v>
      </c>
      <c r="F824" s="51">
        <f>_xlfn.XLOOKUP(A824,Table4[instant],Table4[weathersit], ,0,1)</f>
        <v>1</v>
      </c>
      <c r="G824" s="42">
        <f>_xlfn.XLOOKUP(A824,Table4[instant],Table4[temp], ,0,1)</f>
        <v>0.34</v>
      </c>
      <c r="H824" s="54">
        <f>_xlfn.XLOOKUP(A824,Table4[instant],Table4[atemp], ,0,1)</f>
        <v>0.36359999999999998</v>
      </c>
      <c r="I824" s="42">
        <f>_xlfn.XLOOKUP(A824,Table4[instant],Table4[hum], ,0,1)</f>
        <v>0.46</v>
      </c>
      <c r="J824" s="42">
        <f>_xlfn.XLOOKUP(A824,Table4[instant],Table4[windspeed], ,0,1)</f>
        <v>0</v>
      </c>
      <c r="K824" s="42">
        <f>_xlfn.XLOOKUP(A824,Table4[instant],Table4[casual], ,0,1)</f>
        <v>24</v>
      </c>
      <c r="L824" s="42">
        <f>_xlfn.XLOOKUP(A824,Table4[instant],Table4[registered], ,0,1)</f>
        <v>97</v>
      </c>
      <c r="M824" s="46">
        <f>_xlfn.XLOOKUP(A824,Table4[instant],Table4[cnt], ,0,1)</f>
        <v>121</v>
      </c>
      <c r="N824" s="42" t="str">
        <f>IF(OR(Table3[[#This Row],[weekday]]=0,Table3[[#This Row],[weekday]]=6),"Weekend","Weekday")</f>
        <v>Weekend</v>
      </c>
    </row>
    <row r="825" spans="1:14" ht="15" thickBot="1" x14ac:dyDescent="0.35">
      <c r="A825" s="48">
        <v>824</v>
      </c>
      <c r="B825" s="49">
        <v>40580</v>
      </c>
      <c r="C825" s="48">
        <v>18</v>
      </c>
      <c r="D825" s="50" t="b">
        <v>0</v>
      </c>
      <c r="E825" s="51">
        <f>_xlfn.XLOOKUP(A825,Table4[instant],Table4[weekday], ,0,1)</f>
        <v>0</v>
      </c>
      <c r="F825" s="51">
        <f>_xlfn.XLOOKUP(A825,Table4[instant],Table4[weathersit], ,0,1)</f>
        <v>1</v>
      </c>
      <c r="G825" s="42">
        <f>_xlfn.XLOOKUP(A825,Table4[instant],Table4[temp], ,0,1)</f>
        <v>0.3</v>
      </c>
      <c r="H825" s="54">
        <f>_xlfn.XLOOKUP(A825,Table4[instant],Table4[atemp], ,0,1)</f>
        <v>0.30299999999999999</v>
      </c>
      <c r="I825" s="42">
        <f>_xlfn.XLOOKUP(A825,Table4[instant],Table4[hum], ,0,1)</f>
        <v>0.56000000000000005</v>
      </c>
      <c r="J825" s="42">
        <f>_xlfn.XLOOKUP(A825,Table4[instant],Table4[windspeed], ,0,1)</f>
        <v>0.16420000000000001</v>
      </c>
      <c r="K825" s="42">
        <f>_xlfn.XLOOKUP(A825,Table4[instant],Table4[casual], ,0,1)</f>
        <v>13</v>
      </c>
      <c r="L825" s="42">
        <f>_xlfn.XLOOKUP(A825,Table4[instant],Table4[registered], ,0,1)</f>
        <v>65</v>
      </c>
      <c r="M825" s="46">
        <f>_xlfn.XLOOKUP(A825,Table4[instant],Table4[cnt], ,0,1)</f>
        <v>78</v>
      </c>
      <c r="N825" s="1" t="str">
        <f>IF(OR(Table3[[#This Row],[weekday]]=0,Table3[[#This Row],[weekday]]=6),"Weekend","Weekday")</f>
        <v>Weekend</v>
      </c>
    </row>
    <row r="826" spans="1:14" ht="15" thickBot="1" x14ac:dyDescent="0.35">
      <c r="A826" s="51">
        <v>825</v>
      </c>
      <c r="B826" s="52">
        <v>40580</v>
      </c>
      <c r="C826" s="51">
        <v>19</v>
      </c>
      <c r="D826" s="53" t="b">
        <v>0</v>
      </c>
      <c r="E826" s="51">
        <f>_xlfn.XLOOKUP(A826,Table4[instant],Table4[weekday], ,0,1)</f>
        <v>0</v>
      </c>
      <c r="F826" s="51">
        <f>_xlfn.XLOOKUP(A826,Table4[instant],Table4[weathersit], ,0,1)</f>
        <v>1</v>
      </c>
      <c r="G826" s="42">
        <f>_xlfn.XLOOKUP(A826,Table4[instant],Table4[temp], ,0,1)</f>
        <v>0.28000000000000003</v>
      </c>
      <c r="H826" s="54">
        <f>_xlfn.XLOOKUP(A826,Table4[instant],Table4[atemp], ,0,1)</f>
        <v>0.28789999999999999</v>
      </c>
      <c r="I826" s="42">
        <f>_xlfn.XLOOKUP(A826,Table4[instant],Table4[hum], ,0,1)</f>
        <v>0.61</v>
      </c>
      <c r="J826" s="42">
        <f>_xlfn.XLOOKUP(A826,Table4[instant],Table4[windspeed], ,0,1)</f>
        <v>0.1343</v>
      </c>
      <c r="K826" s="42">
        <f>_xlfn.XLOOKUP(A826,Table4[instant],Table4[casual], ,0,1)</f>
        <v>1</v>
      </c>
      <c r="L826" s="42">
        <f>_xlfn.XLOOKUP(A826,Table4[instant],Table4[registered], ,0,1)</f>
        <v>20</v>
      </c>
      <c r="M826" s="46">
        <f>_xlfn.XLOOKUP(A826,Table4[instant],Table4[cnt], ,0,1)</f>
        <v>21</v>
      </c>
      <c r="N826" s="42" t="str">
        <f>IF(OR(Table3[[#This Row],[weekday]]=0,Table3[[#This Row],[weekday]]=6),"Weekend","Weekday")</f>
        <v>Weekend</v>
      </c>
    </row>
    <row r="827" spans="1:14" ht="15" thickBot="1" x14ac:dyDescent="0.35">
      <c r="A827" s="48">
        <v>826</v>
      </c>
      <c r="B827" s="49">
        <v>40580</v>
      </c>
      <c r="C827" s="48">
        <v>20</v>
      </c>
      <c r="D827" s="50" t="b">
        <v>0</v>
      </c>
      <c r="E827" s="51">
        <f>_xlfn.XLOOKUP(A827,Table4[instant],Table4[weekday], ,0,1)</f>
        <v>0</v>
      </c>
      <c r="F827" s="51">
        <f>_xlfn.XLOOKUP(A827,Table4[instant],Table4[weathersit], ,0,1)</f>
        <v>1</v>
      </c>
      <c r="G827" s="42">
        <f>_xlfn.XLOOKUP(A827,Table4[instant],Table4[temp], ,0,1)</f>
        <v>0.28000000000000003</v>
      </c>
      <c r="H827" s="54">
        <f>_xlfn.XLOOKUP(A827,Table4[instant],Table4[atemp], ,0,1)</f>
        <v>0.28789999999999999</v>
      </c>
      <c r="I827" s="42">
        <f>_xlfn.XLOOKUP(A827,Table4[instant],Table4[hum], ,0,1)</f>
        <v>0.61</v>
      </c>
      <c r="J827" s="42">
        <f>_xlfn.XLOOKUP(A827,Table4[instant],Table4[windspeed], ,0,1)</f>
        <v>0.1045</v>
      </c>
      <c r="K827" s="42">
        <f>_xlfn.XLOOKUP(A827,Table4[instant],Table4[casual], ,0,1)</f>
        <v>5</v>
      </c>
      <c r="L827" s="42">
        <f>_xlfn.XLOOKUP(A827,Table4[instant],Table4[registered], ,0,1)</f>
        <v>21</v>
      </c>
      <c r="M827" s="46">
        <f>_xlfn.XLOOKUP(A827,Table4[instant],Table4[cnt], ,0,1)</f>
        <v>26</v>
      </c>
      <c r="N827" s="1" t="str">
        <f>IF(OR(Table3[[#This Row],[weekday]]=0,Table3[[#This Row],[weekday]]=6),"Weekend","Weekday")</f>
        <v>Weekend</v>
      </c>
    </row>
    <row r="828" spans="1:14" ht="15" thickBot="1" x14ac:dyDescent="0.35">
      <c r="A828" s="51">
        <v>827</v>
      </c>
      <c r="B828" s="52">
        <v>40580</v>
      </c>
      <c r="C828" s="51">
        <v>21</v>
      </c>
      <c r="D828" s="53" t="b">
        <v>0</v>
      </c>
      <c r="E828" s="51">
        <f>_xlfn.XLOOKUP(A828,Table4[instant],Table4[weekday], ,0,1)</f>
        <v>0</v>
      </c>
      <c r="F828" s="51">
        <f>_xlfn.XLOOKUP(A828,Table4[instant],Table4[weathersit], ,0,1)</f>
        <v>1</v>
      </c>
      <c r="G828" s="42">
        <f>_xlfn.XLOOKUP(A828,Table4[instant],Table4[temp], ,0,1)</f>
        <v>0.26</v>
      </c>
      <c r="H828" s="54">
        <f>_xlfn.XLOOKUP(A828,Table4[instant],Table4[atemp], ,0,1)</f>
        <v>0.30299999999999999</v>
      </c>
      <c r="I828" s="42">
        <f>_xlfn.XLOOKUP(A828,Table4[instant],Table4[hum], ,0,1)</f>
        <v>0.6</v>
      </c>
      <c r="J828" s="42">
        <f>_xlfn.XLOOKUP(A828,Table4[instant],Table4[windspeed], ,0,1)</f>
        <v>0</v>
      </c>
      <c r="K828" s="42">
        <f>_xlfn.XLOOKUP(A828,Table4[instant],Table4[casual], ,0,1)</f>
        <v>5</v>
      </c>
      <c r="L828" s="42">
        <f>_xlfn.XLOOKUP(A828,Table4[instant],Table4[registered], ,0,1)</f>
        <v>22</v>
      </c>
      <c r="M828" s="46">
        <f>_xlfn.XLOOKUP(A828,Table4[instant],Table4[cnt], ,0,1)</f>
        <v>27</v>
      </c>
      <c r="N828" s="42" t="str">
        <f>IF(OR(Table3[[#This Row],[weekday]]=0,Table3[[#This Row],[weekday]]=6),"Weekend","Weekday")</f>
        <v>Weekend</v>
      </c>
    </row>
    <row r="829" spans="1:14" ht="15" thickBot="1" x14ac:dyDescent="0.35">
      <c r="A829" s="48">
        <v>828</v>
      </c>
      <c r="B829" s="49">
        <v>40580</v>
      </c>
      <c r="C829" s="48">
        <v>22</v>
      </c>
      <c r="D829" s="50" t="b">
        <v>0</v>
      </c>
      <c r="E829" s="51">
        <f>_xlfn.XLOOKUP(A829,Table4[instant],Table4[weekday], ,0,1)</f>
        <v>0</v>
      </c>
      <c r="F829" s="51">
        <f>_xlfn.XLOOKUP(A829,Table4[instant],Table4[weathersit], ,0,1)</f>
        <v>1</v>
      </c>
      <c r="G829" s="42">
        <f>_xlfn.XLOOKUP(A829,Table4[instant],Table4[temp], ,0,1)</f>
        <v>0.26</v>
      </c>
      <c r="H829" s="54">
        <f>_xlfn.XLOOKUP(A829,Table4[instant],Table4[atemp], ,0,1)</f>
        <v>0.30299999999999999</v>
      </c>
      <c r="I829" s="42">
        <f>_xlfn.XLOOKUP(A829,Table4[instant],Table4[hum], ,0,1)</f>
        <v>0.6</v>
      </c>
      <c r="J829" s="42">
        <f>_xlfn.XLOOKUP(A829,Table4[instant],Table4[windspeed], ,0,1)</f>
        <v>0</v>
      </c>
      <c r="K829" s="42">
        <f>_xlfn.XLOOKUP(A829,Table4[instant],Table4[casual], ,0,1)</f>
        <v>5</v>
      </c>
      <c r="L829" s="42">
        <f>_xlfn.XLOOKUP(A829,Table4[instant],Table4[registered], ,0,1)</f>
        <v>57</v>
      </c>
      <c r="M829" s="46">
        <f>_xlfn.XLOOKUP(A829,Table4[instant],Table4[cnt], ,0,1)</f>
        <v>62</v>
      </c>
      <c r="N829" s="1" t="str">
        <f>IF(OR(Table3[[#This Row],[weekday]]=0,Table3[[#This Row],[weekday]]=6),"Weekend","Weekday")</f>
        <v>Weekend</v>
      </c>
    </row>
    <row r="830" spans="1:14" ht="15" thickBot="1" x14ac:dyDescent="0.35">
      <c r="A830" s="51">
        <v>829</v>
      </c>
      <c r="B830" s="52">
        <v>40580</v>
      </c>
      <c r="C830" s="51">
        <v>23</v>
      </c>
      <c r="D830" s="53" t="b">
        <v>0</v>
      </c>
      <c r="E830" s="51">
        <f>_xlfn.XLOOKUP(A830,Table4[instant],Table4[weekday], ,0,1)</f>
        <v>0</v>
      </c>
      <c r="F830" s="51">
        <f>_xlfn.XLOOKUP(A830,Table4[instant],Table4[weathersit], ,0,1)</f>
        <v>1</v>
      </c>
      <c r="G830" s="42">
        <f>_xlfn.XLOOKUP(A830,Table4[instant],Table4[temp], ,0,1)</f>
        <v>0.24</v>
      </c>
      <c r="H830" s="54">
        <f>_xlfn.XLOOKUP(A830,Table4[instant],Table4[atemp], ,0,1)</f>
        <v>0.28789999999999999</v>
      </c>
      <c r="I830" s="42">
        <f>_xlfn.XLOOKUP(A830,Table4[instant],Table4[hum], ,0,1)</f>
        <v>0.65</v>
      </c>
      <c r="J830" s="42">
        <f>_xlfn.XLOOKUP(A830,Table4[instant],Table4[windspeed], ,0,1)</f>
        <v>0</v>
      </c>
      <c r="K830" s="42">
        <f>_xlfn.XLOOKUP(A830,Table4[instant],Table4[casual], ,0,1)</f>
        <v>4</v>
      </c>
      <c r="L830" s="42">
        <f>_xlfn.XLOOKUP(A830,Table4[instant],Table4[registered], ,0,1)</f>
        <v>26</v>
      </c>
      <c r="M830" s="46">
        <f>_xlfn.XLOOKUP(A830,Table4[instant],Table4[cnt], ,0,1)</f>
        <v>30</v>
      </c>
      <c r="N830" s="42" t="str">
        <f>IF(OR(Table3[[#This Row],[weekday]]=0,Table3[[#This Row],[weekday]]=6),"Weekend","Weekday")</f>
        <v>Weekend</v>
      </c>
    </row>
    <row r="831" spans="1:14" ht="15" thickBot="1" x14ac:dyDescent="0.35">
      <c r="A831" s="48">
        <v>830</v>
      </c>
      <c r="B831" s="49">
        <v>40581</v>
      </c>
      <c r="C831" s="48">
        <v>0</v>
      </c>
      <c r="D831" s="50" t="b">
        <v>0</v>
      </c>
      <c r="E831" s="51">
        <f>_xlfn.XLOOKUP(A831,Table4[instant],Table4[weekday], ,0,1)</f>
        <v>1</v>
      </c>
      <c r="F831" s="51">
        <f>_xlfn.XLOOKUP(A831,Table4[instant],Table4[weathersit], ,0,1)</f>
        <v>1</v>
      </c>
      <c r="G831" s="42">
        <f>_xlfn.XLOOKUP(A831,Table4[instant],Table4[temp], ,0,1)</f>
        <v>0.24</v>
      </c>
      <c r="H831" s="54">
        <f>_xlfn.XLOOKUP(A831,Table4[instant],Table4[atemp], ,0,1)</f>
        <v>0.28789999999999999</v>
      </c>
      <c r="I831" s="42">
        <f>_xlfn.XLOOKUP(A831,Table4[instant],Table4[hum], ,0,1)</f>
        <v>0.65</v>
      </c>
      <c r="J831" s="42">
        <f>_xlfn.XLOOKUP(A831,Table4[instant],Table4[windspeed], ,0,1)</f>
        <v>0</v>
      </c>
      <c r="K831" s="42">
        <f>_xlfn.XLOOKUP(A831,Table4[instant],Table4[casual], ,0,1)</f>
        <v>1</v>
      </c>
      <c r="L831" s="42">
        <f>_xlfn.XLOOKUP(A831,Table4[instant],Table4[registered], ,0,1)</f>
        <v>14</v>
      </c>
      <c r="M831" s="46">
        <f>_xlfn.XLOOKUP(A831,Table4[instant],Table4[cnt], ,0,1)</f>
        <v>15</v>
      </c>
      <c r="N831" s="1" t="str">
        <f>IF(OR(Table3[[#This Row],[weekday]]=0,Table3[[#This Row],[weekday]]=6),"Weekend","Weekday")</f>
        <v>Weekday</v>
      </c>
    </row>
    <row r="832" spans="1:14" ht="15" thickBot="1" x14ac:dyDescent="0.35">
      <c r="A832" s="51">
        <v>831</v>
      </c>
      <c r="B832" s="52">
        <v>40581</v>
      </c>
      <c r="C832" s="51">
        <v>1</v>
      </c>
      <c r="D832" s="53" t="b">
        <v>0</v>
      </c>
      <c r="E832" s="51">
        <f>_xlfn.XLOOKUP(A832,Table4[instant],Table4[weekday], ,0,1)</f>
        <v>1</v>
      </c>
      <c r="F832" s="51">
        <f>_xlfn.XLOOKUP(A832,Table4[instant],Table4[weathersit], ,0,1)</f>
        <v>1</v>
      </c>
      <c r="G832" s="42">
        <f>_xlfn.XLOOKUP(A832,Table4[instant],Table4[temp], ,0,1)</f>
        <v>0.22</v>
      </c>
      <c r="H832" s="54">
        <f>_xlfn.XLOOKUP(A832,Table4[instant],Table4[atemp], ,0,1)</f>
        <v>0.2727</v>
      </c>
      <c r="I832" s="42">
        <f>_xlfn.XLOOKUP(A832,Table4[instant],Table4[hum], ,0,1)</f>
        <v>0.75</v>
      </c>
      <c r="J832" s="42">
        <f>_xlfn.XLOOKUP(A832,Table4[instant],Table4[windspeed], ,0,1)</f>
        <v>0</v>
      </c>
      <c r="K832" s="42">
        <f>_xlfn.XLOOKUP(A832,Table4[instant],Table4[casual], ,0,1)</f>
        <v>1</v>
      </c>
      <c r="L832" s="42">
        <f>_xlfn.XLOOKUP(A832,Table4[instant],Table4[registered], ,0,1)</f>
        <v>4</v>
      </c>
      <c r="M832" s="46">
        <f>_xlfn.XLOOKUP(A832,Table4[instant],Table4[cnt], ,0,1)</f>
        <v>5</v>
      </c>
      <c r="N832" s="42" t="str">
        <f>IF(OR(Table3[[#This Row],[weekday]]=0,Table3[[#This Row],[weekday]]=6),"Weekend","Weekday")</f>
        <v>Weekday</v>
      </c>
    </row>
    <row r="833" spans="1:14" ht="15" thickBot="1" x14ac:dyDescent="0.35">
      <c r="A833" s="48">
        <v>832</v>
      </c>
      <c r="B833" s="49">
        <v>40581</v>
      </c>
      <c r="C833" s="48">
        <v>2</v>
      </c>
      <c r="D833" s="50" t="b">
        <v>0</v>
      </c>
      <c r="E833" s="51">
        <f>_xlfn.XLOOKUP(A833,Table4[instant],Table4[weekday], ,0,1)</f>
        <v>1</v>
      </c>
      <c r="F833" s="51">
        <f>_xlfn.XLOOKUP(A833,Table4[instant],Table4[weathersit], ,0,1)</f>
        <v>1</v>
      </c>
      <c r="G833" s="42">
        <f>_xlfn.XLOOKUP(A833,Table4[instant],Table4[temp], ,0,1)</f>
        <v>0.2</v>
      </c>
      <c r="H833" s="54">
        <f>_xlfn.XLOOKUP(A833,Table4[instant],Table4[atemp], ,0,1)</f>
        <v>0.2576</v>
      </c>
      <c r="I833" s="42">
        <f>_xlfn.XLOOKUP(A833,Table4[instant],Table4[hum], ,0,1)</f>
        <v>0.8</v>
      </c>
      <c r="J833" s="42">
        <f>_xlfn.XLOOKUP(A833,Table4[instant],Table4[windspeed], ,0,1)</f>
        <v>0</v>
      </c>
      <c r="K833" s="42">
        <f>_xlfn.XLOOKUP(A833,Table4[instant],Table4[casual], ,0,1)</f>
        <v>0</v>
      </c>
      <c r="L833" s="42">
        <f>_xlfn.XLOOKUP(A833,Table4[instant],Table4[registered], ,0,1)</f>
        <v>3</v>
      </c>
      <c r="M833" s="46">
        <f>_xlfn.XLOOKUP(A833,Table4[instant],Table4[cnt], ,0,1)</f>
        <v>3</v>
      </c>
      <c r="N833" s="1" t="str">
        <f>IF(OR(Table3[[#This Row],[weekday]]=0,Table3[[#This Row],[weekday]]=6),"Weekend","Weekday")</f>
        <v>Weekday</v>
      </c>
    </row>
    <row r="834" spans="1:14" ht="15" thickBot="1" x14ac:dyDescent="0.35">
      <c r="A834" s="51">
        <v>833</v>
      </c>
      <c r="B834" s="52">
        <v>40581</v>
      </c>
      <c r="C834" s="51">
        <v>3</v>
      </c>
      <c r="D834" s="53" t="b">
        <v>0</v>
      </c>
      <c r="E834" s="51">
        <f>_xlfn.XLOOKUP(A834,Table4[instant],Table4[weekday], ,0,1)</f>
        <v>1</v>
      </c>
      <c r="F834" s="51">
        <f>_xlfn.XLOOKUP(A834,Table4[instant],Table4[weathersit], ,0,1)</f>
        <v>1</v>
      </c>
      <c r="G834" s="42">
        <f>_xlfn.XLOOKUP(A834,Table4[instant],Table4[temp], ,0,1)</f>
        <v>0.2</v>
      </c>
      <c r="H834" s="54">
        <f>_xlfn.XLOOKUP(A834,Table4[instant],Table4[atemp], ,0,1)</f>
        <v>0.2576</v>
      </c>
      <c r="I834" s="42">
        <f>_xlfn.XLOOKUP(A834,Table4[instant],Table4[hum], ,0,1)</f>
        <v>0.86</v>
      </c>
      <c r="J834" s="42">
        <f>_xlfn.XLOOKUP(A834,Table4[instant],Table4[windspeed], ,0,1)</f>
        <v>0</v>
      </c>
      <c r="K834" s="42">
        <f>_xlfn.XLOOKUP(A834,Table4[instant],Table4[casual], ,0,1)</f>
        <v>0</v>
      </c>
      <c r="L834" s="42">
        <f>_xlfn.XLOOKUP(A834,Table4[instant],Table4[registered], ,0,1)</f>
        <v>1</v>
      </c>
      <c r="M834" s="46">
        <f>_xlfn.XLOOKUP(A834,Table4[instant],Table4[cnt], ,0,1)</f>
        <v>1</v>
      </c>
      <c r="N834" s="42" t="str">
        <f>IF(OR(Table3[[#This Row],[weekday]]=0,Table3[[#This Row],[weekday]]=6),"Weekend","Weekday")</f>
        <v>Weekday</v>
      </c>
    </row>
    <row r="835" spans="1:14" ht="15" thickBot="1" x14ac:dyDescent="0.35">
      <c r="A835" s="48">
        <v>834</v>
      </c>
      <c r="B835" s="49">
        <v>40581</v>
      </c>
      <c r="C835" s="48">
        <v>4</v>
      </c>
      <c r="D835" s="50" t="b">
        <v>0</v>
      </c>
      <c r="E835" s="51">
        <f>_xlfn.XLOOKUP(A835,Table4[instant],Table4[weekday], ,0,1)</f>
        <v>1</v>
      </c>
      <c r="F835" s="51">
        <f>_xlfn.XLOOKUP(A835,Table4[instant],Table4[weathersit], ,0,1)</f>
        <v>1</v>
      </c>
      <c r="G835" s="42">
        <f>_xlfn.XLOOKUP(A835,Table4[instant],Table4[temp], ,0,1)</f>
        <v>0.2</v>
      </c>
      <c r="H835" s="54">
        <f>_xlfn.XLOOKUP(A835,Table4[instant],Table4[atemp], ,0,1)</f>
        <v>0.2576</v>
      </c>
      <c r="I835" s="42">
        <f>_xlfn.XLOOKUP(A835,Table4[instant],Table4[hum], ,0,1)</f>
        <v>0.86</v>
      </c>
      <c r="J835" s="42">
        <f>_xlfn.XLOOKUP(A835,Table4[instant],Table4[windspeed], ,0,1)</f>
        <v>0</v>
      </c>
      <c r="K835" s="42">
        <f>_xlfn.XLOOKUP(A835,Table4[instant],Table4[casual], ,0,1)</f>
        <v>1</v>
      </c>
      <c r="L835" s="42">
        <f>_xlfn.XLOOKUP(A835,Table4[instant],Table4[registered], ,0,1)</f>
        <v>1</v>
      </c>
      <c r="M835" s="46">
        <f>_xlfn.XLOOKUP(A835,Table4[instant],Table4[cnt], ,0,1)</f>
        <v>2</v>
      </c>
      <c r="N835" s="1" t="str">
        <f>IF(OR(Table3[[#This Row],[weekday]]=0,Table3[[#This Row],[weekday]]=6),"Weekend","Weekday")</f>
        <v>Weekday</v>
      </c>
    </row>
    <row r="836" spans="1:14" ht="15" thickBot="1" x14ac:dyDescent="0.35">
      <c r="A836" s="51">
        <v>835</v>
      </c>
      <c r="B836" s="52">
        <v>40581</v>
      </c>
      <c r="C836" s="51">
        <v>5</v>
      </c>
      <c r="D836" s="53" t="b">
        <v>0</v>
      </c>
      <c r="E836" s="51">
        <f>_xlfn.XLOOKUP(A836,Table4[instant],Table4[weekday], ,0,1)</f>
        <v>1</v>
      </c>
      <c r="F836" s="51">
        <f>_xlfn.XLOOKUP(A836,Table4[instant],Table4[weathersit], ,0,1)</f>
        <v>1</v>
      </c>
      <c r="G836" s="42">
        <f>_xlfn.XLOOKUP(A836,Table4[instant],Table4[temp], ,0,1)</f>
        <v>0.2</v>
      </c>
      <c r="H836" s="54">
        <f>_xlfn.XLOOKUP(A836,Table4[instant],Table4[atemp], ,0,1)</f>
        <v>0.2576</v>
      </c>
      <c r="I836" s="42">
        <f>_xlfn.XLOOKUP(A836,Table4[instant],Table4[hum], ,0,1)</f>
        <v>0.86</v>
      </c>
      <c r="J836" s="42">
        <f>_xlfn.XLOOKUP(A836,Table4[instant],Table4[windspeed], ,0,1)</f>
        <v>0</v>
      </c>
      <c r="K836" s="42">
        <f>_xlfn.XLOOKUP(A836,Table4[instant],Table4[casual], ,0,1)</f>
        <v>1</v>
      </c>
      <c r="L836" s="42">
        <f>_xlfn.XLOOKUP(A836,Table4[instant],Table4[registered], ,0,1)</f>
        <v>9</v>
      </c>
      <c r="M836" s="46">
        <f>_xlfn.XLOOKUP(A836,Table4[instant],Table4[cnt], ,0,1)</f>
        <v>10</v>
      </c>
      <c r="N836" s="42" t="str">
        <f>IF(OR(Table3[[#This Row],[weekday]]=0,Table3[[#This Row],[weekday]]=6),"Weekend","Weekday")</f>
        <v>Weekday</v>
      </c>
    </row>
    <row r="837" spans="1:14" ht="15" thickBot="1" x14ac:dyDescent="0.35">
      <c r="A837" s="48">
        <v>836</v>
      </c>
      <c r="B837" s="49">
        <v>40581</v>
      </c>
      <c r="C837" s="48">
        <v>6</v>
      </c>
      <c r="D837" s="50" t="b">
        <v>0</v>
      </c>
      <c r="E837" s="51">
        <f>_xlfn.XLOOKUP(A837,Table4[instant],Table4[weekday], ,0,1)</f>
        <v>1</v>
      </c>
      <c r="F837" s="51">
        <f>_xlfn.XLOOKUP(A837,Table4[instant],Table4[weathersit], ,0,1)</f>
        <v>1</v>
      </c>
      <c r="G837" s="42">
        <f>_xlfn.XLOOKUP(A837,Table4[instant],Table4[temp], ,0,1)</f>
        <v>0.18</v>
      </c>
      <c r="H837" s="54">
        <f>_xlfn.XLOOKUP(A837,Table4[instant],Table4[atemp], ,0,1)</f>
        <v>0.2424</v>
      </c>
      <c r="I837" s="42">
        <f>_xlfn.XLOOKUP(A837,Table4[instant],Table4[hum], ,0,1)</f>
        <v>0.93</v>
      </c>
      <c r="J837" s="42">
        <f>_xlfn.XLOOKUP(A837,Table4[instant],Table4[windspeed], ,0,1)</f>
        <v>0</v>
      </c>
      <c r="K837" s="42">
        <f>_xlfn.XLOOKUP(A837,Table4[instant],Table4[casual], ,0,1)</f>
        <v>1</v>
      </c>
      <c r="L837" s="42">
        <f>_xlfn.XLOOKUP(A837,Table4[instant],Table4[registered], ,0,1)</f>
        <v>29</v>
      </c>
      <c r="M837" s="46">
        <f>_xlfn.XLOOKUP(A837,Table4[instant],Table4[cnt], ,0,1)</f>
        <v>30</v>
      </c>
      <c r="N837" s="1" t="str">
        <f>IF(OR(Table3[[#This Row],[weekday]]=0,Table3[[#This Row],[weekday]]=6),"Weekend","Weekday")</f>
        <v>Weekday</v>
      </c>
    </row>
    <row r="838" spans="1:14" ht="15" thickBot="1" x14ac:dyDescent="0.35">
      <c r="A838" s="51">
        <v>837</v>
      </c>
      <c r="B838" s="52">
        <v>40581</v>
      </c>
      <c r="C838" s="51">
        <v>7</v>
      </c>
      <c r="D838" s="53" t="b">
        <v>0</v>
      </c>
      <c r="E838" s="51">
        <f>_xlfn.XLOOKUP(A838,Table4[instant],Table4[weekday], ,0,1)</f>
        <v>1</v>
      </c>
      <c r="F838" s="51">
        <f>_xlfn.XLOOKUP(A838,Table4[instant],Table4[weathersit], ,0,1)</f>
        <v>1</v>
      </c>
      <c r="G838" s="42">
        <f>_xlfn.XLOOKUP(A838,Table4[instant],Table4[temp], ,0,1)</f>
        <v>0.18</v>
      </c>
      <c r="H838" s="54">
        <f>_xlfn.XLOOKUP(A838,Table4[instant],Table4[atemp], ,0,1)</f>
        <v>0.2424</v>
      </c>
      <c r="I838" s="42">
        <f>_xlfn.XLOOKUP(A838,Table4[instant],Table4[hum], ,0,1)</f>
        <v>0.86</v>
      </c>
      <c r="J838" s="42">
        <f>_xlfn.XLOOKUP(A838,Table4[instant],Table4[windspeed], ,0,1)</f>
        <v>0</v>
      </c>
      <c r="K838" s="42">
        <f>_xlfn.XLOOKUP(A838,Table4[instant],Table4[casual], ,0,1)</f>
        <v>6</v>
      </c>
      <c r="L838" s="42">
        <f>_xlfn.XLOOKUP(A838,Table4[instant],Table4[registered], ,0,1)</f>
        <v>89</v>
      </c>
      <c r="M838" s="46">
        <f>_xlfn.XLOOKUP(A838,Table4[instant],Table4[cnt], ,0,1)</f>
        <v>95</v>
      </c>
      <c r="N838" s="42" t="str">
        <f>IF(OR(Table3[[#This Row],[weekday]]=0,Table3[[#This Row],[weekday]]=6),"Weekend","Weekday")</f>
        <v>Weekday</v>
      </c>
    </row>
    <row r="839" spans="1:14" ht="15" thickBot="1" x14ac:dyDescent="0.35">
      <c r="A839" s="48">
        <v>838</v>
      </c>
      <c r="B839" s="49">
        <v>40581</v>
      </c>
      <c r="C839" s="48">
        <v>8</v>
      </c>
      <c r="D839" s="50" t="b">
        <v>0</v>
      </c>
      <c r="E839" s="51">
        <f>_xlfn.XLOOKUP(A839,Table4[instant],Table4[weekday], ,0,1)</f>
        <v>1</v>
      </c>
      <c r="F839" s="51">
        <f>_xlfn.XLOOKUP(A839,Table4[instant],Table4[weathersit], ,0,1)</f>
        <v>2</v>
      </c>
      <c r="G839" s="42">
        <f>_xlfn.XLOOKUP(A839,Table4[instant],Table4[temp], ,0,1)</f>
        <v>0.16</v>
      </c>
      <c r="H839" s="54">
        <f>_xlfn.XLOOKUP(A839,Table4[instant],Table4[atemp], ,0,1)</f>
        <v>0.2273</v>
      </c>
      <c r="I839" s="42">
        <f>_xlfn.XLOOKUP(A839,Table4[instant],Table4[hum], ,0,1)</f>
        <v>1</v>
      </c>
      <c r="J839" s="42">
        <f>_xlfn.XLOOKUP(A839,Table4[instant],Table4[windspeed], ,0,1)</f>
        <v>0</v>
      </c>
      <c r="K839" s="42">
        <f>_xlfn.XLOOKUP(A839,Table4[instant],Table4[casual], ,0,1)</f>
        <v>7</v>
      </c>
      <c r="L839" s="42">
        <f>_xlfn.XLOOKUP(A839,Table4[instant],Table4[registered], ,0,1)</f>
        <v>223</v>
      </c>
      <c r="M839" s="46">
        <f>_xlfn.XLOOKUP(A839,Table4[instant],Table4[cnt], ,0,1)</f>
        <v>230</v>
      </c>
      <c r="N839" s="1" t="str">
        <f>IF(OR(Table3[[#This Row],[weekday]]=0,Table3[[#This Row],[weekday]]=6),"Weekend","Weekday")</f>
        <v>Weekday</v>
      </c>
    </row>
    <row r="840" spans="1:14" ht="15" thickBot="1" x14ac:dyDescent="0.35">
      <c r="A840" s="51">
        <v>839</v>
      </c>
      <c r="B840" s="52">
        <v>40581</v>
      </c>
      <c r="C840" s="51">
        <v>9</v>
      </c>
      <c r="D840" s="53" t="b">
        <v>0</v>
      </c>
      <c r="E840" s="51">
        <f>_xlfn.XLOOKUP(A840,Table4[instant],Table4[weekday], ,0,1)</f>
        <v>1</v>
      </c>
      <c r="F840" s="51">
        <f>_xlfn.XLOOKUP(A840,Table4[instant],Table4[weathersit], ,0,1)</f>
        <v>1</v>
      </c>
      <c r="G840" s="42">
        <f>_xlfn.XLOOKUP(A840,Table4[instant],Table4[temp], ,0,1)</f>
        <v>0.22</v>
      </c>
      <c r="H840" s="54">
        <f>_xlfn.XLOOKUP(A840,Table4[instant],Table4[atemp], ,0,1)</f>
        <v>0.2727</v>
      </c>
      <c r="I840" s="42">
        <f>_xlfn.XLOOKUP(A840,Table4[instant],Table4[hum], ,0,1)</f>
        <v>0.8</v>
      </c>
      <c r="J840" s="42">
        <f>_xlfn.XLOOKUP(A840,Table4[instant],Table4[windspeed], ,0,1)</f>
        <v>0</v>
      </c>
      <c r="K840" s="42">
        <f>_xlfn.XLOOKUP(A840,Table4[instant],Table4[casual], ,0,1)</f>
        <v>3</v>
      </c>
      <c r="L840" s="42">
        <f>_xlfn.XLOOKUP(A840,Table4[instant],Table4[registered], ,0,1)</f>
        <v>115</v>
      </c>
      <c r="M840" s="46">
        <f>_xlfn.XLOOKUP(A840,Table4[instant],Table4[cnt], ,0,1)</f>
        <v>118</v>
      </c>
      <c r="N840" s="42" t="str">
        <f>IF(OR(Table3[[#This Row],[weekday]]=0,Table3[[#This Row],[weekday]]=6),"Weekend","Weekday")</f>
        <v>Weekday</v>
      </c>
    </row>
    <row r="841" spans="1:14" ht="15" thickBot="1" x14ac:dyDescent="0.35">
      <c r="A841" s="48">
        <v>840</v>
      </c>
      <c r="B841" s="49">
        <v>40581</v>
      </c>
      <c r="C841" s="48">
        <v>10</v>
      </c>
      <c r="D841" s="50" t="b">
        <v>0</v>
      </c>
      <c r="E841" s="51">
        <f>_xlfn.XLOOKUP(A841,Table4[instant],Table4[weekday], ,0,1)</f>
        <v>1</v>
      </c>
      <c r="F841" s="51">
        <f>_xlfn.XLOOKUP(A841,Table4[instant],Table4[weathersit], ,0,1)</f>
        <v>1</v>
      </c>
      <c r="G841" s="42">
        <f>_xlfn.XLOOKUP(A841,Table4[instant],Table4[temp], ,0,1)</f>
        <v>0.24</v>
      </c>
      <c r="H841" s="54">
        <f>_xlfn.XLOOKUP(A841,Table4[instant],Table4[atemp], ,0,1)</f>
        <v>0.2576</v>
      </c>
      <c r="I841" s="42">
        <f>_xlfn.XLOOKUP(A841,Table4[instant],Table4[hum], ,0,1)</f>
        <v>0.75</v>
      </c>
      <c r="J841" s="42">
        <f>_xlfn.XLOOKUP(A841,Table4[instant],Table4[windspeed], ,0,1)</f>
        <v>0.1045</v>
      </c>
      <c r="K841" s="42">
        <f>_xlfn.XLOOKUP(A841,Table4[instant],Table4[casual], ,0,1)</f>
        <v>6</v>
      </c>
      <c r="L841" s="42">
        <f>_xlfn.XLOOKUP(A841,Table4[instant],Table4[registered], ,0,1)</f>
        <v>49</v>
      </c>
      <c r="M841" s="46">
        <f>_xlfn.XLOOKUP(A841,Table4[instant],Table4[cnt], ,0,1)</f>
        <v>55</v>
      </c>
      <c r="N841" s="1" t="str">
        <f>IF(OR(Table3[[#This Row],[weekday]]=0,Table3[[#This Row],[weekday]]=6),"Weekend","Weekday")</f>
        <v>Weekday</v>
      </c>
    </row>
    <row r="842" spans="1:14" ht="15" thickBot="1" x14ac:dyDescent="0.35">
      <c r="A842" s="51">
        <v>841</v>
      </c>
      <c r="B842" s="52">
        <v>40581</v>
      </c>
      <c r="C842" s="51">
        <v>11</v>
      </c>
      <c r="D842" s="53" t="b">
        <v>0</v>
      </c>
      <c r="E842" s="51">
        <f>_xlfn.XLOOKUP(A842,Table4[instant],Table4[weekday], ,0,1)</f>
        <v>1</v>
      </c>
      <c r="F842" s="51">
        <f>_xlfn.XLOOKUP(A842,Table4[instant],Table4[weathersit], ,0,1)</f>
        <v>1</v>
      </c>
      <c r="G842" s="42">
        <f>_xlfn.XLOOKUP(A842,Table4[instant],Table4[temp], ,0,1)</f>
        <v>0.3</v>
      </c>
      <c r="H842" s="54">
        <f>_xlfn.XLOOKUP(A842,Table4[instant],Table4[atemp], ,0,1)</f>
        <v>0.31819999999999998</v>
      </c>
      <c r="I842" s="42">
        <f>_xlfn.XLOOKUP(A842,Table4[instant],Table4[hum], ,0,1)</f>
        <v>0.65</v>
      </c>
      <c r="J842" s="42">
        <f>_xlfn.XLOOKUP(A842,Table4[instant],Table4[windspeed], ,0,1)</f>
        <v>8.9599999999999999E-2</v>
      </c>
      <c r="K842" s="42">
        <f>_xlfn.XLOOKUP(A842,Table4[instant],Table4[casual], ,0,1)</f>
        <v>11</v>
      </c>
      <c r="L842" s="42">
        <f>_xlfn.XLOOKUP(A842,Table4[instant],Table4[registered], ,0,1)</f>
        <v>36</v>
      </c>
      <c r="M842" s="46">
        <f>_xlfn.XLOOKUP(A842,Table4[instant],Table4[cnt], ,0,1)</f>
        <v>47</v>
      </c>
      <c r="N842" s="42" t="str">
        <f>IF(OR(Table3[[#This Row],[weekday]]=0,Table3[[#This Row],[weekday]]=6),"Weekend","Weekday")</f>
        <v>Weekday</v>
      </c>
    </row>
    <row r="843" spans="1:14" ht="15" thickBot="1" x14ac:dyDescent="0.35">
      <c r="A843" s="48">
        <v>842</v>
      </c>
      <c r="B843" s="49">
        <v>40581</v>
      </c>
      <c r="C843" s="48">
        <v>12</v>
      </c>
      <c r="D843" s="50" t="b">
        <v>0</v>
      </c>
      <c r="E843" s="51">
        <f>_xlfn.XLOOKUP(A843,Table4[instant],Table4[weekday], ,0,1)</f>
        <v>1</v>
      </c>
      <c r="F843" s="51">
        <f>_xlfn.XLOOKUP(A843,Table4[instant],Table4[weathersit], ,0,1)</f>
        <v>2</v>
      </c>
      <c r="G843" s="42">
        <f>_xlfn.XLOOKUP(A843,Table4[instant],Table4[temp], ,0,1)</f>
        <v>0.32</v>
      </c>
      <c r="H843" s="54">
        <f>_xlfn.XLOOKUP(A843,Table4[instant],Table4[atemp], ,0,1)</f>
        <v>0.34849999999999998</v>
      </c>
      <c r="I843" s="42">
        <f>_xlfn.XLOOKUP(A843,Table4[instant],Table4[hum], ,0,1)</f>
        <v>0.62</v>
      </c>
      <c r="J843" s="42">
        <f>_xlfn.XLOOKUP(A843,Table4[instant],Table4[windspeed], ,0,1)</f>
        <v>0</v>
      </c>
      <c r="K843" s="42">
        <f>_xlfn.XLOOKUP(A843,Table4[instant],Table4[casual], ,0,1)</f>
        <v>7</v>
      </c>
      <c r="L843" s="42">
        <f>_xlfn.XLOOKUP(A843,Table4[instant],Table4[registered], ,0,1)</f>
        <v>59</v>
      </c>
      <c r="M843" s="46">
        <f>_xlfn.XLOOKUP(A843,Table4[instant],Table4[cnt], ,0,1)</f>
        <v>66</v>
      </c>
      <c r="N843" s="1" t="str">
        <f>IF(OR(Table3[[#This Row],[weekday]]=0,Table3[[#This Row],[weekday]]=6),"Weekend","Weekday")</f>
        <v>Weekday</v>
      </c>
    </row>
    <row r="844" spans="1:14" ht="15" thickBot="1" x14ac:dyDescent="0.35">
      <c r="A844" s="51">
        <v>843</v>
      </c>
      <c r="B844" s="52">
        <v>40581</v>
      </c>
      <c r="C844" s="51">
        <v>13</v>
      </c>
      <c r="D844" s="53" t="b">
        <v>0</v>
      </c>
      <c r="E844" s="51">
        <f>_xlfn.XLOOKUP(A844,Table4[instant],Table4[weekday], ,0,1)</f>
        <v>1</v>
      </c>
      <c r="F844" s="51">
        <f>_xlfn.XLOOKUP(A844,Table4[instant],Table4[weathersit], ,0,1)</f>
        <v>2</v>
      </c>
      <c r="G844" s="42">
        <f>_xlfn.XLOOKUP(A844,Table4[instant],Table4[temp], ,0,1)</f>
        <v>0.36</v>
      </c>
      <c r="H844" s="54">
        <f>_xlfn.XLOOKUP(A844,Table4[instant],Table4[atemp], ,0,1)</f>
        <v>0.36359999999999998</v>
      </c>
      <c r="I844" s="42">
        <f>_xlfn.XLOOKUP(A844,Table4[instant],Table4[hum], ,0,1)</f>
        <v>0.56999999999999995</v>
      </c>
      <c r="J844" s="42">
        <f>_xlfn.XLOOKUP(A844,Table4[instant],Table4[windspeed], ,0,1)</f>
        <v>8.9599999999999999E-2</v>
      </c>
      <c r="K844" s="42">
        <f>_xlfn.XLOOKUP(A844,Table4[instant],Table4[casual], ,0,1)</f>
        <v>10</v>
      </c>
      <c r="L844" s="42">
        <f>_xlfn.XLOOKUP(A844,Table4[instant],Table4[registered], ,0,1)</f>
        <v>54</v>
      </c>
      <c r="M844" s="46">
        <f>_xlfn.XLOOKUP(A844,Table4[instant],Table4[cnt], ,0,1)</f>
        <v>64</v>
      </c>
      <c r="N844" s="42" t="str">
        <f>IF(OR(Table3[[#This Row],[weekday]]=0,Table3[[#This Row],[weekday]]=6),"Weekend","Weekday")</f>
        <v>Weekday</v>
      </c>
    </row>
    <row r="845" spans="1:14" ht="15" thickBot="1" x14ac:dyDescent="0.35">
      <c r="A845" s="48">
        <v>844</v>
      </c>
      <c r="B845" s="49">
        <v>40581</v>
      </c>
      <c r="C845" s="48">
        <v>14</v>
      </c>
      <c r="D845" s="50" t="b">
        <v>0</v>
      </c>
      <c r="E845" s="51">
        <f>_xlfn.XLOOKUP(A845,Table4[instant],Table4[weekday], ,0,1)</f>
        <v>1</v>
      </c>
      <c r="F845" s="51">
        <f>_xlfn.XLOOKUP(A845,Table4[instant],Table4[weathersit], ,0,1)</f>
        <v>2</v>
      </c>
      <c r="G845" s="42">
        <f>_xlfn.XLOOKUP(A845,Table4[instant],Table4[temp], ,0,1)</f>
        <v>0.36</v>
      </c>
      <c r="H845" s="54">
        <f>_xlfn.XLOOKUP(A845,Table4[instant],Table4[atemp], ,0,1)</f>
        <v>0.36359999999999998</v>
      </c>
      <c r="I845" s="42">
        <f>_xlfn.XLOOKUP(A845,Table4[instant],Table4[hum], ,0,1)</f>
        <v>0.56999999999999995</v>
      </c>
      <c r="J845" s="42">
        <f>_xlfn.XLOOKUP(A845,Table4[instant],Table4[windspeed], ,0,1)</f>
        <v>8.9599999999999999E-2</v>
      </c>
      <c r="K845" s="42">
        <f>_xlfn.XLOOKUP(A845,Table4[instant],Table4[casual], ,0,1)</f>
        <v>8</v>
      </c>
      <c r="L845" s="42">
        <f>_xlfn.XLOOKUP(A845,Table4[instant],Table4[registered], ,0,1)</f>
        <v>52</v>
      </c>
      <c r="M845" s="46">
        <f>_xlfn.XLOOKUP(A845,Table4[instant],Table4[cnt], ,0,1)</f>
        <v>60</v>
      </c>
      <c r="N845" s="1" t="str">
        <f>IF(OR(Table3[[#This Row],[weekday]]=0,Table3[[#This Row],[weekday]]=6),"Weekend","Weekday")</f>
        <v>Weekday</v>
      </c>
    </row>
    <row r="846" spans="1:14" ht="15" thickBot="1" x14ac:dyDescent="0.35">
      <c r="A846" s="51">
        <v>845</v>
      </c>
      <c r="B846" s="52">
        <v>40581</v>
      </c>
      <c r="C846" s="51">
        <v>15</v>
      </c>
      <c r="D846" s="53" t="b">
        <v>0</v>
      </c>
      <c r="E846" s="51">
        <f>_xlfn.XLOOKUP(A846,Table4[instant],Table4[weekday], ,0,1)</f>
        <v>1</v>
      </c>
      <c r="F846" s="51">
        <f>_xlfn.XLOOKUP(A846,Table4[instant],Table4[weathersit], ,0,1)</f>
        <v>2</v>
      </c>
      <c r="G846" s="42">
        <f>_xlfn.XLOOKUP(A846,Table4[instant],Table4[temp], ,0,1)</f>
        <v>0.38</v>
      </c>
      <c r="H846" s="54">
        <f>_xlfn.XLOOKUP(A846,Table4[instant],Table4[atemp], ,0,1)</f>
        <v>0.39389999999999997</v>
      </c>
      <c r="I846" s="42">
        <f>_xlfn.XLOOKUP(A846,Table4[instant],Table4[hum], ,0,1)</f>
        <v>0.54</v>
      </c>
      <c r="J846" s="42">
        <f>_xlfn.XLOOKUP(A846,Table4[instant],Table4[windspeed], ,0,1)</f>
        <v>8.9599999999999999E-2</v>
      </c>
      <c r="K846" s="42">
        <f>_xlfn.XLOOKUP(A846,Table4[instant],Table4[casual], ,0,1)</f>
        <v>4</v>
      </c>
      <c r="L846" s="42">
        <f>_xlfn.XLOOKUP(A846,Table4[instant],Table4[registered], ,0,1)</f>
        <v>46</v>
      </c>
      <c r="M846" s="46">
        <f>_xlfn.XLOOKUP(A846,Table4[instant],Table4[cnt], ,0,1)</f>
        <v>50</v>
      </c>
      <c r="N846" s="42" t="str">
        <f>IF(OR(Table3[[#This Row],[weekday]]=0,Table3[[#This Row],[weekday]]=6),"Weekend","Weekday")</f>
        <v>Weekday</v>
      </c>
    </row>
    <row r="847" spans="1:14" ht="15" thickBot="1" x14ac:dyDescent="0.35">
      <c r="A847" s="48">
        <v>846</v>
      </c>
      <c r="B847" s="49">
        <v>40581</v>
      </c>
      <c r="C847" s="48">
        <v>16</v>
      </c>
      <c r="D847" s="50" t="b">
        <v>0</v>
      </c>
      <c r="E847" s="51">
        <f>_xlfn.XLOOKUP(A847,Table4[instant],Table4[weekday], ,0,1)</f>
        <v>1</v>
      </c>
      <c r="F847" s="51">
        <f>_xlfn.XLOOKUP(A847,Table4[instant],Table4[weathersit], ,0,1)</f>
        <v>2</v>
      </c>
      <c r="G847" s="42">
        <f>_xlfn.XLOOKUP(A847,Table4[instant],Table4[temp], ,0,1)</f>
        <v>0.36</v>
      </c>
      <c r="H847" s="54">
        <f>_xlfn.XLOOKUP(A847,Table4[instant],Table4[atemp], ,0,1)</f>
        <v>0.34849999999999998</v>
      </c>
      <c r="I847" s="42">
        <f>_xlfn.XLOOKUP(A847,Table4[instant],Table4[hum], ,0,1)</f>
        <v>0.56999999999999995</v>
      </c>
      <c r="J847" s="42">
        <f>_xlfn.XLOOKUP(A847,Table4[instant],Table4[windspeed], ,0,1)</f>
        <v>0.1343</v>
      </c>
      <c r="K847" s="42">
        <f>_xlfn.XLOOKUP(A847,Table4[instant],Table4[casual], ,0,1)</f>
        <v>16</v>
      </c>
      <c r="L847" s="42">
        <f>_xlfn.XLOOKUP(A847,Table4[instant],Table4[registered], ,0,1)</f>
        <v>98</v>
      </c>
      <c r="M847" s="46">
        <f>_xlfn.XLOOKUP(A847,Table4[instant],Table4[cnt], ,0,1)</f>
        <v>114</v>
      </c>
      <c r="N847" s="1" t="str">
        <f>IF(OR(Table3[[#This Row],[weekday]]=0,Table3[[#This Row],[weekday]]=6),"Weekend","Weekday")</f>
        <v>Weekday</v>
      </c>
    </row>
    <row r="848" spans="1:14" ht="15" thickBot="1" x14ac:dyDescent="0.35">
      <c r="A848" s="51">
        <v>847</v>
      </c>
      <c r="B848" s="52">
        <v>40581</v>
      </c>
      <c r="C848" s="51">
        <v>17</v>
      </c>
      <c r="D848" s="53" t="b">
        <v>0</v>
      </c>
      <c r="E848" s="51">
        <f>_xlfn.XLOOKUP(A848,Table4[instant],Table4[weekday], ,0,1)</f>
        <v>1</v>
      </c>
      <c r="F848" s="51">
        <f>_xlfn.XLOOKUP(A848,Table4[instant],Table4[weathersit], ,0,1)</f>
        <v>2</v>
      </c>
      <c r="G848" s="42">
        <f>_xlfn.XLOOKUP(A848,Table4[instant],Table4[temp], ,0,1)</f>
        <v>0.32</v>
      </c>
      <c r="H848" s="54">
        <f>_xlfn.XLOOKUP(A848,Table4[instant],Table4[atemp], ,0,1)</f>
        <v>0.31819999999999998</v>
      </c>
      <c r="I848" s="42">
        <f>_xlfn.XLOOKUP(A848,Table4[instant],Table4[hum], ,0,1)</f>
        <v>0.7</v>
      </c>
      <c r="J848" s="42">
        <f>_xlfn.XLOOKUP(A848,Table4[instant],Table4[windspeed], ,0,1)</f>
        <v>0.16420000000000001</v>
      </c>
      <c r="K848" s="42">
        <f>_xlfn.XLOOKUP(A848,Table4[instant],Table4[casual], ,0,1)</f>
        <v>9</v>
      </c>
      <c r="L848" s="42">
        <f>_xlfn.XLOOKUP(A848,Table4[instant],Table4[registered], ,0,1)</f>
        <v>207</v>
      </c>
      <c r="M848" s="46">
        <f>_xlfn.XLOOKUP(A848,Table4[instant],Table4[cnt], ,0,1)</f>
        <v>216</v>
      </c>
      <c r="N848" s="42" t="str">
        <f>IF(OR(Table3[[#This Row],[weekday]]=0,Table3[[#This Row],[weekday]]=6),"Weekend","Weekday")</f>
        <v>Weekday</v>
      </c>
    </row>
    <row r="849" spans="1:14" ht="15" thickBot="1" x14ac:dyDescent="0.35">
      <c r="A849" s="48">
        <v>848</v>
      </c>
      <c r="B849" s="49">
        <v>40581</v>
      </c>
      <c r="C849" s="48">
        <v>18</v>
      </c>
      <c r="D849" s="50" t="b">
        <v>0</v>
      </c>
      <c r="E849" s="51">
        <f>_xlfn.XLOOKUP(A849,Table4[instant],Table4[weekday], ,0,1)</f>
        <v>1</v>
      </c>
      <c r="F849" s="51">
        <f>_xlfn.XLOOKUP(A849,Table4[instant],Table4[weathersit], ,0,1)</f>
        <v>2</v>
      </c>
      <c r="G849" s="42">
        <f>_xlfn.XLOOKUP(A849,Table4[instant],Table4[temp], ,0,1)</f>
        <v>0.34</v>
      </c>
      <c r="H849" s="54">
        <f>_xlfn.XLOOKUP(A849,Table4[instant],Table4[atemp], ,0,1)</f>
        <v>0.33329999999999999</v>
      </c>
      <c r="I849" s="42">
        <f>_xlfn.XLOOKUP(A849,Table4[instant],Table4[hum], ,0,1)</f>
        <v>0.66</v>
      </c>
      <c r="J849" s="42">
        <f>_xlfn.XLOOKUP(A849,Table4[instant],Table4[windspeed], ,0,1)</f>
        <v>0.1343</v>
      </c>
      <c r="K849" s="42">
        <f>_xlfn.XLOOKUP(A849,Table4[instant],Table4[casual], ,0,1)</f>
        <v>5</v>
      </c>
      <c r="L849" s="42">
        <f>_xlfn.XLOOKUP(A849,Table4[instant],Table4[registered], ,0,1)</f>
        <v>170</v>
      </c>
      <c r="M849" s="46">
        <f>_xlfn.XLOOKUP(A849,Table4[instant],Table4[cnt], ,0,1)</f>
        <v>175</v>
      </c>
      <c r="N849" s="1" t="str">
        <f>IF(OR(Table3[[#This Row],[weekday]]=0,Table3[[#This Row],[weekday]]=6),"Weekend","Weekday")</f>
        <v>Weekday</v>
      </c>
    </row>
    <row r="850" spans="1:14" ht="15" thickBot="1" x14ac:dyDescent="0.35">
      <c r="A850" s="51">
        <v>849</v>
      </c>
      <c r="B850" s="52">
        <v>40581</v>
      </c>
      <c r="C850" s="51">
        <v>19</v>
      </c>
      <c r="D850" s="53" t="b">
        <v>0</v>
      </c>
      <c r="E850" s="51">
        <f>_xlfn.XLOOKUP(A850,Table4[instant],Table4[weekday], ,0,1)</f>
        <v>1</v>
      </c>
      <c r="F850" s="51">
        <f>_xlfn.XLOOKUP(A850,Table4[instant],Table4[weathersit], ,0,1)</f>
        <v>2</v>
      </c>
      <c r="G850" s="42">
        <f>_xlfn.XLOOKUP(A850,Table4[instant],Table4[temp], ,0,1)</f>
        <v>0.32</v>
      </c>
      <c r="H850" s="54">
        <f>_xlfn.XLOOKUP(A850,Table4[instant],Table4[atemp], ,0,1)</f>
        <v>0.34849999999999998</v>
      </c>
      <c r="I850" s="42">
        <f>_xlfn.XLOOKUP(A850,Table4[instant],Table4[hum], ,0,1)</f>
        <v>0.7</v>
      </c>
      <c r="J850" s="42">
        <f>_xlfn.XLOOKUP(A850,Table4[instant],Table4[windspeed], ,0,1)</f>
        <v>0</v>
      </c>
      <c r="K850" s="42">
        <f>_xlfn.XLOOKUP(A850,Table4[instant],Table4[casual], ,0,1)</f>
        <v>5</v>
      </c>
      <c r="L850" s="42">
        <f>_xlfn.XLOOKUP(A850,Table4[instant],Table4[registered], ,0,1)</f>
        <v>123</v>
      </c>
      <c r="M850" s="46">
        <f>_xlfn.XLOOKUP(A850,Table4[instant],Table4[cnt], ,0,1)</f>
        <v>128</v>
      </c>
      <c r="N850" s="42" t="str">
        <f>IF(OR(Table3[[#This Row],[weekday]]=0,Table3[[#This Row],[weekday]]=6),"Weekend","Weekday")</f>
        <v>Weekday</v>
      </c>
    </row>
    <row r="851" spans="1:14" ht="15" thickBot="1" x14ac:dyDescent="0.35">
      <c r="A851" s="48">
        <v>850</v>
      </c>
      <c r="B851" s="49">
        <v>40581</v>
      </c>
      <c r="C851" s="48">
        <v>20</v>
      </c>
      <c r="D851" s="50" t="b">
        <v>0</v>
      </c>
      <c r="E851" s="51">
        <f>_xlfn.XLOOKUP(A851,Table4[instant],Table4[weekday], ,0,1)</f>
        <v>1</v>
      </c>
      <c r="F851" s="51">
        <f>_xlfn.XLOOKUP(A851,Table4[instant],Table4[weathersit], ,0,1)</f>
        <v>2</v>
      </c>
      <c r="G851" s="42">
        <f>_xlfn.XLOOKUP(A851,Table4[instant],Table4[temp], ,0,1)</f>
        <v>0.32</v>
      </c>
      <c r="H851" s="54">
        <f>_xlfn.XLOOKUP(A851,Table4[instant],Table4[atemp], ,0,1)</f>
        <v>0.33329999999999999</v>
      </c>
      <c r="I851" s="42">
        <f>_xlfn.XLOOKUP(A851,Table4[instant],Table4[hum], ,0,1)</f>
        <v>0.7</v>
      </c>
      <c r="J851" s="42">
        <f>_xlfn.XLOOKUP(A851,Table4[instant],Table4[windspeed], ,0,1)</f>
        <v>0.1045</v>
      </c>
      <c r="K851" s="42">
        <f>_xlfn.XLOOKUP(A851,Table4[instant],Table4[casual], ,0,1)</f>
        <v>6</v>
      </c>
      <c r="L851" s="42">
        <f>_xlfn.XLOOKUP(A851,Table4[instant],Table4[registered], ,0,1)</f>
        <v>82</v>
      </c>
      <c r="M851" s="46">
        <f>_xlfn.XLOOKUP(A851,Table4[instant],Table4[cnt], ,0,1)</f>
        <v>88</v>
      </c>
      <c r="N851" s="1" t="str">
        <f>IF(OR(Table3[[#This Row],[weekday]]=0,Table3[[#This Row],[weekday]]=6),"Weekend","Weekday")</f>
        <v>Weekday</v>
      </c>
    </row>
    <row r="852" spans="1:14" ht="15" thickBot="1" x14ac:dyDescent="0.35">
      <c r="A852" s="51">
        <v>851</v>
      </c>
      <c r="B852" s="52">
        <v>40581</v>
      </c>
      <c r="C852" s="51">
        <v>21</v>
      </c>
      <c r="D852" s="53" t="b">
        <v>0</v>
      </c>
      <c r="E852" s="51">
        <f>_xlfn.XLOOKUP(A852,Table4[instant],Table4[weekday], ,0,1)</f>
        <v>1</v>
      </c>
      <c r="F852" s="51">
        <f>_xlfn.XLOOKUP(A852,Table4[instant],Table4[weathersit], ,0,1)</f>
        <v>1</v>
      </c>
      <c r="G852" s="42">
        <f>_xlfn.XLOOKUP(A852,Table4[instant],Table4[temp], ,0,1)</f>
        <v>0.32</v>
      </c>
      <c r="H852" s="54">
        <f>_xlfn.XLOOKUP(A852,Table4[instant],Table4[atemp], ,0,1)</f>
        <v>0.34849999999999998</v>
      </c>
      <c r="I852" s="42">
        <f>_xlfn.XLOOKUP(A852,Table4[instant],Table4[hum], ,0,1)</f>
        <v>0.7</v>
      </c>
      <c r="J852" s="42">
        <f>_xlfn.XLOOKUP(A852,Table4[instant],Table4[windspeed], ,0,1)</f>
        <v>0</v>
      </c>
      <c r="K852" s="42">
        <f>_xlfn.XLOOKUP(A852,Table4[instant],Table4[casual], ,0,1)</f>
        <v>3</v>
      </c>
      <c r="L852" s="42">
        <f>_xlfn.XLOOKUP(A852,Table4[instant],Table4[registered], ,0,1)</f>
        <v>75</v>
      </c>
      <c r="M852" s="46">
        <f>_xlfn.XLOOKUP(A852,Table4[instant],Table4[cnt], ,0,1)</f>
        <v>78</v>
      </c>
      <c r="N852" s="42" t="str">
        <f>IF(OR(Table3[[#This Row],[weekday]]=0,Table3[[#This Row],[weekday]]=6),"Weekend","Weekday")</f>
        <v>Weekday</v>
      </c>
    </row>
    <row r="853" spans="1:14" ht="15" thickBot="1" x14ac:dyDescent="0.35">
      <c r="A853" s="48">
        <v>852</v>
      </c>
      <c r="B853" s="49">
        <v>40581</v>
      </c>
      <c r="C853" s="48">
        <v>22</v>
      </c>
      <c r="D853" s="50" t="b">
        <v>0</v>
      </c>
      <c r="E853" s="51">
        <f>_xlfn.XLOOKUP(A853,Table4[instant],Table4[weekday], ,0,1)</f>
        <v>1</v>
      </c>
      <c r="F853" s="51">
        <f>_xlfn.XLOOKUP(A853,Table4[instant],Table4[weathersit], ,0,1)</f>
        <v>1</v>
      </c>
      <c r="G853" s="42">
        <f>_xlfn.XLOOKUP(A853,Table4[instant],Table4[temp], ,0,1)</f>
        <v>0.28000000000000003</v>
      </c>
      <c r="H853" s="54">
        <f>_xlfn.XLOOKUP(A853,Table4[instant],Table4[atemp], ,0,1)</f>
        <v>0.30299999999999999</v>
      </c>
      <c r="I853" s="42">
        <f>_xlfn.XLOOKUP(A853,Table4[instant],Table4[hum], ,0,1)</f>
        <v>0.81</v>
      </c>
      <c r="J853" s="42">
        <f>_xlfn.XLOOKUP(A853,Table4[instant],Table4[windspeed], ,0,1)</f>
        <v>8.9599999999999999E-2</v>
      </c>
      <c r="K853" s="42">
        <f>_xlfn.XLOOKUP(A853,Table4[instant],Table4[casual], ,0,1)</f>
        <v>3</v>
      </c>
      <c r="L853" s="42">
        <f>_xlfn.XLOOKUP(A853,Table4[instant],Table4[registered], ,0,1)</f>
        <v>34</v>
      </c>
      <c r="M853" s="46">
        <f>_xlfn.XLOOKUP(A853,Table4[instant],Table4[cnt], ,0,1)</f>
        <v>37</v>
      </c>
      <c r="N853" s="1" t="str">
        <f>IF(OR(Table3[[#This Row],[weekday]]=0,Table3[[#This Row],[weekday]]=6),"Weekend","Weekday")</f>
        <v>Weekday</v>
      </c>
    </row>
    <row r="854" spans="1:14" ht="15" thickBot="1" x14ac:dyDescent="0.35">
      <c r="A854" s="51">
        <v>853</v>
      </c>
      <c r="B854" s="52">
        <v>40581</v>
      </c>
      <c r="C854" s="51">
        <v>23</v>
      </c>
      <c r="D854" s="53" t="b">
        <v>0</v>
      </c>
      <c r="E854" s="51">
        <f>_xlfn.XLOOKUP(A854,Table4[instant],Table4[weekday], ,0,1)</f>
        <v>1</v>
      </c>
      <c r="F854" s="51">
        <f>_xlfn.XLOOKUP(A854,Table4[instant],Table4[weathersit], ,0,1)</f>
        <v>2</v>
      </c>
      <c r="G854" s="42">
        <f>_xlfn.XLOOKUP(A854,Table4[instant],Table4[temp], ,0,1)</f>
        <v>0.3</v>
      </c>
      <c r="H854" s="54">
        <f>_xlfn.XLOOKUP(A854,Table4[instant],Table4[atemp], ,0,1)</f>
        <v>0.33329999999999999</v>
      </c>
      <c r="I854" s="42">
        <f>_xlfn.XLOOKUP(A854,Table4[instant],Table4[hum], ,0,1)</f>
        <v>0.81</v>
      </c>
      <c r="J854" s="42">
        <f>_xlfn.XLOOKUP(A854,Table4[instant],Table4[windspeed], ,0,1)</f>
        <v>0</v>
      </c>
      <c r="K854" s="42">
        <f>_xlfn.XLOOKUP(A854,Table4[instant],Table4[casual], ,0,1)</f>
        <v>6</v>
      </c>
      <c r="L854" s="42">
        <f>_xlfn.XLOOKUP(A854,Table4[instant],Table4[registered], ,0,1)</f>
        <v>19</v>
      </c>
      <c r="M854" s="46">
        <f>_xlfn.XLOOKUP(A854,Table4[instant],Table4[cnt], ,0,1)</f>
        <v>25</v>
      </c>
      <c r="N854" s="42" t="str">
        <f>IF(OR(Table3[[#This Row],[weekday]]=0,Table3[[#This Row],[weekday]]=6),"Weekend","Weekday")</f>
        <v>Weekday</v>
      </c>
    </row>
    <row r="855" spans="1:14" ht="15" thickBot="1" x14ac:dyDescent="0.35">
      <c r="A855" s="48">
        <v>854</v>
      </c>
      <c r="B855" s="49">
        <v>40582</v>
      </c>
      <c r="C855" s="48">
        <v>0</v>
      </c>
      <c r="D855" s="50" t="b">
        <v>0</v>
      </c>
      <c r="E855" s="51">
        <f>_xlfn.XLOOKUP(A855,Table4[instant],Table4[weekday], ,0,1)</f>
        <v>2</v>
      </c>
      <c r="F855" s="51">
        <f>_xlfn.XLOOKUP(A855,Table4[instant],Table4[weathersit], ,0,1)</f>
        <v>2</v>
      </c>
      <c r="G855" s="42">
        <f>_xlfn.XLOOKUP(A855,Table4[instant],Table4[temp], ,0,1)</f>
        <v>0.28000000000000003</v>
      </c>
      <c r="H855" s="54">
        <f>_xlfn.XLOOKUP(A855,Table4[instant],Table4[atemp], ,0,1)</f>
        <v>0.31819999999999998</v>
      </c>
      <c r="I855" s="42">
        <f>_xlfn.XLOOKUP(A855,Table4[instant],Table4[hum], ,0,1)</f>
        <v>0.87</v>
      </c>
      <c r="J855" s="42">
        <f>_xlfn.XLOOKUP(A855,Table4[instant],Table4[windspeed], ,0,1)</f>
        <v>0</v>
      </c>
      <c r="K855" s="42">
        <f>_xlfn.XLOOKUP(A855,Table4[instant],Table4[casual], ,0,1)</f>
        <v>4</v>
      </c>
      <c r="L855" s="42">
        <f>_xlfn.XLOOKUP(A855,Table4[instant],Table4[registered], ,0,1)</f>
        <v>6</v>
      </c>
      <c r="M855" s="46">
        <f>_xlfn.XLOOKUP(A855,Table4[instant],Table4[cnt], ,0,1)</f>
        <v>10</v>
      </c>
      <c r="N855" s="1" t="str">
        <f>IF(OR(Table3[[#This Row],[weekday]]=0,Table3[[#This Row],[weekday]]=6),"Weekend","Weekday")</f>
        <v>Weekday</v>
      </c>
    </row>
    <row r="856" spans="1:14" ht="15" thickBot="1" x14ac:dyDescent="0.35">
      <c r="A856" s="51">
        <v>855</v>
      </c>
      <c r="B856" s="52">
        <v>40582</v>
      </c>
      <c r="C856" s="51">
        <v>1</v>
      </c>
      <c r="D856" s="53" t="b">
        <v>0</v>
      </c>
      <c r="E856" s="51">
        <f>_xlfn.XLOOKUP(A856,Table4[instant],Table4[weekday], ,0,1)</f>
        <v>2</v>
      </c>
      <c r="F856" s="51">
        <f>_xlfn.XLOOKUP(A856,Table4[instant],Table4[weathersit], ,0,1)</f>
        <v>2</v>
      </c>
      <c r="G856" s="42">
        <f>_xlfn.XLOOKUP(A856,Table4[instant],Table4[temp], ,0,1)</f>
        <v>0.28000000000000003</v>
      </c>
      <c r="H856" s="54">
        <f>_xlfn.XLOOKUP(A856,Table4[instant],Table4[atemp], ,0,1)</f>
        <v>0.31819999999999998</v>
      </c>
      <c r="I856" s="42">
        <f>_xlfn.XLOOKUP(A856,Table4[instant],Table4[hum], ,0,1)</f>
        <v>0.87</v>
      </c>
      <c r="J856" s="42">
        <f>_xlfn.XLOOKUP(A856,Table4[instant],Table4[windspeed], ,0,1)</f>
        <v>0</v>
      </c>
      <c r="K856" s="42">
        <f>_xlfn.XLOOKUP(A856,Table4[instant],Table4[casual], ,0,1)</f>
        <v>0</v>
      </c>
      <c r="L856" s="42">
        <f>_xlfn.XLOOKUP(A856,Table4[instant],Table4[registered], ,0,1)</f>
        <v>4</v>
      </c>
      <c r="M856" s="46">
        <f>_xlfn.XLOOKUP(A856,Table4[instant],Table4[cnt], ,0,1)</f>
        <v>4</v>
      </c>
      <c r="N856" s="42" t="str">
        <f>IF(OR(Table3[[#This Row],[weekday]]=0,Table3[[#This Row],[weekday]]=6),"Weekend","Weekday")</f>
        <v>Weekday</v>
      </c>
    </row>
    <row r="857" spans="1:14" ht="15" thickBot="1" x14ac:dyDescent="0.35">
      <c r="A857" s="48">
        <v>856</v>
      </c>
      <c r="B857" s="49">
        <v>40582</v>
      </c>
      <c r="C857" s="48">
        <v>2</v>
      </c>
      <c r="D857" s="50" t="b">
        <v>0</v>
      </c>
      <c r="E857" s="51">
        <f>_xlfn.XLOOKUP(A857,Table4[instant],Table4[weekday], ,0,1)</f>
        <v>2</v>
      </c>
      <c r="F857" s="51">
        <f>_xlfn.XLOOKUP(A857,Table4[instant],Table4[weathersit], ,0,1)</f>
        <v>2</v>
      </c>
      <c r="G857" s="42">
        <f>_xlfn.XLOOKUP(A857,Table4[instant],Table4[temp], ,0,1)</f>
        <v>0.26</v>
      </c>
      <c r="H857" s="54">
        <f>_xlfn.XLOOKUP(A857,Table4[instant],Table4[atemp], ,0,1)</f>
        <v>0.2727</v>
      </c>
      <c r="I857" s="42">
        <f>_xlfn.XLOOKUP(A857,Table4[instant],Table4[hum], ,0,1)</f>
        <v>0.93</v>
      </c>
      <c r="J857" s="42">
        <f>_xlfn.XLOOKUP(A857,Table4[instant],Table4[windspeed], ,0,1)</f>
        <v>0.1045</v>
      </c>
      <c r="K857" s="42">
        <f>_xlfn.XLOOKUP(A857,Table4[instant],Table4[casual], ,0,1)</f>
        <v>1</v>
      </c>
      <c r="L857" s="42">
        <f>_xlfn.XLOOKUP(A857,Table4[instant],Table4[registered], ,0,1)</f>
        <v>1</v>
      </c>
      <c r="M857" s="46">
        <f>_xlfn.XLOOKUP(A857,Table4[instant],Table4[cnt], ,0,1)</f>
        <v>2</v>
      </c>
      <c r="N857" s="1" t="str">
        <f>IF(OR(Table3[[#This Row],[weekday]]=0,Table3[[#This Row],[weekday]]=6),"Weekend","Weekday")</f>
        <v>Weekday</v>
      </c>
    </row>
    <row r="858" spans="1:14" ht="15" thickBot="1" x14ac:dyDescent="0.35">
      <c r="A858" s="51">
        <v>857</v>
      </c>
      <c r="B858" s="52">
        <v>40582</v>
      </c>
      <c r="C858" s="51">
        <v>3</v>
      </c>
      <c r="D858" s="53" t="b">
        <v>0</v>
      </c>
      <c r="E858" s="51">
        <f>_xlfn.XLOOKUP(A858,Table4[instant],Table4[weekday], ,0,1)</f>
        <v>2</v>
      </c>
      <c r="F858" s="51">
        <f>_xlfn.XLOOKUP(A858,Table4[instant],Table4[weathersit], ,0,1)</f>
        <v>3</v>
      </c>
      <c r="G858" s="42">
        <f>_xlfn.XLOOKUP(A858,Table4[instant],Table4[temp], ,0,1)</f>
        <v>0.28000000000000003</v>
      </c>
      <c r="H858" s="54">
        <f>_xlfn.XLOOKUP(A858,Table4[instant],Table4[atemp], ,0,1)</f>
        <v>0.2727</v>
      </c>
      <c r="I858" s="42">
        <f>_xlfn.XLOOKUP(A858,Table4[instant],Table4[hum], ,0,1)</f>
        <v>0.93</v>
      </c>
      <c r="J858" s="42">
        <f>_xlfn.XLOOKUP(A858,Table4[instant],Table4[windspeed], ,0,1)</f>
        <v>0.16420000000000001</v>
      </c>
      <c r="K858" s="42">
        <f>_xlfn.XLOOKUP(A858,Table4[instant],Table4[casual], ,0,1)</f>
        <v>0</v>
      </c>
      <c r="L858" s="42">
        <f>_xlfn.XLOOKUP(A858,Table4[instant],Table4[registered], ,0,1)</f>
        <v>1</v>
      </c>
      <c r="M858" s="46">
        <f>_xlfn.XLOOKUP(A858,Table4[instant],Table4[cnt], ,0,1)</f>
        <v>1</v>
      </c>
      <c r="N858" s="42" t="str">
        <f>IF(OR(Table3[[#This Row],[weekday]]=0,Table3[[#This Row],[weekday]]=6),"Weekend","Weekday")</f>
        <v>Weekday</v>
      </c>
    </row>
    <row r="859" spans="1:14" ht="15" thickBot="1" x14ac:dyDescent="0.35">
      <c r="A859" s="48">
        <v>858</v>
      </c>
      <c r="B859" s="49">
        <v>40582</v>
      </c>
      <c r="C859" s="48">
        <v>4</v>
      </c>
      <c r="D859" s="50" t="b">
        <v>0</v>
      </c>
      <c r="E859" s="51">
        <f>_xlfn.XLOOKUP(A859,Table4[instant],Table4[weekday], ,0,1)</f>
        <v>2</v>
      </c>
      <c r="F859" s="51">
        <f>_xlfn.XLOOKUP(A859,Table4[instant],Table4[weathersit], ,0,1)</f>
        <v>1</v>
      </c>
      <c r="G859" s="42">
        <f>_xlfn.XLOOKUP(A859,Table4[instant],Table4[temp], ,0,1)</f>
        <v>0.26</v>
      </c>
      <c r="H859" s="54">
        <f>_xlfn.XLOOKUP(A859,Table4[instant],Table4[atemp], ,0,1)</f>
        <v>0.2576</v>
      </c>
      <c r="I859" s="42">
        <f>_xlfn.XLOOKUP(A859,Table4[instant],Table4[hum], ,0,1)</f>
        <v>0.93</v>
      </c>
      <c r="J859" s="42">
        <f>_xlfn.XLOOKUP(A859,Table4[instant],Table4[windspeed], ,0,1)</f>
        <v>0.16420000000000001</v>
      </c>
      <c r="K859" s="42">
        <f>_xlfn.XLOOKUP(A859,Table4[instant],Table4[casual], ,0,1)</f>
        <v>0</v>
      </c>
      <c r="L859" s="42">
        <f>_xlfn.XLOOKUP(A859,Table4[instant],Table4[registered], ,0,1)</f>
        <v>3</v>
      </c>
      <c r="M859" s="46">
        <f>_xlfn.XLOOKUP(A859,Table4[instant],Table4[cnt], ,0,1)</f>
        <v>3</v>
      </c>
      <c r="N859" s="1" t="str">
        <f>IF(OR(Table3[[#This Row],[weekday]]=0,Table3[[#This Row],[weekday]]=6),"Weekend","Weekday")</f>
        <v>Weekday</v>
      </c>
    </row>
    <row r="860" spans="1:14" ht="15" thickBot="1" x14ac:dyDescent="0.35">
      <c r="A860" s="51">
        <v>859</v>
      </c>
      <c r="B860" s="52">
        <v>40582</v>
      </c>
      <c r="C860" s="51">
        <v>5</v>
      </c>
      <c r="D860" s="53" t="b">
        <v>0</v>
      </c>
      <c r="E860" s="51">
        <f>_xlfn.XLOOKUP(A860,Table4[instant],Table4[weekday], ,0,1)</f>
        <v>2</v>
      </c>
      <c r="F860" s="51">
        <f>_xlfn.XLOOKUP(A860,Table4[instant],Table4[weathersit], ,0,1)</f>
        <v>1</v>
      </c>
      <c r="G860" s="42">
        <f>_xlfn.XLOOKUP(A860,Table4[instant],Table4[temp], ,0,1)</f>
        <v>0.26</v>
      </c>
      <c r="H860" s="54">
        <f>_xlfn.XLOOKUP(A860,Table4[instant],Table4[atemp], ,0,1)</f>
        <v>0.2273</v>
      </c>
      <c r="I860" s="42">
        <f>_xlfn.XLOOKUP(A860,Table4[instant],Table4[hum], ,0,1)</f>
        <v>0.81</v>
      </c>
      <c r="J860" s="42">
        <f>_xlfn.XLOOKUP(A860,Table4[instant],Table4[windspeed], ,0,1)</f>
        <v>0.32840000000000003</v>
      </c>
      <c r="K860" s="42">
        <f>_xlfn.XLOOKUP(A860,Table4[instant],Table4[casual], ,0,1)</f>
        <v>0</v>
      </c>
      <c r="L860" s="42">
        <f>_xlfn.XLOOKUP(A860,Table4[instant],Table4[registered], ,0,1)</f>
        <v>2</v>
      </c>
      <c r="M860" s="46">
        <f>_xlfn.XLOOKUP(A860,Table4[instant],Table4[cnt], ,0,1)</f>
        <v>2</v>
      </c>
      <c r="N860" s="42" t="str">
        <f>IF(OR(Table3[[#This Row],[weekday]]=0,Table3[[#This Row],[weekday]]=6),"Weekend","Weekday")</f>
        <v>Weekday</v>
      </c>
    </row>
    <row r="861" spans="1:14" ht="15" thickBot="1" x14ac:dyDescent="0.35">
      <c r="A861" s="48">
        <v>860</v>
      </c>
      <c r="B861" s="49">
        <v>40582</v>
      </c>
      <c r="C861" s="48">
        <v>6</v>
      </c>
      <c r="D861" s="50" t="b">
        <v>0</v>
      </c>
      <c r="E861" s="51">
        <f>_xlfn.XLOOKUP(A861,Table4[instant],Table4[weekday], ,0,1)</f>
        <v>2</v>
      </c>
      <c r="F861" s="51">
        <f>_xlfn.XLOOKUP(A861,Table4[instant],Table4[weathersit], ,0,1)</f>
        <v>1</v>
      </c>
      <c r="G861" s="42">
        <f>_xlfn.XLOOKUP(A861,Table4[instant],Table4[temp], ,0,1)</f>
        <v>0.26</v>
      </c>
      <c r="H861" s="54">
        <f>_xlfn.XLOOKUP(A861,Table4[instant],Table4[atemp], ,0,1)</f>
        <v>0.2273</v>
      </c>
      <c r="I861" s="42">
        <f>_xlfn.XLOOKUP(A861,Table4[instant],Table4[hum], ,0,1)</f>
        <v>0.7</v>
      </c>
      <c r="J861" s="42">
        <f>_xlfn.XLOOKUP(A861,Table4[instant],Table4[windspeed], ,0,1)</f>
        <v>0.32840000000000003</v>
      </c>
      <c r="K861" s="42">
        <f>_xlfn.XLOOKUP(A861,Table4[instant],Table4[casual], ,0,1)</f>
        <v>0</v>
      </c>
      <c r="L861" s="42">
        <f>_xlfn.XLOOKUP(A861,Table4[instant],Table4[registered], ,0,1)</f>
        <v>39</v>
      </c>
      <c r="M861" s="46">
        <f>_xlfn.XLOOKUP(A861,Table4[instant],Table4[cnt], ,0,1)</f>
        <v>39</v>
      </c>
      <c r="N861" s="1" t="str">
        <f>IF(OR(Table3[[#This Row],[weekday]]=0,Table3[[#This Row],[weekday]]=6),"Weekend","Weekday")</f>
        <v>Weekday</v>
      </c>
    </row>
    <row r="862" spans="1:14" ht="15" thickBot="1" x14ac:dyDescent="0.35">
      <c r="A862" s="51">
        <v>861</v>
      </c>
      <c r="B862" s="52">
        <v>40582</v>
      </c>
      <c r="C862" s="51">
        <v>7</v>
      </c>
      <c r="D862" s="53" t="b">
        <v>0</v>
      </c>
      <c r="E862" s="51">
        <f>_xlfn.XLOOKUP(A862,Table4[instant],Table4[weekday], ,0,1)</f>
        <v>2</v>
      </c>
      <c r="F862" s="51">
        <f>_xlfn.XLOOKUP(A862,Table4[instant],Table4[weathersit], ,0,1)</f>
        <v>1</v>
      </c>
      <c r="G862" s="42">
        <f>_xlfn.XLOOKUP(A862,Table4[instant],Table4[temp], ,0,1)</f>
        <v>0.24</v>
      </c>
      <c r="H862" s="54">
        <f>_xlfn.XLOOKUP(A862,Table4[instant],Table4[atemp], ,0,1)</f>
        <v>0.19700000000000001</v>
      </c>
      <c r="I862" s="42">
        <f>_xlfn.XLOOKUP(A862,Table4[instant],Table4[hum], ,0,1)</f>
        <v>0.65</v>
      </c>
      <c r="J862" s="42">
        <f>_xlfn.XLOOKUP(A862,Table4[instant],Table4[windspeed], ,0,1)</f>
        <v>0.41789999999999999</v>
      </c>
      <c r="K862" s="42">
        <f>_xlfn.XLOOKUP(A862,Table4[instant],Table4[casual], ,0,1)</f>
        <v>3</v>
      </c>
      <c r="L862" s="42">
        <f>_xlfn.XLOOKUP(A862,Table4[instant],Table4[registered], ,0,1)</f>
        <v>97</v>
      </c>
      <c r="M862" s="46">
        <f>_xlfn.XLOOKUP(A862,Table4[instant],Table4[cnt], ,0,1)</f>
        <v>100</v>
      </c>
      <c r="N862" s="42" t="str">
        <f>IF(OR(Table3[[#This Row],[weekday]]=0,Table3[[#This Row],[weekday]]=6),"Weekend","Weekday")</f>
        <v>Weekday</v>
      </c>
    </row>
    <row r="863" spans="1:14" ht="15" thickBot="1" x14ac:dyDescent="0.35">
      <c r="A863" s="48">
        <v>862</v>
      </c>
      <c r="B863" s="49">
        <v>40582</v>
      </c>
      <c r="C863" s="48">
        <v>8</v>
      </c>
      <c r="D863" s="50" t="b">
        <v>0</v>
      </c>
      <c r="E863" s="51">
        <f>_xlfn.XLOOKUP(A863,Table4[instant],Table4[weekday], ,0,1)</f>
        <v>2</v>
      </c>
      <c r="F863" s="51">
        <f>_xlfn.XLOOKUP(A863,Table4[instant],Table4[weathersit], ,0,1)</f>
        <v>1</v>
      </c>
      <c r="G863" s="42">
        <f>_xlfn.XLOOKUP(A863,Table4[instant],Table4[temp], ,0,1)</f>
        <v>0.24</v>
      </c>
      <c r="H863" s="54">
        <f>_xlfn.XLOOKUP(A863,Table4[instant],Table4[atemp], ,0,1)</f>
        <v>0.19700000000000001</v>
      </c>
      <c r="I863" s="42">
        <f>_xlfn.XLOOKUP(A863,Table4[instant],Table4[hum], ,0,1)</f>
        <v>0.56000000000000005</v>
      </c>
      <c r="J863" s="42">
        <f>_xlfn.XLOOKUP(A863,Table4[instant],Table4[windspeed], ,0,1)</f>
        <v>0.49249999999999999</v>
      </c>
      <c r="K863" s="42">
        <f>_xlfn.XLOOKUP(A863,Table4[instant],Table4[casual], ,0,1)</f>
        <v>7</v>
      </c>
      <c r="L863" s="42">
        <f>_xlfn.XLOOKUP(A863,Table4[instant],Table4[registered], ,0,1)</f>
        <v>236</v>
      </c>
      <c r="M863" s="46">
        <f>_xlfn.XLOOKUP(A863,Table4[instant],Table4[cnt], ,0,1)</f>
        <v>243</v>
      </c>
      <c r="N863" s="1" t="str">
        <f>IF(OR(Table3[[#This Row],[weekday]]=0,Table3[[#This Row],[weekday]]=6),"Weekend","Weekday")</f>
        <v>Weekday</v>
      </c>
    </row>
    <row r="864" spans="1:14" ht="15" thickBot="1" x14ac:dyDescent="0.35">
      <c r="A864" s="51">
        <v>863</v>
      </c>
      <c r="B864" s="52">
        <v>40582</v>
      </c>
      <c r="C864" s="51">
        <v>9</v>
      </c>
      <c r="D864" s="53" t="b">
        <v>0</v>
      </c>
      <c r="E864" s="51">
        <f>_xlfn.XLOOKUP(A864,Table4[instant],Table4[weekday], ,0,1)</f>
        <v>2</v>
      </c>
      <c r="F864" s="51">
        <f>_xlfn.XLOOKUP(A864,Table4[instant],Table4[weathersit], ,0,1)</f>
        <v>1</v>
      </c>
      <c r="G864" s="42">
        <f>_xlfn.XLOOKUP(A864,Table4[instant],Table4[temp], ,0,1)</f>
        <v>0.24</v>
      </c>
      <c r="H864" s="54">
        <f>_xlfn.XLOOKUP(A864,Table4[instant],Table4[atemp], ,0,1)</f>
        <v>0.19700000000000001</v>
      </c>
      <c r="I864" s="42">
        <f>_xlfn.XLOOKUP(A864,Table4[instant],Table4[hum], ,0,1)</f>
        <v>0.52</v>
      </c>
      <c r="J864" s="42">
        <f>_xlfn.XLOOKUP(A864,Table4[instant],Table4[windspeed], ,0,1)</f>
        <v>0.49249999999999999</v>
      </c>
      <c r="K864" s="42">
        <f>_xlfn.XLOOKUP(A864,Table4[instant],Table4[casual], ,0,1)</f>
        <v>7</v>
      </c>
      <c r="L864" s="42">
        <f>_xlfn.XLOOKUP(A864,Table4[instant],Table4[registered], ,0,1)</f>
        <v>128</v>
      </c>
      <c r="M864" s="46">
        <f>_xlfn.XLOOKUP(A864,Table4[instant],Table4[cnt], ,0,1)</f>
        <v>135</v>
      </c>
      <c r="N864" s="42" t="str">
        <f>IF(OR(Table3[[#This Row],[weekday]]=0,Table3[[#This Row],[weekday]]=6),"Weekend","Weekday")</f>
        <v>Weekday</v>
      </c>
    </row>
    <row r="865" spans="1:14" ht="15" thickBot="1" x14ac:dyDescent="0.35">
      <c r="A865" s="48">
        <v>864</v>
      </c>
      <c r="B865" s="49">
        <v>40582</v>
      </c>
      <c r="C865" s="48">
        <v>10</v>
      </c>
      <c r="D865" s="50" t="b">
        <v>0</v>
      </c>
      <c r="E865" s="51">
        <f>_xlfn.XLOOKUP(A865,Table4[instant],Table4[weekday], ,0,1)</f>
        <v>2</v>
      </c>
      <c r="F865" s="51">
        <f>_xlfn.XLOOKUP(A865,Table4[instant],Table4[weathersit], ,0,1)</f>
        <v>1</v>
      </c>
      <c r="G865" s="42">
        <f>_xlfn.XLOOKUP(A865,Table4[instant],Table4[temp], ,0,1)</f>
        <v>0.22</v>
      </c>
      <c r="H865" s="54">
        <f>_xlfn.XLOOKUP(A865,Table4[instant],Table4[atemp], ,0,1)</f>
        <v>0.18179999999999999</v>
      </c>
      <c r="I865" s="42">
        <f>_xlfn.XLOOKUP(A865,Table4[instant],Table4[hum], ,0,1)</f>
        <v>0.47</v>
      </c>
      <c r="J865" s="42">
        <f>_xlfn.XLOOKUP(A865,Table4[instant],Table4[windspeed], ,0,1)</f>
        <v>0.55220000000000002</v>
      </c>
      <c r="K865" s="42">
        <f>_xlfn.XLOOKUP(A865,Table4[instant],Table4[casual], ,0,1)</f>
        <v>4</v>
      </c>
      <c r="L865" s="42">
        <f>_xlfn.XLOOKUP(A865,Table4[instant],Table4[registered], ,0,1)</f>
        <v>44</v>
      </c>
      <c r="M865" s="46">
        <f>_xlfn.XLOOKUP(A865,Table4[instant],Table4[cnt], ,0,1)</f>
        <v>48</v>
      </c>
      <c r="N865" s="1" t="str">
        <f>IF(OR(Table3[[#This Row],[weekday]]=0,Table3[[#This Row],[weekday]]=6),"Weekend","Weekday")</f>
        <v>Weekday</v>
      </c>
    </row>
    <row r="866" spans="1:14" ht="15" thickBot="1" x14ac:dyDescent="0.35">
      <c r="A866" s="51">
        <v>865</v>
      </c>
      <c r="B866" s="52">
        <v>40582</v>
      </c>
      <c r="C866" s="51">
        <v>11</v>
      </c>
      <c r="D866" s="53" t="b">
        <v>0</v>
      </c>
      <c r="E866" s="51">
        <f>_xlfn.XLOOKUP(A866,Table4[instant],Table4[weekday], ,0,1)</f>
        <v>2</v>
      </c>
      <c r="F866" s="51">
        <f>_xlfn.XLOOKUP(A866,Table4[instant],Table4[weathersit], ,0,1)</f>
        <v>1</v>
      </c>
      <c r="G866" s="42">
        <f>_xlfn.XLOOKUP(A866,Table4[instant],Table4[temp], ,0,1)</f>
        <v>0.22</v>
      </c>
      <c r="H866" s="54">
        <f>_xlfn.XLOOKUP(A866,Table4[instant],Table4[atemp], ,0,1)</f>
        <v>0.18179999999999999</v>
      </c>
      <c r="I866" s="42">
        <f>_xlfn.XLOOKUP(A866,Table4[instant],Table4[hum], ,0,1)</f>
        <v>0.47</v>
      </c>
      <c r="J866" s="42">
        <f>_xlfn.XLOOKUP(A866,Table4[instant],Table4[windspeed], ,0,1)</f>
        <v>0.4627</v>
      </c>
      <c r="K866" s="42">
        <f>_xlfn.XLOOKUP(A866,Table4[instant],Table4[casual], ,0,1)</f>
        <v>1</v>
      </c>
      <c r="L866" s="42">
        <f>_xlfn.XLOOKUP(A866,Table4[instant],Table4[registered], ,0,1)</f>
        <v>49</v>
      </c>
      <c r="M866" s="46">
        <f>_xlfn.XLOOKUP(A866,Table4[instant],Table4[cnt], ,0,1)</f>
        <v>50</v>
      </c>
      <c r="N866" s="42" t="str">
        <f>IF(OR(Table3[[#This Row],[weekday]]=0,Table3[[#This Row],[weekday]]=6),"Weekend","Weekday")</f>
        <v>Weekday</v>
      </c>
    </row>
    <row r="867" spans="1:14" ht="15" thickBot="1" x14ac:dyDescent="0.35">
      <c r="A867" s="48">
        <v>866</v>
      </c>
      <c r="B867" s="49">
        <v>40582</v>
      </c>
      <c r="C867" s="48">
        <v>12</v>
      </c>
      <c r="D867" s="50" t="b">
        <v>0</v>
      </c>
      <c r="E867" s="51">
        <f>_xlfn.XLOOKUP(A867,Table4[instant],Table4[weekday], ,0,1)</f>
        <v>2</v>
      </c>
      <c r="F867" s="51">
        <f>_xlfn.XLOOKUP(A867,Table4[instant],Table4[weathersit], ,0,1)</f>
        <v>1</v>
      </c>
      <c r="G867" s="42">
        <f>_xlfn.XLOOKUP(A867,Table4[instant],Table4[temp], ,0,1)</f>
        <v>0.24</v>
      </c>
      <c r="H867" s="54">
        <f>_xlfn.XLOOKUP(A867,Table4[instant],Table4[atemp], ,0,1)</f>
        <v>0.19700000000000001</v>
      </c>
      <c r="I867" s="42">
        <f>_xlfn.XLOOKUP(A867,Table4[instant],Table4[hum], ,0,1)</f>
        <v>0.38</v>
      </c>
      <c r="J867" s="42">
        <f>_xlfn.XLOOKUP(A867,Table4[instant],Table4[windspeed], ,0,1)</f>
        <v>0.49249999999999999</v>
      </c>
      <c r="K867" s="42">
        <f>_xlfn.XLOOKUP(A867,Table4[instant],Table4[casual], ,0,1)</f>
        <v>2</v>
      </c>
      <c r="L867" s="42">
        <f>_xlfn.XLOOKUP(A867,Table4[instant],Table4[registered], ,0,1)</f>
        <v>63</v>
      </c>
      <c r="M867" s="46">
        <f>_xlfn.XLOOKUP(A867,Table4[instant],Table4[cnt], ,0,1)</f>
        <v>65</v>
      </c>
      <c r="N867" s="1" t="str">
        <f>IF(OR(Table3[[#This Row],[weekday]]=0,Table3[[#This Row],[weekday]]=6),"Weekend","Weekday")</f>
        <v>Weekday</v>
      </c>
    </row>
    <row r="868" spans="1:14" ht="15" thickBot="1" x14ac:dyDescent="0.35">
      <c r="A868" s="51">
        <v>867</v>
      </c>
      <c r="B868" s="52">
        <v>40582</v>
      </c>
      <c r="C868" s="51">
        <v>13</v>
      </c>
      <c r="D868" s="53" t="b">
        <v>0</v>
      </c>
      <c r="E868" s="51">
        <f>_xlfn.XLOOKUP(A868,Table4[instant],Table4[weekday], ,0,1)</f>
        <v>2</v>
      </c>
      <c r="F868" s="51">
        <f>_xlfn.XLOOKUP(A868,Table4[instant],Table4[weathersit], ,0,1)</f>
        <v>2</v>
      </c>
      <c r="G868" s="42">
        <f>_xlfn.XLOOKUP(A868,Table4[instant],Table4[temp], ,0,1)</f>
        <v>0.24</v>
      </c>
      <c r="H868" s="54">
        <f>_xlfn.XLOOKUP(A868,Table4[instant],Table4[atemp], ,0,1)</f>
        <v>0.19700000000000001</v>
      </c>
      <c r="I868" s="42">
        <f>_xlfn.XLOOKUP(A868,Table4[instant],Table4[hum], ,0,1)</f>
        <v>0.32</v>
      </c>
      <c r="J868" s="42">
        <f>_xlfn.XLOOKUP(A868,Table4[instant],Table4[windspeed], ,0,1)</f>
        <v>0.44779999999999998</v>
      </c>
      <c r="K868" s="42">
        <f>_xlfn.XLOOKUP(A868,Table4[instant],Table4[casual], ,0,1)</f>
        <v>2</v>
      </c>
      <c r="L868" s="42">
        <f>_xlfn.XLOOKUP(A868,Table4[instant],Table4[registered], ,0,1)</f>
        <v>48</v>
      </c>
      <c r="M868" s="46">
        <f>_xlfn.XLOOKUP(A868,Table4[instant],Table4[cnt], ,0,1)</f>
        <v>50</v>
      </c>
      <c r="N868" s="42" t="str">
        <f>IF(OR(Table3[[#This Row],[weekday]]=0,Table3[[#This Row],[weekday]]=6),"Weekend","Weekday")</f>
        <v>Weekday</v>
      </c>
    </row>
    <row r="869" spans="1:14" ht="15" thickBot="1" x14ac:dyDescent="0.35">
      <c r="A869" s="48">
        <v>868</v>
      </c>
      <c r="B869" s="49">
        <v>40582</v>
      </c>
      <c r="C869" s="48">
        <v>14</v>
      </c>
      <c r="D869" s="50" t="b">
        <v>0</v>
      </c>
      <c r="E869" s="51">
        <f>_xlfn.XLOOKUP(A869,Table4[instant],Table4[weekday], ,0,1)</f>
        <v>2</v>
      </c>
      <c r="F869" s="51">
        <f>_xlfn.XLOOKUP(A869,Table4[instant],Table4[weathersit], ,0,1)</f>
        <v>1</v>
      </c>
      <c r="G869" s="42">
        <f>_xlfn.XLOOKUP(A869,Table4[instant],Table4[temp], ,0,1)</f>
        <v>0.22</v>
      </c>
      <c r="H869" s="54">
        <f>_xlfn.XLOOKUP(A869,Table4[instant],Table4[atemp], ,0,1)</f>
        <v>0.19700000000000001</v>
      </c>
      <c r="I869" s="42">
        <f>_xlfn.XLOOKUP(A869,Table4[instant],Table4[hum], ,0,1)</f>
        <v>0.37</v>
      </c>
      <c r="J869" s="42">
        <f>_xlfn.XLOOKUP(A869,Table4[instant],Table4[windspeed], ,0,1)</f>
        <v>0.41789999999999999</v>
      </c>
      <c r="K869" s="42">
        <f>_xlfn.XLOOKUP(A869,Table4[instant],Table4[casual], ,0,1)</f>
        <v>3</v>
      </c>
      <c r="L869" s="42">
        <f>_xlfn.XLOOKUP(A869,Table4[instant],Table4[registered], ,0,1)</f>
        <v>61</v>
      </c>
      <c r="M869" s="46">
        <f>_xlfn.XLOOKUP(A869,Table4[instant],Table4[cnt], ,0,1)</f>
        <v>64</v>
      </c>
      <c r="N869" s="1" t="str">
        <f>IF(OR(Table3[[#This Row],[weekday]]=0,Table3[[#This Row],[weekday]]=6),"Weekend","Weekday")</f>
        <v>Weekday</v>
      </c>
    </row>
    <row r="870" spans="1:14" ht="15" thickBot="1" x14ac:dyDescent="0.35">
      <c r="A870" s="51">
        <v>869</v>
      </c>
      <c r="B870" s="52">
        <v>40582</v>
      </c>
      <c r="C870" s="51">
        <v>15</v>
      </c>
      <c r="D870" s="53" t="b">
        <v>0</v>
      </c>
      <c r="E870" s="51">
        <f>_xlfn.XLOOKUP(A870,Table4[instant],Table4[weekday], ,0,1)</f>
        <v>2</v>
      </c>
      <c r="F870" s="51">
        <f>_xlfn.XLOOKUP(A870,Table4[instant],Table4[weathersit], ,0,1)</f>
        <v>1</v>
      </c>
      <c r="G870" s="42">
        <f>_xlfn.XLOOKUP(A870,Table4[instant],Table4[temp], ,0,1)</f>
        <v>0.22</v>
      </c>
      <c r="H870" s="54">
        <f>_xlfn.XLOOKUP(A870,Table4[instant],Table4[atemp], ,0,1)</f>
        <v>0.19700000000000001</v>
      </c>
      <c r="I870" s="42">
        <f>_xlfn.XLOOKUP(A870,Table4[instant],Table4[hum], ,0,1)</f>
        <v>0.35</v>
      </c>
      <c r="J870" s="42">
        <f>_xlfn.XLOOKUP(A870,Table4[instant],Table4[windspeed], ,0,1)</f>
        <v>0.3881</v>
      </c>
      <c r="K870" s="42">
        <f>_xlfn.XLOOKUP(A870,Table4[instant],Table4[casual], ,0,1)</f>
        <v>6</v>
      </c>
      <c r="L870" s="42">
        <f>_xlfn.XLOOKUP(A870,Table4[instant],Table4[registered], ,0,1)</f>
        <v>45</v>
      </c>
      <c r="M870" s="46">
        <f>_xlfn.XLOOKUP(A870,Table4[instant],Table4[cnt], ,0,1)</f>
        <v>51</v>
      </c>
      <c r="N870" s="42" t="str">
        <f>IF(OR(Table3[[#This Row],[weekday]]=0,Table3[[#This Row],[weekday]]=6),"Weekend","Weekday")</f>
        <v>Weekday</v>
      </c>
    </row>
    <row r="871" spans="1:14" ht="15" thickBot="1" x14ac:dyDescent="0.35">
      <c r="A871" s="48">
        <v>870</v>
      </c>
      <c r="B871" s="49">
        <v>40582</v>
      </c>
      <c r="C871" s="48">
        <v>16</v>
      </c>
      <c r="D871" s="50" t="b">
        <v>0</v>
      </c>
      <c r="E871" s="51">
        <f>_xlfn.XLOOKUP(A871,Table4[instant],Table4[weekday], ,0,1)</f>
        <v>2</v>
      </c>
      <c r="F871" s="51">
        <f>_xlfn.XLOOKUP(A871,Table4[instant],Table4[weathersit], ,0,1)</f>
        <v>1</v>
      </c>
      <c r="G871" s="42">
        <f>_xlfn.XLOOKUP(A871,Table4[instant],Table4[temp], ,0,1)</f>
        <v>0.22</v>
      </c>
      <c r="H871" s="54">
        <f>_xlfn.XLOOKUP(A871,Table4[instant],Table4[atemp], ,0,1)</f>
        <v>0.18179999999999999</v>
      </c>
      <c r="I871" s="42">
        <f>_xlfn.XLOOKUP(A871,Table4[instant],Table4[hum], ,0,1)</f>
        <v>0.35</v>
      </c>
      <c r="J871" s="42">
        <f>_xlfn.XLOOKUP(A871,Table4[instant],Table4[windspeed], ,0,1)</f>
        <v>0.52239999999999998</v>
      </c>
      <c r="K871" s="42">
        <f>_xlfn.XLOOKUP(A871,Table4[instant],Table4[casual], ,0,1)</f>
        <v>4</v>
      </c>
      <c r="L871" s="42">
        <f>_xlfn.XLOOKUP(A871,Table4[instant],Table4[registered], ,0,1)</f>
        <v>79</v>
      </c>
      <c r="M871" s="46">
        <f>_xlfn.XLOOKUP(A871,Table4[instant],Table4[cnt], ,0,1)</f>
        <v>83</v>
      </c>
      <c r="N871" s="1" t="str">
        <f>IF(OR(Table3[[#This Row],[weekday]]=0,Table3[[#This Row],[weekday]]=6),"Weekend","Weekday")</f>
        <v>Weekday</v>
      </c>
    </row>
    <row r="872" spans="1:14" ht="15" thickBot="1" x14ac:dyDescent="0.35">
      <c r="A872" s="51">
        <v>871</v>
      </c>
      <c r="B872" s="52">
        <v>40582</v>
      </c>
      <c r="C872" s="51">
        <v>17</v>
      </c>
      <c r="D872" s="53" t="b">
        <v>0</v>
      </c>
      <c r="E872" s="51">
        <f>_xlfn.XLOOKUP(A872,Table4[instant],Table4[weekday], ,0,1)</f>
        <v>2</v>
      </c>
      <c r="F872" s="51">
        <f>_xlfn.XLOOKUP(A872,Table4[instant],Table4[weathersit], ,0,1)</f>
        <v>1</v>
      </c>
      <c r="G872" s="42">
        <f>_xlfn.XLOOKUP(A872,Table4[instant],Table4[temp], ,0,1)</f>
        <v>0.22</v>
      </c>
      <c r="H872" s="54">
        <f>_xlfn.XLOOKUP(A872,Table4[instant],Table4[atemp], ,0,1)</f>
        <v>0.18179999999999999</v>
      </c>
      <c r="I872" s="42">
        <f>_xlfn.XLOOKUP(A872,Table4[instant],Table4[hum], ,0,1)</f>
        <v>0.32</v>
      </c>
      <c r="J872" s="42">
        <f>_xlfn.XLOOKUP(A872,Table4[instant],Table4[windspeed], ,0,1)</f>
        <v>0.58209999999999995</v>
      </c>
      <c r="K872" s="42">
        <f>_xlfn.XLOOKUP(A872,Table4[instant],Table4[casual], ,0,1)</f>
        <v>4</v>
      </c>
      <c r="L872" s="42">
        <f>_xlfn.XLOOKUP(A872,Table4[instant],Table4[registered], ,0,1)</f>
        <v>172</v>
      </c>
      <c r="M872" s="46">
        <f>_xlfn.XLOOKUP(A872,Table4[instant],Table4[cnt], ,0,1)</f>
        <v>176</v>
      </c>
      <c r="N872" s="42" t="str">
        <f>IF(OR(Table3[[#This Row],[weekday]]=0,Table3[[#This Row],[weekday]]=6),"Weekend","Weekday")</f>
        <v>Weekday</v>
      </c>
    </row>
    <row r="873" spans="1:14" ht="15" thickBot="1" x14ac:dyDescent="0.35">
      <c r="A873" s="48">
        <v>872</v>
      </c>
      <c r="B873" s="49">
        <v>40582</v>
      </c>
      <c r="C873" s="48">
        <v>18</v>
      </c>
      <c r="D873" s="50" t="b">
        <v>0</v>
      </c>
      <c r="E873" s="51">
        <f>_xlfn.XLOOKUP(A873,Table4[instant],Table4[weekday], ,0,1)</f>
        <v>2</v>
      </c>
      <c r="F873" s="51">
        <f>_xlfn.XLOOKUP(A873,Table4[instant],Table4[weathersit], ,0,1)</f>
        <v>1</v>
      </c>
      <c r="G873" s="42">
        <f>_xlfn.XLOOKUP(A873,Table4[instant],Table4[temp], ,0,1)</f>
        <v>0.2</v>
      </c>
      <c r="H873" s="54">
        <f>_xlfn.XLOOKUP(A873,Table4[instant],Table4[atemp], ,0,1)</f>
        <v>0.18179999999999999</v>
      </c>
      <c r="I873" s="42">
        <f>_xlfn.XLOOKUP(A873,Table4[instant],Table4[hum], ,0,1)</f>
        <v>0.32</v>
      </c>
      <c r="J873" s="42">
        <f>_xlfn.XLOOKUP(A873,Table4[instant],Table4[windspeed], ,0,1)</f>
        <v>0.3881</v>
      </c>
      <c r="K873" s="42">
        <f>_xlfn.XLOOKUP(A873,Table4[instant],Table4[casual], ,0,1)</f>
        <v>1</v>
      </c>
      <c r="L873" s="42">
        <f>_xlfn.XLOOKUP(A873,Table4[instant],Table4[registered], ,0,1)</f>
        <v>151</v>
      </c>
      <c r="M873" s="46">
        <f>_xlfn.XLOOKUP(A873,Table4[instant],Table4[cnt], ,0,1)</f>
        <v>152</v>
      </c>
      <c r="N873" s="1" t="str">
        <f>IF(OR(Table3[[#This Row],[weekday]]=0,Table3[[#This Row],[weekday]]=6),"Weekend","Weekday")</f>
        <v>Weekday</v>
      </c>
    </row>
    <row r="874" spans="1:14" ht="15" thickBot="1" x14ac:dyDescent="0.35">
      <c r="A874" s="51">
        <v>873</v>
      </c>
      <c r="B874" s="52">
        <v>40582</v>
      </c>
      <c r="C874" s="51">
        <v>19</v>
      </c>
      <c r="D874" s="53" t="b">
        <v>0</v>
      </c>
      <c r="E874" s="51">
        <f>_xlfn.XLOOKUP(A874,Table4[instant],Table4[weekday], ,0,1)</f>
        <v>2</v>
      </c>
      <c r="F874" s="51">
        <f>_xlfn.XLOOKUP(A874,Table4[instant],Table4[weathersit], ,0,1)</f>
        <v>1</v>
      </c>
      <c r="G874" s="42">
        <f>_xlfn.XLOOKUP(A874,Table4[instant],Table4[temp], ,0,1)</f>
        <v>0.16</v>
      </c>
      <c r="H874" s="54">
        <f>_xlfn.XLOOKUP(A874,Table4[instant],Table4[atemp], ,0,1)</f>
        <v>0.1212</v>
      </c>
      <c r="I874" s="42">
        <f>_xlfn.XLOOKUP(A874,Table4[instant],Table4[hum], ,0,1)</f>
        <v>0.4</v>
      </c>
      <c r="J874" s="42">
        <f>_xlfn.XLOOKUP(A874,Table4[instant],Table4[windspeed], ,0,1)</f>
        <v>0.4627</v>
      </c>
      <c r="K874" s="42">
        <f>_xlfn.XLOOKUP(A874,Table4[instant],Table4[casual], ,0,1)</f>
        <v>1</v>
      </c>
      <c r="L874" s="42">
        <f>_xlfn.XLOOKUP(A874,Table4[instant],Table4[registered], ,0,1)</f>
        <v>100</v>
      </c>
      <c r="M874" s="46">
        <f>_xlfn.XLOOKUP(A874,Table4[instant],Table4[cnt], ,0,1)</f>
        <v>101</v>
      </c>
      <c r="N874" s="42" t="str">
        <f>IF(OR(Table3[[#This Row],[weekday]]=0,Table3[[#This Row],[weekday]]=6),"Weekend","Weekday")</f>
        <v>Weekday</v>
      </c>
    </row>
    <row r="875" spans="1:14" ht="15" thickBot="1" x14ac:dyDescent="0.35">
      <c r="A875" s="48">
        <v>874</v>
      </c>
      <c r="B875" s="49">
        <v>40582</v>
      </c>
      <c r="C875" s="48">
        <v>20</v>
      </c>
      <c r="D875" s="50" t="b">
        <v>0</v>
      </c>
      <c r="E875" s="51">
        <f>_xlfn.XLOOKUP(A875,Table4[instant],Table4[weekday], ,0,1)</f>
        <v>2</v>
      </c>
      <c r="F875" s="51">
        <f>_xlfn.XLOOKUP(A875,Table4[instant],Table4[weathersit], ,0,1)</f>
        <v>1</v>
      </c>
      <c r="G875" s="42">
        <f>_xlfn.XLOOKUP(A875,Table4[instant],Table4[temp], ,0,1)</f>
        <v>0.16</v>
      </c>
      <c r="H875" s="54">
        <f>_xlfn.XLOOKUP(A875,Table4[instant],Table4[atemp], ,0,1)</f>
        <v>0.13639999999999999</v>
      </c>
      <c r="I875" s="42">
        <f>_xlfn.XLOOKUP(A875,Table4[instant],Table4[hum], ,0,1)</f>
        <v>0.4</v>
      </c>
      <c r="J875" s="42">
        <f>_xlfn.XLOOKUP(A875,Table4[instant],Table4[windspeed], ,0,1)</f>
        <v>0.32840000000000003</v>
      </c>
      <c r="K875" s="42">
        <f>_xlfn.XLOOKUP(A875,Table4[instant],Table4[casual], ,0,1)</f>
        <v>3</v>
      </c>
      <c r="L875" s="42">
        <f>_xlfn.XLOOKUP(A875,Table4[instant],Table4[registered], ,0,1)</f>
        <v>53</v>
      </c>
      <c r="M875" s="46">
        <f>_xlfn.XLOOKUP(A875,Table4[instant],Table4[cnt], ,0,1)</f>
        <v>56</v>
      </c>
      <c r="N875" s="1" t="str">
        <f>IF(OR(Table3[[#This Row],[weekday]]=0,Table3[[#This Row],[weekday]]=6),"Weekend","Weekday")</f>
        <v>Weekday</v>
      </c>
    </row>
    <row r="876" spans="1:14" ht="15" thickBot="1" x14ac:dyDescent="0.35">
      <c r="A876" s="51">
        <v>875</v>
      </c>
      <c r="B876" s="52">
        <v>40582</v>
      </c>
      <c r="C876" s="51">
        <v>21</v>
      </c>
      <c r="D876" s="53" t="b">
        <v>0</v>
      </c>
      <c r="E876" s="51">
        <f>_xlfn.XLOOKUP(A876,Table4[instant],Table4[weekday], ,0,1)</f>
        <v>2</v>
      </c>
      <c r="F876" s="51">
        <f>_xlfn.XLOOKUP(A876,Table4[instant],Table4[weathersit], ,0,1)</f>
        <v>1</v>
      </c>
      <c r="G876" s="42">
        <f>_xlfn.XLOOKUP(A876,Table4[instant],Table4[temp], ,0,1)</f>
        <v>0.14000000000000001</v>
      </c>
      <c r="H876" s="54">
        <f>_xlfn.XLOOKUP(A876,Table4[instant],Table4[atemp], ,0,1)</f>
        <v>0.1061</v>
      </c>
      <c r="I876" s="42">
        <f>_xlfn.XLOOKUP(A876,Table4[instant],Table4[hum], ,0,1)</f>
        <v>0.33</v>
      </c>
      <c r="J876" s="42">
        <f>_xlfn.XLOOKUP(A876,Table4[instant],Table4[windspeed], ,0,1)</f>
        <v>0.4627</v>
      </c>
      <c r="K876" s="42">
        <f>_xlfn.XLOOKUP(A876,Table4[instant],Table4[casual], ,0,1)</f>
        <v>8</v>
      </c>
      <c r="L876" s="42">
        <f>_xlfn.XLOOKUP(A876,Table4[instant],Table4[registered], ,0,1)</f>
        <v>46</v>
      </c>
      <c r="M876" s="46">
        <f>_xlfn.XLOOKUP(A876,Table4[instant],Table4[cnt], ,0,1)</f>
        <v>54</v>
      </c>
      <c r="N876" s="42" t="str">
        <f>IF(OR(Table3[[#This Row],[weekday]]=0,Table3[[#This Row],[weekday]]=6),"Weekend","Weekday")</f>
        <v>Weekday</v>
      </c>
    </row>
    <row r="877" spans="1:14" ht="15" thickBot="1" x14ac:dyDescent="0.35">
      <c r="A877" s="48">
        <v>876</v>
      </c>
      <c r="B877" s="49">
        <v>40582</v>
      </c>
      <c r="C877" s="48">
        <v>22</v>
      </c>
      <c r="D877" s="50" t="b">
        <v>0</v>
      </c>
      <c r="E877" s="51">
        <f>_xlfn.XLOOKUP(A877,Table4[instant],Table4[weekday], ,0,1)</f>
        <v>2</v>
      </c>
      <c r="F877" s="51">
        <f>_xlfn.XLOOKUP(A877,Table4[instant],Table4[weathersit], ,0,1)</f>
        <v>1</v>
      </c>
      <c r="G877" s="42">
        <f>_xlfn.XLOOKUP(A877,Table4[instant],Table4[temp], ,0,1)</f>
        <v>0.12</v>
      </c>
      <c r="H877" s="54">
        <f>_xlfn.XLOOKUP(A877,Table4[instant],Table4[atemp], ,0,1)</f>
        <v>0.1061</v>
      </c>
      <c r="I877" s="42">
        <f>_xlfn.XLOOKUP(A877,Table4[instant],Table4[hum], ,0,1)</f>
        <v>0.33</v>
      </c>
      <c r="J877" s="42">
        <f>_xlfn.XLOOKUP(A877,Table4[instant],Table4[windspeed], ,0,1)</f>
        <v>0.35820000000000002</v>
      </c>
      <c r="K877" s="42">
        <f>_xlfn.XLOOKUP(A877,Table4[instant],Table4[casual], ,0,1)</f>
        <v>0</v>
      </c>
      <c r="L877" s="42">
        <f>_xlfn.XLOOKUP(A877,Table4[instant],Table4[registered], ,0,1)</f>
        <v>29</v>
      </c>
      <c r="M877" s="46">
        <f>_xlfn.XLOOKUP(A877,Table4[instant],Table4[cnt], ,0,1)</f>
        <v>29</v>
      </c>
      <c r="N877" s="1" t="str">
        <f>IF(OR(Table3[[#This Row],[weekday]]=0,Table3[[#This Row],[weekday]]=6),"Weekend","Weekday")</f>
        <v>Weekday</v>
      </c>
    </row>
    <row r="878" spans="1:14" ht="15" thickBot="1" x14ac:dyDescent="0.35">
      <c r="A878" s="51">
        <v>877</v>
      </c>
      <c r="B878" s="52">
        <v>40582</v>
      </c>
      <c r="C878" s="51">
        <v>23</v>
      </c>
      <c r="D878" s="53" t="b">
        <v>0</v>
      </c>
      <c r="E878" s="51">
        <f>_xlfn.XLOOKUP(A878,Table4[instant],Table4[weekday], ,0,1)</f>
        <v>2</v>
      </c>
      <c r="F878" s="51">
        <f>_xlfn.XLOOKUP(A878,Table4[instant],Table4[weathersit], ,0,1)</f>
        <v>1</v>
      </c>
      <c r="G878" s="42">
        <f>_xlfn.XLOOKUP(A878,Table4[instant],Table4[temp], ,0,1)</f>
        <v>0.12</v>
      </c>
      <c r="H878" s="54">
        <f>_xlfn.XLOOKUP(A878,Table4[instant],Table4[atemp], ,0,1)</f>
        <v>0.1061</v>
      </c>
      <c r="I878" s="42">
        <f>_xlfn.XLOOKUP(A878,Table4[instant],Table4[hum], ,0,1)</f>
        <v>0.33</v>
      </c>
      <c r="J878" s="42">
        <f>_xlfn.XLOOKUP(A878,Table4[instant],Table4[windspeed], ,0,1)</f>
        <v>0.32840000000000003</v>
      </c>
      <c r="K878" s="42">
        <f>_xlfn.XLOOKUP(A878,Table4[instant],Table4[casual], ,0,1)</f>
        <v>3</v>
      </c>
      <c r="L878" s="42">
        <f>_xlfn.XLOOKUP(A878,Table4[instant],Table4[registered], ,0,1)</f>
        <v>9</v>
      </c>
      <c r="M878" s="46">
        <f>_xlfn.XLOOKUP(A878,Table4[instant],Table4[cnt], ,0,1)</f>
        <v>12</v>
      </c>
      <c r="N878" s="42" t="str">
        <f>IF(OR(Table3[[#This Row],[weekday]]=0,Table3[[#This Row],[weekday]]=6),"Weekend","Weekday")</f>
        <v>Weekday</v>
      </c>
    </row>
    <row r="879" spans="1:14" ht="15" thickBot="1" x14ac:dyDescent="0.35">
      <c r="A879" s="48">
        <v>878</v>
      </c>
      <c r="B879" s="49">
        <v>40583</v>
      </c>
      <c r="C879" s="48">
        <v>0</v>
      </c>
      <c r="D879" s="50" t="b">
        <v>0</v>
      </c>
      <c r="E879" s="51">
        <f>_xlfn.XLOOKUP(A879,Table4[instant],Table4[weekday], ,0,1)</f>
        <v>3</v>
      </c>
      <c r="F879" s="51">
        <f>_xlfn.XLOOKUP(A879,Table4[instant],Table4[weathersit], ,0,1)</f>
        <v>1</v>
      </c>
      <c r="G879" s="42">
        <f>_xlfn.XLOOKUP(A879,Table4[instant],Table4[temp], ,0,1)</f>
        <v>0.1</v>
      </c>
      <c r="H879" s="54">
        <f>_xlfn.XLOOKUP(A879,Table4[instant],Table4[atemp], ,0,1)</f>
        <v>7.5800000000000006E-2</v>
      </c>
      <c r="I879" s="42">
        <f>_xlfn.XLOOKUP(A879,Table4[instant],Table4[hum], ,0,1)</f>
        <v>0.36</v>
      </c>
      <c r="J879" s="42">
        <f>_xlfn.XLOOKUP(A879,Table4[instant],Table4[windspeed], ,0,1)</f>
        <v>0.35820000000000002</v>
      </c>
      <c r="K879" s="42">
        <f>_xlfn.XLOOKUP(A879,Table4[instant],Table4[casual], ,0,1)</f>
        <v>0</v>
      </c>
      <c r="L879" s="42">
        <f>_xlfn.XLOOKUP(A879,Table4[instant],Table4[registered], ,0,1)</f>
        <v>17</v>
      </c>
      <c r="M879" s="46">
        <f>_xlfn.XLOOKUP(A879,Table4[instant],Table4[cnt], ,0,1)</f>
        <v>17</v>
      </c>
      <c r="N879" s="1" t="str">
        <f>IF(OR(Table3[[#This Row],[weekday]]=0,Table3[[#This Row],[weekday]]=6),"Weekend","Weekday")</f>
        <v>Weekday</v>
      </c>
    </row>
    <row r="880" spans="1:14" ht="15" thickBot="1" x14ac:dyDescent="0.35">
      <c r="A880" s="51">
        <v>879</v>
      </c>
      <c r="B880" s="52">
        <v>40583</v>
      </c>
      <c r="C880" s="51">
        <v>1</v>
      </c>
      <c r="D880" s="53" t="b">
        <v>0</v>
      </c>
      <c r="E880" s="51">
        <f>_xlfn.XLOOKUP(A880,Table4[instant],Table4[weekday], ,0,1)</f>
        <v>3</v>
      </c>
      <c r="F880" s="51">
        <f>_xlfn.XLOOKUP(A880,Table4[instant],Table4[weathersit], ,0,1)</f>
        <v>1</v>
      </c>
      <c r="G880" s="42">
        <f>_xlfn.XLOOKUP(A880,Table4[instant],Table4[temp], ,0,1)</f>
        <v>0.1</v>
      </c>
      <c r="H880" s="54">
        <f>_xlfn.XLOOKUP(A880,Table4[instant],Table4[atemp], ,0,1)</f>
        <v>0.1061</v>
      </c>
      <c r="I880" s="42">
        <f>_xlfn.XLOOKUP(A880,Table4[instant],Table4[hum], ,0,1)</f>
        <v>0.36</v>
      </c>
      <c r="J880" s="42">
        <f>_xlfn.XLOOKUP(A880,Table4[instant],Table4[windspeed], ,0,1)</f>
        <v>0.22389999999999999</v>
      </c>
      <c r="K880" s="42">
        <f>_xlfn.XLOOKUP(A880,Table4[instant],Table4[casual], ,0,1)</f>
        <v>0</v>
      </c>
      <c r="L880" s="42">
        <f>_xlfn.XLOOKUP(A880,Table4[instant],Table4[registered], ,0,1)</f>
        <v>7</v>
      </c>
      <c r="M880" s="46">
        <f>_xlfn.XLOOKUP(A880,Table4[instant],Table4[cnt], ,0,1)</f>
        <v>7</v>
      </c>
      <c r="N880" s="42" t="str">
        <f>IF(OR(Table3[[#This Row],[weekday]]=0,Table3[[#This Row],[weekday]]=6),"Weekend","Weekday")</f>
        <v>Weekday</v>
      </c>
    </row>
    <row r="881" spans="1:14" ht="15" thickBot="1" x14ac:dyDescent="0.35">
      <c r="A881" s="48">
        <v>880</v>
      </c>
      <c r="B881" s="49">
        <v>40583</v>
      </c>
      <c r="C881" s="48">
        <v>2</v>
      </c>
      <c r="D881" s="50" t="b">
        <v>0</v>
      </c>
      <c r="E881" s="51">
        <f>_xlfn.XLOOKUP(A881,Table4[instant],Table4[weekday], ,0,1)</f>
        <v>3</v>
      </c>
      <c r="F881" s="51">
        <f>_xlfn.XLOOKUP(A881,Table4[instant],Table4[weathersit], ,0,1)</f>
        <v>1</v>
      </c>
      <c r="G881" s="42">
        <f>_xlfn.XLOOKUP(A881,Table4[instant],Table4[temp], ,0,1)</f>
        <v>0.08</v>
      </c>
      <c r="H881" s="54">
        <f>_xlfn.XLOOKUP(A881,Table4[instant],Table4[atemp], ,0,1)</f>
        <v>7.5800000000000006E-2</v>
      </c>
      <c r="I881" s="42">
        <f>_xlfn.XLOOKUP(A881,Table4[instant],Table4[hum], ,0,1)</f>
        <v>0.38</v>
      </c>
      <c r="J881" s="42">
        <f>_xlfn.XLOOKUP(A881,Table4[instant],Table4[windspeed], ,0,1)</f>
        <v>0.28360000000000002</v>
      </c>
      <c r="K881" s="42">
        <f>_xlfn.XLOOKUP(A881,Table4[instant],Table4[casual], ,0,1)</f>
        <v>1</v>
      </c>
      <c r="L881" s="42">
        <f>_xlfn.XLOOKUP(A881,Table4[instant],Table4[registered], ,0,1)</f>
        <v>2</v>
      </c>
      <c r="M881" s="46">
        <f>_xlfn.XLOOKUP(A881,Table4[instant],Table4[cnt], ,0,1)</f>
        <v>3</v>
      </c>
      <c r="N881" s="1" t="str">
        <f>IF(OR(Table3[[#This Row],[weekday]]=0,Table3[[#This Row],[weekday]]=6),"Weekend","Weekday")</f>
        <v>Weekday</v>
      </c>
    </row>
    <row r="882" spans="1:14" ht="15" thickBot="1" x14ac:dyDescent="0.35">
      <c r="A882" s="51">
        <v>881</v>
      </c>
      <c r="B882" s="52">
        <v>40583</v>
      </c>
      <c r="C882" s="51">
        <v>3</v>
      </c>
      <c r="D882" s="53" t="b">
        <v>0</v>
      </c>
      <c r="E882" s="51">
        <f>_xlfn.XLOOKUP(A882,Table4[instant],Table4[weekday], ,0,1)</f>
        <v>3</v>
      </c>
      <c r="F882" s="51">
        <f>_xlfn.XLOOKUP(A882,Table4[instant],Table4[weathersit], ,0,1)</f>
        <v>1</v>
      </c>
      <c r="G882" s="42">
        <f>_xlfn.XLOOKUP(A882,Table4[instant],Table4[temp], ,0,1)</f>
        <v>0.06</v>
      </c>
      <c r="H882" s="54">
        <f>_xlfn.XLOOKUP(A882,Table4[instant],Table4[atemp], ,0,1)</f>
        <v>7.5800000000000006E-2</v>
      </c>
      <c r="I882" s="42">
        <f>_xlfn.XLOOKUP(A882,Table4[instant],Table4[hum], ,0,1)</f>
        <v>0.45</v>
      </c>
      <c r="J882" s="42">
        <f>_xlfn.XLOOKUP(A882,Table4[instant],Table4[windspeed], ,0,1)</f>
        <v>0.1343</v>
      </c>
      <c r="K882" s="42">
        <f>_xlfn.XLOOKUP(A882,Table4[instant],Table4[casual], ,0,1)</f>
        <v>0</v>
      </c>
      <c r="L882" s="42">
        <f>_xlfn.XLOOKUP(A882,Table4[instant],Table4[registered], ,0,1)</f>
        <v>2</v>
      </c>
      <c r="M882" s="46">
        <f>_xlfn.XLOOKUP(A882,Table4[instant],Table4[cnt], ,0,1)</f>
        <v>2</v>
      </c>
      <c r="N882" s="42" t="str">
        <f>IF(OR(Table3[[#This Row],[weekday]]=0,Table3[[#This Row],[weekday]]=6),"Weekend","Weekday")</f>
        <v>Weekday</v>
      </c>
    </row>
    <row r="883" spans="1:14" ht="15" thickBot="1" x14ac:dyDescent="0.35">
      <c r="A883" s="48">
        <v>882</v>
      </c>
      <c r="B883" s="49">
        <v>40583</v>
      </c>
      <c r="C883" s="48">
        <v>5</v>
      </c>
      <c r="D883" s="50" t="b">
        <v>0</v>
      </c>
      <c r="E883" s="51">
        <f>_xlfn.XLOOKUP(A883,Table4[instant],Table4[weekday], ,0,1)</f>
        <v>3</v>
      </c>
      <c r="F883" s="51">
        <f>_xlfn.XLOOKUP(A883,Table4[instant],Table4[weathersit], ,0,1)</f>
        <v>1</v>
      </c>
      <c r="G883" s="42">
        <f>_xlfn.XLOOKUP(A883,Table4[instant],Table4[temp], ,0,1)</f>
        <v>0.06</v>
      </c>
      <c r="H883" s="54">
        <f>_xlfn.XLOOKUP(A883,Table4[instant],Table4[atemp], ,0,1)</f>
        <v>0.1061</v>
      </c>
      <c r="I883" s="42">
        <f>_xlfn.XLOOKUP(A883,Table4[instant],Table4[hum], ,0,1)</f>
        <v>0.45</v>
      </c>
      <c r="J883" s="42">
        <f>_xlfn.XLOOKUP(A883,Table4[instant],Table4[windspeed], ,0,1)</f>
        <v>0.1045</v>
      </c>
      <c r="K883" s="42">
        <f>_xlfn.XLOOKUP(A883,Table4[instant],Table4[casual], ,0,1)</f>
        <v>0</v>
      </c>
      <c r="L883" s="42">
        <f>_xlfn.XLOOKUP(A883,Table4[instant],Table4[registered], ,0,1)</f>
        <v>7</v>
      </c>
      <c r="M883" s="46">
        <f>_xlfn.XLOOKUP(A883,Table4[instant],Table4[cnt], ,0,1)</f>
        <v>7</v>
      </c>
      <c r="N883" s="1" t="str">
        <f>IF(OR(Table3[[#This Row],[weekday]]=0,Table3[[#This Row],[weekday]]=6),"Weekend","Weekday")</f>
        <v>Weekday</v>
      </c>
    </row>
    <row r="884" spans="1:14" ht="15" thickBot="1" x14ac:dyDescent="0.35">
      <c r="A884" s="51">
        <v>883</v>
      </c>
      <c r="B884" s="52">
        <v>40583</v>
      </c>
      <c r="C884" s="51">
        <v>6</v>
      </c>
      <c r="D884" s="53" t="b">
        <v>0</v>
      </c>
      <c r="E884" s="51">
        <f>_xlfn.XLOOKUP(A884,Table4[instant],Table4[weekday], ,0,1)</f>
        <v>3</v>
      </c>
      <c r="F884" s="51">
        <f>_xlfn.XLOOKUP(A884,Table4[instant],Table4[weathersit], ,0,1)</f>
        <v>1</v>
      </c>
      <c r="G884" s="42">
        <f>_xlfn.XLOOKUP(A884,Table4[instant],Table4[temp], ,0,1)</f>
        <v>0.06</v>
      </c>
      <c r="H884" s="54">
        <f>_xlfn.XLOOKUP(A884,Table4[instant],Table4[atemp], ,0,1)</f>
        <v>0.1515</v>
      </c>
      <c r="I884" s="42">
        <f>_xlfn.XLOOKUP(A884,Table4[instant],Table4[hum], ,0,1)</f>
        <v>0.45</v>
      </c>
      <c r="J884" s="42">
        <f>_xlfn.XLOOKUP(A884,Table4[instant],Table4[windspeed], ,0,1)</f>
        <v>0</v>
      </c>
      <c r="K884" s="42">
        <f>_xlfn.XLOOKUP(A884,Table4[instant],Table4[casual], ,0,1)</f>
        <v>0</v>
      </c>
      <c r="L884" s="42">
        <f>_xlfn.XLOOKUP(A884,Table4[instant],Table4[registered], ,0,1)</f>
        <v>43</v>
      </c>
      <c r="M884" s="46">
        <f>_xlfn.XLOOKUP(A884,Table4[instant],Table4[cnt], ,0,1)</f>
        <v>43</v>
      </c>
      <c r="N884" s="42" t="str">
        <f>IF(OR(Table3[[#This Row],[weekday]]=0,Table3[[#This Row],[weekday]]=6),"Weekend","Weekday")</f>
        <v>Weekday</v>
      </c>
    </row>
    <row r="885" spans="1:14" ht="15" thickBot="1" x14ac:dyDescent="0.35">
      <c r="A885" s="48">
        <v>884</v>
      </c>
      <c r="B885" s="49">
        <v>40583</v>
      </c>
      <c r="C885" s="48">
        <v>7</v>
      </c>
      <c r="D885" s="50" t="b">
        <v>0</v>
      </c>
      <c r="E885" s="51">
        <f>_xlfn.XLOOKUP(A885,Table4[instant],Table4[weekday], ,0,1)</f>
        <v>3</v>
      </c>
      <c r="F885" s="51">
        <f>_xlfn.XLOOKUP(A885,Table4[instant],Table4[weathersit], ,0,1)</f>
        <v>1</v>
      </c>
      <c r="G885" s="42">
        <f>_xlfn.XLOOKUP(A885,Table4[instant],Table4[temp], ,0,1)</f>
        <v>0.06</v>
      </c>
      <c r="H885" s="54">
        <f>_xlfn.XLOOKUP(A885,Table4[instant],Table4[atemp], ,0,1)</f>
        <v>0.1061</v>
      </c>
      <c r="I885" s="42">
        <f>_xlfn.XLOOKUP(A885,Table4[instant],Table4[hum], ,0,1)</f>
        <v>0.49</v>
      </c>
      <c r="J885" s="42">
        <f>_xlfn.XLOOKUP(A885,Table4[instant],Table4[windspeed], ,0,1)</f>
        <v>0.1045</v>
      </c>
      <c r="K885" s="42">
        <f>_xlfn.XLOOKUP(A885,Table4[instant],Table4[casual], ,0,1)</f>
        <v>4</v>
      </c>
      <c r="L885" s="42">
        <f>_xlfn.XLOOKUP(A885,Table4[instant],Table4[registered], ,0,1)</f>
        <v>95</v>
      </c>
      <c r="M885" s="46">
        <f>_xlfn.XLOOKUP(A885,Table4[instant],Table4[cnt], ,0,1)</f>
        <v>99</v>
      </c>
      <c r="N885" s="1" t="str">
        <f>IF(OR(Table3[[#This Row],[weekday]]=0,Table3[[#This Row],[weekday]]=6),"Weekend","Weekday")</f>
        <v>Weekday</v>
      </c>
    </row>
    <row r="886" spans="1:14" ht="15" thickBot="1" x14ac:dyDescent="0.35">
      <c r="A886" s="51">
        <v>885</v>
      </c>
      <c r="B886" s="52">
        <v>40583</v>
      </c>
      <c r="C886" s="51">
        <v>8</v>
      </c>
      <c r="D886" s="53" t="b">
        <v>0</v>
      </c>
      <c r="E886" s="51">
        <f>_xlfn.XLOOKUP(A886,Table4[instant],Table4[weekday], ,0,1)</f>
        <v>3</v>
      </c>
      <c r="F886" s="51">
        <f>_xlfn.XLOOKUP(A886,Table4[instant],Table4[weathersit], ,0,1)</f>
        <v>1</v>
      </c>
      <c r="G886" s="42">
        <f>_xlfn.XLOOKUP(A886,Table4[instant],Table4[temp], ,0,1)</f>
        <v>0.1</v>
      </c>
      <c r="H886" s="54">
        <f>_xlfn.XLOOKUP(A886,Table4[instant],Table4[atemp], ,0,1)</f>
        <v>0.13639999999999999</v>
      </c>
      <c r="I886" s="42">
        <f>_xlfn.XLOOKUP(A886,Table4[instant],Table4[hum], ,0,1)</f>
        <v>0.42</v>
      </c>
      <c r="J886" s="42">
        <f>_xlfn.XLOOKUP(A886,Table4[instant],Table4[windspeed], ,0,1)</f>
        <v>0</v>
      </c>
      <c r="K886" s="42">
        <f>_xlfn.XLOOKUP(A886,Table4[instant],Table4[casual], ,0,1)</f>
        <v>1</v>
      </c>
      <c r="L886" s="42">
        <f>_xlfn.XLOOKUP(A886,Table4[instant],Table4[registered], ,0,1)</f>
        <v>198</v>
      </c>
      <c r="M886" s="46">
        <f>_xlfn.XLOOKUP(A886,Table4[instant],Table4[cnt], ,0,1)</f>
        <v>199</v>
      </c>
      <c r="N886" s="42" t="str">
        <f>IF(OR(Table3[[#This Row],[weekday]]=0,Table3[[#This Row],[weekday]]=6),"Weekend","Weekday")</f>
        <v>Weekday</v>
      </c>
    </row>
    <row r="887" spans="1:14" ht="15" thickBot="1" x14ac:dyDescent="0.35">
      <c r="A887" s="48">
        <v>886</v>
      </c>
      <c r="B887" s="49">
        <v>40583</v>
      </c>
      <c r="C887" s="48">
        <v>9</v>
      </c>
      <c r="D887" s="50" t="b">
        <v>0</v>
      </c>
      <c r="E887" s="51">
        <f>_xlfn.XLOOKUP(A887,Table4[instant],Table4[weekday], ,0,1)</f>
        <v>3</v>
      </c>
      <c r="F887" s="51">
        <f>_xlfn.XLOOKUP(A887,Table4[instant],Table4[weathersit], ,0,1)</f>
        <v>1</v>
      </c>
      <c r="G887" s="42">
        <f>_xlfn.XLOOKUP(A887,Table4[instant],Table4[temp], ,0,1)</f>
        <v>0.12</v>
      </c>
      <c r="H887" s="54">
        <f>_xlfn.XLOOKUP(A887,Table4[instant],Table4[atemp], ,0,1)</f>
        <v>0.13639999999999999</v>
      </c>
      <c r="I887" s="42">
        <f>_xlfn.XLOOKUP(A887,Table4[instant],Table4[hum], ,0,1)</f>
        <v>0.39</v>
      </c>
      <c r="J887" s="42">
        <f>_xlfn.XLOOKUP(A887,Table4[instant],Table4[windspeed], ,0,1)</f>
        <v>0.16420000000000001</v>
      </c>
      <c r="K887" s="42">
        <f>_xlfn.XLOOKUP(A887,Table4[instant],Table4[casual], ,0,1)</f>
        <v>4</v>
      </c>
      <c r="L887" s="42">
        <f>_xlfn.XLOOKUP(A887,Table4[instant],Table4[registered], ,0,1)</f>
        <v>119</v>
      </c>
      <c r="M887" s="46">
        <f>_xlfn.XLOOKUP(A887,Table4[instant],Table4[cnt], ,0,1)</f>
        <v>123</v>
      </c>
      <c r="N887" s="1" t="str">
        <f>IF(OR(Table3[[#This Row],[weekday]]=0,Table3[[#This Row],[weekday]]=6),"Weekend","Weekday")</f>
        <v>Weekday</v>
      </c>
    </row>
    <row r="888" spans="1:14" ht="15" thickBot="1" x14ac:dyDescent="0.35">
      <c r="A888" s="51">
        <v>887</v>
      </c>
      <c r="B888" s="52">
        <v>40583</v>
      </c>
      <c r="C888" s="51">
        <v>10</v>
      </c>
      <c r="D888" s="53" t="b">
        <v>0</v>
      </c>
      <c r="E888" s="51">
        <f>_xlfn.XLOOKUP(A888,Table4[instant],Table4[weekday], ,0,1)</f>
        <v>3</v>
      </c>
      <c r="F888" s="51">
        <f>_xlfn.XLOOKUP(A888,Table4[instant],Table4[weathersit], ,0,1)</f>
        <v>1</v>
      </c>
      <c r="G888" s="42">
        <f>_xlfn.XLOOKUP(A888,Table4[instant],Table4[temp], ,0,1)</f>
        <v>0.14000000000000001</v>
      </c>
      <c r="H888" s="54">
        <f>_xlfn.XLOOKUP(A888,Table4[instant],Table4[atemp], ,0,1)</f>
        <v>0.18179999999999999</v>
      </c>
      <c r="I888" s="42">
        <f>_xlfn.XLOOKUP(A888,Table4[instant],Table4[hum], ,0,1)</f>
        <v>0.36</v>
      </c>
      <c r="J888" s="42">
        <f>_xlfn.XLOOKUP(A888,Table4[instant],Table4[windspeed], ,0,1)</f>
        <v>0</v>
      </c>
      <c r="K888" s="42">
        <f>_xlfn.XLOOKUP(A888,Table4[instant],Table4[casual], ,0,1)</f>
        <v>8</v>
      </c>
      <c r="L888" s="42">
        <f>_xlfn.XLOOKUP(A888,Table4[instant],Table4[registered], ,0,1)</f>
        <v>51</v>
      </c>
      <c r="M888" s="46">
        <f>_xlfn.XLOOKUP(A888,Table4[instant],Table4[cnt], ,0,1)</f>
        <v>59</v>
      </c>
      <c r="N888" s="42" t="str">
        <f>IF(OR(Table3[[#This Row],[weekday]]=0,Table3[[#This Row],[weekday]]=6),"Weekend","Weekday")</f>
        <v>Weekday</v>
      </c>
    </row>
    <row r="889" spans="1:14" ht="15" thickBot="1" x14ac:dyDescent="0.35">
      <c r="A889" s="48">
        <v>888</v>
      </c>
      <c r="B889" s="49">
        <v>40583</v>
      </c>
      <c r="C889" s="48">
        <v>11</v>
      </c>
      <c r="D889" s="50" t="b">
        <v>0</v>
      </c>
      <c r="E889" s="51">
        <f>_xlfn.XLOOKUP(A889,Table4[instant],Table4[weekday], ,0,1)</f>
        <v>3</v>
      </c>
      <c r="F889" s="51">
        <f>_xlfn.XLOOKUP(A889,Table4[instant],Table4[weathersit], ,0,1)</f>
        <v>2</v>
      </c>
      <c r="G889" s="42">
        <f>_xlfn.XLOOKUP(A889,Table4[instant],Table4[temp], ,0,1)</f>
        <v>0.14000000000000001</v>
      </c>
      <c r="H889" s="54">
        <f>_xlfn.XLOOKUP(A889,Table4[instant],Table4[atemp], ,0,1)</f>
        <v>0.1515</v>
      </c>
      <c r="I889" s="42">
        <f>_xlfn.XLOOKUP(A889,Table4[instant],Table4[hum], ,0,1)</f>
        <v>0.43</v>
      </c>
      <c r="J889" s="42">
        <f>_xlfn.XLOOKUP(A889,Table4[instant],Table4[windspeed], ,0,1)</f>
        <v>0.16420000000000001</v>
      </c>
      <c r="K889" s="42">
        <f>_xlfn.XLOOKUP(A889,Table4[instant],Table4[casual], ,0,1)</f>
        <v>1</v>
      </c>
      <c r="L889" s="42">
        <f>_xlfn.XLOOKUP(A889,Table4[instant],Table4[registered], ,0,1)</f>
        <v>40</v>
      </c>
      <c r="M889" s="46">
        <f>_xlfn.XLOOKUP(A889,Table4[instant],Table4[cnt], ,0,1)</f>
        <v>41</v>
      </c>
      <c r="N889" s="1" t="str">
        <f>IF(OR(Table3[[#This Row],[weekday]]=0,Table3[[#This Row],[weekday]]=6),"Weekend","Weekday")</f>
        <v>Weekday</v>
      </c>
    </row>
    <row r="890" spans="1:14" ht="15" thickBot="1" x14ac:dyDescent="0.35">
      <c r="A890" s="51">
        <v>889</v>
      </c>
      <c r="B890" s="52">
        <v>40583</v>
      </c>
      <c r="C890" s="51">
        <v>12</v>
      </c>
      <c r="D890" s="53" t="b">
        <v>0</v>
      </c>
      <c r="E890" s="51">
        <f>_xlfn.XLOOKUP(A890,Table4[instant],Table4[weekday], ,0,1)</f>
        <v>3</v>
      </c>
      <c r="F890" s="51">
        <f>_xlfn.XLOOKUP(A890,Table4[instant],Table4[weathersit], ,0,1)</f>
        <v>2</v>
      </c>
      <c r="G890" s="42">
        <f>_xlfn.XLOOKUP(A890,Table4[instant],Table4[temp], ,0,1)</f>
        <v>0.18</v>
      </c>
      <c r="H890" s="54">
        <f>_xlfn.XLOOKUP(A890,Table4[instant],Table4[atemp], ,0,1)</f>
        <v>0.18179999999999999</v>
      </c>
      <c r="I890" s="42">
        <f>_xlfn.XLOOKUP(A890,Table4[instant],Table4[hum], ,0,1)</f>
        <v>0.4</v>
      </c>
      <c r="J890" s="42">
        <f>_xlfn.XLOOKUP(A890,Table4[instant],Table4[windspeed], ,0,1)</f>
        <v>0.22389999999999999</v>
      </c>
      <c r="K890" s="42">
        <f>_xlfn.XLOOKUP(A890,Table4[instant],Table4[casual], ,0,1)</f>
        <v>4</v>
      </c>
      <c r="L890" s="42">
        <f>_xlfn.XLOOKUP(A890,Table4[instant],Table4[registered], ,0,1)</f>
        <v>57</v>
      </c>
      <c r="M890" s="46">
        <f>_xlfn.XLOOKUP(A890,Table4[instant],Table4[cnt], ,0,1)</f>
        <v>61</v>
      </c>
      <c r="N890" s="42" t="str">
        <f>IF(OR(Table3[[#This Row],[weekday]]=0,Table3[[#This Row],[weekday]]=6),"Weekend","Weekday")</f>
        <v>Weekday</v>
      </c>
    </row>
    <row r="891" spans="1:14" ht="15" thickBot="1" x14ac:dyDescent="0.35">
      <c r="A891" s="48">
        <v>890</v>
      </c>
      <c r="B891" s="49">
        <v>40583</v>
      </c>
      <c r="C891" s="48">
        <v>13</v>
      </c>
      <c r="D891" s="50" t="b">
        <v>0</v>
      </c>
      <c r="E891" s="51">
        <f>_xlfn.XLOOKUP(A891,Table4[instant],Table4[weekday], ,0,1)</f>
        <v>3</v>
      </c>
      <c r="F891" s="51">
        <f>_xlfn.XLOOKUP(A891,Table4[instant],Table4[weathersit], ,0,1)</f>
        <v>1</v>
      </c>
      <c r="G891" s="42">
        <f>_xlfn.XLOOKUP(A891,Table4[instant],Table4[temp], ,0,1)</f>
        <v>0.18</v>
      </c>
      <c r="H891" s="54">
        <f>_xlfn.XLOOKUP(A891,Table4[instant],Table4[atemp], ,0,1)</f>
        <v>0.16669999999999999</v>
      </c>
      <c r="I891" s="42">
        <f>_xlfn.XLOOKUP(A891,Table4[instant],Table4[hum], ,0,1)</f>
        <v>0.4</v>
      </c>
      <c r="J891" s="42">
        <f>_xlfn.XLOOKUP(A891,Table4[instant],Table4[windspeed], ,0,1)</f>
        <v>0.25369999999999998</v>
      </c>
      <c r="K891" s="42">
        <f>_xlfn.XLOOKUP(A891,Table4[instant],Table4[casual], ,0,1)</f>
        <v>2</v>
      </c>
      <c r="L891" s="42">
        <f>_xlfn.XLOOKUP(A891,Table4[instant],Table4[registered], ,0,1)</f>
        <v>67</v>
      </c>
      <c r="M891" s="46">
        <f>_xlfn.XLOOKUP(A891,Table4[instant],Table4[cnt], ,0,1)</f>
        <v>69</v>
      </c>
      <c r="N891" s="1" t="str">
        <f>IF(OR(Table3[[#This Row],[weekday]]=0,Table3[[#This Row],[weekday]]=6),"Weekend","Weekday")</f>
        <v>Weekday</v>
      </c>
    </row>
    <row r="892" spans="1:14" ht="15" thickBot="1" x14ac:dyDescent="0.35">
      <c r="A892" s="51">
        <v>891</v>
      </c>
      <c r="B892" s="52">
        <v>40583</v>
      </c>
      <c r="C892" s="51">
        <v>14</v>
      </c>
      <c r="D892" s="53" t="b">
        <v>0</v>
      </c>
      <c r="E892" s="51">
        <f>_xlfn.XLOOKUP(A892,Table4[instant],Table4[weekday], ,0,1)</f>
        <v>3</v>
      </c>
      <c r="F892" s="51">
        <f>_xlfn.XLOOKUP(A892,Table4[instant],Table4[weathersit], ,0,1)</f>
        <v>1</v>
      </c>
      <c r="G892" s="42">
        <f>_xlfn.XLOOKUP(A892,Table4[instant],Table4[temp], ,0,1)</f>
        <v>0.2</v>
      </c>
      <c r="H892" s="54">
        <f>_xlfn.XLOOKUP(A892,Table4[instant],Table4[atemp], ,0,1)</f>
        <v>0.18179999999999999</v>
      </c>
      <c r="I892" s="42">
        <f>_xlfn.XLOOKUP(A892,Table4[instant],Table4[hum], ,0,1)</f>
        <v>0.34</v>
      </c>
      <c r="J892" s="42">
        <f>_xlfn.XLOOKUP(A892,Table4[instant],Table4[windspeed], ,0,1)</f>
        <v>0.29849999999999999</v>
      </c>
      <c r="K892" s="42">
        <f>_xlfn.XLOOKUP(A892,Table4[instant],Table4[casual], ,0,1)</f>
        <v>2</v>
      </c>
      <c r="L892" s="42">
        <f>_xlfn.XLOOKUP(A892,Table4[instant],Table4[registered], ,0,1)</f>
        <v>56</v>
      </c>
      <c r="M892" s="46">
        <f>_xlfn.XLOOKUP(A892,Table4[instant],Table4[cnt], ,0,1)</f>
        <v>58</v>
      </c>
      <c r="N892" s="42" t="str">
        <f>IF(OR(Table3[[#This Row],[weekday]]=0,Table3[[#This Row],[weekday]]=6),"Weekend","Weekday")</f>
        <v>Weekday</v>
      </c>
    </row>
    <row r="893" spans="1:14" ht="15" thickBot="1" x14ac:dyDescent="0.35">
      <c r="A893" s="48">
        <v>892</v>
      </c>
      <c r="B893" s="49">
        <v>40583</v>
      </c>
      <c r="C893" s="48">
        <v>15</v>
      </c>
      <c r="D893" s="50" t="b">
        <v>0</v>
      </c>
      <c r="E893" s="51">
        <f>_xlfn.XLOOKUP(A893,Table4[instant],Table4[weekday], ,0,1)</f>
        <v>3</v>
      </c>
      <c r="F893" s="51">
        <f>_xlfn.XLOOKUP(A893,Table4[instant],Table4[weathersit], ,0,1)</f>
        <v>2</v>
      </c>
      <c r="G893" s="42">
        <f>_xlfn.XLOOKUP(A893,Table4[instant],Table4[temp], ,0,1)</f>
        <v>0.2</v>
      </c>
      <c r="H893" s="54">
        <f>_xlfn.XLOOKUP(A893,Table4[instant],Table4[atemp], ,0,1)</f>
        <v>0.18179999999999999</v>
      </c>
      <c r="I893" s="42">
        <f>_xlfn.XLOOKUP(A893,Table4[instant],Table4[hum], ,0,1)</f>
        <v>0.34</v>
      </c>
      <c r="J893" s="42">
        <f>_xlfn.XLOOKUP(A893,Table4[instant],Table4[windspeed], ,0,1)</f>
        <v>0.28360000000000002</v>
      </c>
      <c r="K893" s="42">
        <f>_xlfn.XLOOKUP(A893,Table4[instant],Table4[casual], ,0,1)</f>
        <v>3</v>
      </c>
      <c r="L893" s="42">
        <f>_xlfn.XLOOKUP(A893,Table4[instant],Table4[registered], ,0,1)</f>
        <v>61</v>
      </c>
      <c r="M893" s="46">
        <f>_xlfn.XLOOKUP(A893,Table4[instant],Table4[cnt], ,0,1)</f>
        <v>64</v>
      </c>
      <c r="N893" s="1" t="str">
        <f>IF(OR(Table3[[#This Row],[weekday]]=0,Table3[[#This Row],[weekday]]=6),"Weekend","Weekday")</f>
        <v>Weekday</v>
      </c>
    </row>
    <row r="894" spans="1:14" ht="15" thickBot="1" x14ac:dyDescent="0.35">
      <c r="A894" s="51">
        <v>893</v>
      </c>
      <c r="B894" s="52">
        <v>40583</v>
      </c>
      <c r="C894" s="51">
        <v>16</v>
      </c>
      <c r="D894" s="53" t="b">
        <v>0</v>
      </c>
      <c r="E894" s="51">
        <f>_xlfn.XLOOKUP(A894,Table4[instant],Table4[weekday], ,0,1)</f>
        <v>3</v>
      </c>
      <c r="F894" s="51">
        <f>_xlfn.XLOOKUP(A894,Table4[instant],Table4[weathersit], ,0,1)</f>
        <v>2</v>
      </c>
      <c r="G894" s="42">
        <f>_xlfn.XLOOKUP(A894,Table4[instant],Table4[temp], ,0,1)</f>
        <v>0.2</v>
      </c>
      <c r="H894" s="54">
        <f>_xlfn.XLOOKUP(A894,Table4[instant],Table4[atemp], ,0,1)</f>
        <v>0.19700000000000001</v>
      </c>
      <c r="I894" s="42">
        <f>_xlfn.XLOOKUP(A894,Table4[instant],Table4[hum], ,0,1)</f>
        <v>0.37</v>
      </c>
      <c r="J894" s="42">
        <f>_xlfn.XLOOKUP(A894,Table4[instant],Table4[windspeed], ,0,1)</f>
        <v>0.25369999999999998</v>
      </c>
      <c r="K894" s="42">
        <f>_xlfn.XLOOKUP(A894,Table4[instant],Table4[casual], ,0,1)</f>
        <v>7</v>
      </c>
      <c r="L894" s="42">
        <f>_xlfn.XLOOKUP(A894,Table4[instant],Table4[registered], ,0,1)</f>
        <v>72</v>
      </c>
      <c r="M894" s="46">
        <f>_xlfn.XLOOKUP(A894,Table4[instant],Table4[cnt], ,0,1)</f>
        <v>79</v>
      </c>
      <c r="N894" s="42" t="str">
        <f>IF(OR(Table3[[#This Row],[weekday]]=0,Table3[[#This Row],[weekday]]=6),"Weekend","Weekday")</f>
        <v>Weekday</v>
      </c>
    </row>
    <row r="895" spans="1:14" ht="15" thickBot="1" x14ac:dyDescent="0.35">
      <c r="A895" s="48">
        <v>894</v>
      </c>
      <c r="B895" s="49">
        <v>40583</v>
      </c>
      <c r="C895" s="48">
        <v>17</v>
      </c>
      <c r="D895" s="50" t="b">
        <v>0</v>
      </c>
      <c r="E895" s="51">
        <f>_xlfn.XLOOKUP(A895,Table4[instant],Table4[weekday], ,0,1)</f>
        <v>3</v>
      </c>
      <c r="F895" s="51">
        <f>_xlfn.XLOOKUP(A895,Table4[instant],Table4[weathersit], ,0,1)</f>
        <v>2</v>
      </c>
      <c r="G895" s="42">
        <f>_xlfn.XLOOKUP(A895,Table4[instant],Table4[temp], ,0,1)</f>
        <v>0.2</v>
      </c>
      <c r="H895" s="54">
        <f>_xlfn.XLOOKUP(A895,Table4[instant],Table4[atemp], ,0,1)</f>
        <v>0.19700000000000001</v>
      </c>
      <c r="I895" s="42">
        <f>_xlfn.XLOOKUP(A895,Table4[instant],Table4[hum], ,0,1)</f>
        <v>0.34</v>
      </c>
      <c r="J895" s="42">
        <f>_xlfn.XLOOKUP(A895,Table4[instant],Table4[windspeed], ,0,1)</f>
        <v>0.25369999999999998</v>
      </c>
      <c r="K895" s="42">
        <f>_xlfn.XLOOKUP(A895,Table4[instant],Table4[casual], ,0,1)</f>
        <v>9</v>
      </c>
      <c r="L895" s="42">
        <f>_xlfn.XLOOKUP(A895,Table4[instant],Table4[registered], ,0,1)</f>
        <v>157</v>
      </c>
      <c r="M895" s="46">
        <f>_xlfn.XLOOKUP(A895,Table4[instant],Table4[cnt], ,0,1)</f>
        <v>166</v>
      </c>
      <c r="N895" s="1" t="str">
        <f>IF(OR(Table3[[#This Row],[weekday]]=0,Table3[[#This Row],[weekday]]=6),"Weekend","Weekday")</f>
        <v>Weekday</v>
      </c>
    </row>
    <row r="896" spans="1:14" ht="15" thickBot="1" x14ac:dyDescent="0.35">
      <c r="A896" s="51">
        <v>895</v>
      </c>
      <c r="B896" s="52">
        <v>40583</v>
      </c>
      <c r="C896" s="51">
        <v>18</v>
      </c>
      <c r="D896" s="53" t="b">
        <v>0</v>
      </c>
      <c r="E896" s="51">
        <f>_xlfn.XLOOKUP(A896,Table4[instant],Table4[weekday], ,0,1)</f>
        <v>3</v>
      </c>
      <c r="F896" s="51">
        <f>_xlfn.XLOOKUP(A896,Table4[instant],Table4[weathersit], ,0,1)</f>
        <v>2</v>
      </c>
      <c r="G896" s="42">
        <f>_xlfn.XLOOKUP(A896,Table4[instant],Table4[temp], ,0,1)</f>
        <v>0.18</v>
      </c>
      <c r="H896" s="54">
        <f>_xlfn.XLOOKUP(A896,Table4[instant],Table4[atemp], ,0,1)</f>
        <v>0.16669999999999999</v>
      </c>
      <c r="I896" s="42">
        <f>_xlfn.XLOOKUP(A896,Table4[instant],Table4[hum], ,0,1)</f>
        <v>0.47</v>
      </c>
      <c r="J896" s="42">
        <f>_xlfn.XLOOKUP(A896,Table4[instant],Table4[windspeed], ,0,1)</f>
        <v>0.29849999999999999</v>
      </c>
      <c r="K896" s="42">
        <f>_xlfn.XLOOKUP(A896,Table4[instant],Table4[casual], ,0,1)</f>
        <v>2</v>
      </c>
      <c r="L896" s="42">
        <f>_xlfn.XLOOKUP(A896,Table4[instant],Table4[registered], ,0,1)</f>
        <v>168</v>
      </c>
      <c r="M896" s="46">
        <f>_xlfn.XLOOKUP(A896,Table4[instant],Table4[cnt], ,0,1)</f>
        <v>170</v>
      </c>
      <c r="N896" s="42" t="str">
        <f>IF(OR(Table3[[#This Row],[weekday]]=0,Table3[[#This Row],[weekday]]=6),"Weekend","Weekday")</f>
        <v>Weekday</v>
      </c>
    </row>
    <row r="897" spans="1:14" ht="15" thickBot="1" x14ac:dyDescent="0.35">
      <c r="A897" s="48">
        <v>896</v>
      </c>
      <c r="B897" s="49">
        <v>40583</v>
      </c>
      <c r="C897" s="48">
        <v>19</v>
      </c>
      <c r="D897" s="50" t="b">
        <v>0</v>
      </c>
      <c r="E897" s="51">
        <f>_xlfn.XLOOKUP(A897,Table4[instant],Table4[weekday], ,0,1)</f>
        <v>3</v>
      </c>
      <c r="F897" s="51">
        <f>_xlfn.XLOOKUP(A897,Table4[instant],Table4[weathersit], ,0,1)</f>
        <v>3</v>
      </c>
      <c r="G897" s="42">
        <f>_xlfn.XLOOKUP(A897,Table4[instant],Table4[temp], ,0,1)</f>
        <v>0.14000000000000001</v>
      </c>
      <c r="H897" s="54">
        <f>_xlfn.XLOOKUP(A897,Table4[instant],Table4[atemp], ,0,1)</f>
        <v>0.1212</v>
      </c>
      <c r="I897" s="42">
        <f>_xlfn.XLOOKUP(A897,Table4[instant],Table4[hum], ,0,1)</f>
        <v>0.86</v>
      </c>
      <c r="J897" s="42">
        <f>_xlfn.XLOOKUP(A897,Table4[instant],Table4[windspeed], ,0,1)</f>
        <v>0.25369999999999998</v>
      </c>
      <c r="K897" s="42">
        <f>_xlfn.XLOOKUP(A897,Table4[instant],Table4[casual], ,0,1)</f>
        <v>1</v>
      </c>
      <c r="L897" s="42">
        <f>_xlfn.XLOOKUP(A897,Table4[instant],Table4[registered], ,0,1)</f>
        <v>87</v>
      </c>
      <c r="M897" s="46">
        <f>_xlfn.XLOOKUP(A897,Table4[instant],Table4[cnt], ,0,1)</f>
        <v>88</v>
      </c>
      <c r="N897" s="1" t="str">
        <f>IF(OR(Table3[[#This Row],[weekday]]=0,Table3[[#This Row],[weekday]]=6),"Weekend","Weekday")</f>
        <v>Weekday</v>
      </c>
    </row>
    <row r="898" spans="1:14" ht="15" thickBot="1" x14ac:dyDescent="0.35">
      <c r="A898" s="51">
        <v>897</v>
      </c>
      <c r="B898" s="52">
        <v>40583</v>
      </c>
      <c r="C898" s="51">
        <v>20</v>
      </c>
      <c r="D898" s="53" t="b">
        <v>0</v>
      </c>
      <c r="E898" s="51">
        <f>_xlfn.XLOOKUP(A898,Table4[instant],Table4[weekday], ,0,1)</f>
        <v>3</v>
      </c>
      <c r="F898" s="51">
        <f>_xlfn.XLOOKUP(A898,Table4[instant],Table4[weathersit], ,0,1)</f>
        <v>3</v>
      </c>
      <c r="G898" s="42">
        <f>_xlfn.XLOOKUP(A898,Table4[instant],Table4[temp], ,0,1)</f>
        <v>0.14000000000000001</v>
      </c>
      <c r="H898" s="54">
        <f>_xlfn.XLOOKUP(A898,Table4[instant],Table4[atemp], ,0,1)</f>
        <v>0.1515</v>
      </c>
      <c r="I898" s="42">
        <f>_xlfn.XLOOKUP(A898,Table4[instant],Table4[hum], ,0,1)</f>
        <v>0.86</v>
      </c>
      <c r="J898" s="42">
        <f>_xlfn.XLOOKUP(A898,Table4[instant],Table4[windspeed], ,0,1)</f>
        <v>0.16420000000000001</v>
      </c>
      <c r="K898" s="42">
        <f>_xlfn.XLOOKUP(A898,Table4[instant],Table4[casual], ,0,1)</f>
        <v>0</v>
      </c>
      <c r="L898" s="42">
        <f>_xlfn.XLOOKUP(A898,Table4[instant],Table4[registered], ,0,1)</f>
        <v>84</v>
      </c>
      <c r="M898" s="46">
        <f>_xlfn.XLOOKUP(A898,Table4[instant],Table4[cnt], ,0,1)</f>
        <v>84</v>
      </c>
      <c r="N898" s="42" t="str">
        <f>IF(OR(Table3[[#This Row],[weekday]]=0,Table3[[#This Row],[weekday]]=6),"Weekend","Weekday")</f>
        <v>Weekday</v>
      </c>
    </row>
    <row r="899" spans="1:14" ht="15" thickBot="1" x14ac:dyDescent="0.35">
      <c r="A899" s="48">
        <v>898</v>
      </c>
      <c r="B899" s="49">
        <v>40583</v>
      </c>
      <c r="C899" s="48">
        <v>21</v>
      </c>
      <c r="D899" s="50" t="b">
        <v>0</v>
      </c>
      <c r="E899" s="51">
        <f>_xlfn.XLOOKUP(A899,Table4[instant],Table4[weekday], ,0,1)</f>
        <v>3</v>
      </c>
      <c r="F899" s="51">
        <f>_xlfn.XLOOKUP(A899,Table4[instant],Table4[weathersit], ,0,1)</f>
        <v>2</v>
      </c>
      <c r="G899" s="42">
        <f>_xlfn.XLOOKUP(A899,Table4[instant],Table4[temp], ,0,1)</f>
        <v>0.14000000000000001</v>
      </c>
      <c r="H899" s="54">
        <f>_xlfn.XLOOKUP(A899,Table4[instant],Table4[atemp], ,0,1)</f>
        <v>0.1515</v>
      </c>
      <c r="I899" s="42">
        <f>_xlfn.XLOOKUP(A899,Table4[instant],Table4[hum], ,0,1)</f>
        <v>0.86</v>
      </c>
      <c r="J899" s="42">
        <f>_xlfn.XLOOKUP(A899,Table4[instant],Table4[windspeed], ,0,1)</f>
        <v>0.16420000000000001</v>
      </c>
      <c r="K899" s="42">
        <f>_xlfn.XLOOKUP(A899,Table4[instant],Table4[casual], ,0,1)</f>
        <v>0</v>
      </c>
      <c r="L899" s="42">
        <f>_xlfn.XLOOKUP(A899,Table4[instant],Table4[registered], ,0,1)</f>
        <v>83</v>
      </c>
      <c r="M899" s="46">
        <f>_xlfn.XLOOKUP(A899,Table4[instant],Table4[cnt], ,0,1)</f>
        <v>83</v>
      </c>
      <c r="N899" s="1" t="str">
        <f>IF(OR(Table3[[#This Row],[weekday]]=0,Table3[[#This Row],[weekday]]=6),"Weekend","Weekday")</f>
        <v>Weekday</v>
      </c>
    </row>
    <row r="900" spans="1:14" ht="15" thickBot="1" x14ac:dyDescent="0.35">
      <c r="A900" s="51">
        <v>899</v>
      </c>
      <c r="B900" s="52">
        <v>40583</v>
      </c>
      <c r="C900" s="51">
        <v>22</v>
      </c>
      <c r="D900" s="53" t="b">
        <v>0</v>
      </c>
      <c r="E900" s="51">
        <f>_xlfn.XLOOKUP(A900,Table4[instant],Table4[weekday], ,0,1)</f>
        <v>3</v>
      </c>
      <c r="F900" s="51">
        <f>_xlfn.XLOOKUP(A900,Table4[instant],Table4[weathersit], ,0,1)</f>
        <v>3</v>
      </c>
      <c r="G900" s="42">
        <f>_xlfn.XLOOKUP(A900,Table4[instant],Table4[temp], ,0,1)</f>
        <v>0.16</v>
      </c>
      <c r="H900" s="54">
        <f>_xlfn.XLOOKUP(A900,Table4[instant],Table4[atemp], ,0,1)</f>
        <v>0.16669999999999999</v>
      </c>
      <c r="I900" s="42">
        <f>_xlfn.XLOOKUP(A900,Table4[instant],Table4[hum], ,0,1)</f>
        <v>0.8</v>
      </c>
      <c r="J900" s="42">
        <f>_xlfn.XLOOKUP(A900,Table4[instant],Table4[windspeed], ,0,1)</f>
        <v>0.16420000000000001</v>
      </c>
      <c r="K900" s="42">
        <f>_xlfn.XLOOKUP(A900,Table4[instant],Table4[casual], ,0,1)</f>
        <v>4</v>
      </c>
      <c r="L900" s="42">
        <f>_xlfn.XLOOKUP(A900,Table4[instant],Table4[registered], ,0,1)</f>
        <v>42</v>
      </c>
      <c r="M900" s="46">
        <f>_xlfn.XLOOKUP(A900,Table4[instant],Table4[cnt], ,0,1)</f>
        <v>46</v>
      </c>
      <c r="N900" s="42" t="str">
        <f>IF(OR(Table3[[#This Row],[weekday]]=0,Table3[[#This Row],[weekday]]=6),"Weekend","Weekday")</f>
        <v>Weekday</v>
      </c>
    </row>
    <row r="901" spans="1:14" ht="15" thickBot="1" x14ac:dyDescent="0.35">
      <c r="A901" s="48">
        <v>900</v>
      </c>
      <c r="B901" s="49">
        <v>40583</v>
      </c>
      <c r="C901" s="48">
        <v>23</v>
      </c>
      <c r="D901" s="50" t="b">
        <v>0</v>
      </c>
      <c r="E901" s="51">
        <f>_xlfn.XLOOKUP(A901,Table4[instant],Table4[weekday], ,0,1)</f>
        <v>3</v>
      </c>
      <c r="F901" s="51">
        <f>_xlfn.XLOOKUP(A901,Table4[instant],Table4[weathersit], ,0,1)</f>
        <v>3</v>
      </c>
      <c r="G901" s="42">
        <f>_xlfn.XLOOKUP(A901,Table4[instant],Table4[temp], ,0,1)</f>
        <v>0.16</v>
      </c>
      <c r="H901" s="54">
        <f>_xlfn.XLOOKUP(A901,Table4[instant],Table4[atemp], ,0,1)</f>
        <v>0.1515</v>
      </c>
      <c r="I901" s="42">
        <f>_xlfn.XLOOKUP(A901,Table4[instant],Table4[hum], ,0,1)</f>
        <v>0.8</v>
      </c>
      <c r="J901" s="42">
        <f>_xlfn.XLOOKUP(A901,Table4[instant],Table4[windspeed], ,0,1)</f>
        <v>0.19400000000000001</v>
      </c>
      <c r="K901" s="42">
        <f>_xlfn.XLOOKUP(A901,Table4[instant],Table4[casual], ,0,1)</f>
        <v>0</v>
      </c>
      <c r="L901" s="42">
        <f>_xlfn.XLOOKUP(A901,Table4[instant],Table4[registered], ,0,1)</f>
        <v>37</v>
      </c>
      <c r="M901" s="46">
        <f>_xlfn.XLOOKUP(A901,Table4[instant],Table4[cnt], ,0,1)</f>
        <v>37</v>
      </c>
      <c r="N901" s="1" t="str">
        <f>IF(OR(Table3[[#This Row],[weekday]]=0,Table3[[#This Row],[weekday]]=6),"Weekend","Weekday")</f>
        <v>Weekday</v>
      </c>
    </row>
    <row r="902" spans="1:14" ht="15" thickBot="1" x14ac:dyDescent="0.35">
      <c r="A902" s="51">
        <v>901</v>
      </c>
      <c r="B902" s="52">
        <v>40584</v>
      </c>
      <c r="C902" s="51">
        <v>0</v>
      </c>
      <c r="D902" s="53" t="b">
        <v>0</v>
      </c>
      <c r="E902" s="51">
        <f>_xlfn.XLOOKUP(A902,Table4[instant],Table4[weekday], ,0,1)</f>
        <v>4</v>
      </c>
      <c r="F902" s="51">
        <f>_xlfn.XLOOKUP(A902,Table4[instant],Table4[weathersit], ,0,1)</f>
        <v>3</v>
      </c>
      <c r="G902" s="42">
        <f>_xlfn.XLOOKUP(A902,Table4[instant],Table4[temp], ,0,1)</f>
        <v>0.14000000000000001</v>
      </c>
      <c r="H902" s="54">
        <f>_xlfn.XLOOKUP(A902,Table4[instant],Table4[atemp], ,0,1)</f>
        <v>0.13639999999999999</v>
      </c>
      <c r="I902" s="42">
        <f>_xlfn.XLOOKUP(A902,Table4[instant],Table4[hum], ,0,1)</f>
        <v>0.86</v>
      </c>
      <c r="J902" s="42">
        <f>_xlfn.XLOOKUP(A902,Table4[instant],Table4[windspeed], ,0,1)</f>
        <v>0.19400000000000001</v>
      </c>
      <c r="K902" s="42">
        <f>_xlfn.XLOOKUP(A902,Table4[instant],Table4[casual], ,0,1)</f>
        <v>0</v>
      </c>
      <c r="L902" s="42">
        <f>_xlfn.XLOOKUP(A902,Table4[instant],Table4[registered], ,0,1)</f>
        <v>16</v>
      </c>
      <c r="M902" s="46">
        <f>_xlfn.XLOOKUP(A902,Table4[instant],Table4[cnt], ,0,1)</f>
        <v>16</v>
      </c>
      <c r="N902" s="42" t="str">
        <f>IF(OR(Table3[[#This Row],[weekday]]=0,Table3[[#This Row],[weekday]]=6),"Weekend","Weekday")</f>
        <v>Weekday</v>
      </c>
    </row>
    <row r="903" spans="1:14" ht="15" thickBot="1" x14ac:dyDescent="0.35">
      <c r="A903" s="48">
        <v>902</v>
      </c>
      <c r="B903" s="49">
        <v>40584</v>
      </c>
      <c r="C903" s="48">
        <v>1</v>
      </c>
      <c r="D903" s="50" t="b">
        <v>0</v>
      </c>
      <c r="E903" s="51">
        <f>_xlfn.XLOOKUP(A903,Table4[instant],Table4[weekday], ,0,1)</f>
        <v>4</v>
      </c>
      <c r="F903" s="51">
        <f>_xlfn.XLOOKUP(A903,Table4[instant],Table4[weathersit], ,0,1)</f>
        <v>3</v>
      </c>
      <c r="G903" s="42">
        <f>_xlfn.XLOOKUP(A903,Table4[instant],Table4[temp], ,0,1)</f>
        <v>0.14000000000000001</v>
      </c>
      <c r="H903" s="54">
        <f>_xlfn.XLOOKUP(A903,Table4[instant],Table4[atemp], ,0,1)</f>
        <v>0.1515</v>
      </c>
      <c r="I903" s="42">
        <f>_xlfn.XLOOKUP(A903,Table4[instant],Table4[hum], ,0,1)</f>
        <v>0.8</v>
      </c>
      <c r="J903" s="42">
        <f>_xlfn.XLOOKUP(A903,Table4[instant],Table4[windspeed], ,0,1)</f>
        <v>0.1343</v>
      </c>
      <c r="K903" s="42">
        <f>_xlfn.XLOOKUP(A903,Table4[instant],Table4[casual], ,0,1)</f>
        <v>0</v>
      </c>
      <c r="L903" s="42">
        <f>_xlfn.XLOOKUP(A903,Table4[instant],Table4[registered], ,0,1)</f>
        <v>7</v>
      </c>
      <c r="M903" s="46">
        <f>_xlfn.XLOOKUP(A903,Table4[instant],Table4[cnt], ,0,1)</f>
        <v>7</v>
      </c>
      <c r="N903" s="1" t="str">
        <f>IF(OR(Table3[[#This Row],[weekday]]=0,Table3[[#This Row],[weekday]]=6),"Weekend","Weekday")</f>
        <v>Weekday</v>
      </c>
    </row>
    <row r="904" spans="1:14" ht="15" thickBot="1" x14ac:dyDescent="0.35">
      <c r="A904" s="51">
        <v>903</v>
      </c>
      <c r="B904" s="52">
        <v>40584</v>
      </c>
      <c r="C904" s="51">
        <v>2</v>
      </c>
      <c r="D904" s="53" t="b">
        <v>0</v>
      </c>
      <c r="E904" s="51">
        <f>_xlfn.XLOOKUP(A904,Table4[instant],Table4[weekday], ,0,1)</f>
        <v>4</v>
      </c>
      <c r="F904" s="51">
        <f>_xlfn.XLOOKUP(A904,Table4[instant],Table4[weathersit], ,0,1)</f>
        <v>3</v>
      </c>
      <c r="G904" s="42">
        <f>_xlfn.XLOOKUP(A904,Table4[instant],Table4[temp], ,0,1)</f>
        <v>0.14000000000000001</v>
      </c>
      <c r="H904" s="54">
        <f>_xlfn.XLOOKUP(A904,Table4[instant],Table4[atemp], ,0,1)</f>
        <v>0.1515</v>
      </c>
      <c r="I904" s="42">
        <f>_xlfn.XLOOKUP(A904,Table4[instant],Table4[hum], ,0,1)</f>
        <v>0.8</v>
      </c>
      <c r="J904" s="42">
        <f>_xlfn.XLOOKUP(A904,Table4[instant],Table4[windspeed], ,0,1)</f>
        <v>0.1343</v>
      </c>
      <c r="K904" s="42">
        <f>_xlfn.XLOOKUP(A904,Table4[instant],Table4[casual], ,0,1)</f>
        <v>0</v>
      </c>
      <c r="L904" s="42">
        <f>_xlfn.XLOOKUP(A904,Table4[instant],Table4[registered], ,0,1)</f>
        <v>3</v>
      </c>
      <c r="M904" s="46">
        <f>_xlfn.XLOOKUP(A904,Table4[instant],Table4[cnt], ,0,1)</f>
        <v>3</v>
      </c>
      <c r="N904" s="42" t="str">
        <f>IF(OR(Table3[[#This Row],[weekday]]=0,Table3[[#This Row],[weekday]]=6),"Weekend","Weekday")</f>
        <v>Weekday</v>
      </c>
    </row>
    <row r="905" spans="1:14" ht="15" thickBot="1" x14ac:dyDescent="0.35">
      <c r="A905" s="48">
        <v>904</v>
      </c>
      <c r="B905" s="49">
        <v>40584</v>
      </c>
      <c r="C905" s="48">
        <v>4</v>
      </c>
      <c r="D905" s="50" t="b">
        <v>0</v>
      </c>
      <c r="E905" s="51">
        <f>_xlfn.XLOOKUP(A905,Table4[instant],Table4[weekday], ,0,1)</f>
        <v>4</v>
      </c>
      <c r="F905" s="51">
        <f>_xlfn.XLOOKUP(A905,Table4[instant],Table4[weathersit], ,0,1)</f>
        <v>2</v>
      </c>
      <c r="G905" s="42">
        <f>_xlfn.XLOOKUP(A905,Table4[instant],Table4[temp], ,0,1)</f>
        <v>0.14000000000000001</v>
      </c>
      <c r="H905" s="54">
        <f>_xlfn.XLOOKUP(A905,Table4[instant],Table4[atemp], ,0,1)</f>
        <v>0.13639999999999999</v>
      </c>
      <c r="I905" s="42">
        <f>_xlfn.XLOOKUP(A905,Table4[instant],Table4[hum], ,0,1)</f>
        <v>0.59</v>
      </c>
      <c r="J905" s="42">
        <f>_xlfn.XLOOKUP(A905,Table4[instant],Table4[windspeed], ,0,1)</f>
        <v>0.22389999999999999</v>
      </c>
      <c r="K905" s="42">
        <f>_xlfn.XLOOKUP(A905,Table4[instant],Table4[casual], ,0,1)</f>
        <v>0</v>
      </c>
      <c r="L905" s="42">
        <f>_xlfn.XLOOKUP(A905,Table4[instant],Table4[registered], ,0,1)</f>
        <v>1</v>
      </c>
      <c r="M905" s="46">
        <f>_xlfn.XLOOKUP(A905,Table4[instant],Table4[cnt], ,0,1)</f>
        <v>1</v>
      </c>
      <c r="N905" s="1" t="str">
        <f>IF(OR(Table3[[#This Row],[weekday]]=0,Table3[[#This Row],[weekday]]=6),"Weekend","Weekday")</f>
        <v>Weekday</v>
      </c>
    </row>
    <row r="906" spans="1:14" ht="15" thickBot="1" x14ac:dyDescent="0.35">
      <c r="A906" s="51">
        <v>905</v>
      </c>
      <c r="B906" s="52">
        <v>40584</v>
      </c>
      <c r="C906" s="51">
        <v>5</v>
      </c>
      <c r="D906" s="53" t="b">
        <v>0</v>
      </c>
      <c r="E906" s="51">
        <f>_xlfn.XLOOKUP(A906,Table4[instant],Table4[weekday], ,0,1)</f>
        <v>4</v>
      </c>
      <c r="F906" s="51">
        <f>_xlfn.XLOOKUP(A906,Table4[instant],Table4[weathersit], ,0,1)</f>
        <v>2</v>
      </c>
      <c r="G906" s="42">
        <f>_xlfn.XLOOKUP(A906,Table4[instant],Table4[temp], ,0,1)</f>
        <v>0.12</v>
      </c>
      <c r="H906" s="54">
        <f>_xlfn.XLOOKUP(A906,Table4[instant],Table4[atemp], ,0,1)</f>
        <v>0.1212</v>
      </c>
      <c r="I906" s="42">
        <f>_xlfn.XLOOKUP(A906,Table4[instant],Table4[hum], ,0,1)</f>
        <v>0.5</v>
      </c>
      <c r="J906" s="42">
        <f>_xlfn.XLOOKUP(A906,Table4[instant],Table4[windspeed], ,0,1)</f>
        <v>0.22389999999999999</v>
      </c>
      <c r="K906" s="42">
        <f>_xlfn.XLOOKUP(A906,Table4[instant],Table4[casual], ,0,1)</f>
        <v>0</v>
      </c>
      <c r="L906" s="42">
        <f>_xlfn.XLOOKUP(A906,Table4[instant],Table4[registered], ,0,1)</f>
        <v>6</v>
      </c>
      <c r="M906" s="46">
        <f>_xlfn.XLOOKUP(A906,Table4[instant],Table4[cnt], ,0,1)</f>
        <v>6</v>
      </c>
      <c r="N906" s="42" t="str">
        <f>IF(OR(Table3[[#This Row],[weekday]]=0,Table3[[#This Row],[weekday]]=6),"Weekend","Weekday")</f>
        <v>Weekday</v>
      </c>
    </row>
    <row r="907" spans="1:14" ht="15" thickBot="1" x14ac:dyDescent="0.35">
      <c r="A907" s="48">
        <v>906</v>
      </c>
      <c r="B907" s="49">
        <v>40584</v>
      </c>
      <c r="C907" s="48">
        <v>6</v>
      </c>
      <c r="D907" s="50" t="b">
        <v>0</v>
      </c>
      <c r="E907" s="51">
        <f>_xlfn.XLOOKUP(A907,Table4[instant],Table4[weekday], ,0,1)</f>
        <v>4</v>
      </c>
      <c r="F907" s="51">
        <f>_xlfn.XLOOKUP(A907,Table4[instant],Table4[weathersit], ,0,1)</f>
        <v>2</v>
      </c>
      <c r="G907" s="42">
        <f>_xlfn.XLOOKUP(A907,Table4[instant],Table4[temp], ,0,1)</f>
        <v>0.12</v>
      </c>
      <c r="H907" s="54">
        <f>_xlfn.XLOOKUP(A907,Table4[instant],Table4[atemp], ,0,1)</f>
        <v>0.1212</v>
      </c>
      <c r="I907" s="42">
        <f>_xlfn.XLOOKUP(A907,Table4[instant],Table4[hum], ,0,1)</f>
        <v>0.54</v>
      </c>
      <c r="J907" s="42">
        <f>_xlfn.XLOOKUP(A907,Table4[instant],Table4[windspeed], ,0,1)</f>
        <v>0.28360000000000002</v>
      </c>
      <c r="K907" s="42">
        <f>_xlfn.XLOOKUP(A907,Table4[instant],Table4[casual], ,0,1)</f>
        <v>0</v>
      </c>
      <c r="L907" s="42">
        <f>_xlfn.XLOOKUP(A907,Table4[instant],Table4[registered], ,0,1)</f>
        <v>26</v>
      </c>
      <c r="M907" s="46">
        <f>_xlfn.XLOOKUP(A907,Table4[instant],Table4[cnt], ,0,1)</f>
        <v>26</v>
      </c>
      <c r="N907" s="1" t="str">
        <f>IF(OR(Table3[[#This Row],[weekday]]=0,Table3[[#This Row],[weekday]]=6),"Weekend","Weekday")</f>
        <v>Weekday</v>
      </c>
    </row>
    <row r="908" spans="1:14" ht="15" thickBot="1" x14ac:dyDescent="0.35">
      <c r="A908" s="51">
        <v>907</v>
      </c>
      <c r="B908" s="52">
        <v>40584</v>
      </c>
      <c r="C908" s="51">
        <v>7</v>
      </c>
      <c r="D908" s="53" t="b">
        <v>0</v>
      </c>
      <c r="E908" s="51">
        <f>_xlfn.XLOOKUP(A908,Table4[instant],Table4[weekday], ,0,1)</f>
        <v>4</v>
      </c>
      <c r="F908" s="51">
        <f>_xlfn.XLOOKUP(A908,Table4[instant],Table4[weathersit], ,0,1)</f>
        <v>1</v>
      </c>
      <c r="G908" s="42">
        <f>_xlfn.XLOOKUP(A908,Table4[instant],Table4[temp], ,0,1)</f>
        <v>0.1</v>
      </c>
      <c r="H908" s="54">
        <f>_xlfn.XLOOKUP(A908,Table4[instant],Table4[atemp], ,0,1)</f>
        <v>7.5800000000000006E-2</v>
      </c>
      <c r="I908" s="42">
        <f>_xlfn.XLOOKUP(A908,Table4[instant],Table4[hum], ,0,1)</f>
        <v>0.5</v>
      </c>
      <c r="J908" s="42">
        <f>_xlfn.XLOOKUP(A908,Table4[instant],Table4[windspeed], ,0,1)</f>
        <v>0.41789999999999999</v>
      </c>
      <c r="K908" s="42">
        <f>_xlfn.XLOOKUP(A908,Table4[instant],Table4[casual], ,0,1)</f>
        <v>0</v>
      </c>
      <c r="L908" s="42">
        <f>_xlfn.XLOOKUP(A908,Table4[instant],Table4[registered], ,0,1)</f>
        <v>99</v>
      </c>
      <c r="M908" s="46">
        <f>_xlfn.XLOOKUP(A908,Table4[instant],Table4[cnt], ,0,1)</f>
        <v>99</v>
      </c>
      <c r="N908" s="42" t="str">
        <f>IF(OR(Table3[[#This Row],[weekday]]=0,Table3[[#This Row],[weekday]]=6),"Weekend","Weekday")</f>
        <v>Weekday</v>
      </c>
    </row>
    <row r="909" spans="1:14" ht="15" thickBot="1" x14ac:dyDescent="0.35">
      <c r="A909" s="48">
        <v>908</v>
      </c>
      <c r="B909" s="49">
        <v>40584</v>
      </c>
      <c r="C909" s="48">
        <v>8</v>
      </c>
      <c r="D909" s="50" t="b">
        <v>0</v>
      </c>
      <c r="E909" s="51">
        <f>_xlfn.XLOOKUP(A909,Table4[instant],Table4[weekday], ,0,1)</f>
        <v>4</v>
      </c>
      <c r="F909" s="51">
        <f>_xlfn.XLOOKUP(A909,Table4[instant],Table4[weathersit], ,0,1)</f>
        <v>1</v>
      </c>
      <c r="G909" s="42">
        <f>_xlfn.XLOOKUP(A909,Table4[instant],Table4[temp], ,0,1)</f>
        <v>0.1</v>
      </c>
      <c r="H909" s="54">
        <f>_xlfn.XLOOKUP(A909,Table4[instant],Table4[atemp], ,0,1)</f>
        <v>7.5800000000000006E-2</v>
      </c>
      <c r="I909" s="42">
        <f>_xlfn.XLOOKUP(A909,Table4[instant],Table4[hum], ,0,1)</f>
        <v>0.49</v>
      </c>
      <c r="J909" s="42">
        <f>_xlfn.XLOOKUP(A909,Table4[instant],Table4[windspeed], ,0,1)</f>
        <v>0.32840000000000003</v>
      </c>
      <c r="K909" s="42">
        <f>_xlfn.XLOOKUP(A909,Table4[instant],Table4[casual], ,0,1)</f>
        <v>5</v>
      </c>
      <c r="L909" s="42">
        <f>_xlfn.XLOOKUP(A909,Table4[instant],Table4[registered], ,0,1)</f>
        <v>173</v>
      </c>
      <c r="M909" s="46">
        <f>_xlfn.XLOOKUP(A909,Table4[instant],Table4[cnt], ,0,1)</f>
        <v>178</v>
      </c>
      <c r="N909" s="1" t="str">
        <f>IF(OR(Table3[[#This Row],[weekday]]=0,Table3[[#This Row],[weekday]]=6),"Weekend","Weekday")</f>
        <v>Weekday</v>
      </c>
    </row>
    <row r="910" spans="1:14" ht="15" thickBot="1" x14ac:dyDescent="0.35">
      <c r="A910" s="51">
        <v>909</v>
      </c>
      <c r="B910" s="52">
        <v>40584</v>
      </c>
      <c r="C910" s="51">
        <v>9</v>
      </c>
      <c r="D910" s="53" t="b">
        <v>0</v>
      </c>
      <c r="E910" s="51">
        <f>_xlfn.XLOOKUP(A910,Table4[instant],Table4[weekday], ,0,1)</f>
        <v>4</v>
      </c>
      <c r="F910" s="51">
        <f>_xlfn.XLOOKUP(A910,Table4[instant],Table4[weathersit], ,0,1)</f>
        <v>1</v>
      </c>
      <c r="G910" s="42">
        <f>_xlfn.XLOOKUP(A910,Table4[instant],Table4[temp], ,0,1)</f>
        <v>0.12</v>
      </c>
      <c r="H910" s="54">
        <f>_xlfn.XLOOKUP(A910,Table4[instant],Table4[atemp], ,0,1)</f>
        <v>0.1061</v>
      </c>
      <c r="I910" s="42">
        <f>_xlfn.XLOOKUP(A910,Table4[instant],Table4[hum], ,0,1)</f>
        <v>0.42</v>
      </c>
      <c r="J910" s="42">
        <f>_xlfn.XLOOKUP(A910,Table4[instant],Table4[windspeed], ,0,1)</f>
        <v>0.35820000000000002</v>
      </c>
      <c r="K910" s="42">
        <f>_xlfn.XLOOKUP(A910,Table4[instant],Table4[casual], ,0,1)</f>
        <v>1</v>
      </c>
      <c r="L910" s="42">
        <f>_xlfn.XLOOKUP(A910,Table4[instant],Table4[registered], ,0,1)</f>
        <v>121</v>
      </c>
      <c r="M910" s="46">
        <f>_xlfn.XLOOKUP(A910,Table4[instant],Table4[cnt], ,0,1)</f>
        <v>122</v>
      </c>
      <c r="N910" s="42" t="str">
        <f>IF(OR(Table3[[#This Row],[weekday]]=0,Table3[[#This Row],[weekday]]=6),"Weekend","Weekday")</f>
        <v>Weekday</v>
      </c>
    </row>
    <row r="911" spans="1:14" ht="15" thickBot="1" x14ac:dyDescent="0.35">
      <c r="A911" s="48">
        <v>910</v>
      </c>
      <c r="B911" s="49">
        <v>40584</v>
      </c>
      <c r="C911" s="48">
        <v>10</v>
      </c>
      <c r="D911" s="50" t="b">
        <v>0</v>
      </c>
      <c r="E911" s="51">
        <f>_xlfn.XLOOKUP(A911,Table4[instant],Table4[weekday], ,0,1)</f>
        <v>4</v>
      </c>
      <c r="F911" s="51">
        <f>_xlfn.XLOOKUP(A911,Table4[instant],Table4[weathersit], ,0,1)</f>
        <v>1</v>
      </c>
      <c r="G911" s="42">
        <f>_xlfn.XLOOKUP(A911,Table4[instant],Table4[temp], ,0,1)</f>
        <v>0.12</v>
      </c>
      <c r="H911" s="54">
        <f>_xlfn.XLOOKUP(A911,Table4[instant],Table4[atemp], ,0,1)</f>
        <v>0.1061</v>
      </c>
      <c r="I911" s="42">
        <f>_xlfn.XLOOKUP(A911,Table4[instant],Table4[hum], ,0,1)</f>
        <v>0.42</v>
      </c>
      <c r="J911" s="42">
        <f>_xlfn.XLOOKUP(A911,Table4[instant],Table4[windspeed], ,0,1)</f>
        <v>0.29849999999999999</v>
      </c>
      <c r="K911" s="42">
        <f>_xlfn.XLOOKUP(A911,Table4[instant],Table4[casual], ,0,1)</f>
        <v>1</v>
      </c>
      <c r="L911" s="42">
        <f>_xlfn.XLOOKUP(A911,Table4[instant],Table4[registered], ,0,1)</f>
        <v>34</v>
      </c>
      <c r="M911" s="46">
        <f>_xlfn.XLOOKUP(A911,Table4[instant],Table4[cnt], ,0,1)</f>
        <v>35</v>
      </c>
      <c r="N911" s="1" t="str">
        <f>IF(OR(Table3[[#This Row],[weekday]]=0,Table3[[#This Row],[weekday]]=6),"Weekend","Weekday")</f>
        <v>Weekday</v>
      </c>
    </row>
    <row r="912" spans="1:14" ht="15" thickBot="1" x14ac:dyDescent="0.35">
      <c r="A912" s="51">
        <v>911</v>
      </c>
      <c r="B912" s="52">
        <v>40584</v>
      </c>
      <c r="C912" s="51">
        <v>11</v>
      </c>
      <c r="D912" s="53" t="b">
        <v>0</v>
      </c>
      <c r="E912" s="51">
        <f>_xlfn.XLOOKUP(A912,Table4[instant],Table4[weekday], ,0,1)</f>
        <v>4</v>
      </c>
      <c r="F912" s="51">
        <f>_xlfn.XLOOKUP(A912,Table4[instant],Table4[weathersit], ,0,1)</f>
        <v>1</v>
      </c>
      <c r="G912" s="42">
        <f>_xlfn.XLOOKUP(A912,Table4[instant],Table4[temp], ,0,1)</f>
        <v>0.14000000000000001</v>
      </c>
      <c r="H912" s="54">
        <f>_xlfn.XLOOKUP(A912,Table4[instant],Table4[atemp], ,0,1)</f>
        <v>0.1212</v>
      </c>
      <c r="I912" s="42">
        <f>_xlfn.XLOOKUP(A912,Table4[instant],Table4[hum], ,0,1)</f>
        <v>0.39</v>
      </c>
      <c r="J912" s="42">
        <f>_xlfn.XLOOKUP(A912,Table4[instant],Table4[windspeed], ,0,1)</f>
        <v>0.35820000000000002</v>
      </c>
      <c r="K912" s="42">
        <f>_xlfn.XLOOKUP(A912,Table4[instant],Table4[casual], ,0,1)</f>
        <v>1</v>
      </c>
      <c r="L912" s="42">
        <f>_xlfn.XLOOKUP(A912,Table4[instant],Table4[registered], ,0,1)</f>
        <v>44</v>
      </c>
      <c r="M912" s="46">
        <f>_xlfn.XLOOKUP(A912,Table4[instant],Table4[cnt], ,0,1)</f>
        <v>45</v>
      </c>
      <c r="N912" s="42" t="str">
        <f>IF(OR(Table3[[#This Row],[weekday]]=0,Table3[[#This Row],[weekday]]=6),"Weekend","Weekday")</f>
        <v>Weekday</v>
      </c>
    </row>
    <row r="913" spans="1:14" ht="15" thickBot="1" x14ac:dyDescent="0.35">
      <c r="A913" s="48">
        <v>912</v>
      </c>
      <c r="B913" s="49">
        <v>40584</v>
      </c>
      <c r="C913" s="48">
        <v>12</v>
      </c>
      <c r="D913" s="50" t="b">
        <v>0</v>
      </c>
      <c r="E913" s="51">
        <f>_xlfn.XLOOKUP(A913,Table4[instant],Table4[weekday], ,0,1)</f>
        <v>4</v>
      </c>
      <c r="F913" s="51">
        <f>_xlfn.XLOOKUP(A913,Table4[instant],Table4[weathersit], ,0,1)</f>
        <v>1</v>
      </c>
      <c r="G913" s="42">
        <f>_xlfn.XLOOKUP(A913,Table4[instant],Table4[temp], ,0,1)</f>
        <v>0.16</v>
      </c>
      <c r="H913" s="54">
        <f>_xlfn.XLOOKUP(A913,Table4[instant],Table4[atemp], ,0,1)</f>
        <v>0.13639999999999999</v>
      </c>
      <c r="I913" s="42">
        <f>_xlfn.XLOOKUP(A913,Table4[instant],Table4[hum], ,0,1)</f>
        <v>0.34</v>
      </c>
      <c r="J913" s="42">
        <f>_xlfn.XLOOKUP(A913,Table4[instant],Table4[windspeed], ,0,1)</f>
        <v>0.3881</v>
      </c>
      <c r="K913" s="42">
        <f>_xlfn.XLOOKUP(A913,Table4[instant],Table4[casual], ,0,1)</f>
        <v>4</v>
      </c>
      <c r="L913" s="42">
        <f>_xlfn.XLOOKUP(A913,Table4[instant],Table4[registered], ,0,1)</f>
        <v>65</v>
      </c>
      <c r="M913" s="46">
        <f>_xlfn.XLOOKUP(A913,Table4[instant],Table4[cnt], ,0,1)</f>
        <v>69</v>
      </c>
      <c r="N913" s="1" t="str">
        <f>IF(OR(Table3[[#This Row],[weekday]]=0,Table3[[#This Row],[weekday]]=6),"Weekend","Weekday")</f>
        <v>Weekday</v>
      </c>
    </row>
    <row r="914" spans="1:14" ht="15" thickBot="1" x14ac:dyDescent="0.35">
      <c r="A914" s="51">
        <v>913</v>
      </c>
      <c r="B914" s="52">
        <v>40584</v>
      </c>
      <c r="C914" s="51">
        <v>13</v>
      </c>
      <c r="D914" s="53" t="b">
        <v>0</v>
      </c>
      <c r="E914" s="51">
        <f>_xlfn.XLOOKUP(A914,Table4[instant],Table4[weekday], ,0,1)</f>
        <v>4</v>
      </c>
      <c r="F914" s="51">
        <f>_xlfn.XLOOKUP(A914,Table4[instant],Table4[weathersit], ,0,1)</f>
        <v>1</v>
      </c>
      <c r="G914" s="42">
        <f>_xlfn.XLOOKUP(A914,Table4[instant],Table4[temp], ,0,1)</f>
        <v>0.18</v>
      </c>
      <c r="H914" s="54">
        <f>_xlfn.XLOOKUP(A914,Table4[instant],Table4[atemp], ,0,1)</f>
        <v>0.16669999999999999</v>
      </c>
      <c r="I914" s="42">
        <f>_xlfn.XLOOKUP(A914,Table4[instant],Table4[hum], ,0,1)</f>
        <v>0.28999999999999998</v>
      </c>
      <c r="J914" s="42">
        <f>_xlfn.XLOOKUP(A914,Table4[instant],Table4[windspeed], ,0,1)</f>
        <v>0.29849999999999999</v>
      </c>
      <c r="K914" s="42">
        <f>_xlfn.XLOOKUP(A914,Table4[instant],Table4[casual], ,0,1)</f>
        <v>3</v>
      </c>
      <c r="L914" s="42">
        <f>_xlfn.XLOOKUP(A914,Table4[instant],Table4[registered], ,0,1)</f>
        <v>59</v>
      </c>
      <c r="M914" s="46">
        <f>_xlfn.XLOOKUP(A914,Table4[instant],Table4[cnt], ,0,1)</f>
        <v>62</v>
      </c>
      <c r="N914" s="42" t="str">
        <f>IF(OR(Table3[[#This Row],[weekday]]=0,Table3[[#This Row],[weekday]]=6),"Weekend","Weekday")</f>
        <v>Weekday</v>
      </c>
    </row>
    <row r="915" spans="1:14" ht="15" thickBot="1" x14ac:dyDescent="0.35">
      <c r="A915" s="48">
        <v>914</v>
      </c>
      <c r="B915" s="49">
        <v>40584</v>
      </c>
      <c r="C915" s="48">
        <v>14</v>
      </c>
      <c r="D915" s="50" t="b">
        <v>0</v>
      </c>
      <c r="E915" s="51">
        <f>_xlfn.XLOOKUP(A915,Table4[instant],Table4[weekday], ,0,1)</f>
        <v>4</v>
      </c>
      <c r="F915" s="51">
        <f>_xlfn.XLOOKUP(A915,Table4[instant],Table4[weathersit], ,0,1)</f>
        <v>1</v>
      </c>
      <c r="G915" s="42">
        <f>_xlfn.XLOOKUP(A915,Table4[instant],Table4[temp], ,0,1)</f>
        <v>0.2</v>
      </c>
      <c r="H915" s="54">
        <f>_xlfn.XLOOKUP(A915,Table4[instant],Table4[atemp], ,0,1)</f>
        <v>0.18179999999999999</v>
      </c>
      <c r="I915" s="42">
        <f>_xlfn.XLOOKUP(A915,Table4[instant],Table4[hum], ,0,1)</f>
        <v>0.27</v>
      </c>
      <c r="J915" s="42">
        <f>_xlfn.XLOOKUP(A915,Table4[instant],Table4[windspeed], ,0,1)</f>
        <v>0.28360000000000002</v>
      </c>
      <c r="K915" s="42">
        <f>_xlfn.XLOOKUP(A915,Table4[instant],Table4[casual], ,0,1)</f>
        <v>6</v>
      </c>
      <c r="L915" s="42">
        <f>_xlfn.XLOOKUP(A915,Table4[instant],Table4[registered], ,0,1)</f>
        <v>42</v>
      </c>
      <c r="M915" s="46">
        <f>_xlfn.XLOOKUP(A915,Table4[instant],Table4[cnt], ,0,1)</f>
        <v>48</v>
      </c>
      <c r="N915" s="1" t="str">
        <f>IF(OR(Table3[[#This Row],[weekday]]=0,Table3[[#This Row],[weekday]]=6),"Weekend","Weekday")</f>
        <v>Weekday</v>
      </c>
    </row>
    <row r="916" spans="1:14" ht="15" thickBot="1" x14ac:dyDescent="0.35">
      <c r="A916" s="51">
        <v>915</v>
      </c>
      <c r="B916" s="52">
        <v>40584</v>
      </c>
      <c r="C916" s="51">
        <v>15</v>
      </c>
      <c r="D916" s="53" t="b">
        <v>0</v>
      </c>
      <c r="E916" s="51">
        <f>_xlfn.XLOOKUP(A916,Table4[instant],Table4[weekday], ,0,1)</f>
        <v>4</v>
      </c>
      <c r="F916" s="51">
        <f>_xlfn.XLOOKUP(A916,Table4[instant],Table4[weathersit], ,0,1)</f>
        <v>1</v>
      </c>
      <c r="G916" s="42">
        <f>_xlfn.XLOOKUP(A916,Table4[instant],Table4[temp], ,0,1)</f>
        <v>0.2</v>
      </c>
      <c r="H916" s="54">
        <f>_xlfn.XLOOKUP(A916,Table4[instant],Table4[atemp], ,0,1)</f>
        <v>0.19700000000000001</v>
      </c>
      <c r="I916" s="42">
        <f>_xlfn.XLOOKUP(A916,Table4[instant],Table4[hum], ,0,1)</f>
        <v>0.25</v>
      </c>
      <c r="J916" s="42">
        <f>_xlfn.XLOOKUP(A916,Table4[instant],Table4[windspeed], ,0,1)</f>
        <v>0.25369999999999998</v>
      </c>
      <c r="K916" s="42">
        <f>_xlfn.XLOOKUP(A916,Table4[instant],Table4[casual], ,0,1)</f>
        <v>0</v>
      </c>
      <c r="L916" s="42">
        <f>_xlfn.XLOOKUP(A916,Table4[instant],Table4[registered], ,0,1)</f>
        <v>50</v>
      </c>
      <c r="M916" s="46">
        <f>_xlfn.XLOOKUP(A916,Table4[instant],Table4[cnt], ,0,1)</f>
        <v>50</v>
      </c>
      <c r="N916" s="42" t="str">
        <f>IF(OR(Table3[[#This Row],[weekday]]=0,Table3[[#This Row],[weekday]]=6),"Weekend","Weekday")</f>
        <v>Weekday</v>
      </c>
    </row>
    <row r="917" spans="1:14" ht="15" thickBot="1" x14ac:dyDescent="0.35">
      <c r="A917" s="48">
        <v>916</v>
      </c>
      <c r="B917" s="49">
        <v>40584</v>
      </c>
      <c r="C917" s="48">
        <v>16</v>
      </c>
      <c r="D917" s="50" t="b">
        <v>0</v>
      </c>
      <c r="E917" s="51">
        <f>_xlfn.XLOOKUP(A917,Table4[instant],Table4[weekday], ,0,1)</f>
        <v>4</v>
      </c>
      <c r="F917" s="51">
        <f>_xlfn.XLOOKUP(A917,Table4[instant],Table4[weathersit], ,0,1)</f>
        <v>1</v>
      </c>
      <c r="G917" s="42">
        <f>_xlfn.XLOOKUP(A917,Table4[instant],Table4[temp], ,0,1)</f>
        <v>0.2</v>
      </c>
      <c r="H917" s="54">
        <f>_xlfn.XLOOKUP(A917,Table4[instant],Table4[atemp], ,0,1)</f>
        <v>0.18179999999999999</v>
      </c>
      <c r="I917" s="42">
        <f>_xlfn.XLOOKUP(A917,Table4[instant],Table4[hum], ,0,1)</f>
        <v>0.27</v>
      </c>
      <c r="J917" s="42">
        <f>_xlfn.XLOOKUP(A917,Table4[instant],Table4[windspeed], ,0,1)</f>
        <v>0.29849999999999999</v>
      </c>
      <c r="K917" s="42">
        <f>_xlfn.XLOOKUP(A917,Table4[instant],Table4[casual], ,0,1)</f>
        <v>4</v>
      </c>
      <c r="L917" s="42">
        <f>_xlfn.XLOOKUP(A917,Table4[instant],Table4[registered], ,0,1)</f>
        <v>76</v>
      </c>
      <c r="M917" s="46">
        <f>_xlfn.XLOOKUP(A917,Table4[instant],Table4[cnt], ,0,1)</f>
        <v>80</v>
      </c>
      <c r="N917" s="1" t="str">
        <f>IF(OR(Table3[[#This Row],[weekday]]=0,Table3[[#This Row],[weekday]]=6),"Weekend","Weekday")</f>
        <v>Weekday</v>
      </c>
    </row>
    <row r="918" spans="1:14" ht="15" thickBot="1" x14ac:dyDescent="0.35">
      <c r="A918" s="51">
        <v>917</v>
      </c>
      <c r="B918" s="52">
        <v>40584</v>
      </c>
      <c r="C918" s="51">
        <v>17</v>
      </c>
      <c r="D918" s="53" t="b">
        <v>0</v>
      </c>
      <c r="E918" s="51">
        <f>_xlfn.XLOOKUP(A918,Table4[instant],Table4[weekday], ,0,1)</f>
        <v>4</v>
      </c>
      <c r="F918" s="51">
        <f>_xlfn.XLOOKUP(A918,Table4[instant],Table4[weathersit], ,0,1)</f>
        <v>1</v>
      </c>
      <c r="G918" s="42">
        <f>_xlfn.XLOOKUP(A918,Table4[instant],Table4[temp], ,0,1)</f>
        <v>0.18</v>
      </c>
      <c r="H918" s="54">
        <f>_xlfn.XLOOKUP(A918,Table4[instant],Table4[atemp], ,0,1)</f>
        <v>0.18179999999999999</v>
      </c>
      <c r="I918" s="42">
        <f>_xlfn.XLOOKUP(A918,Table4[instant],Table4[hum], ,0,1)</f>
        <v>0.26</v>
      </c>
      <c r="J918" s="42">
        <f>_xlfn.XLOOKUP(A918,Table4[instant],Table4[windspeed], ,0,1)</f>
        <v>0.19400000000000001</v>
      </c>
      <c r="K918" s="42">
        <f>_xlfn.XLOOKUP(A918,Table4[instant],Table4[casual], ,0,1)</f>
        <v>6</v>
      </c>
      <c r="L918" s="42">
        <f>_xlfn.XLOOKUP(A918,Table4[instant],Table4[registered], ,0,1)</f>
        <v>159</v>
      </c>
      <c r="M918" s="46">
        <f>_xlfn.XLOOKUP(A918,Table4[instant],Table4[cnt], ,0,1)</f>
        <v>165</v>
      </c>
      <c r="N918" s="42" t="str">
        <f>IF(OR(Table3[[#This Row],[weekday]]=0,Table3[[#This Row],[weekday]]=6),"Weekend","Weekday")</f>
        <v>Weekday</v>
      </c>
    </row>
    <row r="919" spans="1:14" ht="15" thickBot="1" x14ac:dyDescent="0.35">
      <c r="A919" s="48">
        <v>918</v>
      </c>
      <c r="B919" s="49">
        <v>40584</v>
      </c>
      <c r="C919" s="48">
        <v>18</v>
      </c>
      <c r="D919" s="50" t="b">
        <v>0</v>
      </c>
      <c r="E919" s="51">
        <f>_xlfn.XLOOKUP(A919,Table4[instant],Table4[weekday], ,0,1)</f>
        <v>4</v>
      </c>
      <c r="F919" s="51">
        <f>_xlfn.XLOOKUP(A919,Table4[instant],Table4[weathersit], ,0,1)</f>
        <v>1</v>
      </c>
      <c r="G919" s="42">
        <f>_xlfn.XLOOKUP(A919,Table4[instant],Table4[temp], ,0,1)</f>
        <v>0.16</v>
      </c>
      <c r="H919" s="54">
        <f>_xlfn.XLOOKUP(A919,Table4[instant],Table4[atemp], ,0,1)</f>
        <v>0.18179999999999999</v>
      </c>
      <c r="I919" s="42">
        <f>_xlfn.XLOOKUP(A919,Table4[instant],Table4[hum], ,0,1)</f>
        <v>0.28000000000000003</v>
      </c>
      <c r="J919" s="42">
        <f>_xlfn.XLOOKUP(A919,Table4[instant],Table4[windspeed], ,0,1)</f>
        <v>0.1343</v>
      </c>
      <c r="K919" s="42">
        <f>_xlfn.XLOOKUP(A919,Table4[instant],Table4[casual], ,0,1)</f>
        <v>3</v>
      </c>
      <c r="L919" s="42">
        <f>_xlfn.XLOOKUP(A919,Table4[instant],Table4[registered], ,0,1)</f>
        <v>157</v>
      </c>
      <c r="M919" s="46">
        <f>_xlfn.XLOOKUP(A919,Table4[instant],Table4[cnt], ,0,1)</f>
        <v>160</v>
      </c>
      <c r="N919" s="1" t="str">
        <f>IF(OR(Table3[[#This Row],[weekday]]=0,Table3[[#This Row],[weekday]]=6),"Weekend","Weekday")</f>
        <v>Weekday</v>
      </c>
    </row>
    <row r="920" spans="1:14" ht="15" thickBot="1" x14ac:dyDescent="0.35">
      <c r="A920" s="51">
        <v>919</v>
      </c>
      <c r="B920" s="52">
        <v>40584</v>
      </c>
      <c r="C920" s="51">
        <v>19</v>
      </c>
      <c r="D920" s="53" t="b">
        <v>0</v>
      </c>
      <c r="E920" s="51">
        <f>_xlfn.XLOOKUP(A920,Table4[instant],Table4[weekday], ,0,1)</f>
        <v>4</v>
      </c>
      <c r="F920" s="51">
        <f>_xlfn.XLOOKUP(A920,Table4[instant],Table4[weathersit], ,0,1)</f>
        <v>1</v>
      </c>
      <c r="G920" s="42">
        <f>_xlfn.XLOOKUP(A920,Table4[instant],Table4[temp], ,0,1)</f>
        <v>0.14000000000000001</v>
      </c>
      <c r="H920" s="54">
        <f>_xlfn.XLOOKUP(A920,Table4[instant],Table4[atemp], ,0,1)</f>
        <v>0.16669999999999999</v>
      </c>
      <c r="I920" s="42">
        <f>_xlfn.XLOOKUP(A920,Table4[instant],Table4[hum], ,0,1)</f>
        <v>0.28000000000000003</v>
      </c>
      <c r="J920" s="42">
        <f>_xlfn.XLOOKUP(A920,Table4[instant],Table4[windspeed], ,0,1)</f>
        <v>0.1045</v>
      </c>
      <c r="K920" s="42">
        <f>_xlfn.XLOOKUP(A920,Table4[instant],Table4[casual], ,0,1)</f>
        <v>2</v>
      </c>
      <c r="L920" s="42">
        <f>_xlfn.XLOOKUP(A920,Table4[instant],Table4[registered], ,0,1)</f>
        <v>110</v>
      </c>
      <c r="M920" s="46">
        <f>_xlfn.XLOOKUP(A920,Table4[instant],Table4[cnt], ,0,1)</f>
        <v>112</v>
      </c>
      <c r="N920" s="42" t="str">
        <f>IF(OR(Table3[[#This Row],[weekday]]=0,Table3[[#This Row],[weekday]]=6),"Weekend","Weekday")</f>
        <v>Weekday</v>
      </c>
    </row>
    <row r="921" spans="1:14" ht="15" thickBot="1" x14ac:dyDescent="0.35">
      <c r="A921" s="48">
        <v>920</v>
      </c>
      <c r="B921" s="49">
        <v>40584</v>
      </c>
      <c r="C921" s="48">
        <v>20</v>
      </c>
      <c r="D921" s="50" t="b">
        <v>0</v>
      </c>
      <c r="E921" s="51">
        <f>_xlfn.XLOOKUP(A921,Table4[instant],Table4[weekday], ,0,1)</f>
        <v>4</v>
      </c>
      <c r="F921" s="51">
        <f>_xlfn.XLOOKUP(A921,Table4[instant],Table4[weathersit], ,0,1)</f>
        <v>1</v>
      </c>
      <c r="G921" s="42">
        <f>_xlfn.XLOOKUP(A921,Table4[instant],Table4[temp], ,0,1)</f>
        <v>0.14000000000000001</v>
      </c>
      <c r="H921" s="54">
        <f>_xlfn.XLOOKUP(A921,Table4[instant],Table4[atemp], ,0,1)</f>
        <v>0.18179999999999999</v>
      </c>
      <c r="I921" s="42">
        <f>_xlfn.XLOOKUP(A921,Table4[instant],Table4[hum], ,0,1)</f>
        <v>0.31</v>
      </c>
      <c r="J921" s="42">
        <f>_xlfn.XLOOKUP(A921,Table4[instant],Table4[windspeed], ,0,1)</f>
        <v>8.9599999999999999E-2</v>
      </c>
      <c r="K921" s="42">
        <f>_xlfn.XLOOKUP(A921,Table4[instant],Table4[casual], ,0,1)</f>
        <v>4</v>
      </c>
      <c r="L921" s="42">
        <f>_xlfn.XLOOKUP(A921,Table4[instant],Table4[registered], ,0,1)</f>
        <v>93</v>
      </c>
      <c r="M921" s="46">
        <f>_xlfn.XLOOKUP(A921,Table4[instant],Table4[cnt], ,0,1)</f>
        <v>97</v>
      </c>
      <c r="N921" s="1" t="str">
        <f>IF(OR(Table3[[#This Row],[weekday]]=0,Table3[[#This Row],[weekday]]=6),"Weekend","Weekday")</f>
        <v>Weekday</v>
      </c>
    </row>
    <row r="922" spans="1:14" ht="15" thickBot="1" x14ac:dyDescent="0.35">
      <c r="A922" s="51">
        <v>921</v>
      </c>
      <c r="B922" s="52">
        <v>40584</v>
      </c>
      <c r="C922" s="51">
        <v>21</v>
      </c>
      <c r="D922" s="53" t="b">
        <v>0</v>
      </c>
      <c r="E922" s="51">
        <f>_xlfn.XLOOKUP(A922,Table4[instant],Table4[weekday], ,0,1)</f>
        <v>4</v>
      </c>
      <c r="F922" s="51">
        <f>_xlfn.XLOOKUP(A922,Table4[instant],Table4[weathersit], ,0,1)</f>
        <v>1</v>
      </c>
      <c r="G922" s="42">
        <f>_xlfn.XLOOKUP(A922,Table4[instant],Table4[temp], ,0,1)</f>
        <v>0.14000000000000001</v>
      </c>
      <c r="H922" s="54">
        <f>_xlfn.XLOOKUP(A922,Table4[instant],Table4[atemp], ,0,1)</f>
        <v>0.21210000000000001</v>
      </c>
      <c r="I922" s="42">
        <f>_xlfn.XLOOKUP(A922,Table4[instant],Table4[hum], ,0,1)</f>
        <v>0.39</v>
      </c>
      <c r="J922" s="42">
        <f>_xlfn.XLOOKUP(A922,Table4[instant],Table4[windspeed], ,0,1)</f>
        <v>0</v>
      </c>
      <c r="K922" s="42">
        <f>_xlfn.XLOOKUP(A922,Table4[instant],Table4[casual], ,0,1)</f>
        <v>2</v>
      </c>
      <c r="L922" s="42">
        <f>_xlfn.XLOOKUP(A922,Table4[instant],Table4[registered], ,0,1)</f>
        <v>70</v>
      </c>
      <c r="M922" s="46">
        <f>_xlfn.XLOOKUP(A922,Table4[instant],Table4[cnt], ,0,1)</f>
        <v>72</v>
      </c>
      <c r="N922" s="42" t="str">
        <f>IF(OR(Table3[[#This Row],[weekday]]=0,Table3[[#This Row],[weekday]]=6),"Weekend","Weekday")</f>
        <v>Weekday</v>
      </c>
    </row>
    <row r="923" spans="1:14" ht="15" thickBot="1" x14ac:dyDescent="0.35">
      <c r="A923" s="48">
        <v>922</v>
      </c>
      <c r="B923" s="49">
        <v>40584</v>
      </c>
      <c r="C923" s="48">
        <v>22</v>
      </c>
      <c r="D923" s="50" t="b">
        <v>0</v>
      </c>
      <c r="E923" s="51">
        <f>_xlfn.XLOOKUP(A923,Table4[instant],Table4[weekday], ,0,1)</f>
        <v>4</v>
      </c>
      <c r="F923" s="51">
        <f>_xlfn.XLOOKUP(A923,Table4[instant],Table4[weathersit], ,0,1)</f>
        <v>1</v>
      </c>
      <c r="G923" s="42">
        <f>_xlfn.XLOOKUP(A923,Table4[instant],Table4[temp], ,0,1)</f>
        <v>0.12</v>
      </c>
      <c r="H923" s="54">
        <f>_xlfn.XLOOKUP(A923,Table4[instant],Table4[atemp], ,0,1)</f>
        <v>0.19700000000000001</v>
      </c>
      <c r="I923" s="42">
        <f>_xlfn.XLOOKUP(A923,Table4[instant],Table4[hum], ,0,1)</f>
        <v>0.39</v>
      </c>
      <c r="J923" s="42">
        <f>_xlfn.XLOOKUP(A923,Table4[instant],Table4[windspeed], ,0,1)</f>
        <v>0</v>
      </c>
      <c r="K923" s="42">
        <f>_xlfn.XLOOKUP(A923,Table4[instant],Table4[casual], ,0,1)</f>
        <v>4</v>
      </c>
      <c r="L923" s="42">
        <f>_xlfn.XLOOKUP(A923,Table4[instant],Table4[registered], ,0,1)</f>
        <v>47</v>
      </c>
      <c r="M923" s="46">
        <f>_xlfn.XLOOKUP(A923,Table4[instant],Table4[cnt], ,0,1)</f>
        <v>51</v>
      </c>
      <c r="N923" s="1" t="str">
        <f>IF(OR(Table3[[#This Row],[weekday]]=0,Table3[[#This Row],[weekday]]=6),"Weekend","Weekday")</f>
        <v>Weekday</v>
      </c>
    </row>
    <row r="924" spans="1:14" ht="15" thickBot="1" x14ac:dyDescent="0.35">
      <c r="A924" s="51">
        <v>923</v>
      </c>
      <c r="B924" s="52">
        <v>40584</v>
      </c>
      <c r="C924" s="51">
        <v>23</v>
      </c>
      <c r="D924" s="53" t="b">
        <v>0</v>
      </c>
      <c r="E924" s="51">
        <f>_xlfn.XLOOKUP(A924,Table4[instant],Table4[weekday], ,0,1)</f>
        <v>4</v>
      </c>
      <c r="F924" s="51">
        <f>_xlfn.XLOOKUP(A924,Table4[instant],Table4[weathersit], ,0,1)</f>
        <v>1</v>
      </c>
      <c r="G924" s="42">
        <f>_xlfn.XLOOKUP(A924,Table4[instant],Table4[temp], ,0,1)</f>
        <v>0.12</v>
      </c>
      <c r="H924" s="54">
        <f>_xlfn.XLOOKUP(A924,Table4[instant],Table4[atemp], ,0,1)</f>
        <v>0.1515</v>
      </c>
      <c r="I924" s="42">
        <f>_xlfn.XLOOKUP(A924,Table4[instant],Table4[hum], ,0,1)</f>
        <v>0.42</v>
      </c>
      <c r="J924" s="42">
        <f>_xlfn.XLOOKUP(A924,Table4[instant],Table4[windspeed], ,0,1)</f>
        <v>0.1045</v>
      </c>
      <c r="K924" s="42">
        <f>_xlfn.XLOOKUP(A924,Table4[instant],Table4[casual], ,0,1)</f>
        <v>1</v>
      </c>
      <c r="L924" s="42">
        <f>_xlfn.XLOOKUP(A924,Table4[instant],Table4[registered], ,0,1)</f>
        <v>33</v>
      </c>
      <c r="M924" s="46">
        <f>_xlfn.XLOOKUP(A924,Table4[instant],Table4[cnt], ,0,1)</f>
        <v>34</v>
      </c>
      <c r="N924" s="42" t="str">
        <f>IF(OR(Table3[[#This Row],[weekday]]=0,Table3[[#This Row],[weekday]]=6),"Weekend","Weekday")</f>
        <v>Weekday</v>
      </c>
    </row>
    <row r="925" spans="1:14" ht="15" thickBot="1" x14ac:dyDescent="0.35">
      <c r="A925" s="48">
        <v>924</v>
      </c>
      <c r="B925" s="49">
        <v>40585</v>
      </c>
      <c r="C925" s="48">
        <v>0</v>
      </c>
      <c r="D925" s="50" t="b">
        <v>0</v>
      </c>
      <c r="E925" s="51">
        <f>_xlfn.XLOOKUP(A925,Table4[instant],Table4[weekday], ,0,1)</f>
        <v>5</v>
      </c>
      <c r="F925" s="51">
        <f>_xlfn.XLOOKUP(A925,Table4[instant],Table4[weathersit], ,0,1)</f>
        <v>1</v>
      </c>
      <c r="G925" s="42">
        <f>_xlfn.XLOOKUP(A925,Table4[instant],Table4[temp], ,0,1)</f>
        <v>0.1</v>
      </c>
      <c r="H925" s="54">
        <f>_xlfn.XLOOKUP(A925,Table4[instant],Table4[atemp], ,0,1)</f>
        <v>0.13639999999999999</v>
      </c>
      <c r="I925" s="42">
        <f>_xlfn.XLOOKUP(A925,Table4[instant],Table4[hum], ,0,1)</f>
        <v>0.49</v>
      </c>
      <c r="J925" s="42">
        <f>_xlfn.XLOOKUP(A925,Table4[instant],Table4[windspeed], ,0,1)</f>
        <v>0.1045</v>
      </c>
      <c r="K925" s="42">
        <f>_xlfn.XLOOKUP(A925,Table4[instant],Table4[casual], ,0,1)</f>
        <v>2</v>
      </c>
      <c r="L925" s="42">
        <f>_xlfn.XLOOKUP(A925,Table4[instant],Table4[registered], ,0,1)</f>
        <v>12</v>
      </c>
      <c r="M925" s="46">
        <f>_xlfn.XLOOKUP(A925,Table4[instant],Table4[cnt], ,0,1)</f>
        <v>14</v>
      </c>
      <c r="N925" s="1" t="str">
        <f>IF(OR(Table3[[#This Row],[weekday]]=0,Table3[[#This Row],[weekday]]=6),"Weekend","Weekday")</f>
        <v>Weekday</v>
      </c>
    </row>
    <row r="926" spans="1:14" ht="15" thickBot="1" x14ac:dyDescent="0.35">
      <c r="A926" s="51">
        <v>925</v>
      </c>
      <c r="B926" s="52">
        <v>40585</v>
      </c>
      <c r="C926" s="51">
        <v>1</v>
      </c>
      <c r="D926" s="53" t="b">
        <v>0</v>
      </c>
      <c r="E926" s="51">
        <f>_xlfn.XLOOKUP(A926,Table4[instant],Table4[weekday], ,0,1)</f>
        <v>5</v>
      </c>
      <c r="F926" s="51">
        <f>_xlfn.XLOOKUP(A926,Table4[instant],Table4[weathersit], ,0,1)</f>
        <v>1</v>
      </c>
      <c r="G926" s="42">
        <f>_xlfn.XLOOKUP(A926,Table4[instant],Table4[temp], ,0,1)</f>
        <v>0.1</v>
      </c>
      <c r="H926" s="54">
        <f>_xlfn.XLOOKUP(A926,Table4[instant],Table4[atemp], ,0,1)</f>
        <v>0.13639999999999999</v>
      </c>
      <c r="I926" s="42">
        <f>_xlfn.XLOOKUP(A926,Table4[instant],Table4[hum], ,0,1)</f>
        <v>0.54</v>
      </c>
      <c r="J926" s="42">
        <f>_xlfn.XLOOKUP(A926,Table4[instant],Table4[windspeed], ,0,1)</f>
        <v>8.9599999999999999E-2</v>
      </c>
      <c r="K926" s="42">
        <f>_xlfn.XLOOKUP(A926,Table4[instant],Table4[casual], ,0,1)</f>
        <v>1</v>
      </c>
      <c r="L926" s="42">
        <f>_xlfn.XLOOKUP(A926,Table4[instant],Table4[registered], ,0,1)</f>
        <v>6</v>
      </c>
      <c r="M926" s="46">
        <f>_xlfn.XLOOKUP(A926,Table4[instant],Table4[cnt], ,0,1)</f>
        <v>7</v>
      </c>
      <c r="N926" s="42" t="str">
        <f>IF(OR(Table3[[#This Row],[weekday]]=0,Table3[[#This Row],[weekday]]=6),"Weekend","Weekday")</f>
        <v>Weekday</v>
      </c>
    </row>
    <row r="927" spans="1:14" ht="15" thickBot="1" x14ac:dyDescent="0.35">
      <c r="A927" s="48">
        <v>926</v>
      </c>
      <c r="B927" s="49">
        <v>40585</v>
      </c>
      <c r="C927" s="48">
        <v>2</v>
      </c>
      <c r="D927" s="50" t="b">
        <v>0</v>
      </c>
      <c r="E927" s="51">
        <f>_xlfn.XLOOKUP(A927,Table4[instant],Table4[weekday], ,0,1)</f>
        <v>5</v>
      </c>
      <c r="F927" s="51">
        <f>_xlfn.XLOOKUP(A927,Table4[instant],Table4[weathersit], ,0,1)</f>
        <v>1</v>
      </c>
      <c r="G927" s="42">
        <f>_xlfn.XLOOKUP(A927,Table4[instant],Table4[temp], ,0,1)</f>
        <v>0.1</v>
      </c>
      <c r="H927" s="54">
        <f>_xlfn.XLOOKUP(A927,Table4[instant],Table4[atemp], ,0,1)</f>
        <v>0.13639999999999999</v>
      </c>
      <c r="I927" s="42">
        <f>_xlfn.XLOOKUP(A927,Table4[instant],Table4[hum], ,0,1)</f>
        <v>0.54</v>
      </c>
      <c r="J927" s="42">
        <f>_xlfn.XLOOKUP(A927,Table4[instant],Table4[windspeed], ,0,1)</f>
        <v>8.9599999999999999E-2</v>
      </c>
      <c r="K927" s="42">
        <f>_xlfn.XLOOKUP(A927,Table4[instant],Table4[casual], ,0,1)</f>
        <v>0</v>
      </c>
      <c r="L927" s="42">
        <f>_xlfn.XLOOKUP(A927,Table4[instant],Table4[registered], ,0,1)</f>
        <v>3</v>
      </c>
      <c r="M927" s="46">
        <f>_xlfn.XLOOKUP(A927,Table4[instant],Table4[cnt], ,0,1)</f>
        <v>3</v>
      </c>
      <c r="N927" s="1" t="str">
        <f>IF(OR(Table3[[#This Row],[weekday]]=0,Table3[[#This Row],[weekday]]=6),"Weekend","Weekday")</f>
        <v>Weekday</v>
      </c>
    </row>
    <row r="928" spans="1:14" ht="15" thickBot="1" x14ac:dyDescent="0.35">
      <c r="A928" s="51">
        <v>927</v>
      </c>
      <c r="B928" s="52">
        <v>40585</v>
      </c>
      <c r="C928" s="51">
        <v>5</v>
      </c>
      <c r="D928" s="53" t="b">
        <v>0</v>
      </c>
      <c r="E928" s="51">
        <f>_xlfn.XLOOKUP(A928,Table4[instant],Table4[weekday], ,0,1)</f>
        <v>5</v>
      </c>
      <c r="F928" s="51">
        <f>_xlfn.XLOOKUP(A928,Table4[instant],Table4[weathersit], ,0,1)</f>
        <v>1</v>
      </c>
      <c r="G928" s="42">
        <f>_xlfn.XLOOKUP(A928,Table4[instant],Table4[temp], ,0,1)</f>
        <v>0.08</v>
      </c>
      <c r="H928" s="54">
        <f>_xlfn.XLOOKUP(A928,Table4[instant],Table4[atemp], ,0,1)</f>
        <v>0.1212</v>
      </c>
      <c r="I928" s="42">
        <f>_xlfn.XLOOKUP(A928,Table4[instant],Table4[hum], ,0,1)</f>
        <v>0.63</v>
      </c>
      <c r="J928" s="42">
        <f>_xlfn.XLOOKUP(A928,Table4[instant],Table4[windspeed], ,0,1)</f>
        <v>8.9599999999999999E-2</v>
      </c>
      <c r="K928" s="42">
        <f>_xlfn.XLOOKUP(A928,Table4[instant],Table4[casual], ,0,1)</f>
        <v>0</v>
      </c>
      <c r="L928" s="42">
        <f>_xlfn.XLOOKUP(A928,Table4[instant],Table4[registered], ,0,1)</f>
        <v>4</v>
      </c>
      <c r="M928" s="46">
        <f>_xlfn.XLOOKUP(A928,Table4[instant],Table4[cnt], ,0,1)</f>
        <v>4</v>
      </c>
      <c r="N928" s="42" t="str">
        <f>IF(OR(Table3[[#This Row],[weekday]]=0,Table3[[#This Row],[weekday]]=6),"Weekend","Weekday")</f>
        <v>Weekday</v>
      </c>
    </row>
    <row r="929" spans="1:14" ht="15" thickBot="1" x14ac:dyDescent="0.35">
      <c r="A929" s="48">
        <v>928</v>
      </c>
      <c r="B929" s="49">
        <v>40585</v>
      </c>
      <c r="C929" s="48">
        <v>6</v>
      </c>
      <c r="D929" s="50" t="b">
        <v>0</v>
      </c>
      <c r="E929" s="51">
        <f>_xlfn.XLOOKUP(A929,Table4[instant],Table4[weekday], ,0,1)</f>
        <v>5</v>
      </c>
      <c r="F929" s="51">
        <f>_xlfn.XLOOKUP(A929,Table4[instant],Table4[weathersit], ,0,1)</f>
        <v>1</v>
      </c>
      <c r="G929" s="42">
        <f>_xlfn.XLOOKUP(A929,Table4[instant],Table4[temp], ,0,1)</f>
        <v>0.1</v>
      </c>
      <c r="H929" s="54">
        <f>_xlfn.XLOOKUP(A929,Table4[instant],Table4[atemp], ,0,1)</f>
        <v>0.18179999999999999</v>
      </c>
      <c r="I929" s="42">
        <f>_xlfn.XLOOKUP(A929,Table4[instant],Table4[hum], ,0,1)</f>
        <v>0.68</v>
      </c>
      <c r="J929" s="42">
        <f>_xlfn.XLOOKUP(A929,Table4[instant],Table4[windspeed], ,0,1)</f>
        <v>0</v>
      </c>
      <c r="K929" s="42">
        <f>_xlfn.XLOOKUP(A929,Table4[instant],Table4[casual], ,0,1)</f>
        <v>1</v>
      </c>
      <c r="L929" s="42">
        <f>_xlfn.XLOOKUP(A929,Table4[instant],Table4[registered], ,0,1)</f>
        <v>23</v>
      </c>
      <c r="M929" s="46">
        <f>_xlfn.XLOOKUP(A929,Table4[instant],Table4[cnt], ,0,1)</f>
        <v>24</v>
      </c>
      <c r="N929" s="1" t="str">
        <f>IF(OR(Table3[[#This Row],[weekday]]=0,Table3[[#This Row],[weekday]]=6),"Weekend","Weekday")</f>
        <v>Weekday</v>
      </c>
    </row>
    <row r="930" spans="1:14" ht="15" thickBot="1" x14ac:dyDescent="0.35">
      <c r="A930" s="51">
        <v>929</v>
      </c>
      <c r="B930" s="52">
        <v>40585</v>
      </c>
      <c r="C930" s="51">
        <v>7</v>
      </c>
      <c r="D930" s="53" t="b">
        <v>0</v>
      </c>
      <c r="E930" s="51">
        <f>_xlfn.XLOOKUP(A930,Table4[instant],Table4[weekday], ,0,1)</f>
        <v>5</v>
      </c>
      <c r="F930" s="51">
        <f>_xlfn.XLOOKUP(A930,Table4[instant],Table4[weathersit], ,0,1)</f>
        <v>1</v>
      </c>
      <c r="G930" s="42">
        <f>_xlfn.XLOOKUP(A930,Table4[instant],Table4[temp], ,0,1)</f>
        <v>0.08</v>
      </c>
      <c r="H930" s="54">
        <f>_xlfn.XLOOKUP(A930,Table4[instant],Table4[atemp], ,0,1)</f>
        <v>0.16669999999999999</v>
      </c>
      <c r="I930" s="42">
        <f>_xlfn.XLOOKUP(A930,Table4[instant],Table4[hum], ,0,1)</f>
        <v>0.73</v>
      </c>
      <c r="J930" s="42">
        <f>_xlfn.XLOOKUP(A930,Table4[instant],Table4[windspeed], ,0,1)</f>
        <v>0</v>
      </c>
      <c r="K930" s="42">
        <f>_xlfn.XLOOKUP(A930,Table4[instant],Table4[casual], ,0,1)</f>
        <v>1</v>
      </c>
      <c r="L930" s="42">
        <f>_xlfn.XLOOKUP(A930,Table4[instant],Table4[registered], ,0,1)</f>
        <v>73</v>
      </c>
      <c r="M930" s="46">
        <f>_xlfn.XLOOKUP(A930,Table4[instant],Table4[cnt], ,0,1)</f>
        <v>74</v>
      </c>
      <c r="N930" s="42" t="str">
        <f>IF(OR(Table3[[#This Row],[weekday]]=0,Table3[[#This Row],[weekday]]=6),"Weekend","Weekday")</f>
        <v>Weekday</v>
      </c>
    </row>
    <row r="931" spans="1:14" ht="15" thickBot="1" x14ac:dyDescent="0.35">
      <c r="A931" s="48">
        <v>930</v>
      </c>
      <c r="B931" s="49">
        <v>40585</v>
      </c>
      <c r="C931" s="48">
        <v>8</v>
      </c>
      <c r="D931" s="50" t="b">
        <v>0</v>
      </c>
      <c r="E931" s="51">
        <f>_xlfn.XLOOKUP(A931,Table4[instant],Table4[weekday], ,0,1)</f>
        <v>5</v>
      </c>
      <c r="F931" s="51">
        <f>_xlfn.XLOOKUP(A931,Table4[instant],Table4[weathersit], ,0,1)</f>
        <v>1</v>
      </c>
      <c r="G931" s="42">
        <f>_xlfn.XLOOKUP(A931,Table4[instant],Table4[temp], ,0,1)</f>
        <v>0.1</v>
      </c>
      <c r="H931" s="54">
        <f>_xlfn.XLOOKUP(A931,Table4[instant],Table4[atemp], ,0,1)</f>
        <v>0.1212</v>
      </c>
      <c r="I931" s="42">
        <f>_xlfn.XLOOKUP(A931,Table4[instant],Table4[hum], ,0,1)</f>
        <v>0.74</v>
      </c>
      <c r="J931" s="42">
        <f>_xlfn.XLOOKUP(A931,Table4[instant],Table4[windspeed], ,0,1)</f>
        <v>0.16420000000000001</v>
      </c>
      <c r="K931" s="42">
        <f>_xlfn.XLOOKUP(A931,Table4[instant],Table4[casual], ,0,1)</f>
        <v>4</v>
      </c>
      <c r="L931" s="42">
        <f>_xlfn.XLOOKUP(A931,Table4[instant],Table4[registered], ,0,1)</f>
        <v>212</v>
      </c>
      <c r="M931" s="46">
        <f>_xlfn.XLOOKUP(A931,Table4[instant],Table4[cnt], ,0,1)</f>
        <v>216</v>
      </c>
      <c r="N931" s="1" t="str">
        <f>IF(OR(Table3[[#This Row],[weekday]]=0,Table3[[#This Row],[weekday]]=6),"Weekend","Weekday")</f>
        <v>Weekday</v>
      </c>
    </row>
    <row r="932" spans="1:14" ht="15" thickBot="1" x14ac:dyDescent="0.35">
      <c r="A932" s="51">
        <v>931</v>
      </c>
      <c r="B932" s="52">
        <v>40585</v>
      </c>
      <c r="C932" s="51">
        <v>9</v>
      </c>
      <c r="D932" s="53" t="b">
        <v>0</v>
      </c>
      <c r="E932" s="51">
        <f>_xlfn.XLOOKUP(A932,Table4[instant],Table4[weekday], ,0,1)</f>
        <v>5</v>
      </c>
      <c r="F932" s="51">
        <f>_xlfn.XLOOKUP(A932,Table4[instant],Table4[weathersit], ,0,1)</f>
        <v>1</v>
      </c>
      <c r="G932" s="42">
        <f>_xlfn.XLOOKUP(A932,Table4[instant],Table4[temp], ,0,1)</f>
        <v>0.12</v>
      </c>
      <c r="H932" s="54">
        <f>_xlfn.XLOOKUP(A932,Table4[instant],Table4[atemp], ,0,1)</f>
        <v>0.1212</v>
      </c>
      <c r="I932" s="42">
        <f>_xlfn.XLOOKUP(A932,Table4[instant],Table4[hum], ,0,1)</f>
        <v>0.74</v>
      </c>
      <c r="J932" s="42">
        <f>_xlfn.XLOOKUP(A932,Table4[instant],Table4[windspeed], ,0,1)</f>
        <v>0.22389999999999999</v>
      </c>
      <c r="K932" s="42">
        <f>_xlfn.XLOOKUP(A932,Table4[instant],Table4[casual], ,0,1)</f>
        <v>8</v>
      </c>
      <c r="L932" s="42">
        <f>_xlfn.XLOOKUP(A932,Table4[instant],Table4[registered], ,0,1)</f>
        <v>132</v>
      </c>
      <c r="M932" s="46">
        <f>_xlfn.XLOOKUP(A932,Table4[instant],Table4[cnt], ,0,1)</f>
        <v>140</v>
      </c>
      <c r="N932" s="42" t="str">
        <f>IF(OR(Table3[[#This Row],[weekday]]=0,Table3[[#This Row],[weekday]]=6),"Weekend","Weekday")</f>
        <v>Weekday</v>
      </c>
    </row>
    <row r="933" spans="1:14" ht="15" thickBot="1" x14ac:dyDescent="0.35">
      <c r="A933" s="48">
        <v>932</v>
      </c>
      <c r="B933" s="49">
        <v>40585</v>
      </c>
      <c r="C933" s="48">
        <v>10</v>
      </c>
      <c r="D933" s="50" t="b">
        <v>0</v>
      </c>
      <c r="E933" s="51">
        <f>_xlfn.XLOOKUP(A933,Table4[instant],Table4[weekday], ,0,1)</f>
        <v>5</v>
      </c>
      <c r="F933" s="51">
        <f>_xlfn.XLOOKUP(A933,Table4[instant],Table4[weathersit], ,0,1)</f>
        <v>1</v>
      </c>
      <c r="G933" s="42">
        <f>_xlfn.XLOOKUP(A933,Table4[instant],Table4[temp], ,0,1)</f>
        <v>0.14000000000000001</v>
      </c>
      <c r="H933" s="54">
        <f>_xlfn.XLOOKUP(A933,Table4[instant],Table4[atemp], ,0,1)</f>
        <v>0.13639999999999999</v>
      </c>
      <c r="I933" s="42">
        <f>_xlfn.XLOOKUP(A933,Table4[instant],Table4[hum], ,0,1)</f>
        <v>0.69</v>
      </c>
      <c r="J933" s="42">
        <f>_xlfn.XLOOKUP(A933,Table4[instant],Table4[windspeed], ,0,1)</f>
        <v>0.19400000000000001</v>
      </c>
      <c r="K933" s="42">
        <f>_xlfn.XLOOKUP(A933,Table4[instant],Table4[casual], ,0,1)</f>
        <v>5</v>
      </c>
      <c r="L933" s="42">
        <f>_xlfn.XLOOKUP(A933,Table4[instant],Table4[registered], ,0,1)</f>
        <v>39</v>
      </c>
      <c r="M933" s="46">
        <f>_xlfn.XLOOKUP(A933,Table4[instant],Table4[cnt], ,0,1)</f>
        <v>44</v>
      </c>
      <c r="N933" s="1" t="str">
        <f>IF(OR(Table3[[#This Row],[weekday]]=0,Table3[[#This Row],[weekday]]=6),"Weekend","Weekday")</f>
        <v>Weekday</v>
      </c>
    </row>
    <row r="934" spans="1:14" ht="15" thickBot="1" x14ac:dyDescent="0.35">
      <c r="A934" s="51">
        <v>933</v>
      </c>
      <c r="B934" s="52">
        <v>40585</v>
      </c>
      <c r="C934" s="51">
        <v>11</v>
      </c>
      <c r="D934" s="53" t="b">
        <v>0</v>
      </c>
      <c r="E934" s="51">
        <f>_xlfn.XLOOKUP(A934,Table4[instant],Table4[weekday], ,0,1)</f>
        <v>5</v>
      </c>
      <c r="F934" s="51">
        <f>_xlfn.XLOOKUP(A934,Table4[instant],Table4[weathersit], ,0,1)</f>
        <v>1</v>
      </c>
      <c r="G934" s="42">
        <f>_xlfn.XLOOKUP(A934,Table4[instant],Table4[temp], ,0,1)</f>
        <v>0.22</v>
      </c>
      <c r="H934" s="54">
        <f>_xlfn.XLOOKUP(A934,Table4[instant],Table4[atemp], ,0,1)</f>
        <v>0.2273</v>
      </c>
      <c r="I934" s="42">
        <f>_xlfn.XLOOKUP(A934,Table4[instant],Table4[hum], ,0,1)</f>
        <v>0.47</v>
      </c>
      <c r="J934" s="42">
        <f>_xlfn.XLOOKUP(A934,Table4[instant],Table4[windspeed], ,0,1)</f>
        <v>0.1343</v>
      </c>
      <c r="K934" s="42">
        <f>_xlfn.XLOOKUP(A934,Table4[instant],Table4[casual], ,0,1)</f>
        <v>12</v>
      </c>
      <c r="L934" s="42">
        <f>_xlfn.XLOOKUP(A934,Table4[instant],Table4[registered], ,0,1)</f>
        <v>52</v>
      </c>
      <c r="M934" s="46">
        <f>_xlfn.XLOOKUP(A934,Table4[instant],Table4[cnt], ,0,1)</f>
        <v>64</v>
      </c>
      <c r="N934" s="42" t="str">
        <f>IF(OR(Table3[[#This Row],[weekday]]=0,Table3[[#This Row],[weekday]]=6),"Weekend","Weekday")</f>
        <v>Weekday</v>
      </c>
    </row>
    <row r="935" spans="1:14" ht="15" thickBot="1" x14ac:dyDescent="0.35">
      <c r="A935" s="48">
        <v>934</v>
      </c>
      <c r="B935" s="49">
        <v>40585</v>
      </c>
      <c r="C935" s="48">
        <v>12</v>
      </c>
      <c r="D935" s="50" t="b">
        <v>0</v>
      </c>
      <c r="E935" s="51">
        <f>_xlfn.XLOOKUP(A935,Table4[instant],Table4[weekday], ,0,1)</f>
        <v>5</v>
      </c>
      <c r="F935" s="51">
        <f>_xlfn.XLOOKUP(A935,Table4[instant],Table4[weathersit], ,0,1)</f>
        <v>1</v>
      </c>
      <c r="G935" s="42">
        <f>_xlfn.XLOOKUP(A935,Table4[instant],Table4[temp], ,0,1)</f>
        <v>0.22</v>
      </c>
      <c r="H935" s="54">
        <f>_xlfn.XLOOKUP(A935,Table4[instant],Table4[atemp], ,0,1)</f>
        <v>0.2273</v>
      </c>
      <c r="I935" s="42">
        <f>_xlfn.XLOOKUP(A935,Table4[instant],Table4[hum], ,0,1)</f>
        <v>0.47</v>
      </c>
      <c r="J935" s="42">
        <f>_xlfn.XLOOKUP(A935,Table4[instant],Table4[windspeed], ,0,1)</f>
        <v>0.1343</v>
      </c>
      <c r="K935" s="42">
        <f>_xlfn.XLOOKUP(A935,Table4[instant],Table4[casual], ,0,1)</f>
        <v>7</v>
      </c>
      <c r="L935" s="42">
        <f>_xlfn.XLOOKUP(A935,Table4[instant],Table4[registered], ,0,1)</f>
        <v>64</v>
      </c>
      <c r="M935" s="46">
        <f>_xlfn.XLOOKUP(A935,Table4[instant],Table4[cnt], ,0,1)</f>
        <v>71</v>
      </c>
      <c r="N935" s="1" t="str">
        <f>IF(OR(Table3[[#This Row],[weekday]]=0,Table3[[#This Row],[weekday]]=6),"Weekend","Weekday")</f>
        <v>Weekday</v>
      </c>
    </row>
    <row r="936" spans="1:14" ht="15" thickBot="1" x14ac:dyDescent="0.35">
      <c r="A936" s="51">
        <v>935</v>
      </c>
      <c r="B936" s="52">
        <v>40585</v>
      </c>
      <c r="C936" s="51">
        <v>13</v>
      </c>
      <c r="D936" s="53" t="b">
        <v>0</v>
      </c>
      <c r="E936" s="51">
        <f>_xlfn.XLOOKUP(A936,Table4[instant],Table4[weekday], ,0,1)</f>
        <v>5</v>
      </c>
      <c r="F936" s="51">
        <f>_xlfn.XLOOKUP(A936,Table4[instant],Table4[weathersit], ,0,1)</f>
        <v>1</v>
      </c>
      <c r="G936" s="42">
        <f>_xlfn.XLOOKUP(A936,Table4[instant],Table4[temp], ,0,1)</f>
        <v>0.24</v>
      </c>
      <c r="H936" s="54">
        <f>_xlfn.XLOOKUP(A936,Table4[instant],Table4[atemp], ,0,1)</f>
        <v>0.2273</v>
      </c>
      <c r="I936" s="42">
        <f>_xlfn.XLOOKUP(A936,Table4[instant],Table4[hum], ,0,1)</f>
        <v>0.35</v>
      </c>
      <c r="J936" s="42">
        <f>_xlfn.XLOOKUP(A936,Table4[instant],Table4[windspeed], ,0,1)</f>
        <v>0.19400000000000001</v>
      </c>
      <c r="K936" s="42">
        <f>_xlfn.XLOOKUP(A936,Table4[instant],Table4[casual], ,0,1)</f>
        <v>21</v>
      </c>
      <c r="L936" s="42">
        <f>_xlfn.XLOOKUP(A936,Table4[instant],Table4[registered], ,0,1)</f>
        <v>89</v>
      </c>
      <c r="M936" s="46">
        <f>_xlfn.XLOOKUP(A936,Table4[instant],Table4[cnt], ,0,1)</f>
        <v>110</v>
      </c>
      <c r="N936" s="42" t="str">
        <f>IF(OR(Table3[[#This Row],[weekday]]=0,Table3[[#This Row],[weekday]]=6),"Weekend","Weekday")</f>
        <v>Weekday</v>
      </c>
    </row>
    <row r="937" spans="1:14" ht="15" thickBot="1" x14ac:dyDescent="0.35">
      <c r="A937" s="48">
        <v>936</v>
      </c>
      <c r="B937" s="49">
        <v>40585</v>
      </c>
      <c r="C937" s="48">
        <v>14</v>
      </c>
      <c r="D937" s="50" t="b">
        <v>0</v>
      </c>
      <c r="E937" s="51">
        <f>_xlfn.XLOOKUP(A937,Table4[instant],Table4[weekday], ,0,1)</f>
        <v>5</v>
      </c>
      <c r="F937" s="51">
        <f>_xlfn.XLOOKUP(A937,Table4[instant],Table4[weathersit], ,0,1)</f>
        <v>1</v>
      </c>
      <c r="G937" s="42">
        <f>_xlfn.XLOOKUP(A937,Table4[instant],Table4[temp], ,0,1)</f>
        <v>0.3</v>
      </c>
      <c r="H937" s="54">
        <f>_xlfn.XLOOKUP(A937,Table4[instant],Table4[atemp], ,0,1)</f>
        <v>0.28789999999999999</v>
      </c>
      <c r="I937" s="42">
        <f>_xlfn.XLOOKUP(A937,Table4[instant],Table4[hum], ,0,1)</f>
        <v>0.26</v>
      </c>
      <c r="J937" s="42">
        <f>_xlfn.XLOOKUP(A937,Table4[instant],Table4[windspeed], ,0,1)</f>
        <v>0.25369999999999998</v>
      </c>
      <c r="K937" s="42">
        <f>_xlfn.XLOOKUP(A937,Table4[instant],Table4[casual], ,0,1)</f>
        <v>17</v>
      </c>
      <c r="L937" s="42">
        <f>_xlfn.XLOOKUP(A937,Table4[instant],Table4[registered], ,0,1)</f>
        <v>67</v>
      </c>
      <c r="M937" s="46">
        <f>_xlfn.XLOOKUP(A937,Table4[instant],Table4[cnt], ,0,1)</f>
        <v>84</v>
      </c>
      <c r="N937" s="1" t="str">
        <f>IF(OR(Table3[[#This Row],[weekday]]=0,Table3[[#This Row],[weekday]]=6),"Weekend","Weekday")</f>
        <v>Weekday</v>
      </c>
    </row>
    <row r="938" spans="1:14" ht="15" thickBot="1" x14ac:dyDescent="0.35">
      <c r="A938" s="51">
        <v>937</v>
      </c>
      <c r="B938" s="52">
        <v>40585</v>
      </c>
      <c r="C938" s="51">
        <v>15</v>
      </c>
      <c r="D938" s="53" t="b">
        <v>0</v>
      </c>
      <c r="E938" s="51">
        <f>_xlfn.XLOOKUP(A938,Table4[instant],Table4[weekday], ,0,1)</f>
        <v>5</v>
      </c>
      <c r="F938" s="51">
        <f>_xlfn.XLOOKUP(A938,Table4[instant],Table4[weathersit], ,0,1)</f>
        <v>1</v>
      </c>
      <c r="G938" s="42">
        <f>_xlfn.XLOOKUP(A938,Table4[instant],Table4[temp], ,0,1)</f>
        <v>0.32</v>
      </c>
      <c r="H938" s="54">
        <f>_xlfn.XLOOKUP(A938,Table4[instant],Table4[atemp], ,0,1)</f>
        <v>0.31819999999999998</v>
      </c>
      <c r="I938" s="42">
        <f>_xlfn.XLOOKUP(A938,Table4[instant],Table4[hum], ,0,1)</f>
        <v>0.21</v>
      </c>
      <c r="J938" s="42">
        <f>_xlfn.XLOOKUP(A938,Table4[instant],Table4[windspeed], ,0,1)</f>
        <v>0.16420000000000001</v>
      </c>
      <c r="K938" s="42">
        <f>_xlfn.XLOOKUP(A938,Table4[instant],Table4[casual], ,0,1)</f>
        <v>12</v>
      </c>
      <c r="L938" s="42">
        <f>_xlfn.XLOOKUP(A938,Table4[instant],Table4[registered], ,0,1)</f>
        <v>62</v>
      </c>
      <c r="M938" s="46">
        <f>_xlfn.XLOOKUP(A938,Table4[instant],Table4[cnt], ,0,1)</f>
        <v>74</v>
      </c>
      <c r="N938" s="42" t="str">
        <f>IF(OR(Table3[[#This Row],[weekday]]=0,Table3[[#This Row],[weekday]]=6),"Weekend","Weekday")</f>
        <v>Weekday</v>
      </c>
    </row>
    <row r="939" spans="1:14" ht="15" thickBot="1" x14ac:dyDescent="0.35">
      <c r="A939" s="48">
        <v>938</v>
      </c>
      <c r="B939" s="49">
        <v>40585</v>
      </c>
      <c r="C939" s="48">
        <v>16</v>
      </c>
      <c r="D939" s="50" t="b">
        <v>0</v>
      </c>
      <c r="E939" s="51">
        <f>_xlfn.XLOOKUP(A939,Table4[instant],Table4[weekday], ,0,1)</f>
        <v>5</v>
      </c>
      <c r="F939" s="51">
        <f>_xlfn.XLOOKUP(A939,Table4[instant],Table4[weathersit], ,0,1)</f>
        <v>1</v>
      </c>
      <c r="G939" s="42">
        <f>_xlfn.XLOOKUP(A939,Table4[instant],Table4[temp], ,0,1)</f>
        <v>0.3</v>
      </c>
      <c r="H939" s="54">
        <f>_xlfn.XLOOKUP(A939,Table4[instant],Table4[atemp], ,0,1)</f>
        <v>0.28789999999999999</v>
      </c>
      <c r="I939" s="42">
        <f>_xlfn.XLOOKUP(A939,Table4[instant],Table4[hum], ,0,1)</f>
        <v>0.28000000000000003</v>
      </c>
      <c r="J939" s="42">
        <f>_xlfn.XLOOKUP(A939,Table4[instant],Table4[windspeed], ,0,1)</f>
        <v>0.19400000000000001</v>
      </c>
      <c r="K939" s="42">
        <f>_xlfn.XLOOKUP(A939,Table4[instant],Table4[casual], ,0,1)</f>
        <v>14</v>
      </c>
      <c r="L939" s="42">
        <f>_xlfn.XLOOKUP(A939,Table4[instant],Table4[registered], ,0,1)</f>
        <v>111</v>
      </c>
      <c r="M939" s="46">
        <f>_xlfn.XLOOKUP(A939,Table4[instant],Table4[cnt], ,0,1)</f>
        <v>125</v>
      </c>
      <c r="N939" s="1" t="str">
        <f>IF(OR(Table3[[#This Row],[weekday]]=0,Table3[[#This Row],[weekday]]=6),"Weekend","Weekday")</f>
        <v>Weekday</v>
      </c>
    </row>
    <row r="940" spans="1:14" ht="15" thickBot="1" x14ac:dyDescent="0.35">
      <c r="A940" s="51">
        <v>939</v>
      </c>
      <c r="B940" s="52">
        <v>40585</v>
      </c>
      <c r="C940" s="51">
        <v>17</v>
      </c>
      <c r="D940" s="53" t="b">
        <v>0</v>
      </c>
      <c r="E940" s="51">
        <f>_xlfn.XLOOKUP(A940,Table4[instant],Table4[weekday], ,0,1)</f>
        <v>5</v>
      </c>
      <c r="F940" s="51">
        <f>_xlfn.XLOOKUP(A940,Table4[instant],Table4[weathersit], ,0,1)</f>
        <v>1</v>
      </c>
      <c r="G940" s="42">
        <f>_xlfn.XLOOKUP(A940,Table4[instant],Table4[temp], ,0,1)</f>
        <v>0.3</v>
      </c>
      <c r="H940" s="54">
        <f>_xlfn.XLOOKUP(A940,Table4[instant],Table4[atemp], ,0,1)</f>
        <v>0.33329999999999999</v>
      </c>
      <c r="I940" s="42">
        <f>_xlfn.XLOOKUP(A940,Table4[instant],Table4[hum], ,0,1)</f>
        <v>0.24</v>
      </c>
      <c r="J940" s="42">
        <f>_xlfn.XLOOKUP(A940,Table4[instant],Table4[windspeed], ,0,1)</f>
        <v>0</v>
      </c>
      <c r="K940" s="42">
        <f>_xlfn.XLOOKUP(A940,Table4[instant],Table4[casual], ,0,1)</f>
        <v>18</v>
      </c>
      <c r="L940" s="42">
        <f>_xlfn.XLOOKUP(A940,Table4[instant],Table4[registered], ,0,1)</f>
        <v>193</v>
      </c>
      <c r="M940" s="46">
        <f>_xlfn.XLOOKUP(A940,Table4[instant],Table4[cnt], ,0,1)</f>
        <v>211</v>
      </c>
      <c r="N940" s="42" t="str">
        <f>IF(OR(Table3[[#This Row],[weekday]]=0,Table3[[#This Row],[weekday]]=6),"Weekend","Weekday")</f>
        <v>Weekday</v>
      </c>
    </row>
    <row r="941" spans="1:14" ht="15" thickBot="1" x14ac:dyDescent="0.35">
      <c r="A941" s="48">
        <v>940</v>
      </c>
      <c r="B941" s="49">
        <v>40585</v>
      </c>
      <c r="C941" s="48">
        <v>18</v>
      </c>
      <c r="D941" s="50" t="b">
        <v>0</v>
      </c>
      <c r="E941" s="51">
        <f>_xlfn.XLOOKUP(A941,Table4[instant],Table4[weekday], ,0,1)</f>
        <v>5</v>
      </c>
      <c r="F941" s="51">
        <f>_xlfn.XLOOKUP(A941,Table4[instant],Table4[weathersit], ,0,1)</f>
        <v>1</v>
      </c>
      <c r="G941" s="42">
        <f>_xlfn.XLOOKUP(A941,Table4[instant],Table4[temp], ,0,1)</f>
        <v>0.28000000000000003</v>
      </c>
      <c r="H941" s="54">
        <f>_xlfn.XLOOKUP(A941,Table4[instant],Table4[atemp], ,0,1)</f>
        <v>0.31819999999999998</v>
      </c>
      <c r="I941" s="42">
        <f>_xlfn.XLOOKUP(A941,Table4[instant],Table4[hum], ,0,1)</f>
        <v>0.28000000000000003</v>
      </c>
      <c r="J941" s="42">
        <f>_xlfn.XLOOKUP(A941,Table4[instant],Table4[windspeed], ,0,1)</f>
        <v>0</v>
      </c>
      <c r="K941" s="42">
        <f>_xlfn.XLOOKUP(A941,Table4[instant],Table4[casual], ,0,1)</f>
        <v>9</v>
      </c>
      <c r="L941" s="42">
        <f>_xlfn.XLOOKUP(A941,Table4[instant],Table4[registered], ,0,1)</f>
        <v>165</v>
      </c>
      <c r="M941" s="46">
        <f>_xlfn.XLOOKUP(A941,Table4[instant],Table4[cnt], ,0,1)</f>
        <v>174</v>
      </c>
      <c r="N941" s="1" t="str">
        <f>IF(OR(Table3[[#This Row],[weekday]]=0,Table3[[#This Row],[weekday]]=6),"Weekend","Weekday")</f>
        <v>Weekday</v>
      </c>
    </row>
    <row r="942" spans="1:14" ht="15" thickBot="1" x14ac:dyDescent="0.35">
      <c r="A942" s="51">
        <v>941</v>
      </c>
      <c r="B942" s="52">
        <v>40585</v>
      </c>
      <c r="C942" s="51">
        <v>19</v>
      </c>
      <c r="D942" s="53" t="b">
        <v>0</v>
      </c>
      <c r="E942" s="51">
        <f>_xlfn.XLOOKUP(A942,Table4[instant],Table4[weekday], ,0,1)</f>
        <v>5</v>
      </c>
      <c r="F942" s="51">
        <f>_xlfn.XLOOKUP(A942,Table4[instant],Table4[weathersit], ,0,1)</f>
        <v>1</v>
      </c>
      <c r="G942" s="42">
        <f>_xlfn.XLOOKUP(A942,Table4[instant],Table4[temp], ,0,1)</f>
        <v>0.26</v>
      </c>
      <c r="H942" s="54">
        <f>_xlfn.XLOOKUP(A942,Table4[instant],Table4[atemp], ,0,1)</f>
        <v>0.30299999999999999</v>
      </c>
      <c r="I942" s="42">
        <f>_xlfn.XLOOKUP(A942,Table4[instant],Table4[hum], ,0,1)</f>
        <v>0.33</v>
      </c>
      <c r="J942" s="42">
        <f>_xlfn.XLOOKUP(A942,Table4[instant],Table4[windspeed], ,0,1)</f>
        <v>0</v>
      </c>
      <c r="K942" s="42">
        <f>_xlfn.XLOOKUP(A942,Table4[instant],Table4[casual], ,0,1)</f>
        <v>7</v>
      </c>
      <c r="L942" s="42">
        <f>_xlfn.XLOOKUP(A942,Table4[instant],Table4[registered], ,0,1)</f>
        <v>94</v>
      </c>
      <c r="M942" s="46">
        <f>_xlfn.XLOOKUP(A942,Table4[instant],Table4[cnt], ,0,1)</f>
        <v>101</v>
      </c>
      <c r="N942" s="42" t="str">
        <f>IF(OR(Table3[[#This Row],[weekday]]=0,Table3[[#This Row],[weekday]]=6),"Weekend","Weekday")</f>
        <v>Weekday</v>
      </c>
    </row>
    <row r="943" spans="1:14" ht="15" thickBot="1" x14ac:dyDescent="0.35">
      <c r="A943" s="48">
        <v>942</v>
      </c>
      <c r="B943" s="49">
        <v>40585</v>
      </c>
      <c r="C943" s="48">
        <v>20</v>
      </c>
      <c r="D943" s="50" t="b">
        <v>0</v>
      </c>
      <c r="E943" s="51">
        <f>_xlfn.XLOOKUP(A943,Table4[instant],Table4[weekday], ,0,1)</f>
        <v>5</v>
      </c>
      <c r="F943" s="51">
        <f>_xlfn.XLOOKUP(A943,Table4[instant],Table4[weathersit], ,0,1)</f>
        <v>1</v>
      </c>
      <c r="G943" s="42">
        <f>_xlfn.XLOOKUP(A943,Table4[instant],Table4[temp], ,0,1)</f>
        <v>0.22</v>
      </c>
      <c r="H943" s="54">
        <f>_xlfn.XLOOKUP(A943,Table4[instant],Table4[atemp], ,0,1)</f>
        <v>0.2273</v>
      </c>
      <c r="I943" s="42">
        <f>_xlfn.XLOOKUP(A943,Table4[instant],Table4[hum], ,0,1)</f>
        <v>0.55000000000000004</v>
      </c>
      <c r="J943" s="42">
        <f>_xlfn.XLOOKUP(A943,Table4[instant],Table4[windspeed], ,0,1)</f>
        <v>0.1343</v>
      </c>
      <c r="K943" s="42">
        <f>_xlfn.XLOOKUP(A943,Table4[instant],Table4[casual], ,0,1)</f>
        <v>2</v>
      </c>
      <c r="L943" s="42">
        <f>_xlfn.XLOOKUP(A943,Table4[instant],Table4[registered], ,0,1)</f>
        <v>61</v>
      </c>
      <c r="M943" s="46">
        <f>_xlfn.XLOOKUP(A943,Table4[instant],Table4[cnt], ,0,1)</f>
        <v>63</v>
      </c>
      <c r="N943" s="1" t="str">
        <f>IF(OR(Table3[[#This Row],[weekday]]=0,Table3[[#This Row],[weekday]]=6),"Weekend","Weekday")</f>
        <v>Weekday</v>
      </c>
    </row>
    <row r="944" spans="1:14" ht="15" thickBot="1" x14ac:dyDescent="0.35">
      <c r="A944" s="51">
        <v>943</v>
      </c>
      <c r="B944" s="52">
        <v>40585</v>
      </c>
      <c r="C944" s="51">
        <v>21</v>
      </c>
      <c r="D944" s="53" t="b">
        <v>0</v>
      </c>
      <c r="E944" s="51">
        <f>_xlfn.XLOOKUP(A944,Table4[instant],Table4[weekday], ,0,1)</f>
        <v>5</v>
      </c>
      <c r="F944" s="51">
        <f>_xlfn.XLOOKUP(A944,Table4[instant],Table4[weathersit], ,0,1)</f>
        <v>1</v>
      </c>
      <c r="G944" s="42">
        <f>_xlfn.XLOOKUP(A944,Table4[instant],Table4[temp], ,0,1)</f>
        <v>0.2</v>
      </c>
      <c r="H944" s="54">
        <f>_xlfn.XLOOKUP(A944,Table4[instant],Table4[atemp], ,0,1)</f>
        <v>0.21210000000000001</v>
      </c>
      <c r="I944" s="42">
        <f>_xlfn.XLOOKUP(A944,Table4[instant],Table4[hum], ,0,1)</f>
        <v>0.59</v>
      </c>
      <c r="J944" s="42">
        <f>_xlfn.XLOOKUP(A944,Table4[instant],Table4[windspeed], ,0,1)</f>
        <v>0.1343</v>
      </c>
      <c r="K944" s="42">
        <f>_xlfn.XLOOKUP(A944,Table4[instant],Table4[casual], ,0,1)</f>
        <v>1</v>
      </c>
      <c r="L944" s="42">
        <f>_xlfn.XLOOKUP(A944,Table4[instant],Table4[registered], ,0,1)</f>
        <v>46</v>
      </c>
      <c r="M944" s="46">
        <f>_xlfn.XLOOKUP(A944,Table4[instant],Table4[cnt], ,0,1)</f>
        <v>47</v>
      </c>
      <c r="N944" s="42" t="str">
        <f>IF(OR(Table3[[#This Row],[weekday]]=0,Table3[[#This Row],[weekday]]=6),"Weekend","Weekday")</f>
        <v>Weekday</v>
      </c>
    </row>
    <row r="945" spans="1:14" ht="15" thickBot="1" x14ac:dyDescent="0.35">
      <c r="A945" s="48">
        <v>944</v>
      </c>
      <c r="B945" s="49">
        <v>40585</v>
      </c>
      <c r="C945" s="48">
        <v>22</v>
      </c>
      <c r="D945" s="50" t="b">
        <v>0</v>
      </c>
      <c r="E945" s="51">
        <f>_xlfn.XLOOKUP(A945,Table4[instant],Table4[weekday], ,0,1)</f>
        <v>5</v>
      </c>
      <c r="F945" s="51">
        <f>_xlfn.XLOOKUP(A945,Table4[instant],Table4[weathersit], ,0,1)</f>
        <v>1</v>
      </c>
      <c r="G945" s="42">
        <f>_xlfn.XLOOKUP(A945,Table4[instant],Table4[temp], ,0,1)</f>
        <v>0.2</v>
      </c>
      <c r="H945" s="54">
        <f>_xlfn.XLOOKUP(A945,Table4[instant],Table4[atemp], ,0,1)</f>
        <v>0.2273</v>
      </c>
      <c r="I945" s="42">
        <f>_xlfn.XLOOKUP(A945,Table4[instant],Table4[hum], ,0,1)</f>
        <v>0.64</v>
      </c>
      <c r="J945" s="42">
        <f>_xlfn.XLOOKUP(A945,Table4[instant],Table4[windspeed], ,0,1)</f>
        <v>8.9599999999999999E-2</v>
      </c>
      <c r="K945" s="42">
        <f>_xlfn.XLOOKUP(A945,Table4[instant],Table4[casual], ,0,1)</f>
        <v>2</v>
      </c>
      <c r="L945" s="42">
        <f>_xlfn.XLOOKUP(A945,Table4[instant],Table4[registered], ,0,1)</f>
        <v>41</v>
      </c>
      <c r="M945" s="46">
        <f>_xlfn.XLOOKUP(A945,Table4[instant],Table4[cnt], ,0,1)</f>
        <v>43</v>
      </c>
      <c r="N945" s="1" t="str">
        <f>IF(OR(Table3[[#This Row],[weekday]]=0,Table3[[#This Row],[weekday]]=6),"Weekend","Weekday")</f>
        <v>Weekday</v>
      </c>
    </row>
    <row r="946" spans="1:14" ht="15" thickBot="1" x14ac:dyDescent="0.35">
      <c r="A946" s="51">
        <v>945</v>
      </c>
      <c r="B946" s="52">
        <v>40585</v>
      </c>
      <c r="C946" s="51">
        <v>23</v>
      </c>
      <c r="D946" s="53" t="b">
        <v>0</v>
      </c>
      <c r="E946" s="51">
        <f>_xlfn.XLOOKUP(A946,Table4[instant],Table4[weekday], ,0,1)</f>
        <v>5</v>
      </c>
      <c r="F946" s="51">
        <f>_xlfn.XLOOKUP(A946,Table4[instant],Table4[weathersit], ,0,1)</f>
        <v>1</v>
      </c>
      <c r="G946" s="42">
        <f>_xlfn.XLOOKUP(A946,Table4[instant],Table4[temp], ,0,1)</f>
        <v>0.18</v>
      </c>
      <c r="H946" s="54">
        <f>_xlfn.XLOOKUP(A946,Table4[instant],Table4[atemp], ,0,1)</f>
        <v>0.2424</v>
      </c>
      <c r="I946" s="42">
        <f>_xlfn.XLOOKUP(A946,Table4[instant],Table4[hum], ,0,1)</f>
        <v>0.69</v>
      </c>
      <c r="J946" s="42">
        <f>_xlfn.XLOOKUP(A946,Table4[instant],Table4[windspeed], ,0,1)</f>
        <v>0</v>
      </c>
      <c r="K946" s="42">
        <f>_xlfn.XLOOKUP(A946,Table4[instant],Table4[casual], ,0,1)</f>
        <v>5</v>
      </c>
      <c r="L946" s="42">
        <f>_xlfn.XLOOKUP(A946,Table4[instant],Table4[registered], ,0,1)</f>
        <v>48</v>
      </c>
      <c r="M946" s="46">
        <f>_xlfn.XLOOKUP(A946,Table4[instant],Table4[cnt], ,0,1)</f>
        <v>53</v>
      </c>
      <c r="N946" s="42" t="str">
        <f>IF(OR(Table3[[#This Row],[weekday]]=0,Table3[[#This Row],[weekday]]=6),"Weekend","Weekday")</f>
        <v>Weekday</v>
      </c>
    </row>
    <row r="947" spans="1:14" ht="15" thickBot="1" x14ac:dyDescent="0.35">
      <c r="A947" s="48">
        <v>946</v>
      </c>
      <c r="B947" s="49">
        <v>40586</v>
      </c>
      <c r="C947" s="48">
        <v>0</v>
      </c>
      <c r="D947" s="50" t="b">
        <v>0</v>
      </c>
      <c r="E947" s="51">
        <f>_xlfn.XLOOKUP(A947,Table4[instant],Table4[weekday], ,0,1)</f>
        <v>6</v>
      </c>
      <c r="F947" s="51">
        <f>_xlfn.XLOOKUP(A947,Table4[instant],Table4[weathersit], ,0,1)</f>
        <v>1</v>
      </c>
      <c r="G947" s="42">
        <f>_xlfn.XLOOKUP(A947,Table4[instant],Table4[temp], ,0,1)</f>
        <v>0.16</v>
      </c>
      <c r="H947" s="54">
        <f>_xlfn.XLOOKUP(A947,Table4[instant],Table4[atemp], ,0,1)</f>
        <v>0.19700000000000001</v>
      </c>
      <c r="I947" s="42">
        <f>_xlfn.XLOOKUP(A947,Table4[instant],Table4[hum], ,0,1)</f>
        <v>0.69</v>
      </c>
      <c r="J947" s="42">
        <f>_xlfn.XLOOKUP(A947,Table4[instant],Table4[windspeed], ,0,1)</f>
        <v>8.9599999999999999E-2</v>
      </c>
      <c r="K947" s="42">
        <f>_xlfn.XLOOKUP(A947,Table4[instant],Table4[casual], ,0,1)</f>
        <v>3</v>
      </c>
      <c r="L947" s="42">
        <f>_xlfn.XLOOKUP(A947,Table4[instant],Table4[registered], ,0,1)</f>
        <v>27</v>
      </c>
      <c r="M947" s="46">
        <f>_xlfn.XLOOKUP(A947,Table4[instant],Table4[cnt], ,0,1)</f>
        <v>30</v>
      </c>
      <c r="N947" s="1" t="str">
        <f>IF(OR(Table3[[#This Row],[weekday]]=0,Table3[[#This Row],[weekday]]=6),"Weekend","Weekday")</f>
        <v>Weekend</v>
      </c>
    </row>
    <row r="948" spans="1:14" ht="15" thickBot="1" x14ac:dyDescent="0.35">
      <c r="A948" s="51">
        <v>947</v>
      </c>
      <c r="B948" s="52">
        <v>40586</v>
      </c>
      <c r="C948" s="51">
        <v>1</v>
      </c>
      <c r="D948" s="53" t="b">
        <v>0</v>
      </c>
      <c r="E948" s="51">
        <f>_xlfn.XLOOKUP(A948,Table4[instant],Table4[weekday], ,0,1)</f>
        <v>6</v>
      </c>
      <c r="F948" s="51">
        <f>_xlfn.XLOOKUP(A948,Table4[instant],Table4[weathersit], ,0,1)</f>
        <v>1</v>
      </c>
      <c r="G948" s="42">
        <f>_xlfn.XLOOKUP(A948,Table4[instant],Table4[temp], ,0,1)</f>
        <v>0.14000000000000001</v>
      </c>
      <c r="H948" s="54">
        <f>_xlfn.XLOOKUP(A948,Table4[instant],Table4[atemp], ,0,1)</f>
        <v>0.21210000000000001</v>
      </c>
      <c r="I948" s="42">
        <f>_xlfn.XLOOKUP(A948,Table4[instant],Table4[hum], ,0,1)</f>
        <v>0.86</v>
      </c>
      <c r="J948" s="42">
        <f>_xlfn.XLOOKUP(A948,Table4[instant],Table4[windspeed], ,0,1)</f>
        <v>0</v>
      </c>
      <c r="K948" s="42">
        <f>_xlfn.XLOOKUP(A948,Table4[instant],Table4[casual], ,0,1)</f>
        <v>2</v>
      </c>
      <c r="L948" s="42">
        <f>_xlfn.XLOOKUP(A948,Table4[instant],Table4[registered], ,0,1)</f>
        <v>22</v>
      </c>
      <c r="M948" s="46">
        <f>_xlfn.XLOOKUP(A948,Table4[instant],Table4[cnt], ,0,1)</f>
        <v>24</v>
      </c>
      <c r="N948" s="42" t="str">
        <f>IF(OR(Table3[[#This Row],[weekday]]=0,Table3[[#This Row],[weekday]]=6),"Weekend","Weekday")</f>
        <v>Weekend</v>
      </c>
    </row>
    <row r="949" spans="1:14" ht="15" thickBot="1" x14ac:dyDescent="0.35">
      <c r="A949" s="48">
        <v>948</v>
      </c>
      <c r="B949" s="49">
        <v>40586</v>
      </c>
      <c r="C949" s="48">
        <v>2</v>
      </c>
      <c r="D949" s="50" t="b">
        <v>0</v>
      </c>
      <c r="E949" s="51">
        <f>_xlfn.XLOOKUP(A949,Table4[instant],Table4[weekday], ,0,1)</f>
        <v>6</v>
      </c>
      <c r="F949" s="51">
        <f>_xlfn.XLOOKUP(A949,Table4[instant],Table4[weathersit], ,0,1)</f>
        <v>1</v>
      </c>
      <c r="G949" s="42">
        <f>_xlfn.XLOOKUP(A949,Table4[instant],Table4[temp], ,0,1)</f>
        <v>0.14000000000000001</v>
      </c>
      <c r="H949" s="54">
        <f>_xlfn.XLOOKUP(A949,Table4[instant],Table4[atemp], ,0,1)</f>
        <v>0.21210000000000001</v>
      </c>
      <c r="I949" s="42">
        <f>_xlfn.XLOOKUP(A949,Table4[instant],Table4[hum], ,0,1)</f>
        <v>0.8</v>
      </c>
      <c r="J949" s="42">
        <f>_xlfn.XLOOKUP(A949,Table4[instant],Table4[windspeed], ,0,1)</f>
        <v>0</v>
      </c>
      <c r="K949" s="42">
        <f>_xlfn.XLOOKUP(A949,Table4[instant],Table4[casual], ,0,1)</f>
        <v>2</v>
      </c>
      <c r="L949" s="42">
        <f>_xlfn.XLOOKUP(A949,Table4[instant],Table4[registered], ,0,1)</f>
        <v>13</v>
      </c>
      <c r="M949" s="46">
        <f>_xlfn.XLOOKUP(A949,Table4[instant],Table4[cnt], ,0,1)</f>
        <v>15</v>
      </c>
      <c r="N949" s="1" t="str">
        <f>IF(OR(Table3[[#This Row],[weekday]]=0,Table3[[#This Row],[weekday]]=6),"Weekend","Weekday")</f>
        <v>Weekend</v>
      </c>
    </row>
    <row r="950" spans="1:14" ht="15" thickBot="1" x14ac:dyDescent="0.35">
      <c r="A950" s="51">
        <v>949</v>
      </c>
      <c r="B950" s="52">
        <v>40586</v>
      </c>
      <c r="C950" s="51">
        <v>3</v>
      </c>
      <c r="D950" s="53" t="b">
        <v>0</v>
      </c>
      <c r="E950" s="51">
        <f>_xlfn.XLOOKUP(A950,Table4[instant],Table4[weekday], ,0,1)</f>
        <v>6</v>
      </c>
      <c r="F950" s="51">
        <f>_xlfn.XLOOKUP(A950,Table4[instant],Table4[weathersit], ,0,1)</f>
        <v>1</v>
      </c>
      <c r="G950" s="42">
        <f>_xlfn.XLOOKUP(A950,Table4[instant],Table4[temp], ,0,1)</f>
        <v>0.12</v>
      </c>
      <c r="H950" s="54">
        <f>_xlfn.XLOOKUP(A950,Table4[instant],Table4[atemp], ,0,1)</f>
        <v>0.19700000000000001</v>
      </c>
      <c r="I950" s="42">
        <f>_xlfn.XLOOKUP(A950,Table4[instant],Table4[hum], ,0,1)</f>
        <v>0.8</v>
      </c>
      <c r="J950" s="42">
        <f>_xlfn.XLOOKUP(A950,Table4[instant],Table4[windspeed], ,0,1)</f>
        <v>0</v>
      </c>
      <c r="K950" s="42">
        <f>_xlfn.XLOOKUP(A950,Table4[instant],Table4[casual], ,0,1)</f>
        <v>3</v>
      </c>
      <c r="L950" s="42">
        <f>_xlfn.XLOOKUP(A950,Table4[instant],Table4[registered], ,0,1)</f>
        <v>7</v>
      </c>
      <c r="M950" s="46">
        <f>_xlfn.XLOOKUP(A950,Table4[instant],Table4[cnt], ,0,1)</f>
        <v>10</v>
      </c>
      <c r="N950" s="42" t="str">
        <f>IF(OR(Table3[[#This Row],[weekday]]=0,Table3[[#This Row],[weekday]]=6),"Weekend","Weekday")</f>
        <v>Weekend</v>
      </c>
    </row>
    <row r="951" spans="1:14" ht="15" thickBot="1" x14ac:dyDescent="0.35">
      <c r="A951" s="48">
        <v>950</v>
      </c>
      <c r="B951" s="49">
        <v>40586</v>
      </c>
      <c r="C951" s="48">
        <v>4</v>
      </c>
      <c r="D951" s="50" t="b">
        <v>0</v>
      </c>
      <c r="E951" s="51">
        <f>_xlfn.XLOOKUP(A951,Table4[instant],Table4[weekday], ,0,1)</f>
        <v>6</v>
      </c>
      <c r="F951" s="51">
        <f>_xlfn.XLOOKUP(A951,Table4[instant],Table4[weathersit], ,0,1)</f>
        <v>1</v>
      </c>
      <c r="G951" s="42">
        <f>_xlfn.XLOOKUP(A951,Table4[instant],Table4[temp], ,0,1)</f>
        <v>0.12</v>
      </c>
      <c r="H951" s="54">
        <f>_xlfn.XLOOKUP(A951,Table4[instant],Table4[atemp], ,0,1)</f>
        <v>0.16669999999999999</v>
      </c>
      <c r="I951" s="42">
        <f>_xlfn.XLOOKUP(A951,Table4[instant],Table4[hum], ,0,1)</f>
        <v>0.74</v>
      </c>
      <c r="J951" s="42">
        <f>_xlfn.XLOOKUP(A951,Table4[instant],Table4[windspeed], ,0,1)</f>
        <v>8.9599999999999999E-2</v>
      </c>
      <c r="K951" s="42">
        <f>_xlfn.XLOOKUP(A951,Table4[instant],Table4[casual], ,0,1)</f>
        <v>0</v>
      </c>
      <c r="L951" s="42">
        <f>_xlfn.XLOOKUP(A951,Table4[instant],Table4[registered], ,0,1)</f>
        <v>4</v>
      </c>
      <c r="M951" s="46">
        <f>_xlfn.XLOOKUP(A951,Table4[instant],Table4[cnt], ,0,1)</f>
        <v>4</v>
      </c>
      <c r="N951" s="1" t="str">
        <f>IF(OR(Table3[[#This Row],[weekday]]=0,Table3[[#This Row],[weekday]]=6),"Weekend","Weekday")</f>
        <v>Weekend</v>
      </c>
    </row>
    <row r="952" spans="1:14" ht="15" thickBot="1" x14ac:dyDescent="0.35">
      <c r="A952" s="51">
        <v>951</v>
      </c>
      <c r="B952" s="52">
        <v>40586</v>
      </c>
      <c r="C952" s="51">
        <v>5</v>
      </c>
      <c r="D952" s="53" t="b">
        <v>0</v>
      </c>
      <c r="E952" s="51">
        <f>_xlfn.XLOOKUP(A952,Table4[instant],Table4[weekday], ,0,1)</f>
        <v>6</v>
      </c>
      <c r="F952" s="51">
        <f>_xlfn.XLOOKUP(A952,Table4[instant],Table4[weathersit], ,0,1)</f>
        <v>1</v>
      </c>
      <c r="G952" s="42">
        <f>_xlfn.XLOOKUP(A952,Table4[instant],Table4[temp], ,0,1)</f>
        <v>0.12</v>
      </c>
      <c r="H952" s="54">
        <f>_xlfn.XLOOKUP(A952,Table4[instant],Table4[atemp], ,0,1)</f>
        <v>0.16669999999999999</v>
      </c>
      <c r="I952" s="42">
        <f>_xlfn.XLOOKUP(A952,Table4[instant],Table4[hum], ,0,1)</f>
        <v>0.74</v>
      </c>
      <c r="J952" s="42">
        <f>_xlfn.XLOOKUP(A952,Table4[instant],Table4[windspeed], ,0,1)</f>
        <v>8.9599999999999999E-2</v>
      </c>
      <c r="K952" s="42">
        <f>_xlfn.XLOOKUP(A952,Table4[instant],Table4[casual], ,0,1)</f>
        <v>0</v>
      </c>
      <c r="L952" s="42">
        <f>_xlfn.XLOOKUP(A952,Table4[instant],Table4[registered], ,0,1)</f>
        <v>1</v>
      </c>
      <c r="M952" s="46">
        <f>_xlfn.XLOOKUP(A952,Table4[instant],Table4[cnt], ,0,1)</f>
        <v>1</v>
      </c>
      <c r="N952" s="42" t="str">
        <f>IF(OR(Table3[[#This Row],[weekday]]=0,Table3[[#This Row],[weekday]]=6),"Weekend","Weekday")</f>
        <v>Weekend</v>
      </c>
    </row>
    <row r="953" spans="1:14" ht="15" thickBot="1" x14ac:dyDescent="0.35">
      <c r="A953" s="48">
        <v>952</v>
      </c>
      <c r="B953" s="49">
        <v>40586</v>
      </c>
      <c r="C953" s="48">
        <v>6</v>
      </c>
      <c r="D953" s="50" t="b">
        <v>0</v>
      </c>
      <c r="E953" s="51">
        <f>_xlfn.XLOOKUP(A953,Table4[instant],Table4[weekday], ,0,1)</f>
        <v>6</v>
      </c>
      <c r="F953" s="51">
        <f>_xlfn.XLOOKUP(A953,Table4[instant],Table4[weathersit], ,0,1)</f>
        <v>1</v>
      </c>
      <c r="G953" s="42">
        <f>_xlfn.XLOOKUP(A953,Table4[instant],Table4[temp], ,0,1)</f>
        <v>0.12</v>
      </c>
      <c r="H953" s="54">
        <f>_xlfn.XLOOKUP(A953,Table4[instant],Table4[atemp], ,0,1)</f>
        <v>0.13639999999999999</v>
      </c>
      <c r="I953" s="42">
        <f>_xlfn.XLOOKUP(A953,Table4[instant],Table4[hum], ,0,1)</f>
        <v>0.93</v>
      </c>
      <c r="J953" s="42">
        <f>_xlfn.XLOOKUP(A953,Table4[instant],Table4[windspeed], ,0,1)</f>
        <v>0.19400000000000001</v>
      </c>
      <c r="K953" s="42">
        <f>_xlfn.XLOOKUP(A953,Table4[instant],Table4[casual], ,0,1)</f>
        <v>1</v>
      </c>
      <c r="L953" s="42">
        <f>_xlfn.XLOOKUP(A953,Table4[instant],Table4[registered], ,0,1)</f>
        <v>1</v>
      </c>
      <c r="M953" s="46">
        <f>_xlfn.XLOOKUP(A953,Table4[instant],Table4[cnt], ,0,1)</f>
        <v>2</v>
      </c>
      <c r="N953" s="1" t="str">
        <f>IF(OR(Table3[[#This Row],[weekday]]=0,Table3[[#This Row],[weekday]]=6),"Weekend","Weekday")</f>
        <v>Weekend</v>
      </c>
    </row>
    <row r="954" spans="1:14" ht="15" thickBot="1" x14ac:dyDescent="0.35">
      <c r="A954" s="51">
        <v>953</v>
      </c>
      <c r="B954" s="52">
        <v>40586</v>
      </c>
      <c r="C954" s="51">
        <v>7</v>
      </c>
      <c r="D954" s="53" t="b">
        <v>0</v>
      </c>
      <c r="E954" s="51">
        <f>_xlfn.XLOOKUP(A954,Table4[instant],Table4[weekday], ,0,1)</f>
        <v>6</v>
      </c>
      <c r="F954" s="51">
        <f>_xlfn.XLOOKUP(A954,Table4[instant],Table4[weathersit], ,0,1)</f>
        <v>1</v>
      </c>
      <c r="G954" s="42">
        <f>_xlfn.XLOOKUP(A954,Table4[instant],Table4[temp], ,0,1)</f>
        <v>0.12</v>
      </c>
      <c r="H954" s="54">
        <f>_xlfn.XLOOKUP(A954,Table4[instant],Table4[atemp], ,0,1)</f>
        <v>0.1515</v>
      </c>
      <c r="I954" s="42">
        <f>_xlfn.XLOOKUP(A954,Table4[instant],Table4[hum], ,0,1)</f>
        <v>0.8</v>
      </c>
      <c r="J954" s="42">
        <f>_xlfn.XLOOKUP(A954,Table4[instant],Table4[windspeed], ,0,1)</f>
        <v>0.1045</v>
      </c>
      <c r="K954" s="42">
        <f>_xlfn.XLOOKUP(A954,Table4[instant],Table4[casual], ,0,1)</f>
        <v>2</v>
      </c>
      <c r="L954" s="42">
        <f>_xlfn.XLOOKUP(A954,Table4[instant],Table4[registered], ,0,1)</f>
        <v>9</v>
      </c>
      <c r="M954" s="46">
        <f>_xlfn.XLOOKUP(A954,Table4[instant],Table4[cnt], ,0,1)</f>
        <v>11</v>
      </c>
      <c r="N954" s="42" t="str">
        <f>IF(OR(Table3[[#This Row],[weekday]]=0,Table3[[#This Row],[weekday]]=6),"Weekend","Weekday")</f>
        <v>Weekend</v>
      </c>
    </row>
    <row r="955" spans="1:14" ht="15" thickBot="1" x14ac:dyDescent="0.35">
      <c r="A955" s="48">
        <v>954</v>
      </c>
      <c r="B955" s="49">
        <v>40586</v>
      </c>
      <c r="C955" s="48">
        <v>8</v>
      </c>
      <c r="D955" s="50" t="b">
        <v>0</v>
      </c>
      <c r="E955" s="51">
        <f>_xlfn.XLOOKUP(A955,Table4[instant],Table4[weekday], ,0,1)</f>
        <v>6</v>
      </c>
      <c r="F955" s="51">
        <f>_xlfn.XLOOKUP(A955,Table4[instant],Table4[weathersit], ,0,1)</f>
        <v>1</v>
      </c>
      <c r="G955" s="42">
        <f>_xlfn.XLOOKUP(A955,Table4[instant],Table4[temp], ,0,1)</f>
        <v>0.14000000000000001</v>
      </c>
      <c r="H955" s="54">
        <f>_xlfn.XLOOKUP(A955,Table4[instant],Table4[atemp], ,0,1)</f>
        <v>0.1515</v>
      </c>
      <c r="I955" s="42">
        <f>_xlfn.XLOOKUP(A955,Table4[instant],Table4[hum], ,0,1)</f>
        <v>0.86</v>
      </c>
      <c r="J955" s="42">
        <f>_xlfn.XLOOKUP(A955,Table4[instant],Table4[windspeed], ,0,1)</f>
        <v>0.1343</v>
      </c>
      <c r="K955" s="42">
        <f>_xlfn.XLOOKUP(A955,Table4[instant],Table4[casual], ,0,1)</f>
        <v>2</v>
      </c>
      <c r="L955" s="42">
        <f>_xlfn.XLOOKUP(A955,Table4[instant],Table4[registered], ,0,1)</f>
        <v>28</v>
      </c>
      <c r="M955" s="46">
        <f>_xlfn.XLOOKUP(A955,Table4[instant],Table4[cnt], ,0,1)</f>
        <v>30</v>
      </c>
      <c r="N955" s="1" t="str">
        <f>IF(OR(Table3[[#This Row],[weekday]]=0,Table3[[#This Row],[weekday]]=6),"Weekend","Weekday")</f>
        <v>Weekend</v>
      </c>
    </row>
    <row r="956" spans="1:14" ht="15" thickBot="1" x14ac:dyDescent="0.35">
      <c r="A956" s="51">
        <v>955</v>
      </c>
      <c r="B956" s="52">
        <v>40586</v>
      </c>
      <c r="C956" s="51">
        <v>9</v>
      </c>
      <c r="D956" s="53" t="b">
        <v>0</v>
      </c>
      <c r="E956" s="51">
        <f>_xlfn.XLOOKUP(A956,Table4[instant],Table4[weekday], ,0,1)</f>
        <v>6</v>
      </c>
      <c r="F956" s="51">
        <f>_xlfn.XLOOKUP(A956,Table4[instant],Table4[weathersit], ,0,1)</f>
        <v>1</v>
      </c>
      <c r="G956" s="42">
        <f>_xlfn.XLOOKUP(A956,Table4[instant],Table4[temp], ,0,1)</f>
        <v>0.16</v>
      </c>
      <c r="H956" s="54">
        <f>_xlfn.XLOOKUP(A956,Table4[instant],Table4[atemp], ,0,1)</f>
        <v>0.18179999999999999</v>
      </c>
      <c r="I956" s="42">
        <f>_xlfn.XLOOKUP(A956,Table4[instant],Table4[hum], ,0,1)</f>
        <v>0.64</v>
      </c>
      <c r="J956" s="42">
        <f>_xlfn.XLOOKUP(A956,Table4[instant],Table4[windspeed], ,0,1)</f>
        <v>0.1343</v>
      </c>
      <c r="K956" s="42">
        <f>_xlfn.XLOOKUP(A956,Table4[instant],Table4[casual], ,0,1)</f>
        <v>5</v>
      </c>
      <c r="L956" s="42">
        <f>_xlfn.XLOOKUP(A956,Table4[instant],Table4[registered], ,0,1)</f>
        <v>38</v>
      </c>
      <c r="M956" s="46">
        <f>_xlfn.XLOOKUP(A956,Table4[instant],Table4[cnt], ,0,1)</f>
        <v>43</v>
      </c>
      <c r="N956" s="42" t="str">
        <f>IF(OR(Table3[[#This Row],[weekday]]=0,Table3[[#This Row],[weekday]]=6),"Weekend","Weekday")</f>
        <v>Weekend</v>
      </c>
    </row>
    <row r="957" spans="1:14" ht="15" thickBot="1" x14ac:dyDescent="0.35">
      <c r="A957" s="48">
        <v>956</v>
      </c>
      <c r="B957" s="49">
        <v>40586</v>
      </c>
      <c r="C957" s="48">
        <v>10</v>
      </c>
      <c r="D957" s="50" t="b">
        <v>0</v>
      </c>
      <c r="E957" s="51">
        <f>_xlfn.XLOOKUP(A957,Table4[instant],Table4[weekday], ,0,1)</f>
        <v>6</v>
      </c>
      <c r="F957" s="51">
        <f>_xlfn.XLOOKUP(A957,Table4[instant],Table4[weathersit], ,0,1)</f>
        <v>1</v>
      </c>
      <c r="G957" s="42">
        <f>_xlfn.XLOOKUP(A957,Table4[instant],Table4[temp], ,0,1)</f>
        <v>0.22</v>
      </c>
      <c r="H957" s="54">
        <f>_xlfn.XLOOKUP(A957,Table4[instant],Table4[atemp], ,0,1)</f>
        <v>0.21210000000000001</v>
      </c>
      <c r="I957" s="42">
        <f>_xlfn.XLOOKUP(A957,Table4[instant],Table4[hum], ,0,1)</f>
        <v>0.41</v>
      </c>
      <c r="J957" s="42">
        <f>_xlfn.XLOOKUP(A957,Table4[instant],Table4[windspeed], ,0,1)</f>
        <v>0.25369999999999998</v>
      </c>
      <c r="K957" s="42">
        <f>_xlfn.XLOOKUP(A957,Table4[instant],Table4[casual], ,0,1)</f>
        <v>13</v>
      </c>
      <c r="L957" s="42">
        <f>_xlfn.XLOOKUP(A957,Table4[instant],Table4[registered], ,0,1)</f>
        <v>71</v>
      </c>
      <c r="M957" s="46">
        <f>_xlfn.XLOOKUP(A957,Table4[instant],Table4[cnt], ,0,1)</f>
        <v>84</v>
      </c>
      <c r="N957" s="1" t="str">
        <f>IF(OR(Table3[[#This Row],[weekday]]=0,Table3[[#This Row],[weekday]]=6),"Weekend","Weekday")</f>
        <v>Weekend</v>
      </c>
    </row>
    <row r="958" spans="1:14" ht="15" thickBot="1" x14ac:dyDescent="0.35">
      <c r="A958" s="51">
        <v>957</v>
      </c>
      <c r="B958" s="52">
        <v>40586</v>
      </c>
      <c r="C958" s="51">
        <v>11</v>
      </c>
      <c r="D958" s="53" t="b">
        <v>0</v>
      </c>
      <c r="E958" s="51">
        <f>_xlfn.XLOOKUP(A958,Table4[instant],Table4[weekday], ,0,1)</f>
        <v>6</v>
      </c>
      <c r="F958" s="51">
        <f>_xlfn.XLOOKUP(A958,Table4[instant],Table4[weathersit], ,0,1)</f>
        <v>1</v>
      </c>
      <c r="G958" s="42">
        <f>_xlfn.XLOOKUP(A958,Table4[instant],Table4[temp], ,0,1)</f>
        <v>0.3</v>
      </c>
      <c r="H958" s="54">
        <f>_xlfn.XLOOKUP(A958,Table4[instant],Table4[atemp], ,0,1)</f>
        <v>0.2727</v>
      </c>
      <c r="I958" s="42">
        <f>_xlfn.XLOOKUP(A958,Table4[instant],Table4[hum], ,0,1)</f>
        <v>0.28000000000000003</v>
      </c>
      <c r="J958" s="42">
        <f>_xlfn.XLOOKUP(A958,Table4[instant],Table4[windspeed], ,0,1)</f>
        <v>0.32840000000000003</v>
      </c>
      <c r="K958" s="42">
        <f>_xlfn.XLOOKUP(A958,Table4[instant],Table4[casual], ,0,1)</f>
        <v>30</v>
      </c>
      <c r="L958" s="42">
        <f>_xlfn.XLOOKUP(A958,Table4[instant],Table4[registered], ,0,1)</f>
        <v>84</v>
      </c>
      <c r="M958" s="46">
        <f>_xlfn.XLOOKUP(A958,Table4[instant],Table4[cnt], ,0,1)</f>
        <v>114</v>
      </c>
      <c r="N958" s="42" t="str">
        <f>IF(OR(Table3[[#This Row],[weekday]]=0,Table3[[#This Row],[weekday]]=6),"Weekend","Weekday")</f>
        <v>Weekend</v>
      </c>
    </row>
    <row r="959" spans="1:14" ht="15" thickBot="1" x14ac:dyDescent="0.35">
      <c r="A959" s="48">
        <v>958</v>
      </c>
      <c r="B959" s="49">
        <v>40586</v>
      </c>
      <c r="C959" s="48">
        <v>12</v>
      </c>
      <c r="D959" s="50" t="b">
        <v>0</v>
      </c>
      <c r="E959" s="51">
        <f>_xlfn.XLOOKUP(A959,Table4[instant],Table4[weekday], ,0,1)</f>
        <v>6</v>
      </c>
      <c r="F959" s="51">
        <f>_xlfn.XLOOKUP(A959,Table4[instant],Table4[weathersit], ,0,1)</f>
        <v>1</v>
      </c>
      <c r="G959" s="42">
        <f>_xlfn.XLOOKUP(A959,Table4[instant],Table4[temp], ,0,1)</f>
        <v>0.3</v>
      </c>
      <c r="H959" s="54">
        <f>_xlfn.XLOOKUP(A959,Table4[instant],Table4[atemp], ,0,1)</f>
        <v>0.2727</v>
      </c>
      <c r="I959" s="42">
        <f>_xlfn.XLOOKUP(A959,Table4[instant],Table4[hum], ,0,1)</f>
        <v>0.39</v>
      </c>
      <c r="J959" s="42">
        <f>_xlfn.XLOOKUP(A959,Table4[instant],Table4[windspeed], ,0,1)</f>
        <v>0.4627</v>
      </c>
      <c r="K959" s="42">
        <f>_xlfn.XLOOKUP(A959,Table4[instant],Table4[casual], ,0,1)</f>
        <v>27</v>
      </c>
      <c r="L959" s="42">
        <f>_xlfn.XLOOKUP(A959,Table4[instant],Table4[registered], ,0,1)</f>
        <v>93</v>
      </c>
      <c r="M959" s="46">
        <f>_xlfn.XLOOKUP(A959,Table4[instant],Table4[cnt], ,0,1)</f>
        <v>120</v>
      </c>
      <c r="N959" s="1" t="str">
        <f>IF(OR(Table3[[#This Row],[weekday]]=0,Table3[[#This Row],[weekday]]=6),"Weekend","Weekday")</f>
        <v>Weekend</v>
      </c>
    </row>
    <row r="960" spans="1:14" ht="15" thickBot="1" x14ac:dyDescent="0.35">
      <c r="A960" s="51">
        <v>959</v>
      </c>
      <c r="B960" s="52">
        <v>40586</v>
      </c>
      <c r="C960" s="51">
        <v>13</v>
      </c>
      <c r="D960" s="53" t="b">
        <v>0</v>
      </c>
      <c r="E960" s="51">
        <f>_xlfn.XLOOKUP(A960,Table4[instant],Table4[weekday], ,0,1)</f>
        <v>6</v>
      </c>
      <c r="F960" s="51">
        <f>_xlfn.XLOOKUP(A960,Table4[instant],Table4[weathersit], ,0,1)</f>
        <v>1</v>
      </c>
      <c r="G960" s="42">
        <f>_xlfn.XLOOKUP(A960,Table4[instant],Table4[temp], ,0,1)</f>
        <v>0.3</v>
      </c>
      <c r="H960" s="54">
        <f>_xlfn.XLOOKUP(A960,Table4[instant],Table4[atemp], ,0,1)</f>
        <v>0.2727</v>
      </c>
      <c r="I960" s="42">
        <f>_xlfn.XLOOKUP(A960,Table4[instant],Table4[hum], ,0,1)</f>
        <v>0.39</v>
      </c>
      <c r="J960" s="42">
        <f>_xlfn.XLOOKUP(A960,Table4[instant],Table4[windspeed], ,0,1)</f>
        <v>0.41789999999999999</v>
      </c>
      <c r="K960" s="42">
        <f>_xlfn.XLOOKUP(A960,Table4[instant],Table4[casual], ,0,1)</f>
        <v>32</v>
      </c>
      <c r="L960" s="42">
        <f>_xlfn.XLOOKUP(A960,Table4[instant],Table4[registered], ,0,1)</f>
        <v>103</v>
      </c>
      <c r="M960" s="46">
        <f>_xlfn.XLOOKUP(A960,Table4[instant],Table4[cnt], ,0,1)</f>
        <v>135</v>
      </c>
      <c r="N960" s="42" t="str">
        <f>IF(OR(Table3[[#This Row],[weekday]]=0,Table3[[#This Row],[weekday]]=6),"Weekend","Weekday")</f>
        <v>Weekend</v>
      </c>
    </row>
    <row r="961" spans="1:14" ht="15" thickBot="1" x14ac:dyDescent="0.35">
      <c r="A961" s="48">
        <v>960</v>
      </c>
      <c r="B961" s="49">
        <v>40586</v>
      </c>
      <c r="C961" s="48">
        <v>14</v>
      </c>
      <c r="D961" s="50" t="b">
        <v>0</v>
      </c>
      <c r="E961" s="51">
        <f>_xlfn.XLOOKUP(A961,Table4[instant],Table4[weekday], ,0,1)</f>
        <v>6</v>
      </c>
      <c r="F961" s="51">
        <f>_xlfn.XLOOKUP(A961,Table4[instant],Table4[weathersit], ,0,1)</f>
        <v>1</v>
      </c>
      <c r="G961" s="42">
        <f>_xlfn.XLOOKUP(A961,Table4[instant],Table4[temp], ,0,1)</f>
        <v>0.34</v>
      </c>
      <c r="H961" s="54">
        <f>_xlfn.XLOOKUP(A961,Table4[instant],Table4[atemp], ,0,1)</f>
        <v>0.31819999999999998</v>
      </c>
      <c r="I961" s="42">
        <f>_xlfn.XLOOKUP(A961,Table4[instant],Table4[hum], ,0,1)</f>
        <v>0.31</v>
      </c>
      <c r="J961" s="42">
        <f>_xlfn.XLOOKUP(A961,Table4[instant],Table4[windspeed], ,0,1)</f>
        <v>0.28360000000000002</v>
      </c>
      <c r="K961" s="42">
        <f>_xlfn.XLOOKUP(A961,Table4[instant],Table4[casual], ,0,1)</f>
        <v>30</v>
      </c>
      <c r="L961" s="42">
        <f>_xlfn.XLOOKUP(A961,Table4[instant],Table4[registered], ,0,1)</f>
        <v>90</v>
      </c>
      <c r="M961" s="46">
        <f>_xlfn.XLOOKUP(A961,Table4[instant],Table4[cnt], ,0,1)</f>
        <v>120</v>
      </c>
      <c r="N961" s="1" t="str">
        <f>IF(OR(Table3[[#This Row],[weekday]]=0,Table3[[#This Row],[weekday]]=6),"Weekend","Weekday")</f>
        <v>Weekend</v>
      </c>
    </row>
    <row r="962" spans="1:14" ht="15" thickBot="1" x14ac:dyDescent="0.35">
      <c r="A962" s="51">
        <v>961</v>
      </c>
      <c r="B962" s="52">
        <v>40586</v>
      </c>
      <c r="C962" s="51">
        <v>15</v>
      </c>
      <c r="D962" s="53" t="b">
        <v>0</v>
      </c>
      <c r="E962" s="51">
        <f>_xlfn.XLOOKUP(A962,Table4[instant],Table4[weekday], ,0,1)</f>
        <v>6</v>
      </c>
      <c r="F962" s="51">
        <f>_xlfn.XLOOKUP(A962,Table4[instant],Table4[weathersit], ,0,1)</f>
        <v>1</v>
      </c>
      <c r="G962" s="42">
        <f>_xlfn.XLOOKUP(A962,Table4[instant],Table4[temp], ,0,1)</f>
        <v>0.34</v>
      </c>
      <c r="H962" s="54">
        <f>_xlfn.XLOOKUP(A962,Table4[instant],Table4[atemp], ,0,1)</f>
        <v>0.30299999999999999</v>
      </c>
      <c r="I962" s="42">
        <f>_xlfn.XLOOKUP(A962,Table4[instant],Table4[hum], ,0,1)</f>
        <v>0.28999999999999998</v>
      </c>
      <c r="J962" s="42">
        <f>_xlfn.XLOOKUP(A962,Table4[instant],Table4[windspeed], ,0,1)</f>
        <v>0.41789999999999999</v>
      </c>
      <c r="K962" s="42">
        <f>_xlfn.XLOOKUP(A962,Table4[instant],Table4[casual], ,0,1)</f>
        <v>47</v>
      </c>
      <c r="L962" s="42">
        <f>_xlfn.XLOOKUP(A962,Table4[instant],Table4[registered], ,0,1)</f>
        <v>127</v>
      </c>
      <c r="M962" s="46">
        <f>_xlfn.XLOOKUP(A962,Table4[instant],Table4[cnt], ,0,1)</f>
        <v>174</v>
      </c>
      <c r="N962" s="42" t="str">
        <f>IF(OR(Table3[[#This Row],[weekday]]=0,Table3[[#This Row],[weekday]]=6),"Weekend","Weekday")</f>
        <v>Weekend</v>
      </c>
    </row>
    <row r="963" spans="1:14" ht="15" thickBot="1" x14ac:dyDescent="0.35">
      <c r="A963" s="48">
        <v>962</v>
      </c>
      <c r="B963" s="49">
        <v>40586</v>
      </c>
      <c r="C963" s="48">
        <v>16</v>
      </c>
      <c r="D963" s="50" t="b">
        <v>0</v>
      </c>
      <c r="E963" s="51">
        <f>_xlfn.XLOOKUP(A963,Table4[instant],Table4[weekday], ,0,1)</f>
        <v>6</v>
      </c>
      <c r="F963" s="51">
        <f>_xlfn.XLOOKUP(A963,Table4[instant],Table4[weathersit], ,0,1)</f>
        <v>1</v>
      </c>
      <c r="G963" s="42">
        <f>_xlfn.XLOOKUP(A963,Table4[instant],Table4[temp], ,0,1)</f>
        <v>0.34</v>
      </c>
      <c r="H963" s="54">
        <f>_xlfn.XLOOKUP(A963,Table4[instant],Table4[atemp], ,0,1)</f>
        <v>0.30299999999999999</v>
      </c>
      <c r="I963" s="42">
        <f>_xlfn.XLOOKUP(A963,Table4[instant],Table4[hum], ,0,1)</f>
        <v>0.28999999999999998</v>
      </c>
      <c r="J963" s="42">
        <f>_xlfn.XLOOKUP(A963,Table4[instant],Table4[windspeed], ,0,1)</f>
        <v>0.41789999999999999</v>
      </c>
      <c r="K963" s="42">
        <f>_xlfn.XLOOKUP(A963,Table4[instant],Table4[casual], ,0,1)</f>
        <v>42</v>
      </c>
      <c r="L963" s="42">
        <f>_xlfn.XLOOKUP(A963,Table4[instant],Table4[registered], ,0,1)</f>
        <v>103</v>
      </c>
      <c r="M963" s="46">
        <f>_xlfn.XLOOKUP(A963,Table4[instant],Table4[cnt], ,0,1)</f>
        <v>145</v>
      </c>
      <c r="N963" s="1" t="str">
        <f>IF(OR(Table3[[#This Row],[weekday]]=0,Table3[[#This Row],[weekday]]=6),"Weekend","Weekday")</f>
        <v>Weekend</v>
      </c>
    </row>
    <row r="964" spans="1:14" ht="15" thickBot="1" x14ac:dyDescent="0.35">
      <c r="A964" s="51">
        <v>963</v>
      </c>
      <c r="B964" s="52">
        <v>40586</v>
      </c>
      <c r="C964" s="51">
        <v>17</v>
      </c>
      <c r="D964" s="53" t="b">
        <v>0</v>
      </c>
      <c r="E964" s="51">
        <f>_xlfn.XLOOKUP(A964,Table4[instant],Table4[weekday], ,0,1)</f>
        <v>6</v>
      </c>
      <c r="F964" s="51">
        <f>_xlfn.XLOOKUP(A964,Table4[instant],Table4[weathersit], ,0,1)</f>
        <v>1</v>
      </c>
      <c r="G964" s="42">
        <f>_xlfn.XLOOKUP(A964,Table4[instant],Table4[temp], ,0,1)</f>
        <v>0.32</v>
      </c>
      <c r="H964" s="54">
        <f>_xlfn.XLOOKUP(A964,Table4[instant],Table4[atemp], ,0,1)</f>
        <v>0.28789999999999999</v>
      </c>
      <c r="I964" s="42">
        <f>_xlfn.XLOOKUP(A964,Table4[instant],Table4[hum], ,0,1)</f>
        <v>0.31</v>
      </c>
      <c r="J964" s="42">
        <f>_xlfn.XLOOKUP(A964,Table4[instant],Table4[windspeed], ,0,1)</f>
        <v>0.52239999999999998</v>
      </c>
      <c r="K964" s="42">
        <f>_xlfn.XLOOKUP(A964,Table4[instant],Table4[casual], ,0,1)</f>
        <v>24</v>
      </c>
      <c r="L964" s="42">
        <f>_xlfn.XLOOKUP(A964,Table4[instant],Table4[registered], ,0,1)</f>
        <v>113</v>
      </c>
      <c r="M964" s="46">
        <f>_xlfn.XLOOKUP(A964,Table4[instant],Table4[cnt], ,0,1)</f>
        <v>137</v>
      </c>
      <c r="N964" s="42" t="str">
        <f>IF(OR(Table3[[#This Row],[weekday]]=0,Table3[[#This Row],[weekday]]=6),"Weekend","Weekday")</f>
        <v>Weekend</v>
      </c>
    </row>
    <row r="965" spans="1:14" ht="15" thickBot="1" x14ac:dyDescent="0.35">
      <c r="A965" s="48">
        <v>964</v>
      </c>
      <c r="B965" s="49">
        <v>40586</v>
      </c>
      <c r="C965" s="48">
        <v>18</v>
      </c>
      <c r="D965" s="50" t="b">
        <v>0</v>
      </c>
      <c r="E965" s="51">
        <f>_xlfn.XLOOKUP(A965,Table4[instant],Table4[weekday], ,0,1)</f>
        <v>6</v>
      </c>
      <c r="F965" s="51">
        <f>_xlfn.XLOOKUP(A965,Table4[instant],Table4[weathersit], ,0,1)</f>
        <v>1</v>
      </c>
      <c r="G965" s="42">
        <f>_xlfn.XLOOKUP(A965,Table4[instant],Table4[temp], ,0,1)</f>
        <v>0.28000000000000003</v>
      </c>
      <c r="H965" s="54">
        <f>_xlfn.XLOOKUP(A965,Table4[instant],Table4[atemp], ,0,1)</f>
        <v>0.2576</v>
      </c>
      <c r="I965" s="42">
        <f>_xlfn.XLOOKUP(A965,Table4[instant],Table4[hum], ,0,1)</f>
        <v>0.38</v>
      </c>
      <c r="J965" s="42">
        <f>_xlfn.XLOOKUP(A965,Table4[instant],Table4[windspeed], ,0,1)</f>
        <v>0.32840000000000003</v>
      </c>
      <c r="K965" s="42">
        <f>_xlfn.XLOOKUP(A965,Table4[instant],Table4[casual], ,0,1)</f>
        <v>4</v>
      </c>
      <c r="L965" s="42">
        <f>_xlfn.XLOOKUP(A965,Table4[instant],Table4[registered], ,0,1)</f>
        <v>60</v>
      </c>
      <c r="M965" s="46">
        <f>_xlfn.XLOOKUP(A965,Table4[instant],Table4[cnt], ,0,1)</f>
        <v>64</v>
      </c>
      <c r="N965" s="1" t="str">
        <f>IF(OR(Table3[[#This Row],[weekday]]=0,Table3[[#This Row],[weekday]]=6),"Weekend","Weekday")</f>
        <v>Weekend</v>
      </c>
    </row>
    <row r="966" spans="1:14" ht="15" thickBot="1" x14ac:dyDescent="0.35">
      <c r="A966" s="51">
        <v>965</v>
      </c>
      <c r="B966" s="52">
        <v>40586</v>
      </c>
      <c r="C966" s="51">
        <v>19</v>
      </c>
      <c r="D966" s="53" t="b">
        <v>0</v>
      </c>
      <c r="E966" s="51">
        <f>_xlfn.XLOOKUP(A966,Table4[instant],Table4[weekday], ,0,1)</f>
        <v>6</v>
      </c>
      <c r="F966" s="51">
        <f>_xlfn.XLOOKUP(A966,Table4[instant],Table4[weathersit], ,0,1)</f>
        <v>1</v>
      </c>
      <c r="G966" s="42">
        <f>_xlfn.XLOOKUP(A966,Table4[instant],Table4[temp], ,0,1)</f>
        <v>0.28000000000000003</v>
      </c>
      <c r="H966" s="54">
        <f>_xlfn.XLOOKUP(A966,Table4[instant],Table4[atemp], ,0,1)</f>
        <v>0.2727</v>
      </c>
      <c r="I966" s="42">
        <f>_xlfn.XLOOKUP(A966,Table4[instant],Table4[hum], ,0,1)</f>
        <v>0.38</v>
      </c>
      <c r="J966" s="42">
        <f>_xlfn.XLOOKUP(A966,Table4[instant],Table4[windspeed], ,0,1)</f>
        <v>0.16420000000000001</v>
      </c>
      <c r="K966" s="42">
        <f>_xlfn.XLOOKUP(A966,Table4[instant],Table4[casual], ,0,1)</f>
        <v>2</v>
      </c>
      <c r="L966" s="42">
        <f>_xlfn.XLOOKUP(A966,Table4[instant],Table4[registered], ,0,1)</f>
        <v>39</v>
      </c>
      <c r="M966" s="46">
        <f>_xlfn.XLOOKUP(A966,Table4[instant],Table4[cnt], ,0,1)</f>
        <v>41</v>
      </c>
      <c r="N966" s="42" t="str">
        <f>IF(OR(Table3[[#This Row],[weekday]]=0,Table3[[#This Row],[weekday]]=6),"Weekend","Weekday")</f>
        <v>Weekend</v>
      </c>
    </row>
    <row r="967" spans="1:14" ht="15" thickBot="1" x14ac:dyDescent="0.35">
      <c r="A967" s="48">
        <v>966</v>
      </c>
      <c r="B967" s="49">
        <v>40586</v>
      </c>
      <c r="C967" s="48">
        <v>20</v>
      </c>
      <c r="D967" s="50" t="b">
        <v>0</v>
      </c>
      <c r="E967" s="51">
        <f>_xlfn.XLOOKUP(A967,Table4[instant],Table4[weekday], ,0,1)</f>
        <v>6</v>
      </c>
      <c r="F967" s="51">
        <f>_xlfn.XLOOKUP(A967,Table4[instant],Table4[weathersit], ,0,1)</f>
        <v>1</v>
      </c>
      <c r="G967" s="42">
        <f>_xlfn.XLOOKUP(A967,Table4[instant],Table4[temp], ,0,1)</f>
        <v>0.26</v>
      </c>
      <c r="H967" s="54">
        <f>_xlfn.XLOOKUP(A967,Table4[instant],Table4[atemp], ,0,1)</f>
        <v>0.2576</v>
      </c>
      <c r="I967" s="42">
        <f>_xlfn.XLOOKUP(A967,Table4[instant],Table4[hum], ,0,1)</f>
        <v>0.41</v>
      </c>
      <c r="J967" s="42">
        <f>_xlfn.XLOOKUP(A967,Table4[instant],Table4[windspeed], ,0,1)</f>
        <v>0.22389999999999999</v>
      </c>
      <c r="K967" s="42">
        <f>_xlfn.XLOOKUP(A967,Table4[instant],Table4[casual], ,0,1)</f>
        <v>1</v>
      </c>
      <c r="L967" s="42">
        <f>_xlfn.XLOOKUP(A967,Table4[instant],Table4[registered], ,0,1)</f>
        <v>39</v>
      </c>
      <c r="M967" s="46">
        <f>_xlfn.XLOOKUP(A967,Table4[instant],Table4[cnt], ,0,1)</f>
        <v>40</v>
      </c>
      <c r="N967" s="1" t="str">
        <f>IF(OR(Table3[[#This Row],[weekday]]=0,Table3[[#This Row],[weekday]]=6),"Weekend","Weekday")</f>
        <v>Weekend</v>
      </c>
    </row>
    <row r="968" spans="1:14" ht="15" thickBot="1" x14ac:dyDescent="0.35">
      <c r="A968" s="51">
        <v>967</v>
      </c>
      <c r="B968" s="52">
        <v>40586</v>
      </c>
      <c r="C968" s="51">
        <v>21</v>
      </c>
      <c r="D968" s="53" t="b">
        <v>0</v>
      </c>
      <c r="E968" s="51">
        <f>_xlfn.XLOOKUP(A968,Table4[instant],Table4[weekday], ,0,1)</f>
        <v>6</v>
      </c>
      <c r="F968" s="51">
        <f>_xlfn.XLOOKUP(A968,Table4[instant],Table4[weathersit], ,0,1)</f>
        <v>1</v>
      </c>
      <c r="G968" s="42">
        <f>_xlfn.XLOOKUP(A968,Table4[instant],Table4[temp], ,0,1)</f>
        <v>0.26</v>
      </c>
      <c r="H968" s="54">
        <f>_xlfn.XLOOKUP(A968,Table4[instant],Table4[atemp], ,0,1)</f>
        <v>0.30299999999999999</v>
      </c>
      <c r="I968" s="42">
        <f>_xlfn.XLOOKUP(A968,Table4[instant],Table4[hum], ,0,1)</f>
        <v>0.41</v>
      </c>
      <c r="J968" s="42">
        <f>_xlfn.XLOOKUP(A968,Table4[instant],Table4[windspeed], ,0,1)</f>
        <v>0</v>
      </c>
      <c r="K968" s="42">
        <f>_xlfn.XLOOKUP(A968,Table4[instant],Table4[casual], ,0,1)</f>
        <v>9</v>
      </c>
      <c r="L968" s="42">
        <f>_xlfn.XLOOKUP(A968,Table4[instant],Table4[registered], ,0,1)</f>
        <v>42</v>
      </c>
      <c r="M968" s="46">
        <f>_xlfn.XLOOKUP(A968,Table4[instant],Table4[cnt], ,0,1)</f>
        <v>51</v>
      </c>
      <c r="N968" s="42" t="str">
        <f>IF(OR(Table3[[#This Row],[weekday]]=0,Table3[[#This Row],[weekday]]=6),"Weekend","Weekday")</f>
        <v>Weekend</v>
      </c>
    </row>
    <row r="969" spans="1:14" ht="15" thickBot="1" x14ac:dyDescent="0.35">
      <c r="A969" s="48">
        <v>968</v>
      </c>
      <c r="B969" s="49">
        <v>40586</v>
      </c>
      <c r="C969" s="48">
        <v>22</v>
      </c>
      <c r="D969" s="50" t="b">
        <v>0</v>
      </c>
      <c r="E969" s="51">
        <f>_xlfn.XLOOKUP(A969,Table4[instant],Table4[weekday], ,0,1)</f>
        <v>6</v>
      </c>
      <c r="F969" s="51">
        <f>_xlfn.XLOOKUP(A969,Table4[instant],Table4[weathersit], ,0,1)</f>
        <v>1</v>
      </c>
      <c r="G969" s="42">
        <f>_xlfn.XLOOKUP(A969,Table4[instant],Table4[temp], ,0,1)</f>
        <v>0.24</v>
      </c>
      <c r="H969" s="54">
        <f>_xlfn.XLOOKUP(A969,Table4[instant],Table4[atemp], ,0,1)</f>
        <v>0.2576</v>
      </c>
      <c r="I969" s="42">
        <f>_xlfn.XLOOKUP(A969,Table4[instant],Table4[hum], ,0,1)</f>
        <v>0.44</v>
      </c>
      <c r="J969" s="42">
        <f>_xlfn.XLOOKUP(A969,Table4[instant],Table4[windspeed], ,0,1)</f>
        <v>8.9599999999999999E-2</v>
      </c>
      <c r="K969" s="42">
        <f>_xlfn.XLOOKUP(A969,Table4[instant],Table4[casual], ,0,1)</f>
        <v>6</v>
      </c>
      <c r="L969" s="42">
        <f>_xlfn.XLOOKUP(A969,Table4[instant],Table4[registered], ,0,1)</f>
        <v>39</v>
      </c>
      <c r="M969" s="46">
        <f>_xlfn.XLOOKUP(A969,Table4[instant],Table4[cnt], ,0,1)</f>
        <v>45</v>
      </c>
      <c r="N969" s="1" t="str">
        <f>IF(OR(Table3[[#This Row],[weekday]]=0,Table3[[#This Row],[weekday]]=6),"Weekend","Weekday")</f>
        <v>Weekend</v>
      </c>
    </row>
    <row r="970" spans="1:14" ht="15" thickBot="1" x14ac:dyDescent="0.35">
      <c r="A970" s="51">
        <v>969</v>
      </c>
      <c r="B970" s="52">
        <v>40586</v>
      </c>
      <c r="C970" s="51">
        <v>23</v>
      </c>
      <c r="D970" s="53" t="b">
        <v>0</v>
      </c>
      <c r="E970" s="51">
        <f>_xlfn.XLOOKUP(A970,Table4[instant],Table4[weekday], ,0,1)</f>
        <v>6</v>
      </c>
      <c r="F970" s="51">
        <f>_xlfn.XLOOKUP(A970,Table4[instant],Table4[weathersit], ,0,1)</f>
        <v>1</v>
      </c>
      <c r="G970" s="42">
        <f>_xlfn.XLOOKUP(A970,Table4[instant],Table4[temp], ,0,1)</f>
        <v>0.22</v>
      </c>
      <c r="H970" s="54">
        <f>_xlfn.XLOOKUP(A970,Table4[instant],Table4[atemp], ,0,1)</f>
        <v>0.2273</v>
      </c>
      <c r="I970" s="42">
        <f>_xlfn.XLOOKUP(A970,Table4[instant],Table4[hum], ,0,1)</f>
        <v>0.51</v>
      </c>
      <c r="J970" s="42">
        <f>_xlfn.XLOOKUP(A970,Table4[instant],Table4[windspeed], ,0,1)</f>
        <v>0.1343</v>
      </c>
      <c r="K970" s="42">
        <f>_xlfn.XLOOKUP(A970,Table4[instant],Table4[casual], ,0,1)</f>
        <v>1</v>
      </c>
      <c r="L970" s="42">
        <f>_xlfn.XLOOKUP(A970,Table4[instant],Table4[registered], ,0,1)</f>
        <v>31</v>
      </c>
      <c r="M970" s="46">
        <f>_xlfn.XLOOKUP(A970,Table4[instant],Table4[cnt], ,0,1)</f>
        <v>32</v>
      </c>
      <c r="N970" s="42" t="str">
        <f>IF(OR(Table3[[#This Row],[weekday]]=0,Table3[[#This Row],[weekday]]=6),"Weekend","Weekday")</f>
        <v>Weekend</v>
      </c>
    </row>
    <row r="971" spans="1:14" ht="15" thickBot="1" x14ac:dyDescent="0.35">
      <c r="A971" s="48">
        <v>970</v>
      </c>
      <c r="B971" s="49">
        <v>40587</v>
      </c>
      <c r="C971" s="48">
        <v>0</v>
      </c>
      <c r="D971" s="50" t="b">
        <v>0</v>
      </c>
      <c r="E971" s="51">
        <f>_xlfn.XLOOKUP(A971,Table4[instant],Table4[weekday], ,0,1)</f>
        <v>0</v>
      </c>
      <c r="F971" s="51">
        <f>_xlfn.XLOOKUP(A971,Table4[instant],Table4[weathersit], ,0,1)</f>
        <v>1</v>
      </c>
      <c r="G971" s="42">
        <f>_xlfn.XLOOKUP(A971,Table4[instant],Table4[temp], ,0,1)</f>
        <v>0.2</v>
      </c>
      <c r="H971" s="54">
        <f>_xlfn.XLOOKUP(A971,Table4[instant],Table4[atemp], ,0,1)</f>
        <v>0.2273</v>
      </c>
      <c r="I971" s="42">
        <f>_xlfn.XLOOKUP(A971,Table4[instant],Table4[hum], ,0,1)</f>
        <v>0.64</v>
      </c>
      <c r="J971" s="42">
        <f>_xlfn.XLOOKUP(A971,Table4[instant],Table4[windspeed], ,0,1)</f>
        <v>0.1045</v>
      </c>
      <c r="K971" s="42">
        <f>_xlfn.XLOOKUP(A971,Table4[instant],Table4[casual], ,0,1)</f>
        <v>5</v>
      </c>
      <c r="L971" s="42">
        <f>_xlfn.XLOOKUP(A971,Table4[instant],Table4[registered], ,0,1)</f>
        <v>34</v>
      </c>
      <c r="M971" s="46">
        <f>_xlfn.XLOOKUP(A971,Table4[instant],Table4[cnt], ,0,1)</f>
        <v>39</v>
      </c>
      <c r="N971" s="1" t="str">
        <f>IF(OR(Table3[[#This Row],[weekday]]=0,Table3[[#This Row],[weekday]]=6),"Weekend","Weekday")</f>
        <v>Weekend</v>
      </c>
    </row>
    <row r="972" spans="1:14" ht="15" thickBot="1" x14ac:dyDescent="0.35">
      <c r="A972" s="51">
        <v>971</v>
      </c>
      <c r="B972" s="52">
        <v>40587</v>
      </c>
      <c r="C972" s="51">
        <v>1</v>
      </c>
      <c r="D972" s="53" t="b">
        <v>0</v>
      </c>
      <c r="E972" s="51">
        <f>_xlfn.XLOOKUP(A972,Table4[instant],Table4[weekday], ,0,1)</f>
        <v>0</v>
      </c>
      <c r="F972" s="51">
        <f>_xlfn.XLOOKUP(A972,Table4[instant],Table4[weathersit], ,0,1)</f>
        <v>1</v>
      </c>
      <c r="G972" s="42">
        <f>_xlfn.XLOOKUP(A972,Table4[instant],Table4[temp], ,0,1)</f>
        <v>0.2</v>
      </c>
      <c r="H972" s="54">
        <f>_xlfn.XLOOKUP(A972,Table4[instant],Table4[atemp], ,0,1)</f>
        <v>0.2273</v>
      </c>
      <c r="I972" s="42">
        <f>_xlfn.XLOOKUP(A972,Table4[instant],Table4[hum], ,0,1)</f>
        <v>0.59</v>
      </c>
      <c r="J972" s="42">
        <f>_xlfn.XLOOKUP(A972,Table4[instant],Table4[windspeed], ,0,1)</f>
        <v>8.9599999999999999E-2</v>
      </c>
      <c r="K972" s="42">
        <f>_xlfn.XLOOKUP(A972,Table4[instant],Table4[casual], ,0,1)</f>
        <v>1</v>
      </c>
      <c r="L972" s="42">
        <f>_xlfn.XLOOKUP(A972,Table4[instant],Table4[registered], ,0,1)</f>
        <v>23</v>
      </c>
      <c r="M972" s="46">
        <f>_xlfn.XLOOKUP(A972,Table4[instant],Table4[cnt], ,0,1)</f>
        <v>24</v>
      </c>
      <c r="N972" s="42" t="str">
        <f>IF(OR(Table3[[#This Row],[weekday]]=0,Table3[[#This Row],[weekday]]=6),"Weekend","Weekday")</f>
        <v>Weekend</v>
      </c>
    </row>
    <row r="973" spans="1:14" ht="15" thickBot="1" x14ac:dyDescent="0.35">
      <c r="A973" s="48">
        <v>972</v>
      </c>
      <c r="B973" s="49">
        <v>40587</v>
      </c>
      <c r="C973" s="48">
        <v>2</v>
      </c>
      <c r="D973" s="50" t="b">
        <v>0</v>
      </c>
      <c r="E973" s="51">
        <f>_xlfn.XLOOKUP(A973,Table4[instant],Table4[weekday], ,0,1)</f>
        <v>0</v>
      </c>
      <c r="F973" s="51">
        <f>_xlfn.XLOOKUP(A973,Table4[instant],Table4[weathersit], ,0,1)</f>
        <v>2</v>
      </c>
      <c r="G973" s="42">
        <f>_xlfn.XLOOKUP(A973,Table4[instant],Table4[temp], ,0,1)</f>
        <v>0.2</v>
      </c>
      <c r="H973" s="54">
        <f>_xlfn.XLOOKUP(A973,Table4[instant],Table4[atemp], ,0,1)</f>
        <v>0.2273</v>
      </c>
      <c r="I973" s="42">
        <f>_xlfn.XLOOKUP(A973,Table4[instant],Table4[hum], ,0,1)</f>
        <v>0.75</v>
      </c>
      <c r="J973" s="42">
        <f>_xlfn.XLOOKUP(A973,Table4[instant],Table4[windspeed], ,0,1)</f>
        <v>8.9599999999999999E-2</v>
      </c>
      <c r="K973" s="42">
        <f>_xlfn.XLOOKUP(A973,Table4[instant],Table4[casual], ,0,1)</f>
        <v>1</v>
      </c>
      <c r="L973" s="42">
        <f>_xlfn.XLOOKUP(A973,Table4[instant],Table4[registered], ,0,1)</f>
        <v>19</v>
      </c>
      <c r="M973" s="46">
        <f>_xlfn.XLOOKUP(A973,Table4[instant],Table4[cnt], ,0,1)</f>
        <v>20</v>
      </c>
      <c r="N973" s="1" t="str">
        <f>IF(OR(Table3[[#This Row],[weekday]]=0,Table3[[#This Row],[weekday]]=6),"Weekend","Weekday")</f>
        <v>Weekend</v>
      </c>
    </row>
    <row r="974" spans="1:14" ht="15" thickBot="1" x14ac:dyDescent="0.35">
      <c r="A974" s="51">
        <v>973</v>
      </c>
      <c r="B974" s="52">
        <v>40587</v>
      </c>
      <c r="C974" s="51">
        <v>3</v>
      </c>
      <c r="D974" s="53" t="b">
        <v>0</v>
      </c>
      <c r="E974" s="51">
        <f>_xlfn.XLOOKUP(A974,Table4[instant],Table4[weekday], ,0,1)</f>
        <v>0</v>
      </c>
      <c r="F974" s="51">
        <f>_xlfn.XLOOKUP(A974,Table4[instant],Table4[weathersit], ,0,1)</f>
        <v>2</v>
      </c>
      <c r="G974" s="42">
        <f>_xlfn.XLOOKUP(A974,Table4[instant],Table4[temp], ,0,1)</f>
        <v>0.2</v>
      </c>
      <c r="H974" s="54">
        <f>_xlfn.XLOOKUP(A974,Table4[instant],Table4[atemp], ,0,1)</f>
        <v>0.2273</v>
      </c>
      <c r="I974" s="42">
        <f>_xlfn.XLOOKUP(A974,Table4[instant],Table4[hum], ,0,1)</f>
        <v>0.69</v>
      </c>
      <c r="J974" s="42">
        <f>_xlfn.XLOOKUP(A974,Table4[instant],Table4[windspeed], ,0,1)</f>
        <v>0.1045</v>
      </c>
      <c r="K974" s="42">
        <f>_xlfn.XLOOKUP(A974,Table4[instant],Table4[casual], ,0,1)</f>
        <v>4</v>
      </c>
      <c r="L974" s="42">
        <f>_xlfn.XLOOKUP(A974,Table4[instant],Table4[registered], ,0,1)</f>
        <v>8</v>
      </c>
      <c r="M974" s="46">
        <f>_xlfn.XLOOKUP(A974,Table4[instant],Table4[cnt], ,0,1)</f>
        <v>12</v>
      </c>
      <c r="N974" s="42" t="str">
        <f>IF(OR(Table3[[#This Row],[weekday]]=0,Table3[[#This Row],[weekday]]=6),"Weekend","Weekday")</f>
        <v>Weekend</v>
      </c>
    </row>
    <row r="975" spans="1:14" ht="15" thickBot="1" x14ac:dyDescent="0.35">
      <c r="A975" s="48">
        <v>974</v>
      </c>
      <c r="B975" s="49">
        <v>40587</v>
      </c>
      <c r="C975" s="48">
        <v>4</v>
      </c>
      <c r="D975" s="50" t="b">
        <v>0</v>
      </c>
      <c r="E975" s="51">
        <f>_xlfn.XLOOKUP(A975,Table4[instant],Table4[weekday], ,0,1)</f>
        <v>0</v>
      </c>
      <c r="F975" s="51">
        <f>_xlfn.XLOOKUP(A975,Table4[instant],Table4[weathersit], ,0,1)</f>
        <v>2</v>
      </c>
      <c r="G975" s="42">
        <f>_xlfn.XLOOKUP(A975,Table4[instant],Table4[temp], ,0,1)</f>
        <v>0.2</v>
      </c>
      <c r="H975" s="54">
        <f>_xlfn.XLOOKUP(A975,Table4[instant],Table4[atemp], ,0,1)</f>
        <v>0.21210000000000001</v>
      </c>
      <c r="I975" s="42">
        <f>_xlfn.XLOOKUP(A975,Table4[instant],Table4[hum], ,0,1)</f>
        <v>0.69</v>
      </c>
      <c r="J975" s="42">
        <f>_xlfn.XLOOKUP(A975,Table4[instant],Table4[windspeed], ,0,1)</f>
        <v>0.16420000000000001</v>
      </c>
      <c r="K975" s="42">
        <f>_xlfn.XLOOKUP(A975,Table4[instant],Table4[casual], ,0,1)</f>
        <v>0</v>
      </c>
      <c r="L975" s="42">
        <f>_xlfn.XLOOKUP(A975,Table4[instant],Table4[registered], ,0,1)</f>
        <v>2</v>
      </c>
      <c r="M975" s="46">
        <f>_xlfn.XLOOKUP(A975,Table4[instant],Table4[cnt], ,0,1)</f>
        <v>2</v>
      </c>
      <c r="N975" s="1" t="str">
        <f>IF(OR(Table3[[#This Row],[weekday]]=0,Table3[[#This Row],[weekday]]=6),"Weekend","Weekday")</f>
        <v>Weekend</v>
      </c>
    </row>
    <row r="976" spans="1:14" ht="15" thickBot="1" x14ac:dyDescent="0.35">
      <c r="A976" s="51">
        <v>975</v>
      </c>
      <c r="B976" s="52">
        <v>40587</v>
      </c>
      <c r="C976" s="51">
        <v>6</v>
      </c>
      <c r="D976" s="53" t="b">
        <v>0</v>
      </c>
      <c r="E976" s="51">
        <f>_xlfn.XLOOKUP(A976,Table4[instant],Table4[weekday], ,0,1)</f>
        <v>0</v>
      </c>
      <c r="F976" s="51">
        <f>_xlfn.XLOOKUP(A976,Table4[instant],Table4[weathersit], ,0,1)</f>
        <v>2</v>
      </c>
      <c r="G976" s="42">
        <f>_xlfn.XLOOKUP(A976,Table4[instant],Table4[temp], ,0,1)</f>
        <v>0.2</v>
      </c>
      <c r="H976" s="54">
        <f>_xlfn.XLOOKUP(A976,Table4[instant],Table4[atemp], ,0,1)</f>
        <v>0.21210000000000001</v>
      </c>
      <c r="I976" s="42">
        <f>_xlfn.XLOOKUP(A976,Table4[instant],Table4[hum], ,0,1)</f>
        <v>0.69</v>
      </c>
      <c r="J976" s="42">
        <f>_xlfn.XLOOKUP(A976,Table4[instant],Table4[windspeed], ,0,1)</f>
        <v>0.1343</v>
      </c>
      <c r="K976" s="42">
        <f>_xlfn.XLOOKUP(A976,Table4[instant],Table4[casual], ,0,1)</f>
        <v>2</v>
      </c>
      <c r="L976" s="42">
        <f>_xlfn.XLOOKUP(A976,Table4[instant],Table4[registered], ,0,1)</f>
        <v>3</v>
      </c>
      <c r="M976" s="46">
        <f>_xlfn.XLOOKUP(A976,Table4[instant],Table4[cnt], ,0,1)</f>
        <v>5</v>
      </c>
      <c r="N976" s="42" t="str">
        <f>IF(OR(Table3[[#This Row],[weekday]]=0,Table3[[#This Row],[weekday]]=6),"Weekend","Weekday")</f>
        <v>Weekend</v>
      </c>
    </row>
    <row r="977" spans="1:14" ht="15" thickBot="1" x14ac:dyDescent="0.35">
      <c r="A977" s="48">
        <v>976</v>
      </c>
      <c r="B977" s="49">
        <v>40587</v>
      </c>
      <c r="C977" s="48">
        <v>7</v>
      </c>
      <c r="D977" s="50" t="b">
        <v>0</v>
      </c>
      <c r="E977" s="51">
        <f>_xlfn.XLOOKUP(A977,Table4[instant],Table4[weekday], ,0,1)</f>
        <v>0</v>
      </c>
      <c r="F977" s="51">
        <f>_xlfn.XLOOKUP(A977,Table4[instant],Table4[weathersit], ,0,1)</f>
        <v>2</v>
      </c>
      <c r="G977" s="42">
        <f>_xlfn.XLOOKUP(A977,Table4[instant],Table4[temp], ,0,1)</f>
        <v>0.22</v>
      </c>
      <c r="H977" s="54">
        <f>_xlfn.XLOOKUP(A977,Table4[instant],Table4[atemp], ,0,1)</f>
        <v>0.2727</v>
      </c>
      <c r="I977" s="42">
        <f>_xlfn.XLOOKUP(A977,Table4[instant],Table4[hum], ,0,1)</f>
        <v>0.55000000000000004</v>
      </c>
      <c r="J977" s="42">
        <f>_xlfn.XLOOKUP(A977,Table4[instant],Table4[windspeed], ,0,1)</f>
        <v>0</v>
      </c>
      <c r="K977" s="42">
        <f>_xlfn.XLOOKUP(A977,Table4[instant],Table4[casual], ,0,1)</f>
        <v>0</v>
      </c>
      <c r="L977" s="42">
        <f>_xlfn.XLOOKUP(A977,Table4[instant],Table4[registered], ,0,1)</f>
        <v>3</v>
      </c>
      <c r="M977" s="46">
        <f>_xlfn.XLOOKUP(A977,Table4[instant],Table4[cnt], ,0,1)</f>
        <v>3</v>
      </c>
      <c r="N977" s="1" t="str">
        <f>IF(OR(Table3[[#This Row],[weekday]]=0,Table3[[#This Row],[weekday]]=6),"Weekend","Weekday")</f>
        <v>Weekend</v>
      </c>
    </row>
    <row r="978" spans="1:14" ht="15" thickBot="1" x14ac:dyDescent="0.35">
      <c r="A978" s="51">
        <v>977</v>
      </c>
      <c r="B978" s="52">
        <v>40587</v>
      </c>
      <c r="C978" s="51">
        <v>8</v>
      </c>
      <c r="D978" s="53" t="b">
        <v>0</v>
      </c>
      <c r="E978" s="51">
        <f>_xlfn.XLOOKUP(A978,Table4[instant],Table4[weekday], ,0,1)</f>
        <v>0</v>
      </c>
      <c r="F978" s="51">
        <f>_xlfn.XLOOKUP(A978,Table4[instant],Table4[weathersit], ,0,1)</f>
        <v>2</v>
      </c>
      <c r="G978" s="42">
        <f>_xlfn.XLOOKUP(A978,Table4[instant],Table4[temp], ,0,1)</f>
        <v>0.22</v>
      </c>
      <c r="H978" s="54">
        <f>_xlfn.XLOOKUP(A978,Table4[instant],Table4[atemp], ,0,1)</f>
        <v>0.2273</v>
      </c>
      <c r="I978" s="42">
        <f>_xlfn.XLOOKUP(A978,Table4[instant],Table4[hum], ,0,1)</f>
        <v>0.64</v>
      </c>
      <c r="J978" s="42">
        <f>_xlfn.XLOOKUP(A978,Table4[instant],Table4[windspeed], ,0,1)</f>
        <v>0.19400000000000001</v>
      </c>
      <c r="K978" s="42">
        <f>_xlfn.XLOOKUP(A978,Table4[instant],Table4[casual], ,0,1)</f>
        <v>1</v>
      </c>
      <c r="L978" s="42">
        <f>_xlfn.XLOOKUP(A978,Table4[instant],Table4[registered], ,0,1)</f>
        <v>11</v>
      </c>
      <c r="M978" s="46">
        <f>_xlfn.XLOOKUP(A978,Table4[instant],Table4[cnt], ,0,1)</f>
        <v>12</v>
      </c>
      <c r="N978" s="42" t="str">
        <f>IF(OR(Table3[[#This Row],[weekday]]=0,Table3[[#This Row],[weekday]]=6),"Weekend","Weekday")</f>
        <v>Weekend</v>
      </c>
    </row>
    <row r="979" spans="1:14" ht="15" thickBot="1" x14ac:dyDescent="0.35">
      <c r="A979" s="48">
        <v>978</v>
      </c>
      <c r="B979" s="49">
        <v>40587</v>
      </c>
      <c r="C979" s="48">
        <v>9</v>
      </c>
      <c r="D979" s="50" t="b">
        <v>0</v>
      </c>
      <c r="E979" s="51">
        <f>_xlfn.XLOOKUP(A979,Table4[instant],Table4[weekday], ,0,1)</f>
        <v>0</v>
      </c>
      <c r="F979" s="51">
        <f>_xlfn.XLOOKUP(A979,Table4[instant],Table4[weathersit], ,0,1)</f>
        <v>2</v>
      </c>
      <c r="G979" s="42">
        <f>_xlfn.XLOOKUP(A979,Table4[instant],Table4[temp], ,0,1)</f>
        <v>0.24</v>
      </c>
      <c r="H979" s="54">
        <f>_xlfn.XLOOKUP(A979,Table4[instant],Table4[atemp], ,0,1)</f>
        <v>0.2273</v>
      </c>
      <c r="I979" s="42">
        <f>_xlfn.XLOOKUP(A979,Table4[instant],Table4[hum], ,0,1)</f>
        <v>0.6</v>
      </c>
      <c r="J979" s="42">
        <f>_xlfn.XLOOKUP(A979,Table4[instant],Table4[windspeed], ,0,1)</f>
        <v>0.22389999999999999</v>
      </c>
      <c r="K979" s="42">
        <f>_xlfn.XLOOKUP(A979,Table4[instant],Table4[casual], ,0,1)</f>
        <v>12</v>
      </c>
      <c r="L979" s="42">
        <f>_xlfn.XLOOKUP(A979,Table4[instant],Table4[registered], ,0,1)</f>
        <v>35</v>
      </c>
      <c r="M979" s="46">
        <f>_xlfn.XLOOKUP(A979,Table4[instant],Table4[cnt], ,0,1)</f>
        <v>47</v>
      </c>
      <c r="N979" s="1" t="str">
        <f>IF(OR(Table3[[#This Row],[weekday]]=0,Table3[[#This Row],[weekday]]=6),"Weekend","Weekday")</f>
        <v>Weekend</v>
      </c>
    </row>
    <row r="980" spans="1:14" ht="15" thickBot="1" x14ac:dyDescent="0.35">
      <c r="A980" s="51">
        <v>979</v>
      </c>
      <c r="B980" s="52">
        <v>40587</v>
      </c>
      <c r="C980" s="51">
        <v>10</v>
      </c>
      <c r="D980" s="53" t="b">
        <v>0</v>
      </c>
      <c r="E980" s="51">
        <f>_xlfn.XLOOKUP(A980,Table4[instant],Table4[weekday], ,0,1)</f>
        <v>0</v>
      </c>
      <c r="F980" s="51">
        <f>_xlfn.XLOOKUP(A980,Table4[instant],Table4[weathersit], ,0,1)</f>
        <v>1</v>
      </c>
      <c r="G980" s="42">
        <f>_xlfn.XLOOKUP(A980,Table4[instant],Table4[temp], ,0,1)</f>
        <v>0.3</v>
      </c>
      <c r="H980" s="54">
        <f>_xlfn.XLOOKUP(A980,Table4[instant],Table4[atemp], ,0,1)</f>
        <v>0.2727</v>
      </c>
      <c r="I980" s="42">
        <f>_xlfn.XLOOKUP(A980,Table4[instant],Table4[hum], ,0,1)</f>
        <v>0.45</v>
      </c>
      <c r="J980" s="42">
        <f>_xlfn.XLOOKUP(A980,Table4[instant],Table4[windspeed], ,0,1)</f>
        <v>0.32840000000000003</v>
      </c>
      <c r="K980" s="42">
        <f>_xlfn.XLOOKUP(A980,Table4[instant],Table4[casual], ,0,1)</f>
        <v>19</v>
      </c>
      <c r="L980" s="42">
        <f>_xlfn.XLOOKUP(A980,Table4[instant],Table4[registered], ,0,1)</f>
        <v>86</v>
      </c>
      <c r="M980" s="46">
        <f>_xlfn.XLOOKUP(A980,Table4[instant],Table4[cnt], ,0,1)</f>
        <v>105</v>
      </c>
      <c r="N980" s="42" t="str">
        <f>IF(OR(Table3[[#This Row],[weekday]]=0,Table3[[#This Row],[weekday]]=6),"Weekend","Weekday")</f>
        <v>Weekend</v>
      </c>
    </row>
    <row r="981" spans="1:14" ht="15" thickBot="1" x14ac:dyDescent="0.35">
      <c r="A981" s="48">
        <v>980</v>
      </c>
      <c r="B981" s="49">
        <v>40587</v>
      </c>
      <c r="C981" s="48">
        <v>11</v>
      </c>
      <c r="D981" s="50" t="b">
        <v>0</v>
      </c>
      <c r="E981" s="51">
        <f>_xlfn.XLOOKUP(A981,Table4[instant],Table4[weekday], ,0,1)</f>
        <v>0</v>
      </c>
      <c r="F981" s="51">
        <f>_xlfn.XLOOKUP(A981,Table4[instant],Table4[weathersit], ,0,1)</f>
        <v>1</v>
      </c>
      <c r="G981" s="42">
        <f>_xlfn.XLOOKUP(A981,Table4[instant],Table4[temp], ,0,1)</f>
        <v>0.32</v>
      </c>
      <c r="H981" s="54">
        <f>_xlfn.XLOOKUP(A981,Table4[instant],Table4[atemp], ,0,1)</f>
        <v>0.28789999999999999</v>
      </c>
      <c r="I981" s="42">
        <f>_xlfn.XLOOKUP(A981,Table4[instant],Table4[hum], ,0,1)</f>
        <v>0.39</v>
      </c>
      <c r="J981" s="42">
        <f>_xlfn.XLOOKUP(A981,Table4[instant],Table4[windspeed], ,0,1)</f>
        <v>0.44779999999999998</v>
      </c>
      <c r="K981" s="42">
        <f>_xlfn.XLOOKUP(A981,Table4[instant],Table4[casual], ,0,1)</f>
        <v>26</v>
      </c>
      <c r="L981" s="42">
        <f>_xlfn.XLOOKUP(A981,Table4[instant],Table4[registered], ,0,1)</f>
        <v>86</v>
      </c>
      <c r="M981" s="46">
        <f>_xlfn.XLOOKUP(A981,Table4[instant],Table4[cnt], ,0,1)</f>
        <v>112</v>
      </c>
      <c r="N981" s="1" t="str">
        <f>IF(OR(Table3[[#This Row],[weekday]]=0,Table3[[#This Row],[weekday]]=6),"Weekend","Weekday")</f>
        <v>Weekend</v>
      </c>
    </row>
    <row r="982" spans="1:14" ht="15" thickBot="1" x14ac:dyDescent="0.35">
      <c r="A982" s="51">
        <v>981</v>
      </c>
      <c r="B982" s="52">
        <v>40587</v>
      </c>
      <c r="C982" s="51">
        <v>12</v>
      </c>
      <c r="D982" s="53" t="b">
        <v>0</v>
      </c>
      <c r="E982" s="51">
        <f>_xlfn.XLOOKUP(A982,Table4[instant],Table4[weekday], ,0,1)</f>
        <v>0</v>
      </c>
      <c r="F982" s="51">
        <f>_xlfn.XLOOKUP(A982,Table4[instant],Table4[weathersit], ,0,1)</f>
        <v>1</v>
      </c>
      <c r="G982" s="42">
        <f>_xlfn.XLOOKUP(A982,Table4[instant],Table4[temp], ,0,1)</f>
        <v>0.36</v>
      </c>
      <c r="H982" s="54">
        <f>_xlfn.XLOOKUP(A982,Table4[instant],Table4[atemp], ,0,1)</f>
        <v>0.31819999999999998</v>
      </c>
      <c r="I982" s="42">
        <f>_xlfn.XLOOKUP(A982,Table4[instant],Table4[hum], ,0,1)</f>
        <v>0.32</v>
      </c>
      <c r="J982" s="42">
        <f>_xlfn.XLOOKUP(A982,Table4[instant],Table4[windspeed], ,0,1)</f>
        <v>0.4627</v>
      </c>
      <c r="K982" s="42">
        <f>_xlfn.XLOOKUP(A982,Table4[instant],Table4[casual], ,0,1)</f>
        <v>58</v>
      </c>
      <c r="L982" s="42">
        <f>_xlfn.XLOOKUP(A982,Table4[instant],Table4[registered], ,0,1)</f>
        <v>94</v>
      </c>
      <c r="M982" s="46">
        <f>_xlfn.XLOOKUP(A982,Table4[instant],Table4[cnt], ,0,1)</f>
        <v>152</v>
      </c>
      <c r="N982" s="42" t="str">
        <f>IF(OR(Table3[[#This Row],[weekday]]=0,Table3[[#This Row],[weekday]]=6),"Weekend","Weekday")</f>
        <v>Weekend</v>
      </c>
    </row>
    <row r="983" spans="1:14" ht="15" thickBot="1" x14ac:dyDescent="0.35">
      <c r="A983" s="48">
        <v>982</v>
      </c>
      <c r="B983" s="49">
        <v>40587</v>
      </c>
      <c r="C983" s="48">
        <v>13</v>
      </c>
      <c r="D983" s="50" t="b">
        <v>0</v>
      </c>
      <c r="E983" s="51">
        <f>_xlfn.XLOOKUP(A983,Table4[instant],Table4[weekday], ,0,1)</f>
        <v>0</v>
      </c>
      <c r="F983" s="51">
        <f>_xlfn.XLOOKUP(A983,Table4[instant],Table4[weathersit], ,0,1)</f>
        <v>1</v>
      </c>
      <c r="G983" s="42">
        <f>_xlfn.XLOOKUP(A983,Table4[instant],Table4[temp], ,0,1)</f>
        <v>0.38</v>
      </c>
      <c r="H983" s="54">
        <f>_xlfn.XLOOKUP(A983,Table4[instant],Table4[atemp], ,0,1)</f>
        <v>0.39389999999999997</v>
      </c>
      <c r="I983" s="42">
        <f>_xlfn.XLOOKUP(A983,Table4[instant],Table4[hum], ,0,1)</f>
        <v>0.28999999999999998</v>
      </c>
      <c r="J983" s="42">
        <f>_xlfn.XLOOKUP(A983,Table4[instant],Table4[windspeed], ,0,1)</f>
        <v>0.35820000000000002</v>
      </c>
      <c r="K983" s="42">
        <f>_xlfn.XLOOKUP(A983,Table4[instant],Table4[casual], ,0,1)</f>
        <v>62</v>
      </c>
      <c r="L983" s="42">
        <f>_xlfn.XLOOKUP(A983,Table4[instant],Table4[registered], ,0,1)</f>
        <v>92</v>
      </c>
      <c r="M983" s="46">
        <f>_xlfn.XLOOKUP(A983,Table4[instant],Table4[cnt], ,0,1)</f>
        <v>154</v>
      </c>
      <c r="N983" s="1" t="str">
        <f>IF(OR(Table3[[#This Row],[weekday]]=0,Table3[[#This Row],[weekday]]=6),"Weekend","Weekday")</f>
        <v>Weekend</v>
      </c>
    </row>
    <row r="984" spans="1:14" ht="15" thickBot="1" x14ac:dyDescent="0.35">
      <c r="A984" s="51">
        <v>983</v>
      </c>
      <c r="B984" s="52">
        <v>40587</v>
      </c>
      <c r="C984" s="51">
        <v>14</v>
      </c>
      <c r="D984" s="53" t="b">
        <v>0</v>
      </c>
      <c r="E984" s="51">
        <f>_xlfn.XLOOKUP(A984,Table4[instant],Table4[weekday], ,0,1)</f>
        <v>0</v>
      </c>
      <c r="F984" s="51">
        <f>_xlfn.XLOOKUP(A984,Table4[instant],Table4[weathersit], ,0,1)</f>
        <v>2</v>
      </c>
      <c r="G984" s="42">
        <f>_xlfn.XLOOKUP(A984,Table4[instant],Table4[temp], ,0,1)</f>
        <v>0.4</v>
      </c>
      <c r="H984" s="54">
        <f>_xlfn.XLOOKUP(A984,Table4[instant],Table4[atemp], ,0,1)</f>
        <v>0.40910000000000002</v>
      </c>
      <c r="I984" s="42">
        <f>_xlfn.XLOOKUP(A984,Table4[instant],Table4[hum], ,0,1)</f>
        <v>0.3</v>
      </c>
      <c r="J984" s="42">
        <f>_xlfn.XLOOKUP(A984,Table4[instant],Table4[windspeed], ,0,1)</f>
        <v>0.41789999999999999</v>
      </c>
      <c r="K984" s="42">
        <f>_xlfn.XLOOKUP(A984,Table4[instant],Table4[casual], ,0,1)</f>
        <v>51</v>
      </c>
      <c r="L984" s="42">
        <f>_xlfn.XLOOKUP(A984,Table4[instant],Table4[registered], ,0,1)</f>
        <v>110</v>
      </c>
      <c r="M984" s="46">
        <f>_xlfn.XLOOKUP(A984,Table4[instant],Table4[cnt], ,0,1)</f>
        <v>161</v>
      </c>
      <c r="N984" s="42" t="str">
        <f>IF(OR(Table3[[#This Row],[weekday]]=0,Table3[[#This Row],[weekday]]=6),"Weekend","Weekday")</f>
        <v>Weekend</v>
      </c>
    </row>
    <row r="985" spans="1:14" ht="15" thickBot="1" x14ac:dyDescent="0.35">
      <c r="A985" s="48">
        <v>984</v>
      </c>
      <c r="B985" s="49">
        <v>40587</v>
      </c>
      <c r="C985" s="48">
        <v>15</v>
      </c>
      <c r="D985" s="50" t="b">
        <v>0</v>
      </c>
      <c r="E985" s="51">
        <f>_xlfn.XLOOKUP(A985,Table4[instant],Table4[weekday], ,0,1)</f>
        <v>0</v>
      </c>
      <c r="F985" s="51">
        <f>_xlfn.XLOOKUP(A985,Table4[instant],Table4[weathersit], ,0,1)</f>
        <v>2</v>
      </c>
      <c r="G985" s="42">
        <f>_xlfn.XLOOKUP(A985,Table4[instant],Table4[temp], ,0,1)</f>
        <v>0.4</v>
      </c>
      <c r="H985" s="54">
        <f>_xlfn.XLOOKUP(A985,Table4[instant],Table4[atemp], ,0,1)</f>
        <v>0.40910000000000002</v>
      </c>
      <c r="I985" s="42">
        <f>_xlfn.XLOOKUP(A985,Table4[instant],Table4[hum], ,0,1)</f>
        <v>0.3</v>
      </c>
      <c r="J985" s="42">
        <f>_xlfn.XLOOKUP(A985,Table4[instant],Table4[windspeed], ,0,1)</f>
        <v>0.29849999999999999</v>
      </c>
      <c r="K985" s="42">
        <f>_xlfn.XLOOKUP(A985,Table4[instant],Table4[casual], ,0,1)</f>
        <v>40</v>
      </c>
      <c r="L985" s="42">
        <f>_xlfn.XLOOKUP(A985,Table4[instant],Table4[registered], ,0,1)</f>
        <v>122</v>
      </c>
      <c r="M985" s="46">
        <f>_xlfn.XLOOKUP(A985,Table4[instant],Table4[cnt], ,0,1)</f>
        <v>162</v>
      </c>
      <c r="N985" s="1" t="str">
        <f>IF(OR(Table3[[#This Row],[weekday]]=0,Table3[[#This Row],[weekday]]=6),"Weekend","Weekday")</f>
        <v>Weekend</v>
      </c>
    </row>
    <row r="986" spans="1:14" ht="15" thickBot="1" x14ac:dyDescent="0.35">
      <c r="A986" s="51">
        <v>985</v>
      </c>
      <c r="B986" s="52">
        <v>40587</v>
      </c>
      <c r="C986" s="51">
        <v>16</v>
      </c>
      <c r="D986" s="53" t="b">
        <v>0</v>
      </c>
      <c r="E986" s="51">
        <f>_xlfn.XLOOKUP(A986,Table4[instant],Table4[weekday], ,0,1)</f>
        <v>0</v>
      </c>
      <c r="F986" s="51">
        <f>_xlfn.XLOOKUP(A986,Table4[instant],Table4[weathersit], ,0,1)</f>
        <v>2</v>
      </c>
      <c r="G986" s="42">
        <f>_xlfn.XLOOKUP(A986,Table4[instant],Table4[temp], ,0,1)</f>
        <v>0.42</v>
      </c>
      <c r="H986" s="54">
        <f>_xlfn.XLOOKUP(A986,Table4[instant],Table4[atemp], ,0,1)</f>
        <v>0.42420000000000002</v>
      </c>
      <c r="I986" s="42">
        <f>_xlfn.XLOOKUP(A986,Table4[instant],Table4[hum], ,0,1)</f>
        <v>0.28000000000000003</v>
      </c>
      <c r="J986" s="42">
        <f>_xlfn.XLOOKUP(A986,Table4[instant],Table4[windspeed], ,0,1)</f>
        <v>0.32840000000000003</v>
      </c>
      <c r="K986" s="42">
        <f>_xlfn.XLOOKUP(A986,Table4[instant],Table4[casual], ,0,1)</f>
        <v>28</v>
      </c>
      <c r="L986" s="42">
        <f>_xlfn.XLOOKUP(A986,Table4[instant],Table4[registered], ,0,1)</f>
        <v>106</v>
      </c>
      <c r="M986" s="46">
        <f>_xlfn.XLOOKUP(A986,Table4[instant],Table4[cnt], ,0,1)</f>
        <v>134</v>
      </c>
      <c r="N986" s="42" t="str">
        <f>IF(OR(Table3[[#This Row],[weekday]]=0,Table3[[#This Row],[weekday]]=6),"Weekend","Weekday")</f>
        <v>Weekend</v>
      </c>
    </row>
    <row r="987" spans="1:14" ht="15" thickBot="1" x14ac:dyDescent="0.35">
      <c r="A987" s="48">
        <v>986</v>
      </c>
      <c r="B987" s="49">
        <v>40587</v>
      </c>
      <c r="C987" s="48">
        <v>17</v>
      </c>
      <c r="D987" s="50" t="b">
        <v>0</v>
      </c>
      <c r="E987" s="51">
        <f>_xlfn.XLOOKUP(A987,Table4[instant],Table4[weekday], ,0,1)</f>
        <v>0</v>
      </c>
      <c r="F987" s="51">
        <f>_xlfn.XLOOKUP(A987,Table4[instant],Table4[weathersit], ,0,1)</f>
        <v>1</v>
      </c>
      <c r="G987" s="42">
        <f>_xlfn.XLOOKUP(A987,Table4[instant],Table4[temp], ,0,1)</f>
        <v>0.42</v>
      </c>
      <c r="H987" s="54">
        <f>_xlfn.XLOOKUP(A987,Table4[instant],Table4[atemp], ,0,1)</f>
        <v>0.42420000000000002</v>
      </c>
      <c r="I987" s="42">
        <f>_xlfn.XLOOKUP(A987,Table4[instant],Table4[hum], ,0,1)</f>
        <v>0.28000000000000003</v>
      </c>
      <c r="J987" s="42">
        <f>_xlfn.XLOOKUP(A987,Table4[instant],Table4[windspeed], ,0,1)</f>
        <v>0.32840000000000003</v>
      </c>
      <c r="K987" s="42">
        <f>_xlfn.XLOOKUP(A987,Table4[instant],Table4[casual], ,0,1)</f>
        <v>30</v>
      </c>
      <c r="L987" s="42">
        <f>_xlfn.XLOOKUP(A987,Table4[instant],Table4[registered], ,0,1)</f>
        <v>95</v>
      </c>
      <c r="M987" s="46">
        <f>_xlfn.XLOOKUP(A987,Table4[instant],Table4[cnt], ,0,1)</f>
        <v>125</v>
      </c>
      <c r="N987" s="1" t="str">
        <f>IF(OR(Table3[[#This Row],[weekday]]=0,Table3[[#This Row],[weekday]]=6),"Weekend","Weekday")</f>
        <v>Weekend</v>
      </c>
    </row>
    <row r="988" spans="1:14" ht="15" thickBot="1" x14ac:dyDescent="0.35">
      <c r="A988" s="51">
        <v>987</v>
      </c>
      <c r="B988" s="52">
        <v>40587</v>
      </c>
      <c r="C988" s="51">
        <v>18</v>
      </c>
      <c r="D988" s="53" t="b">
        <v>0</v>
      </c>
      <c r="E988" s="51">
        <f>_xlfn.XLOOKUP(A988,Table4[instant],Table4[weekday], ,0,1)</f>
        <v>0</v>
      </c>
      <c r="F988" s="51">
        <f>_xlfn.XLOOKUP(A988,Table4[instant],Table4[weathersit], ,0,1)</f>
        <v>1</v>
      </c>
      <c r="G988" s="42">
        <f>_xlfn.XLOOKUP(A988,Table4[instant],Table4[temp], ,0,1)</f>
        <v>0.4</v>
      </c>
      <c r="H988" s="54">
        <f>_xlfn.XLOOKUP(A988,Table4[instant],Table4[atemp], ,0,1)</f>
        <v>0.40910000000000002</v>
      </c>
      <c r="I988" s="42">
        <f>_xlfn.XLOOKUP(A988,Table4[instant],Table4[hum], ,0,1)</f>
        <v>0.32</v>
      </c>
      <c r="J988" s="42">
        <f>_xlfn.XLOOKUP(A988,Table4[instant],Table4[windspeed], ,0,1)</f>
        <v>0.29849999999999999</v>
      </c>
      <c r="K988" s="42">
        <f>_xlfn.XLOOKUP(A988,Table4[instant],Table4[casual], ,0,1)</f>
        <v>17</v>
      </c>
      <c r="L988" s="42">
        <f>_xlfn.XLOOKUP(A988,Table4[instant],Table4[registered], ,0,1)</f>
        <v>78</v>
      </c>
      <c r="M988" s="46">
        <f>_xlfn.XLOOKUP(A988,Table4[instant],Table4[cnt], ,0,1)</f>
        <v>95</v>
      </c>
      <c r="N988" s="42" t="str">
        <f>IF(OR(Table3[[#This Row],[weekday]]=0,Table3[[#This Row],[weekday]]=6),"Weekend","Weekday")</f>
        <v>Weekend</v>
      </c>
    </row>
    <row r="989" spans="1:14" ht="15" thickBot="1" x14ac:dyDescent="0.35">
      <c r="A989" s="48">
        <v>988</v>
      </c>
      <c r="B989" s="49">
        <v>40587</v>
      </c>
      <c r="C989" s="48">
        <v>19</v>
      </c>
      <c r="D989" s="50" t="b">
        <v>0</v>
      </c>
      <c r="E989" s="51">
        <f>_xlfn.XLOOKUP(A989,Table4[instant],Table4[weekday], ,0,1)</f>
        <v>0</v>
      </c>
      <c r="F989" s="51">
        <f>_xlfn.XLOOKUP(A989,Table4[instant],Table4[weathersit], ,0,1)</f>
        <v>1</v>
      </c>
      <c r="G989" s="42">
        <f>_xlfn.XLOOKUP(A989,Table4[instant],Table4[temp], ,0,1)</f>
        <v>0.4</v>
      </c>
      <c r="H989" s="54">
        <f>_xlfn.XLOOKUP(A989,Table4[instant],Table4[atemp], ,0,1)</f>
        <v>0.40910000000000002</v>
      </c>
      <c r="I989" s="42">
        <f>_xlfn.XLOOKUP(A989,Table4[instant],Table4[hum], ,0,1)</f>
        <v>0.35</v>
      </c>
      <c r="J989" s="42">
        <f>_xlfn.XLOOKUP(A989,Table4[instant],Table4[windspeed], ,0,1)</f>
        <v>0.28360000000000002</v>
      </c>
      <c r="K989" s="42">
        <f>_xlfn.XLOOKUP(A989,Table4[instant],Table4[casual], ,0,1)</f>
        <v>11</v>
      </c>
      <c r="L989" s="42">
        <f>_xlfn.XLOOKUP(A989,Table4[instant],Table4[registered], ,0,1)</f>
        <v>50</v>
      </c>
      <c r="M989" s="46">
        <f>_xlfn.XLOOKUP(A989,Table4[instant],Table4[cnt], ,0,1)</f>
        <v>61</v>
      </c>
      <c r="N989" s="1" t="str">
        <f>IF(OR(Table3[[#This Row],[weekday]]=0,Table3[[#This Row],[weekday]]=6),"Weekend","Weekday")</f>
        <v>Weekend</v>
      </c>
    </row>
    <row r="990" spans="1:14" ht="15" thickBot="1" x14ac:dyDescent="0.35">
      <c r="A990" s="51">
        <v>989</v>
      </c>
      <c r="B990" s="52">
        <v>40587</v>
      </c>
      <c r="C990" s="51">
        <v>20</v>
      </c>
      <c r="D990" s="53" t="b">
        <v>0</v>
      </c>
      <c r="E990" s="51">
        <f>_xlfn.XLOOKUP(A990,Table4[instant],Table4[weekday], ,0,1)</f>
        <v>0</v>
      </c>
      <c r="F990" s="51">
        <f>_xlfn.XLOOKUP(A990,Table4[instant],Table4[weathersit], ,0,1)</f>
        <v>1</v>
      </c>
      <c r="G990" s="42">
        <f>_xlfn.XLOOKUP(A990,Table4[instant],Table4[temp], ,0,1)</f>
        <v>0.4</v>
      </c>
      <c r="H990" s="54">
        <f>_xlfn.XLOOKUP(A990,Table4[instant],Table4[atemp], ,0,1)</f>
        <v>0.40910000000000002</v>
      </c>
      <c r="I990" s="42">
        <f>_xlfn.XLOOKUP(A990,Table4[instant],Table4[hum], ,0,1)</f>
        <v>0.35</v>
      </c>
      <c r="J990" s="42">
        <f>_xlfn.XLOOKUP(A990,Table4[instant],Table4[windspeed], ,0,1)</f>
        <v>0.32840000000000003</v>
      </c>
      <c r="K990" s="42">
        <f>_xlfn.XLOOKUP(A990,Table4[instant],Table4[casual], ,0,1)</f>
        <v>15</v>
      </c>
      <c r="L990" s="42">
        <f>_xlfn.XLOOKUP(A990,Table4[instant],Table4[registered], ,0,1)</f>
        <v>32</v>
      </c>
      <c r="M990" s="46">
        <f>_xlfn.XLOOKUP(A990,Table4[instant],Table4[cnt], ,0,1)</f>
        <v>47</v>
      </c>
      <c r="N990" s="42" t="str">
        <f>IF(OR(Table3[[#This Row],[weekday]]=0,Table3[[#This Row],[weekday]]=6),"Weekend","Weekday")</f>
        <v>Weekend</v>
      </c>
    </row>
    <row r="991" spans="1:14" ht="15" thickBot="1" x14ac:dyDescent="0.35">
      <c r="A991" s="48">
        <v>990</v>
      </c>
      <c r="B991" s="49">
        <v>40587</v>
      </c>
      <c r="C991" s="48">
        <v>21</v>
      </c>
      <c r="D991" s="50" t="b">
        <v>0</v>
      </c>
      <c r="E991" s="51">
        <f>_xlfn.XLOOKUP(A991,Table4[instant],Table4[weekday], ,0,1)</f>
        <v>0</v>
      </c>
      <c r="F991" s="51">
        <f>_xlfn.XLOOKUP(A991,Table4[instant],Table4[weathersit], ,0,1)</f>
        <v>1</v>
      </c>
      <c r="G991" s="42">
        <f>_xlfn.XLOOKUP(A991,Table4[instant],Table4[temp], ,0,1)</f>
        <v>0.4</v>
      </c>
      <c r="H991" s="54">
        <f>_xlfn.XLOOKUP(A991,Table4[instant],Table4[atemp], ,0,1)</f>
        <v>0.40910000000000002</v>
      </c>
      <c r="I991" s="42">
        <f>_xlfn.XLOOKUP(A991,Table4[instant],Table4[hum], ,0,1)</f>
        <v>0.35</v>
      </c>
      <c r="J991" s="42">
        <f>_xlfn.XLOOKUP(A991,Table4[instant],Table4[windspeed], ,0,1)</f>
        <v>0.35820000000000002</v>
      </c>
      <c r="K991" s="42">
        <f>_xlfn.XLOOKUP(A991,Table4[instant],Table4[casual], ,0,1)</f>
        <v>6</v>
      </c>
      <c r="L991" s="42">
        <f>_xlfn.XLOOKUP(A991,Table4[instant],Table4[registered], ,0,1)</f>
        <v>45</v>
      </c>
      <c r="M991" s="46">
        <f>_xlfn.XLOOKUP(A991,Table4[instant],Table4[cnt], ,0,1)</f>
        <v>51</v>
      </c>
      <c r="N991" s="1" t="str">
        <f>IF(OR(Table3[[#This Row],[weekday]]=0,Table3[[#This Row],[weekday]]=6),"Weekend","Weekday")</f>
        <v>Weekend</v>
      </c>
    </row>
    <row r="992" spans="1:14" ht="15" thickBot="1" x14ac:dyDescent="0.35">
      <c r="A992" s="51">
        <v>991</v>
      </c>
      <c r="B992" s="52">
        <v>40587</v>
      </c>
      <c r="C992" s="51">
        <v>22</v>
      </c>
      <c r="D992" s="53" t="b">
        <v>0</v>
      </c>
      <c r="E992" s="51">
        <f>_xlfn.XLOOKUP(A992,Table4[instant],Table4[weekday], ,0,1)</f>
        <v>0</v>
      </c>
      <c r="F992" s="51">
        <f>_xlfn.XLOOKUP(A992,Table4[instant],Table4[weathersit], ,0,1)</f>
        <v>1</v>
      </c>
      <c r="G992" s="42">
        <f>_xlfn.XLOOKUP(A992,Table4[instant],Table4[temp], ,0,1)</f>
        <v>0.4</v>
      </c>
      <c r="H992" s="54">
        <f>_xlfn.XLOOKUP(A992,Table4[instant],Table4[atemp], ,0,1)</f>
        <v>0.40910000000000002</v>
      </c>
      <c r="I992" s="42">
        <f>_xlfn.XLOOKUP(A992,Table4[instant],Table4[hum], ,0,1)</f>
        <v>0.35</v>
      </c>
      <c r="J992" s="42">
        <f>_xlfn.XLOOKUP(A992,Table4[instant],Table4[windspeed], ,0,1)</f>
        <v>0.29849999999999999</v>
      </c>
      <c r="K992" s="42">
        <f>_xlfn.XLOOKUP(A992,Table4[instant],Table4[casual], ,0,1)</f>
        <v>5</v>
      </c>
      <c r="L992" s="42">
        <f>_xlfn.XLOOKUP(A992,Table4[instant],Table4[registered], ,0,1)</f>
        <v>31</v>
      </c>
      <c r="M992" s="46">
        <f>_xlfn.XLOOKUP(A992,Table4[instant],Table4[cnt], ,0,1)</f>
        <v>36</v>
      </c>
      <c r="N992" s="42" t="str">
        <f>IF(OR(Table3[[#This Row],[weekday]]=0,Table3[[#This Row],[weekday]]=6),"Weekend","Weekday")</f>
        <v>Weekend</v>
      </c>
    </row>
    <row r="993" spans="1:14" ht="15" thickBot="1" x14ac:dyDescent="0.35">
      <c r="A993" s="48">
        <v>992</v>
      </c>
      <c r="B993" s="49">
        <v>40587</v>
      </c>
      <c r="C993" s="48">
        <v>23</v>
      </c>
      <c r="D993" s="50" t="b">
        <v>0</v>
      </c>
      <c r="E993" s="51">
        <f>_xlfn.XLOOKUP(A993,Table4[instant],Table4[weekday], ,0,1)</f>
        <v>0</v>
      </c>
      <c r="F993" s="51">
        <f>_xlfn.XLOOKUP(A993,Table4[instant],Table4[weathersit], ,0,1)</f>
        <v>1</v>
      </c>
      <c r="G993" s="42">
        <f>_xlfn.XLOOKUP(A993,Table4[instant],Table4[temp], ,0,1)</f>
        <v>0.4</v>
      </c>
      <c r="H993" s="54">
        <f>_xlfn.XLOOKUP(A993,Table4[instant],Table4[atemp], ,0,1)</f>
        <v>0.40910000000000002</v>
      </c>
      <c r="I993" s="42">
        <f>_xlfn.XLOOKUP(A993,Table4[instant],Table4[hum], ,0,1)</f>
        <v>0.35</v>
      </c>
      <c r="J993" s="42">
        <f>_xlfn.XLOOKUP(A993,Table4[instant],Table4[windspeed], ,0,1)</f>
        <v>0.35820000000000002</v>
      </c>
      <c r="K993" s="42">
        <f>_xlfn.XLOOKUP(A993,Table4[instant],Table4[casual], ,0,1)</f>
        <v>3</v>
      </c>
      <c r="L993" s="42">
        <f>_xlfn.XLOOKUP(A993,Table4[instant],Table4[registered], ,0,1)</f>
        <v>27</v>
      </c>
      <c r="M993" s="46">
        <f>_xlfn.XLOOKUP(A993,Table4[instant],Table4[cnt], ,0,1)</f>
        <v>30</v>
      </c>
      <c r="N993" s="1" t="str">
        <f>IF(OR(Table3[[#This Row],[weekday]]=0,Table3[[#This Row],[weekday]]=6),"Weekend","Weekday")</f>
        <v>Weekend</v>
      </c>
    </row>
    <row r="994" spans="1:14" ht="15" thickBot="1" x14ac:dyDescent="0.35">
      <c r="A994" s="51">
        <v>993</v>
      </c>
      <c r="B994" s="52">
        <v>40588</v>
      </c>
      <c r="C994" s="51">
        <v>0</v>
      </c>
      <c r="D994" s="53" t="b">
        <v>0</v>
      </c>
      <c r="E994" s="51">
        <f>_xlfn.XLOOKUP(A994,Table4[instant],Table4[weekday], ,0,1)</f>
        <v>1</v>
      </c>
      <c r="F994" s="51">
        <f>_xlfn.XLOOKUP(A994,Table4[instant],Table4[weathersit], ,0,1)</f>
        <v>1</v>
      </c>
      <c r="G994" s="42">
        <f>_xlfn.XLOOKUP(A994,Table4[instant],Table4[temp], ,0,1)</f>
        <v>0.38</v>
      </c>
      <c r="H994" s="54">
        <f>_xlfn.XLOOKUP(A994,Table4[instant],Table4[atemp], ,0,1)</f>
        <v>0.39389999999999997</v>
      </c>
      <c r="I994" s="42">
        <f>_xlfn.XLOOKUP(A994,Table4[instant],Table4[hum], ,0,1)</f>
        <v>0.37</v>
      </c>
      <c r="J994" s="42">
        <f>_xlfn.XLOOKUP(A994,Table4[instant],Table4[windspeed], ,0,1)</f>
        <v>0.35820000000000002</v>
      </c>
      <c r="K994" s="42">
        <f>_xlfn.XLOOKUP(A994,Table4[instant],Table4[casual], ,0,1)</f>
        <v>3</v>
      </c>
      <c r="L994" s="42">
        <f>_xlfn.XLOOKUP(A994,Table4[instant],Table4[registered], ,0,1)</f>
        <v>8</v>
      </c>
      <c r="M994" s="46">
        <f>_xlfn.XLOOKUP(A994,Table4[instant],Table4[cnt], ,0,1)</f>
        <v>11</v>
      </c>
      <c r="N994" s="42" t="str">
        <f>IF(OR(Table3[[#This Row],[weekday]]=0,Table3[[#This Row],[weekday]]=6),"Weekend","Weekday")</f>
        <v>Weekday</v>
      </c>
    </row>
    <row r="995" spans="1:14" ht="15" thickBot="1" x14ac:dyDescent="0.35">
      <c r="A995" s="48">
        <v>994</v>
      </c>
      <c r="B995" s="49">
        <v>40588</v>
      </c>
      <c r="C995" s="48">
        <v>1</v>
      </c>
      <c r="D995" s="50" t="b">
        <v>0</v>
      </c>
      <c r="E995" s="51">
        <f>_xlfn.XLOOKUP(A995,Table4[instant],Table4[weekday], ,0,1)</f>
        <v>1</v>
      </c>
      <c r="F995" s="51">
        <f>_xlfn.XLOOKUP(A995,Table4[instant],Table4[weathersit], ,0,1)</f>
        <v>1</v>
      </c>
      <c r="G995" s="42">
        <f>_xlfn.XLOOKUP(A995,Table4[instant],Table4[temp], ,0,1)</f>
        <v>0.38</v>
      </c>
      <c r="H995" s="54">
        <f>_xlfn.XLOOKUP(A995,Table4[instant],Table4[atemp], ,0,1)</f>
        <v>0.39389999999999997</v>
      </c>
      <c r="I995" s="42">
        <f>_xlfn.XLOOKUP(A995,Table4[instant],Table4[hum], ,0,1)</f>
        <v>0.37</v>
      </c>
      <c r="J995" s="42">
        <f>_xlfn.XLOOKUP(A995,Table4[instant],Table4[windspeed], ,0,1)</f>
        <v>0.35820000000000002</v>
      </c>
      <c r="K995" s="42">
        <f>_xlfn.XLOOKUP(A995,Table4[instant],Table4[casual], ,0,1)</f>
        <v>1</v>
      </c>
      <c r="L995" s="42">
        <f>_xlfn.XLOOKUP(A995,Table4[instant],Table4[registered], ,0,1)</f>
        <v>6</v>
      </c>
      <c r="M995" s="46">
        <f>_xlfn.XLOOKUP(A995,Table4[instant],Table4[cnt], ,0,1)</f>
        <v>7</v>
      </c>
      <c r="N995" s="1" t="str">
        <f>IF(OR(Table3[[#This Row],[weekday]]=0,Table3[[#This Row],[weekday]]=6),"Weekend","Weekday")</f>
        <v>Weekday</v>
      </c>
    </row>
    <row r="996" spans="1:14" ht="15" thickBot="1" x14ac:dyDescent="0.35">
      <c r="A996" s="51">
        <v>995</v>
      </c>
      <c r="B996" s="52">
        <v>40588</v>
      </c>
      <c r="C996" s="51">
        <v>2</v>
      </c>
      <c r="D996" s="53" t="b">
        <v>0</v>
      </c>
      <c r="E996" s="51">
        <f>_xlfn.XLOOKUP(A996,Table4[instant],Table4[weekday], ,0,1)</f>
        <v>1</v>
      </c>
      <c r="F996" s="51">
        <f>_xlfn.XLOOKUP(A996,Table4[instant],Table4[weathersit], ,0,1)</f>
        <v>1</v>
      </c>
      <c r="G996" s="42">
        <f>_xlfn.XLOOKUP(A996,Table4[instant],Table4[temp], ,0,1)</f>
        <v>0.36</v>
      </c>
      <c r="H996" s="54">
        <f>_xlfn.XLOOKUP(A996,Table4[instant],Table4[atemp], ,0,1)</f>
        <v>0.33329999999999999</v>
      </c>
      <c r="I996" s="42">
        <f>_xlfn.XLOOKUP(A996,Table4[instant],Table4[hum], ,0,1)</f>
        <v>0.4</v>
      </c>
      <c r="J996" s="42">
        <f>_xlfn.XLOOKUP(A996,Table4[instant],Table4[windspeed], ,0,1)</f>
        <v>0.29849999999999999</v>
      </c>
      <c r="K996" s="42">
        <f>_xlfn.XLOOKUP(A996,Table4[instant],Table4[casual], ,0,1)</f>
        <v>0</v>
      </c>
      <c r="L996" s="42">
        <f>_xlfn.XLOOKUP(A996,Table4[instant],Table4[registered], ,0,1)</f>
        <v>2</v>
      </c>
      <c r="M996" s="46">
        <f>_xlfn.XLOOKUP(A996,Table4[instant],Table4[cnt], ,0,1)</f>
        <v>2</v>
      </c>
      <c r="N996" s="42" t="str">
        <f>IF(OR(Table3[[#This Row],[weekday]]=0,Table3[[#This Row],[weekday]]=6),"Weekend","Weekday")</f>
        <v>Weekday</v>
      </c>
    </row>
    <row r="997" spans="1:14" ht="15" thickBot="1" x14ac:dyDescent="0.35">
      <c r="A997" s="48">
        <v>996</v>
      </c>
      <c r="B997" s="49">
        <v>40588</v>
      </c>
      <c r="C997" s="48">
        <v>3</v>
      </c>
      <c r="D997" s="50" t="b">
        <v>0</v>
      </c>
      <c r="E997" s="51">
        <f>_xlfn.XLOOKUP(A997,Table4[instant],Table4[weekday], ,0,1)</f>
        <v>1</v>
      </c>
      <c r="F997" s="51">
        <f>_xlfn.XLOOKUP(A997,Table4[instant],Table4[weathersit], ,0,1)</f>
        <v>1</v>
      </c>
      <c r="G997" s="42">
        <f>_xlfn.XLOOKUP(A997,Table4[instant],Table4[temp], ,0,1)</f>
        <v>0.34</v>
      </c>
      <c r="H997" s="54">
        <f>_xlfn.XLOOKUP(A997,Table4[instant],Table4[atemp], ,0,1)</f>
        <v>0.31819999999999998</v>
      </c>
      <c r="I997" s="42">
        <f>_xlfn.XLOOKUP(A997,Table4[instant],Table4[hum], ,0,1)</f>
        <v>0.46</v>
      </c>
      <c r="J997" s="42">
        <f>_xlfn.XLOOKUP(A997,Table4[instant],Table4[windspeed], ,0,1)</f>
        <v>0.22389999999999999</v>
      </c>
      <c r="K997" s="42">
        <f>_xlfn.XLOOKUP(A997,Table4[instant],Table4[casual], ,0,1)</f>
        <v>1</v>
      </c>
      <c r="L997" s="42">
        <f>_xlfn.XLOOKUP(A997,Table4[instant],Table4[registered], ,0,1)</f>
        <v>1</v>
      </c>
      <c r="M997" s="46">
        <f>_xlfn.XLOOKUP(A997,Table4[instant],Table4[cnt], ,0,1)</f>
        <v>2</v>
      </c>
      <c r="N997" s="1" t="str">
        <f>IF(OR(Table3[[#This Row],[weekday]]=0,Table3[[#This Row],[weekday]]=6),"Weekend","Weekday")</f>
        <v>Weekday</v>
      </c>
    </row>
    <row r="998" spans="1:14" ht="15" thickBot="1" x14ac:dyDescent="0.35">
      <c r="A998" s="51">
        <v>997</v>
      </c>
      <c r="B998" s="52">
        <v>40588</v>
      </c>
      <c r="C998" s="51">
        <v>4</v>
      </c>
      <c r="D998" s="53" t="b">
        <v>0</v>
      </c>
      <c r="E998" s="51">
        <f>_xlfn.XLOOKUP(A998,Table4[instant],Table4[weekday], ,0,1)</f>
        <v>1</v>
      </c>
      <c r="F998" s="51">
        <f>_xlfn.XLOOKUP(A998,Table4[instant],Table4[weathersit], ,0,1)</f>
        <v>1</v>
      </c>
      <c r="G998" s="42">
        <f>_xlfn.XLOOKUP(A998,Table4[instant],Table4[temp], ,0,1)</f>
        <v>0.32</v>
      </c>
      <c r="H998" s="54">
        <f>_xlfn.XLOOKUP(A998,Table4[instant],Table4[atemp], ,0,1)</f>
        <v>0.30299999999999999</v>
      </c>
      <c r="I998" s="42">
        <f>_xlfn.XLOOKUP(A998,Table4[instant],Table4[hum], ,0,1)</f>
        <v>0.53</v>
      </c>
      <c r="J998" s="42">
        <f>_xlfn.XLOOKUP(A998,Table4[instant],Table4[windspeed], ,0,1)</f>
        <v>0.28360000000000002</v>
      </c>
      <c r="K998" s="42">
        <f>_xlfn.XLOOKUP(A998,Table4[instant],Table4[casual], ,0,1)</f>
        <v>0</v>
      </c>
      <c r="L998" s="42">
        <f>_xlfn.XLOOKUP(A998,Table4[instant],Table4[registered], ,0,1)</f>
        <v>2</v>
      </c>
      <c r="M998" s="46">
        <f>_xlfn.XLOOKUP(A998,Table4[instant],Table4[cnt], ,0,1)</f>
        <v>2</v>
      </c>
      <c r="N998" s="42" t="str">
        <f>IF(OR(Table3[[#This Row],[weekday]]=0,Table3[[#This Row],[weekday]]=6),"Weekend","Weekday")</f>
        <v>Weekday</v>
      </c>
    </row>
    <row r="999" spans="1:14" ht="15" thickBot="1" x14ac:dyDescent="0.35">
      <c r="A999" s="48">
        <v>998</v>
      </c>
      <c r="B999" s="49">
        <v>40588</v>
      </c>
      <c r="C999" s="48">
        <v>5</v>
      </c>
      <c r="D999" s="50" t="b">
        <v>0</v>
      </c>
      <c r="E999" s="51">
        <f>_xlfn.XLOOKUP(A999,Table4[instant],Table4[weekday], ,0,1)</f>
        <v>1</v>
      </c>
      <c r="F999" s="51">
        <f>_xlfn.XLOOKUP(A999,Table4[instant],Table4[weathersit], ,0,1)</f>
        <v>1</v>
      </c>
      <c r="G999" s="42">
        <f>_xlfn.XLOOKUP(A999,Table4[instant],Table4[temp], ,0,1)</f>
        <v>0.32</v>
      </c>
      <c r="H999" s="54">
        <f>_xlfn.XLOOKUP(A999,Table4[instant],Table4[atemp], ,0,1)</f>
        <v>0.30299999999999999</v>
      </c>
      <c r="I999" s="42">
        <f>_xlfn.XLOOKUP(A999,Table4[instant],Table4[hum], ,0,1)</f>
        <v>0.53</v>
      </c>
      <c r="J999" s="42">
        <f>_xlfn.XLOOKUP(A999,Table4[instant],Table4[windspeed], ,0,1)</f>
        <v>0.28360000000000002</v>
      </c>
      <c r="K999" s="42">
        <f>_xlfn.XLOOKUP(A999,Table4[instant],Table4[casual], ,0,1)</f>
        <v>0</v>
      </c>
      <c r="L999" s="42">
        <f>_xlfn.XLOOKUP(A999,Table4[instant],Table4[registered], ,0,1)</f>
        <v>3</v>
      </c>
      <c r="M999" s="46">
        <f>_xlfn.XLOOKUP(A999,Table4[instant],Table4[cnt], ,0,1)</f>
        <v>3</v>
      </c>
      <c r="N999" s="1" t="str">
        <f>IF(OR(Table3[[#This Row],[weekday]]=0,Table3[[#This Row],[weekday]]=6),"Weekend","Weekday")</f>
        <v>Weekday</v>
      </c>
    </row>
    <row r="1000" spans="1:14" ht="15" thickBot="1" x14ac:dyDescent="0.35">
      <c r="A1000" s="51">
        <v>999</v>
      </c>
      <c r="B1000" s="52">
        <v>40588</v>
      </c>
      <c r="C1000" s="51">
        <v>6</v>
      </c>
      <c r="D1000" s="53" t="b">
        <v>0</v>
      </c>
      <c r="E1000" s="51">
        <f>_xlfn.XLOOKUP(A1000,Table4[instant],Table4[weekday], ,0,1)</f>
        <v>1</v>
      </c>
      <c r="F1000" s="51">
        <f>_xlfn.XLOOKUP(A1000,Table4[instant],Table4[weathersit], ,0,1)</f>
        <v>1</v>
      </c>
      <c r="G1000" s="42">
        <f>_xlfn.XLOOKUP(A1000,Table4[instant],Table4[temp], ,0,1)</f>
        <v>0.34</v>
      </c>
      <c r="H1000" s="54">
        <f>_xlfn.XLOOKUP(A1000,Table4[instant],Table4[atemp], ,0,1)</f>
        <v>0.30299999999999999</v>
      </c>
      <c r="I1000" s="42">
        <f>_xlfn.XLOOKUP(A1000,Table4[instant],Table4[hum], ,0,1)</f>
        <v>0.46</v>
      </c>
      <c r="J1000" s="42">
        <f>_xlfn.XLOOKUP(A1000,Table4[instant],Table4[windspeed], ,0,1)</f>
        <v>0.29849999999999999</v>
      </c>
      <c r="K1000" s="42">
        <f>_xlfn.XLOOKUP(A1000,Table4[instant],Table4[casual], ,0,1)</f>
        <v>1</v>
      </c>
      <c r="L1000" s="42">
        <f>_xlfn.XLOOKUP(A1000,Table4[instant],Table4[registered], ,0,1)</f>
        <v>25</v>
      </c>
      <c r="M1000" s="46">
        <f>_xlfn.XLOOKUP(A1000,Table4[instant],Table4[cnt], ,0,1)</f>
        <v>26</v>
      </c>
      <c r="N1000" s="42" t="str">
        <f>IF(OR(Table3[[#This Row],[weekday]]=0,Table3[[#This Row],[weekday]]=6),"Weekend","Weekday")</f>
        <v>Weekday</v>
      </c>
    </row>
    <row r="1001" spans="1:14" ht="15" thickBot="1" x14ac:dyDescent="0.35">
      <c r="A1001" s="48">
        <v>1000</v>
      </c>
      <c r="B1001" s="49">
        <v>40588</v>
      </c>
      <c r="C1001" s="48">
        <v>7</v>
      </c>
      <c r="D1001" s="50" t="b">
        <v>0</v>
      </c>
      <c r="E1001" s="51">
        <f>_xlfn.XLOOKUP(A1001,Table4[instant],Table4[weekday], ,0,1)</f>
        <v>1</v>
      </c>
      <c r="F1001" s="51">
        <f>_xlfn.XLOOKUP(A1001,Table4[instant],Table4[weathersit], ,0,1)</f>
        <v>1</v>
      </c>
      <c r="G1001" s="42">
        <f>_xlfn.XLOOKUP(A1001,Table4[instant],Table4[temp], ,0,1)</f>
        <v>0.34</v>
      </c>
      <c r="H1001" s="54">
        <f>_xlfn.XLOOKUP(A1001,Table4[instant],Table4[atemp], ,0,1)</f>
        <v>0.30299999999999999</v>
      </c>
      <c r="I1001" s="42">
        <f>_xlfn.XLOOKUP(A1001,Table4[instant],Table4[hum], ,0,1)</f>
        <v>0.46</v>
      </c>
      <c r="J1001" s="42">
        <f>_xlfn.XLOOKUP(A1001,Table4[instant],Table4[windspeed], ,0,1)</f>
        <v>0.29849999999999999</v>
      </c>
      <c r="K1001" s="42">
        <f>_xlfn.XLOOKUP(A1001,Table4[instant],Table4[casual], ,0,1)</f>
        <v>2</v>
      </c>
      <c r="L1001" s="42">
        <f>_xlfn.XLOOKUP(A1001,Table4[instant],Table4[registered], ,0,1)</f>
        <v>96</v>
      </c>
      <c r="M1001" s="46">
        <f>_xlfn.XLOOKUP(A1001,Table4[instant],Table4[cnt], ,0,1)</f>
        <v>98</v>
      </c>
      <c r="N1001" s="48" t="str">
        <f>IF(OR(Table3[[#This Row],[weekday]]=0,Table3[[#This Row],[weekday]]=6),"Weekend","Weekday")</f>
        <v>Weekday</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4" tint="-0.249977111117893"/>
  </sheetPr>
  <dimension ref="A1:N1002"/>
  <sheetViews>
    <sheetView zoomScale="85" zoomScaleNormal="85" workbookViewId="0">
      <selection activeCell="P2" sqref="P2"/>
    </sheetView>
  </sheetViews>
  <sheetFormatPr defaultRowHeight="14.4" x14ac:dyDescent="0.3"/>
  <cols>
    <col min="1" max="1" width="10.44140625" customWidth="1"/>
    <col min="2" max="2" width="12.44140625" customWidth="1"/>
    <col min="4" max="4" width="10.21875" customWidth="1"/>
    <col min="5" max="5" width="11.88671875" customWidth="1"/>
    <col min="6" max="6" width="13.5546875" customWidth="1"/>
    <col min="8" max="8" width="11" style="21" customWidth="1"/>
    <col min="10" max="10" width="14.33203125" customWidth="1"/>
    <col min="11" max="11" width="10.109375" customWidth="1"/>
    <col min="12" max="12" width="13.77734375" customWidth="1"/>
    <col min="14" max="14" width="13.33203125" customWidth="1"/>
  </cols>
  <sheetData>
    <row r="1" spans="1:14" ht="15" thickBot="1" x14ac:dyDescent="0.35">
      <c r="A1" s="7" t="s">
        <v>12</v>
      </c>
      <c r="B1" s="8" t="s">
        <v>11</v>
      </c>
      <c r="C1" s="8" t="s">
        <v>10</v>
      </c>
      <c r="D1" s="8" t="s">
        <v>9</v>
      </c>
      <c r="E1" s="8" t="s">
        <v>8</v>
      </c>
      <c r="F1" s="8" t="s">
        <v>7</v>
      </c>
      <c r="G1" s="8" t="s">
        <v>6</v>
      </c>
      <c r="H1" s="23" t="s">
        <v>5</v>
      </c>
      <c r="I1" s="8" t="s">
        <v>4</v>
      </c>
      <c r="J1" s="8" t="s">
        <v>3</v>
      </c>
      <c r="K1" s="8" t="s">
        <v>2</v>
      </c>
      <c r="L1" s="8" t="s">
        <v>1</v>
      </c>
      <c r="M1" s="9" t="s">
        <v>0</v>
      </c>
      <c r="N1" s="9" t="s">
        <v>39</v>
      </c>
    </row>
    <row r="2" spans="1:14" ht="15" thickBot="1" x14ac:dyDescent="0.35">
      <c r="A2" s="5">
        <v>1</v>
      </c>
      <c r="B2" s="3">
        <f>_xlfn.XLOOKUP(Table3[[#This Row],[instant]],DatSet1!A2:A611,DatSet1!B2:B611, ,0,1)</f>
        <v>40544</v>
      </c>
      <c r="C2" s="1">
        <f>_xlfn.XLOOKUP(Table3[[#This Row],[instant]],Table1[instant],Table1[hr], ,0,1)</f>
        <v>0</v>
      </c>
      <c r="D2" s="2" t="b">
        <f>_xlfn.XLOOKUP(Table3[[#This Row],[instant]],Table1[instant],Table1[holiday], ,0,1)</f>
        <v>0</v>
      </c>
      <c r="E2" s="2">
        <f>_xlfn.XLOOKUP(Table3[[#This Row],[instant]],Table1[instant],Table1[weekday], ,0,1)</f>
        <v>6</v>
      </c>
      <c r="F2" s="2">
        <f>_xlfn.XLOOKUP(Table3[[#This Row],[instant]],Table1[instant],Table1[weathersit], ,0,1)</f>
        <v>1</v>
      </c>
      <c r="G2" s="2">
        <f>_xlfn.XLOOKUP(Table3[[#This Row],[instant]],Table1[instant],Table1[temp], ,0,1)</f>
        <v>0.24</v>
      </c>
      <c r="H2" s="24">
        <f>_xlfn.XLOOKUP(Table3[[#This Row],[instant]],Table2[instant],Table2[atemp], ,0,1)</f>
        <v>0.28789999999999999</v>
      </c>
      <c r="I2" s="1">
        <f>_xlfn.XLOOKUP(Table3[[#This Row],[instant]],Table2[instant],Table2[hum], ,0,1)</f>
        <v>0.81</v>
      </c>
      <c r="J2" s="1">
        <f>_xlfn.XLOOKUP(Table3[[#This Row],[instant]],Table2[instant],Table2[windspeed], ,0,1)</f>
        <v>0</v>
      </c>
      <c r="K2" s="1">
        <f>_xlfn.XLOOKUP(Table3[[#This Row],[instant]],Table2[instant],Table2[casual], ,0,1)</f>
        <v>3</v>
      </c>
      <c r="L2" s="1">
        <f>_xlfn.XLOOKUP(Table3[[#This Row],[instant]],Table2[instant],Table2[registered], ,0,1)</f>
        <v>13</v>
      </c>
      <c r="M2" s="6">
        <f>_xlfn.XLOOKUP(Table3[[#This Row],[instant]],Table2[instant],Table2[cnt], ,0,1)</f>
        <v>16</v>
      </c>
      <c r="N2" s="28" t="str">
        <f>IF(OR(Table3[[#This Row],[weekday]]=0,Table3[[#This Row],[weekday]]=6),"Weekend","Weekday")</f>
        <v>Weekend</v>
      </c>
    </row>
    <row r="3" spans="1:14" ht="15" thickBot="1" x14ac:dyDescent="0.35">
      <c r="A3" s="5">
        <v>2</v>
      </c>
      <c r="B3" s="3">
        <f>_xlfn.XLOOKUP(Table3[[#This Row],[instant]],DatSet1!A3:A612,DatSet1!B3:B612,_xlfn.XLOOKUP(Table3[[#This Row],[instant]],'Final Data'!A3:A392,'Final Data'!B3:B392, ,0,1),0,1)</f>
        <v>40544</v>
      </c>
      <c r="C3" s="1">
        <f>_xlfn.XLOOKUP(Table3[[#This Row],[instant]],Table1[instant],Table1[hr], ,0,1)</f>
        <v>1</v>
      </c>
      <c r="D3" s="2" t="b">
        <f>_xlfn.XLOOKUP(Table3[[#This Row],[instant]],Table1[instant],Table1[holiday], ,0,1)</f>
        <v>0</v>
      </c>
      <c r="E3" s="2">
        <f>_xlfn.XLOOKUP(Table3[[#This Row],[instant]],Table1[instant],Table1[weekday], ,0,1)</f>
        <v>6</v>
      </c>
      <c r="F3" s="2">
        <f>_xlfn.XLOOKUP(Table3[[#This Row],[instant]],Table1[instant],Table1[weathersit], ,0,1)</f>
        <v>1</v>
      </c>
      <c r="G3" s="2">
        <f>_xlfn.XLOOKUP(Table3[[#This Row],[instant]],Table1[instant],Table1[temp], ,0,1)</f>
        <v>0.22</v>
      </c>
      <c r="H3" s="24">
        <f>_xlfn.XLOOKUP(Table3[[#This Row],[instant]],Table2[instant],Table2[atemp], ,0,1)</f>
        <v>0.2727</v>
      </c>
      <c r="I3" s="1">
        <f>_xlfn.XLOOKUP(Table3[[#This Row],[instant]],Table2[instant],Table2[hum], ,0,1)</f>
        <v>0.8</v>
      </c>
      <c r="J3" s="1">
        <f>_xlfn.XLOOKUP(Table3[[#This Row],[instant]],Table2[instant],Table2[windspeed], ,0,1)</f>
        <v>0</v>
      </c>
      <c r="K3" s="1">
        <f>_xlfn.XLOOKUP(Table3[[#This Row],[instant]],Table2[instant],Table2[casual], ,0,1)</f>
        <v>8</v>
      </c>
      <c r="L3" s="1">
        <f>_xlfn.XLOOKUP(Table3[[#This Row],[instant]],Table2[instant],Table2[registered], ,0,1)</f>
        <v>32</v>
      </c>
      <c r="M3" s="6">
        <f>_xlfn.XLOOKUP(Table3[[#This Row],[instant]],Table2[instant],Table2[cnt], ,0,1)</f>
        <v>40</v>
      </c>
      <c r="N3" s="6" t="str">
        <f>IF(OR(Table3[[#This Row],[weekday]]=0,Table3[[#This Row],[weekday]]=6),"Weekend","Weekday")</f>
        <v>Weekend</v>
      </c>
    </row>
    <row r="4" spans="1:14" ht="15" thickBot="1" x14ac:dyDescent="0.35">
      <c r="A4" s="5">
        <v>3</v>
      </c>
      <c r="B4" s="3">
        <f>_xlfn.XLOOKUP(Table3[[#This Row],[instant]],DatSet1!A4:A613,DatSet1!B4:B613,_xlfn.XLOOKUP(Table3[[#This Row],[instant]],'Final Data'!A4:A393,'Final Data'!B4:B393, ,0,1),0,1)</f>
        <v>40544</v>
      </c>
      <c r="C4" s="1">
        <f>_xlfn.XLOOKUP(Table3[[#This Row],[instant]],Table1[instant],Table1[hr], ,0,1)</f>
        <v>2</v>
      </c>
      <c r="D4" s="2" t="b">
        <f>_xlfn.XLOOKUP(Table3[[#This Row],[instant]],Table1[instant],Table1[holiday], ,0,1)</f>
        <v>0</v>
      </c>
      <c r="E4" s="2">
        <f>_xlfn.XLOOKUP(Table3[[#This Row],[instant]],Table1[instant],Table1[weekday], ,0,1)</f>
        <v>6</v>
      </c>
      <c r="F4" s="2">
        <f>_xlfn.XLOOKUP(Table3[[#This Row],[instant]],Table1[instant],Table1[weathersit], ,0,1)</f>
        <v>1</v>
      </c>
      <c r="G4" s="2">
        <f>_xlfn.XLOOKUP(Table3[[#This Row],[instant]],Table1[instant],Table1[temp], ,0,1)</f>
        <v>0.22</v>
      </c>
      <c r="H4" s="24">
        <f>_xlfn.XLOOKUP(Table3[[#This Row],[instant]],Table2[instant],Table2[atemp], ,0,1)</f>
        <v>0.2727</v>
      </c>
      <c r="I4" s="1">
        <f>_xlfn.XLOOKUP(Table3[[#This Row],[instant]],Table2[instant],Table2[hum], ,0,1)</f>
        <v>0.8</v>
      </c>
      <c r="J4" s="1">
        <f>_xlfn.XLOOKUP(Table3[[#This Row],[instant]],Table2[instant],Table2[windspeed], ,0,1)</f>
        <v>0</v>
      </c>
      <c r="K4" s="1">
        <f>_xlfn.XLOOKUP(Table3[[#This Row],[instant]],Table2[instant],Table2[casual], ,0,1)</f>
        <v>5</v>
      </c>
      <c r="L4" s="1">
        <f>_xlfn.XLOOKUP(Table3[[#This Row],[instant]],Table2[instant],Table2[registered], ,0,1)</f>
        <v>27</v>
      </c>
      <c r="M4" s="6">
        <f>_xlfn.XLOOKUP(Table3[[#This Row],[instant]],Table2[instant],Table2[cnt], ,0,1)</f>
        <v>32</v>
      </c>
      <c r="N4" s="6" t="str">
        <f>IF(OR(Table3[[#This Row],[weekday]]=0,Table3[[#This Row],[weekday]]=6),"Weekend","Weekday")</f>
        <v>Weekend</v>
      </c>
    </row>
    <row r="5" spans="1:14" ht="15" thickBot="1" x14ac:dyDescent="0.35">
      <c r="A5" s="5">
        <v>4</v>
      </c>
      <c r="B5" s="3">
        <f>_xlfn.XLOOKUP(Table3[[#This Row],[instant]],DatSet1!A5:A614,DatSet1!B5:B614,_xlfn.XLOOKUP(Table3[[#This Row],[instant]],'Final Data'!A5:A394,'Final Data'!B5:B394, ,0,1),0,1)</f>
        <v>40544</v>
      </c>
      <c r="C5" s="1">
        <f>_xlfn.XLOOKUP(Table3[[#This Row],[instant]],Table1[instant],Table1[hr], ,0,1)</f>
        <v>3</v>
      </c>
      <c r="D5" s="2" t="b">
        <f>_xlfn.XLOOKUP(Table3[[#This Row],[instant]],Table1[instant],Table1[holiday], ,0,1)</f>
        <v>0</v>
      </c>
      <c r="E5" s="2">
        <f>_xlfn.XLOOKUP(Table3[[#This Row],[instant]],Table1[instant],Table1[weekday], ,0,1)</f>
        <v>6</v>
      </c>
      <c r="F5" s="2">
        <f>_xlfn.XLOOKUP(Table3[[#This Row],[instant]],Table1[instant],Table1[weathersit], ,0,1)</f>
        <v>1</v>
      </c>
      <c r="G5" s="2">
        <f>_xlfn.XLOOKUP(Table3[[#This Row],[instant]],Table1[instant],Table1[temp], ,0,1)</f>
        <v>0.24</v>
      </c>
      <c r="H5" s="24">
        <f>_xlfn.XLOOKUP(Table3[[#This Row],[instant]],Table2[instant],Table2[atemp], ,0,1)</f>
        <v>0.28789999999999999</v>
      </c>
      <c r="I5" s="1">
        <f>_xlfn.XLOOKUP(Table3[[#This Row],[instant]],Table2[instant],Table2[hum], ,0,1)</f>
        <v>0.75</v>
      </c>
      <c r="J5" s="1">
        <f>_xlfn.XLOOKUP(Table3[[#This Row],[instant]],Table2[instant],Table2[windspeed], ,0,1)</f>
        <v>0</v>
      </c>
      <c r="K5" s="1">
        <f>_xlfn.XLOOKUP(Table3[[#This Row],[instant]],Table2[instant],Table2[casual], ,0,1)</f>
        <v>3</v>
      </c>
      <c r="L5" s="1">
        <f>_xlfn.XLOOKUP(Table3[[#This Row],[instant]],Table2[instant],Table2[registered], ,0,1)</f>
        <v>10</v>
      </c>
      <c r="M5" s="6">
        <f>_xlfn.XLOOKUP(Table3[[#This Row],[instant]],Table2[instant],Table2[cnt], ,0,1)</f>
        <v>13</v>
      </c>
      <c r="N5" s="6" t="str">
        <f>IF(OR(Table3[[#This Row],[weekday]]=0,Table3[[#This Row],[weekday]]=6),"Weekend","Weekday")</f>
        <v>Weekend</v>
      </c>
    </row>
    <row r="6" spans="1:14" ht="15" thickBot="1" x14ac:dyDescent="0.35">
      <c r="A6" s="5">
        <v>5</v>
      </c>
      <c r="B6" s="3">
        <f>_xlfn.XLOOKUP(Table3[[#This Row],[instant]],DatSet1!A6:A615,DatSet1!B6:B615,_xlfn.XLOOKUP(Table3[[#This Row],[instant]],'Final Data'!A6:A395,'Final Data'!B6:B395, ,0,1),0,1)</f>
        <v>40544</v>
      </c>
      <c r="C6" s="1">
        <f>_xlfn.XLOOKUP(Table3[[#This Row],[instant]],Table1[instant],Table1[hr], ,0,1)</f>
        <v>4</v>
      </c>
      <c r="D6" s="2" t="b">
        <f>_xlfn.XLOOKUP(Table3[[#This Row],[instant]],Table1[instant],Table1[holiday], ,0,1)</f>
        <v>0</v>
      </c>
      <c r="E6" s="2">
        <f>_xlfn.XLOOKUP(Table3[[#This Row],[instant]],Table1[instant],Table1[weekday], ,0,1)</f>
        <v>6</v>
      </c>
      <c r="F6" s="2">
        <f>_xlfn.XLOOKUP(Table3[[#This Row],[instant]],Table1[instant],Table1[weathersit], ,0,1)</f>
        <v>1</v>
      </c>
      <c r="G6" s="2">
        <f>_xlfn.XLOOKUP(Table3[[#This Row],[instant]],Table1[instant],Table1[temp], ,0,1)</f>
        <v>0.24</v>
      </c>
      <c r="H6" s="24">
        <f>_xlfn.XLOOKUP(Table3[[#This Row],[instant]],Table2[instant],Table2[atemp], ,0,1)</f>
        <v>0.28789999999999999</v>
      </c>
      <c r="I6" s="1">
        <f>_xlfn.XLOOKUP(Table3[[#This Row],[instant]],Table2[instant],Table2[hum], ,0,1)</f>
        <v>0.75</v>
      </c>
      <c r="J6" s="1">
        <f>_xlfn.XLOOKUP(Table3[[#This Row],[instant]],Table2[instant],Table2[windspeed], ,0,1)</f>
        <v>0</v>
      </c>
      <c r="K6" s="1">
        <f>_xlfn.XLOOKUP(Table3[[#This Row],[instant]],Table2[instant],Table2[casual], ,0,1)</f>
        <v>0</v>
      </c>
      <c r="L6" s="1">
        <f>_xlfn.XLOOKUP(Table3[[#This Row],[instant]],Table2[instant],Table2[registered], ,0,1)</f>
        <v>1</v>
      </c>
      <c r="M6" s="6">
        <f>_xlfn.XLOOKUP(Table3[[#This Row],[instant]],Table2[instant],Table2[cnt], ,0,1)</f>
        <v>1</v>
      </c>
      <c r="N6" s="6" t="str">
        <f>IF(OR(Table3[[#This Row],[weekday]]=0,Table3[[#This Row],[weekday]]=6),"Weekend","Weekday")</f>
        <v>Weekend</v>
      </c>
    </row>
    <row r="7" spans="1:14" ht="15" thickBot="1" x14ac:dyDescent="0.35">
      <c r="A7" s="5">
        <v>6</v>
      </c>
      <c r="B7" s="3">
        <f>_xlfn.XLOOKUP(Table3[[#This Row],[instant]],DatSet1!A7:A616,DatSet1!B7:B616,_xlfn.XLOOKUP(Table3[[#This Row],[instant]],'Final Data'!A7:A396,'Final Data'!B7:B396, ,0,1),0,1)</f>
        <v>40544</v>
      </c>
      <c r="C7" s="1">
        <f>_xlfn.XLOOKUP(Table3[[#This Row],[instant]],Table1[instant],Table1[hr], ,0,1)</f>
        <v>5</v>
      </c>
      <c r="D7" s="2" t="b">
        <f>_xlfn.XLOOKUP(Table3[[#This Row],[instant]],Table1[instant],Table1[holiday], ,0,1)</f>
        <v>0</v>
      </c>
      <c r="E7" s="2">
        <f>_xlfn.XLOOKUP(Table3[[#This Row],[instant]],Table1[instant],Table1[weekday], ,0,1)</f>
        <v>6</v>
      </c>
      <c r="F7" s="2">
        <f>_xlfn.XLOOKUP(Table3[[#This Row],[instant]],Table1[instant],Table1[weathersit], ,0,1)</f>
        <v>2</v>
      </c>
      <c r="G7" s="2">
        <f>_xlfn.XLOOKUP(Table3[[#This Row],[instant]],Table1[instant],Table1[temp], ,0,1)</f>
        <v>0.24</v>
      </c>
      <c r="H7" s="24">
        <f>_xlfn.XLOOKUP(Table3[[#This Row],[instant]],Table2[instant],Table2[atemp], ,0,1)</f>
        <v>0.2576</v>
      </c>
      <c r="I7" s="1">
        <f>_xlfn.XLOOKUP(Table3[[#This Row],[instant]],Table2[instant],Table2[hum], ,0,1)</f>
        <v>0.75</v>
      </c>
      <c r="J7" s="1">
        <f>_xlfn.XLOOKUP(Table3[[#This Row],[instant]],Table2[instant],Table2[windspeed], ,0,1)</f>
        <v>8.9599999999999999E-2</v>
      </c>
      <c r="K7" s="1">
        <f>_xlfn.XLOOKUP(Table3[[#This Row],[instant]],Table2[instant],Table2[casual], ,0,1)</f>
        <v>0</v>
      </c>
      <c r="L7" s="1">
        <f>_xlfn.XLOOKUP(Table3[[#This Row],[instant]],Table2[instant],Table2[registered], ,0,1)</f>
        <v>1</v>
      </c>
      <c r="M7" s="6">
        <f>_xlfn.XLOOKUP(Table3[[#This Row],[instant]],Table2[instant],Table2[cnt], ,0,1)</f>
        <v>1</v>
      </c>
      <c r="N7" s="6" t="str">
        <f>IF(OR(Table3[[#This Row],[weekday]]=0,Table3[[#This Row],[weekday]]=6),"Weekend","Weekday")</f>
        <v>Weekend</v>
      </c>
    </row>
    <row r="8" spans="1:14" ht="15" thickBot="1" x14ac:dyDescent="0.35">
      <c r="A8" s="5">
        <v>7</v>
      </c>
      <c r="B8" s="3">
        <f>_xlfn.XLOOKUP(Table3[[#This Row],[instant]],DatSet1!A8:A617,DatSet1!B8:B617,_xlfn.XLOOKUP(Table3[[#This Row],[instant]],'Final Data'!A8:A397,'Final Data'!B8:B397, ,0,1),0,1)</f>
        <v>40544</v>
      </c>
      <c r="C8" s="1">
        <f>_xlfn.XLOOKUP(Table3[[#This Row],[instant]],Table1[instant],Table1[hr], ,0,1)</f>
        <v>6</v>
      </c>
      <c r="D8" s="2" t="b">
        <f>_xlfn.XLOOKUP(Table3[[#This Row],[instant]],Table1[instant],Table1[holiday], ,0,1)</f>
        <v>0</v>
      </c>
      <c r="E8" s="2">
        <f>_xlfn.XLOOKUP(Table3[[#This Row],[instant]],Table1[instant],Table1[weekday], ,0,1)</f>
        <v>6</v>
      </c>
      <c r="F8" s="2">
        <f>_xlfn.XLOOKUP(Table3[[#This Row],[instant]],Table1[instant],Table1[weathersit], ,0,1)</f>
        <v>1</v>
      </c>
      <c r="G8" s="2">
        <f>_xlfn.XLOOKUP(Table3[[#This Row],[instant]],Table1[instant],Table1[temp], ,0,1)</f>
        <v>0.22</v>
      </c>
      <c r="H8" s="24">
        <f>_xlfn.XLOOKUP(Table3[[#This Row],[instant]],Table2[instant],Table2[atemp], ,0,1)</f>
        <v>0.2727</v>
      </c>
      <c r="I8" s="1">
        <f>_xlfn.XLOOKUP(Table3[[#This Row],[instant]],Table2[instant],Table2[hum], ,0,1)</f>
        <v>0.8</v>
      </c>
      <c r="J8" s="1">
        <f>_xlfn.XLOOKUP(Table3[[#This Row],[instant]],Table2[instant],Table2[windspeed], ,0,1)</f>
        <v>0</v>
      </c>
      <c r="K8" s="1">
        <f>_xlfn.XLOOKUP(Table3[[#This Row],[instant]],Table2[instant],Table2[casual], ,0,1)</f>
        <v>2</v>
      </c>
      <c r="L8" s="1">
        <f>_xlfn.XLOOKUP(Table3[[#This Row],[instant]],Table2[instant],Table2[registered], ,0,1)</f>
        <v>0</v>
      </c>
      <c r="M8" s="6">
        <f>_xlfn.XLOOKUP(Table3[[#This Row],[instant]],Table2[instant],Table2[cnt], ,0,1)</f>
        <v>2</v>
      </c>
      <c r="N8" s="6" t="str">
        <f>IF(OR(Table3[[#This Row],[weekday]]=0,Table3[[#This Row],[weekday]]=6),"Weekend","Weekday")</f>
        <v>Weekend</v>
      </c>
    </row>
    <row r="9" spans="1:14" ht="15" thickBot="1" x14ac:dyDescent="0.35">
      <c r="A9" s="5">
        <v>8</v>
      </c>
      <c r="B9" s="3">
        <f>_xlfn.XLOOKUP(Table3[[#This Row],[instant]],DatSet1!A9:A618,DatSet1!B9:B618,_xlfn.XLOOKUP(Table3[[#This Row],[instant]],'Final Data'!A9:A398,'Final Data'!B9:B398, ,0,1),0,1)</f>
        <v>40544</v>
      </c>
      <c r="C9" s="1">
        <f>_xlfn.XLOOKUP(Table3[[#This Row],[instant]],Table1[instant],Table1[hr], ,0,1)</f>
        <v>7</v>
      </c>
      <c r="D9" s="2" t="b">
        <f>_xlfn.XLOOKUP(Table3[[#This Row],[instant]],Table1[instant],Table1[holiday], ,0,1)</f>
        <v>0</v>
      </c>
      <c r="E9" s="2">
        <f>_xlfn.XLOOKUP(Table3[[#This Row],[instant]],Table1[instant],Table1[weekday], ,0,1)</f>
        <v>6</v>
      </c>
      <c r="F9" s="2">
        <f>_xlfn.XLOOKUP(Table3[[#This Row],[instant]],Table1[instant],Table1[weathersit], ,0,1)</f>
        <v>1</v>
      </c>
      <c r="G9" s="2">
        <f>_xlfn.XLOOKUP(Table3[[#This Row],[instant]],Table1[instant],Table1[temp], ,0,1)</f>
        <v>0.2</v>
      </c>
      <c r="H9" s="24">
        <f>_xlfn.XLOOKUP(Table3[[#This Row],[instant]],Table2[instant],Table2[atemp], ,0,1)</f>
        <v>0.2576</v>
      </c>
      <c r="I9" s="1">
        <f>_xlfn.XLOOKUP(Table3[[#This Row],[instant]],Table2[instant],Table2[hum], ,0,1)</f>
        <v>0.86</v>
      </c>
      <c r="J9" s="1">
        <f>_xlfn.XLOOKUP(Table3[[#This Row],[instant]],Table2[instant],Table2[windspeed], ,0,1)</f>
        <v>0</v>
      </c>
      <c r="K9" s="1">
        <f>_xlfn.XLOOKUP(Table3[[#This Row],[instant]],Table2[instant],Table2[casual], ,0,1)</f>
        <v>1</v>
      </c>
      <c r="L9" s="1">
        <f>_xlfn.XLOOKUP(Table3[[#This Row],[instant]],Table2[instant],Table2[registered], ,0,1)</f>
        <v>2</v>
      </c>
      <c r="M9" s="6">
        <f>_xlfn.XLOOKUP(Table3[[#This Row],[instant]],Table2[instant],Table2[cnt], ,0,1)</f>
        <v>3</v>
      </c>
      <c r="N9" s="6" t="str">
        <f>IF(OR(Table3[[#This Row],[weekday]]=0,Table3[[#This Row],[weekday]]=6),"Weekend","Weekday")</f>
        <v>Weekend</v>
      </c>
    </row>
    <row r="10" spans="1:14" ht="15" thickBot="1" x14ac:dyDescent="0.35">
      <c r="A10" s="5">
        <v>9</v>
      </c>
      <c r="B10" s="3">
        <f>_xlfn.XLOOKUP(Table3[[#This Row],[instant]],DatSet1!A10:A619,DatSet1!B10:B619,_xlfn.XLOOKUP(Table3[[#This Row],[instant]],'Final Data'!A10:A399,'Final Data'!B10:B399, ,0,1),0,1)</f>
        <v>40544</v>
      </c>
      <c r="C10" s="1">
        <f>_xlfn.XLOOKUP(Table3[[#This Row],[instant]],Table1[instant],Table1[hr], ,0,1)</f>
        <v>8</v>
      </c>
      <c r="D10" s="2" t="b">
        <f>_xlfn.XLOOKUP(Table3[[#This Row],[instant]],Table1[instant],Table1[holiday], ,0,1)</f>
        <v>0</v>
      </c>
      <c r="E10" s="2">
        <f>_xlfn.XLOOKUP(Table3[[#This Row],[instant]],Table1[instant],Table1[weekday], ,0,1)</f>
        <v>6</v>
      </c>
      <c r="F10" s="2">
        <f>_xlfn.XLOOKUP(Table3[[#This Row],[instant]],Table1[instant],Table1[weathersit], ,0,1)</f>
        <v>1</v>
      </c>
      <c r="G10" s="2">
        <f>_xlfn.XLOOKUP(Table3[[#This Row],[instant]],Table1[instant],Table1[temp], ,0,1)</f>
        <v>0.24</v>
      </c>
      <c r="H10" s="24">
        <f>_xlfn.XLOOKUP(Table3[[#This Row],[instant]],Table2[instant],Table2[atemp], ,0,1)</f>
        <v>0.19993489148580987</v>
      </c>
      <c r="I10" s="1">
        <f>_xlfn.XLOOKUP(Table3[[#This Row],[instant]],Table2[instant],Table2[hum], ,0,1)</f>
        <v>0.75</v>
      </c>
      <c r="J10" s="1">
        <f>_xlfn.XLOOKUP(Table3[[#This Row],[instant]],Table2[instant],Table2[windspeed], ,0,1)</f>
        <v>0</v>
      </c>
      <c r="K10" s="1">
        <f>_xlfn.XLOOKUP(Table3[[#This Row],[instant]],Table2[instant],Table2[casual], ,0,1)</f>
        <v>1</v>
      </c>
      <c r="L10" s="1">
        <f>_xlfn.XLOOKUP(Table3[[#This Row],[instant]],Table2[instant],Table2[registered], ,0,1)</f>
        <v>7</v>
      </c>
      <c r="M10" s="6">
        <f>_xlfn.XLOOKUP(Table3[[#This Row],[instant]],Table2[instant],Table2[cnt], ,0,1)</f>
        <v>8</v>
      </c>
      <c r="N10" s="6" t="str">
        <f>IF(OR(Table3[[#This Row],[weekday]]=0,Table3[[#This Row],[weekday]]=6),"Weekend","Weekday")</f>
        <v>Weekend</v>
      </c>
    </row>
    <row r="11" spans="1:14" ht="15" thickBot="1" x14ac:dyDescent="0.35">
      <c r="A11" s="5">
        <v>10</v>
      </c>
      <c r="B11" s="3">
        <f>_xlfn.XLOOKUP(Table3[[#This Row],[instant]],DatSet1!A11:A620,DatSet1!B11:B620,_xlfn.XLOOKUP(Table3[[#This Row],[instant]],'Final Data'!A11:A400,'Final Data'!B11:B400, ,0,1),0,1)</f>
        <v>40544</v>
      </c>
      <c r="C11" s="1">
        <f>_xlfn.XLOOKUP(Table3[[#This Row],[instant]],Table1[instant],Table1[hr], ,0,1)</f>
        <v>9</v>
      </c>
      <c r="D11" s="2" t="b">
        <f>_xlfn.XLOOKUP(Table3[[#This Row],[instant]],Table1[instant],Table1[holiday], ,0,1)</f>
        <v>0</v>
      </c>
      <c r="E11" s="2">
        <f>_xlfn.XLOOKUP(Table3[[#This Row],[instant]],Table1[instant],Table1[weekday], ,0,1)</f>
        <v>6</v>
      </c>
      <c r="F11" s="2">
        <f>_xlfn.XLOOKUP(Table3[[#This Row],[instant]],Table1[instant],Table1[weathersit], ,0,1)</f>
        <v>1</v>
      </c>
      <c r="G11" s="2">
        <f>_xlfn.XLOOKUP(Table3[[#This Row],[instant]],Table1[instant],Table1[temp], ,0,1)</f>
        <v>0.32</v>
      </c>
      <c r="H11" s="24">
        <f>_xlfn.XLOOKUP(Table3[[#This Row],[instant]],Table2[instant],Table2[atemp], ,0,1)</f>
        <v>0.34849999999999998</v>
      </c>
      <c r="I11" s="1">
        <f>_xlfn.XLOOKUP(Table3[[#This Row],[instant]],Table2[instant],Table2[hum], ,0,1)</f>
        <v>0.76</v>
      </c>
      <c r="J11" s="1">
        <f>_xlfn.XLOOKUP(Table3[[#This Row],[instant]],Table2[instant],Table2[windspeed], ,0,1)</f>
        <v>0</v>
      </c>
      <c r="K11" s="1">
        <f>_xlfn.XLOOKUP(Table3[[#This Row],[instant]],Table2[instant],Table2[casual], ,0,1)</f>
        <v>8</v>
      </c>
      <c r="L11" s="1">
        <f>_xlfn.XLOOKUP(Table3[[#This Row],[instant]],Table2[instant],Table2[registered], ,0,1)</f>
        <v>6</v>
      </c>
      <c r="M11" s="6">
        <f>_xlfn.XLOOKUP(Table3[[#This Row],[instant]],Table2[instant],Table2[cnt], ,0,1)</f>
        <v>14</v>
      </c>
      <c r="N11" s="6" t="str">
        <f>IF(OR(Table3[[#This Row],[weekday]]=0,Table3[[#This Row],[weekday]]=6),"Weekend","Weekday")</f>
        <v>Weekend</v>
      </c>
    </row>
    <row r="12" spans="1:14" ht="15" thickBot="1" x14ac:dyDescent="0.35">
      <c r="A12" s="5">
        <v>11</v>
      </c>
      <c r="B12" s="3">
        <f>_xlfn.XLOOKUP(Table3[[#This Row],[instant]],DatSet1!A12:A621,DatSet1!B12:B621,_xlfn.XLOOKUP(Table3[[#This Row],[instant]],'Final Data'!A12:A401,'Final Data'!B12:B401, ,0,1),0,1)</f>
        <v>40544</v>
      </c>
      <c r="C12" s="1">
        <f>_xlfn.XLOOKUP(Table3[[#This Row],[instant]],Table1[instant],Table1[hr], ,0,1)</f>
        <v>10</v>
      </c>
      <c r="D12" s="2" t="b">
        <f>_xlfn.XLOOKUP(Table3[[#This Row],[instant]],Table1[instant],Table1[holiday], ,0,1)</f>
        <v>0</v>
      </c>
      <c r="E12" s="2">
        <f>_xlfn.XLOOKUP(Table3[[#This Row],[instant]],Table1[instant],Table1[weekday], ,0,1)</f>
        <v>6</v>
      </c>
      <c r="F12" s="2">
        <f>_xlfn.XLOOKUP(Table3[[#This Row],[instant]],Table1[instant],Table1[weathersit], ,0,1)</f>
        <v>1</v>
      </c>
      <c r="G12" s="2">
        <f>_xlfn.XLOOKUP(Table3[[#This Row],[instant]],Table1[instant],Table1[temp], ,0,1)</f>
        <v>0.38</v>
      </c>
      <c r="H12" s="24">
        <f>_xlfn.XLOOKUP(Table3[[#This Row],[instant]],Table2[instant],Table2[atemp], ,0,1)</f>
        <v>0.39389999999999997</v>
      </c>
      <c r="I12" s="1">
        <f>_xlfn.XLOOKUP(Table3[[#This Row],[instant]],Table2[instant],Table2[hum], ,0,1)</f>
        <v>0.76</v>
      </c>
      <c r="J12" s="1">
        <f>_xlfn.XLOOKUP(Table3[[#This Row],[instant]],Table2[instant],Table2[windspeed], ,0,1)</f>
        <v>0.25369999999999998</v>
      </c>
      <c r="K12" s="1">
        <f>_xlfn.XLOOKUP(Table3[[#This Row],[instant]],Table2[instant],Table2[casual], ,0,1)</f>
        <v>12</v>
      </c>
      <c r="L12" s="1">
        <f>_xlfn.XLOOKUP(Table3[[#This Row],[instant]],Table2[instant],Table2[registered], ,0,1)</f>
        <v>24</v>
      </c>
      <c r="M12" s="6">
        <f>_xlfn.XLOOKUP(Table3[[#This Row],[instant]],Table2[instant],Table2[cnt], ,0,1)</f>
        <v>36</v>
      </c>
      <c r="N12" s="6" t="str">
        <f>IF(OR(Table3[[#This Row],[weekday]]=0,Table3[[#This Row],[weekday]]=6),"Weekend","Weekday")</f>
        <v>Weekend</v>
      </c>
    </row>
    <row r="13" spans="1:14" ht="15" thickBot="1" x14ac:dyDescent="0.35">
      <c r="A13" s="5">
        <v>12</v>
      </c>
      <c r="B13" s="3">
        <f>_xlfn.XLOOKUP(Table3[[#This Row],[instant]],DatSet1!A13:A622,DatSet1!B13:B622,_xlfn.XLOOKUP(Table3[[#This Row],[instant]],'Final Data'!A13:A402,'Final Data'!B13:B402, ,0,1),0,1)</f>
        <v>40544</v>
      </c>
      <c r="C13" s="1">
        <f>_xlfn.XLOOKUP(Table3[[#This Row],[instant]],Table1[instant],Table1[hr], ,0,1)</f>
        <v>11</v>
      </c>
      <c r="D13" s="2" t="b">
        <f>_xlfn.XLOOKUP(Table3[[#This Row],[instant]],Table1[instant],Table1[holiday], ,0,1)</f>
        <v>0</v>
      </c>
      <c r="E13" s="2">
        <f>_xlfn.XLOOKUP(Table3[[#This Row],[instant]],Table1[instant],Table1[weekday], ,0,1)</f>
        <v>6</v>
      </c>
      <c r="F13" s="2">
        <f>_xlfn.XLOOKUP(Table3[[#This Row],[instant]],Table1[instant],Table1[weathersit], ,0,1)</f>
        <v>1</v>
      </c>
      <c r="G13" s="2">
        <f>_xlfn.XLOOKUP(Table3[[#This Row],[instant]],Table1[instant],Table1[temp], ,0,1)</f>
        <v>0.36</v>
      </c>
      <c r="H13" s="24">
        <f>_xlfn.XLOOKUP(Table3[[#This Row],[instant]],Table2[instant],Table2[atemp], ,0,1)</f>
        <v>0.33329999999999999</v>
      </c>
      <c r="I13" s="1">
        <f>_xlfn.XLOOKUP(Table3[[#This Row],[instant]],Table2[instant],Table2[hum], ,0,1)</f>
        <v>0.81</v>
      </c>
      <c r="J13" s="1">
        <f>_xlfn.XLOOKUP(Table3[[#This Row],[instant]],Table2[instant],Table2[windspeed], ,0,1)</f>
        <v>0.28360000000000002</v>
      </c>
      <c r="K13" s="1">
        <f>_xlfn.XLOOKUP(Table3[[#This Row],[instant]],Table2[instant],Table2[casual], ,0,1)</f>
        <v>26</v>
      </c>
      <c r="L13" s="1">
        <f>_xlfn.XLOOKUP(Table3[[#This Row],[instant]],Table2[instant],Table2[registered], ,0,1)</f>
        <v>30</v>
      </c>
      <c r="M13" s="6">
        <f>_xlfn.XLOOKUP(Table3[[#This Row],[instant]],Table2[instant],Table2[cnt], ,0,1)</f>
        <v>56</v>
      </c>
      <c r="N13" s="6" t="str">
        <f>IF(OR(Table3[[#This Row],[weekday]]=0,Table3[[#This Row],[weekday]]=6),"Weekend","Weekday")</f>
        <v>Weekend</v>
      </c>
    </row>
    <row r="14" spans="1:14" ht="15" thickBot="1" x14ac:dyDescent="0.35">
      <c r="A14" s="5">
        <v>13</v>
      </c>
      <c r="B14" s="3">
        <f>_xlfn.XLOOKUP(Table3[[#This Row],[instant]],DatSet1!A14:A623,DatSet1!B14:B623,_xlfn.XLOOKUP(Table3[[#This Row],[instant]],'Final Data'!A14:A403,'Final Data'!B14:B403, ,0,1),0,1)</f>
        <v>40544</v>
      </c>
      <c r="C14" s="1">
        <f>_xlfn.XLOOKUP(Table3[[#This Row],[instant]],Table1[instant],Table1[hr], ,0,1)</f>
        <v>12</v>
      </c>
      <c r="D14" s="2" t="b">
        <f>_xlfn.XLOOKUP(Table3[[#This Row],[instant]],Table1[instant],Table1[holiday], ,0,1)</f>
        <v>0</v>
      </c>
      <c r="E14" s="2">
        <f>_xlfn.XLOOKUP(Table3[[#This Row],[instant]],Table1[instant],Table1[weekday], ,0,1)</f>
        <v>6</v>
      </c>
      <c r="F14" s="2">
        <f>_xlfn.XLOOKUP(Table3[[#This Row],[instant]],Table1[instant],Table1[weathersit], ,0,1)</f>
        <v>1</v>
      </c>
      <c r="G14" s="2">
        <f>_xlfn.XLOOKUP(Table3[[#This Row],[instant]],Table1[instant],Table1[temp], ,0,1)</f>
        <v>0.42</v>
      </c>
      <c r="H14" s="24">
        <f>_xlfn.XLOOKUP(Table3[[#This Row],[instant]],Table2[instant],Table2[atemp], ,0,1)</f>
        <v>0.42420000000000002</v>
      </c>
      <c r="I14" s="1">
        <f>_xlfn.XLOOKUP(Table3[[#This Row],[instant]],Table2[instant],Table2[hum], ,0,1)</f>
        <v>0.77</v>
      </c>
      <c r="J14" s="1">
        <f>_xlfn.XLOOKUP(Table3[[#This Row],[instant]],Table2[instant],Table2[windspeed], ,0,1)</f>
        <v>0.28360000000000002</v>
      </c>
      <c r="K14" s="1">
        <f>_xlfn.XLOOKUP(Table3[[#This Row],[instant]],Table2[instant],Table2[casual], ,0,1)</f>
        <v>29</v>
      </c>
      <c r="L14" s="1">
        <f>_xlfn.XLOOKUP(Table3[[#This Row],[instant]],Table2[instant],Table2[registered], ,0,1)</f>
        <v>55</v>
      </c>
      <c r="M14" s="6">
        <f>_xlfn.XLOOKUP(Table3[[#This Row],[instant]],Table2[instant],Table2[cnt], ,0,1)</f>
        <v>84</v>
      </c>
      <c r="N14" s="6" t="str">
        <f>IF(OR(Table3[[#This Row],[weekday]]=0,Table3[[#This Row],[weekday]]=6),"Weekend","Weekday")</f>
        <v>Weekend</v>
      </c>
    </row>
    <row r="15" spans="1:14" ht="15" thickBot="1" x14ac:dyDescent="0.35">
      <c r="A15" s="5">
        <v>14</v>
      </c>
      <c r="B15" s="3">
        <f>_xlfn.XLOOKUP(Table3[[#This Row],[instant]],DatSet1!A15:A624,DatSet1!B15:B624,_xlfn.XLOOKUP(Table3[[#This Row],[instant]],'Final Data'!A15:A404,'Final Data'!B15:B404, ,0,1),0,1)</f>
        <v>40544</v>
      </c>
      <c r="C15" s="1">
        <f>_xlfn.XLOOKUP(Table3[[#This Row],[instant]],Table1[instant],Table1[hr], ,0,1)</f>
        <v>13</v>
      </c>
      <c r="D15" s="2" t="b">
        <f>_xlfn.XLOOKUP(Table3[[#This Row],[instant]],Table1[instant],Table1[holiday], ,0,1)</f>
        <v>0</v>
      </c>
      <c r="E15" s="2">
        <f>_xlfn.XLOOKUP(Table3[[#This Row],[instant]],Table1[instant],Table1[weekday], ,0,1)</f>
        <v>6</v>
      </c>
      <c r="F15" s="2">
        <f>_xlfn.XLOOKUP(Table3[[#This Row],[instant]],Table1[instant],Table1[weathersit], ,0,1)</f>
        <v>2</v>
      </c>
      <c r="G15" s="2">
        <f>_xlfn.XLOOKUP(Table3[[#This Row],[instant]],Table1[instant],Table1[temp], ,0,1)</f>
        <v>0.46</v>
      </c>
      <c r="H15" s="24">
        <f>_xlfn.XLOOKUP(Table3[[#This Row],[instant]],Table2[instant],Table2[atemp], ,0,1)</f>
        <v>0.45450000000000002</v>
      </c>
      <c r="I15" s="1">
        <f>_xlfn.XLOOKUP(Table3[[#This Row],[instant]],Table2[instant],Table2[hum], ,0,1)</f>
        <v>0.72</v>
      </c>
      <c r="J15" s="1">
        <f>_xlfn.XLOOKUP(Table3[[#This Row],[instant]],Table2[instant],Table2[windspeed], ,0,1)</f>
        <v>0.29849999999999999</v>
      </c>
      <c r="K15" s="1">
        <f>_xlfn.XLOOKUP(Table3[[#This Row],[instant]],Table2[instant],Table2[casual], ,0,1)</f>
        <v>47</v>
      </c>
      <c r="L15" s="1">
        <f>_xlfn.XLOOKUP(Table3[[#This Row],[instant]],Table2[instant],Table2[registered], ,0,1)</f>
        <v>47</v>
      </c>
      <c r="M15" s="6">
        <f>_xlfn.XLOOKUP(Table3[[#This Row],[instant]],Table2[instant],Table2[cnt], ,0,1)</f>
        <v>94</v>
      </c>
      <c r="N15" s="6" t="str">
        <f>IF(OR(Table3[[#This Row],[weekday]]=0,Table3[[#This Row],[weekday]]=6),"Weekend","Weekday")</f>
        <v>Weekend</v>
      </c>
    </row>
    <row r="16" spans="1:14" ht="15" thickBot="1" x14ac:dyDescent="0.35">
      <c r="A16" s="5">
        <v>15</v>
      </c>
      <c r="B16" s="3">
        <f>_xlfn.XLOOKUP(Table3[[#This Row],[instant]],DatSet1!A16:A625,DatSet1!B16:B625,_xlfn.XLOOKUP(Table3[[#This Row],[instant]],'Final Data'!A16:A405,'Final Data'!B16:B405, ,0,1),0,1)</f>
        <v>40544</v>
      </c>
      <c r="C16" s="1">
        <f>_xlfn.XLOOKUP(Table3[[#This Row],[instant]],Table1[instant],Table1[hr], ,0,1)</f>
        <v>14</v>
      </c>
      <c r="D16" s="2" t="b">
        <f>_xlfn.XLOOKUP(Table3[[#This Row],[instant]],Table1[instant],Table1[holiday], ,0,1)</f>
        <v>0</v>
      </c>
      <c r="E16" s="2">
        <f>_xlfn.XLOOKUP(Table3[[#This Row],[instant]],Table1[instant],Table1[weekday], ,0,1)</f>
        <v>6</v>
      </c>
      <c r="F16" s="2">
        <f>_xlfn.XLOOKUP(Table3[[#This Row],[instant]],Table1[instant],Table1[weathersit], ,0,1)</f>
        <v>2</v>
      </c>
      <c r="G16" s="2">
        <f>_xlfn.XLOOKUP(Table3[[#This Row],[instant]],Table1[instant],Table1[temp], ,0,1)</f>
        <v>0.46</v>
      </c>
      <c r="H16" s="24">
        <f>_xlfn.XLOOKUP(Table3[[#This Row],[instant]],Table2[instant],Table2[atemp], ,0,1)</f>
        <v>0.45450000000000002</v>
      </c>
      <c r="I16" s="1">
        <f>_xlfn.XLOOKUP(Table3[[#This Row],[instant]],Table2[instant],Table2[hum], ,0,1)</f>
        <v>0.72</v>
      </c>
      <c r="J16" s="1">
        <f>_xlfn.XLOOKUP(Table3[[#This Row],[instant]],Table2[instant],Table2[windspeed], ,0,1)</f>
        <v>0.28360000000000002</v>
      </c>
      <c r="K16" s="1">
        <f>_xlfn.XLOOKUP(Table3[[#This Row],[instant]],Table2[instant],Table2[casual], ,0,1)</f>
        <v>35</v>
      </c>
      <c r="L16" s="1">
        <f>_xlfn.XLOOKUP(Table3[[#This Row],[instant]],Table2[instant],Table2[registered], ,0,1)</f>
        <v>71</v>
      </c>
      <c r="M16" s="6">
        <f>_xlfn.XLOOKUP(Table3[[#This Row],[instant]],Table2[instant],Table2[cnt], ,0,1)</f>
        <v>106</v>
      </c>
      <c r="N16" s="6" t="str">
        <f>IF(OR(Table3[[#This Row],[weekday]]=0,Table3[[#This Row],[weekday]]=6),"Weekend","Weekday")</f>
        <v>Weekend</v>
      </c>
    </row>
    <row r="17" spans="1:14" ht="15" thickBot="1" x14ac:dyDescent="0.35">
      <c r="A17" s="5">
        <v>16</v>
      </c>
      <c r="B17" s="3">
        <f>_xlfn.XLOOKUP(Table3[[#This Row],[instant]],DatSet1!A17:A626,DatSet1!B17:B626,_xlfn.XLOOKUP(Table3[[#This Row],[instant]],'Final Data'!A17:A406,'Final Data'!B17:B406, ,0,1),0,1)</f>
        <v>40544</v>
      </c>
      <c r="C17" s="1">
        <f>_xlfn.XLOOKUP(Table3[[#This Row],[instant]],Table1[instant],Table1[hr], ,0,1)</f>
        <v>15</v>
      </c>
      <c r="D17" s="2" t="b">
        <f>_xlfn.XLOOKUP(Table3[[#This Row],[instant]],Table1[instant],Table1[holiday], ,0,1)</f>
        <v>0</v>
      </c>
      <c r="E17" s="2">
        <f>_xlfn.XLOOKUP(Table3[[#This Row],[instant]],Table1[instant],Table1[weekday], ,0,1)</f>
        <v>6</v>
      </c>
      <c r="F17" s="2">
        <f>_xlfn.XLOOKUP(Table3[[#This Row],[instant]],Table1[instant],Table1[weathersit], ,0,1)</f>
        <v>2</v>
      </c>
      <c r="G17" s="2">
        <f>_xlfn.XLOOKUP(Table3[[#This Row],[instant]],Table1[instant],Table1[temp], ,0,1)</f>
        <v>0.44</v>
      </c>
      <c r="H17" s="24">
        <f>_xlfn.XLOOKUP(Table3[[#This Row],[instant]],Table2[instant],Table2[atemp], ,0,1)</f>
        <v>0.43940000000000001</v>
      </c>
      <c r="I17" s="1">
        <f>_xlfn.XLOOKUP(Table3[[#This Row],[instant]],Table2[instant],Table2[hum], ,0,1)</f>
        <v>0.77</v>
      </c>
      <c r="J17" s="1">
        <f>_xlfn.XLOOKUP(Table3[[#This Row],[instant]],Table2[instant],Table2[windspeed], ,0,1)</f>
        <v>0.29849999999999999</v>
      </c>
      <c r="K17" s="1">
        <f>_xlfn.XLOOKUP(Table3[[#This Row],[instant]],Table2[instant],Table2[casual], ,0,1)</f>
        <v>40</v>
      </c>
      <c r="L17" s="1">
        <f>_xlfn.XLOOKUP(Table3[[#This Row],[instant]],Table2[instant],Table2[registered], ,0,1)</f>
        <v>70</v>
      </c>
      <c r="M17" s="6">
        <f>_xlfn.XLOOKUP(Table3[[#This Row],[instant]],Table2[instant],Table2[cnt], ,0,1)</f>
        <v>110</v>
      </c>
      <c r="N17" s="6" t="str">
        <f>IF(OR(Table3[[#This Row],[weekday]]=0,Table3[[#This Row],[weekday]]=6),"Weekend","Weekday")</f>
        <v>Weekend</v>
      </c>
    </row>
    <row r="18" spans="1:14" ht="15" thickBot="1" x14ac:dyDescent="0.35">
      <c r="A18" s="5">
        <v>17</v>
      </c>
      <c r="B18" s="3">
        <f>_xlfn.XLOOKUP(Table3[[#This Row],[instant]],DatSet1!A18:A627,DatSet1!B18:B627,_xlfn.XLOOKUP(Table3[[#This Row],[instant]],'Final Data'!A18:A407,'Final Data'!B18:B407, ,0,1),0,1)</f>
        <v>40544</v>
      </c>
      <c r="C18" s="1">
        <f>_xlfn.XLOOKUP(Table3[[#This Row],[instant]],Table1[instant],Table1[hr], ,0,1)</f>
        <v>16</v>
      </c>
      <c r="D18" s="2" t="b">
        <f>_xlfn.XLOOKUP(Table3[[#This Row],[instant]],Table1[instant],Table1[holiday], ,0,1)</f>
        <v>0</v>
      </c>
      <c r="E18" s="2">
        <f>_xlfn.XLOOKUP(Table3[[#This Row],[instant]],Table1[instant],Table1[weekday], ,0,1)</f>
        <v>6</v>
      </c>
      <c r="F18" s="2">
        <f>_xlfn.XLOOKUP(Table3[[#This Row],[instant]],Table1[instant],Table1[weathersit], ,0,1)</f>
        <v>2</v>
      </c>
      <c r="G18" s="2">
        <f>_xlfn.XLOOKUP(Table3[[#This Row],[instant]],Table1[instant],Table1[temp], ,0,1)</f>
        <v>0.42</v>
      </c>
      <c r="H18" s="24">
        <f>_xlfn.XLOOKUP(Table3[[#This Row],[instant]],Table2[instant],Table2[atemp], ,0,1)</f>
        <v>0.42420000000000002</v>
      </c>
      <c r="I18" s="1">
        <f>_xlfn.XLOOKUP(Table3[[#This Row],[instant]],Table2[instant],Table2[hum], ,0,1)</f>
        <v>0.82</v>
      </c>
      <c r="J18" s="1">
        <f>_xlfn.XLOOKUP(Table3[[#This Row],[instant]],Table2[instant],Table2[windspeed], ,0,1)</f>
        <v>0.29849999999999999</v>
      </c>
      <c r="K18" s="1">
        <f>_xlfn.XLOOKUP(Table3[[#This Row],[instant]],Table2[instant],Table2[casual], ,0,1)</f>
        <v>41</v>
      </c>
      <c r="L18" s="1">
        <f>_xlfn.XLOOKUP(Table3[[#This Row],[instant]],Table2[instant],Table2[registered], ,0,1)</f>
        <v>52</v>
      </c>
      <c r="M18" s="6">
        <f>_xlfn.XLOOKUP(Table3[[#This Row],[instant]],Table2[instant],Table2[cnt], ,0,1)</f>
        <v>93</v>
      </c>
      <c r="N18" s="6" t="str">
        <f>IF(OR(Table3[[#This Row],[weekday]]=0,Table3[[#This Row],[weekday]]=6),"Weekend","Weekday")</f>
        <v>Weekend</v>
      </c>
    </row>
    <row r="19" spans="1:14" ht="15" thickBot="1" x14ac:dyDescent="0.35">
      <c r="A19" s="5">
        <v>18</v>
      </c>
      <c r="B19" s="3">
        <f>_xlfn.XLOOKUP(Table3[[#This Row],[instant]],DatSet1!A19:A628,DatSet1!B19:B628,_xlfn.XLOOKUP(Table3[[#This Row],[instant]],'Final Data'!A19:A408,'Final Data'!B19:B408, ,0,1),0,1)</f>
        <v>40544</v>
      </c>
      <c r="C19" s="1">
        <f>_xlfn.XLOOKUP(Table3[[#This Row],[instant]],Table1[instant],Table1[hr], ,0,1)</f>
        <v>17</v>
      </c>
      <c r="D19" s="2" t="b">
        <f>_xlfn.XLOOKUP(Table3[[#This Row],[instant]],Table1[instant],Table1[holiday], ,0,1)</f>
        <v>0</v>
      </c>
      <c r="E19" s="2">
        <f>_xlfn.XLOOKUP(Table3[[#This Row],[instant]],Table1[instant],Table1[weekday], ,0,1)</f>
        <v>6</v>
      </c>
      <c r="F19" s="2">
        <f>_xlfn.XLOOKUP(Table3[[#This Row],[instant]],Table1[instant],Table1[weathersit], ,0,1)</f>
        <v>2</v>
      </c>
      <c r="G19" s="2">
        <f>_xlfn.XLOOKUP(Table3[[#This Row],[instant]],Table1[instant],Table1[temp], ,0,1)</f>
        <v>0.44</v>
      </c>
      <c r="H19" s="24">
        <f>_xlfn.XLOOKUP(Table3[[#This Row],[instant]],Table2[instant],Table2[atemp], ,0,1)</f>
        <v>0.19993489148580987</v>
      </c>
      <c r="I19" s="1">
        <f>_xlfn.XLOOKUP(Table3[[#This Row],[instant]],Table2[instant],Table2[hum], ,0,1)</f>
        <v>0.82</v>
      </c>
      <c r="J19" s="1">
        <f>_xlfn.XLOOKUP(Table3[[#This Row],[instant]],Table2[instant],Table2[windspeed], ,0,1)</f>
        <v>0.28360000000000002</v>
      </c>
      <c r="K19" s="1">
        <f>_xlfn.XLOOKUP(Table3[[#This Row],[instant]],Table2[instant],Table2[casual], ,0,1)</f>
        <v>15</v>
      </c>
      <c r="L19" s="1">
        <f>_xlfn.XLOOKUP(Table3[[#This Row],[instant]],Table2[instant],Table2[registered], ,0,1)</f>
        <v>52</v>
      </c>
      <c r="M19" s="6">
        <f>_xlfn.XLOOKUP(Table3[[#This Row],[instant]],Table2[instant],Table2[cnt], ,0,1)</f>
        <v>67</v>
      </c>
      <c r="N19" s="6" t="str">
        <f>IF(OR(Table3[[#This Row],[weekday]]=0,Table3[[#This Row],[weekday]]=6),"Weekend","Weekday")</f>
        <v>Weekend</v>
      </c>
    </row>
    <row r="20" spans="1:14" ht="15" thickBot="1" x14ac:dyDescent="0.35">
      <c r="A20" s="5">
        <v>19</v>
      </c>
      <c r="B20" s="3">
        <f>_xlfn.XLOOKUP(Table3[[#This Row],[instant]],DatSet1!A20:A629,DatSet1!B20:B629,_xlfn.XLOOKUP(Table3[[#This Row],[instant]],'Final Data'!A20:A409,'Final Data'!B20:B409, ,0,1),0,1)</f>
        <v>40544</v>
      </c>
      <c r="C20" s="1">
        <f>_xlfn.XLOOKUP(Table3[[#This Row],[instant]],Table1[instant],Table1[hr], ,0,1)</f>
        <v>18</v>
      </c>
      <c r="D20" s="2" t="b">
        <f>_xlfn.XLOOKUP(Table3[[#This Row],[instant]],Table1[instant],Table1[holiday], ,0,1)</f>
        <v>0</v>
      </c>
      <c r="E20" s="2">
        <f>_xlfn.XLOOKUP(Table3[[#This Row],[instant]],Table1[instant],Table1[weekday], ,0,1)</f>
        <v>6</v>
      </c>
      <c r="F20" s="2">
        <f>_xlfn.XLOOKUP(Table3[[#This Row],[instant]],Table1[instant],Table1[weathersit], ,0,1)</f>
        <v>3</v>
      </c>
      <c r="G20" s="2">
        <f>_xlfn.XLOOKUP(Table3[[#This Row],[instant]],Table1[instant],Table1[temp], ,0,1)</f>
        <v>0.42</v>
      </c>
      <c r="H20" s="24">
        <f>_xlfn.XLOOKUP(Table3[[#This Row],[instant]],Table2[instant],Table2[atemp], ,0,1)</f>
        <v>0.42420000000000002</v>
      </c>
      <c r="I20" s="1">
        <f>_xlfn.XLOOKUP(Table3[[#This Row],[instant]],Table2[instant],Table2[hum], ,0,1)</f>
        <v>0.88</v>
      </c>
      <c r="J20" s="1">
        <f>_xlfn.XLOOKUP(Table3[[#This Row],[instant]],Table2[instant],Table2[windspeed], ,0,1)</f>
        <v>0.25369999999999998</v>
      </c>
      <c r="K20" s="1">
        <f>_xlfn.XLOOKUP(Table3[[#This Row],[instant]],Table2[instant],Table2[casual], ,0,1)</f>
        <v>9</v>
      </c>
      <c r="L20" s="1">
        <f>_xlfn.XLOOKUP(Table3[[#This Row],[instant]],Table2[instant],Table2[registered], ,0,1)</f>
        <v>26</v>
      </c>
      <c r="M20" s="6">
        <f>_xlfn.XLOOKUP(Table3[[#This Row],[instant]],Table2[instant],Table2[cnt], ,0,1)</f>
        <v>35</v>
      </c>
      <c r="N20" s="6" t="str">
        <f>IF(OR(Table3[[#This Row],[weekday]]=0,Table3[[#This Row],[weekday]]=6),"Weekend","Weekday")</f>
        <v>Weekend</v>
      </c>
    </row>
    <row r="21" spans="1:14" ht="15" thickBot="1" x14ac:dyDescent="0.35">
      <c r="A21" s="5">
        <v>20</v>
      </c>
      <c r="B21" s="3">
        <f>_xlfn.XLOOKUP(Table3[[#This Row],[instant]],DatSet1!A21:A630,DatSet1!B21:B630,_xlfn.XLOOKUP(Table3[[#This Row],[instant]],'Final Data'!A21:A410,'Final Data'!B21:B410, ,0,1),0,1)</f>
        <v>40544</v>
      </c>
      <c r="C21" s="1">
        <f>_xlfn.XLOOKUP(Table3[[#This Row],[instant]],Table1[instant],Table1[hr], ,0,1)</f>
        <v>19</v>
      </c>
      <c r="D21" s="2" t="b">
        <f>_xlfn.XLOOKUP(Table3[[#This Row],[instant]],Table1[instant],Table1[holiday], ,0,1)</f>
        <v>0</v>
      </c>
      <c r="E21" s="2">
        <f>_xlfn.XLOOKUP(Table3[[#This Row],[instant]],Table1[instant],Table1[weekday], ,0,1)</f>
        <v>6</v>
      </c>
      <c r="F21" s="2">
        <f>_xlfn.XLOOKUP(Table3[[#This Row],[instant]],Table1[instant],Table1[weathersit], ,0,1)</f>
        <v>3</v>
      </c>
      <c r="G21" s="2">
        <f>_xlfn.XLOOKUP(Table3[[#This Row],[instant]],Table1[instant],Table1[temp], ,0,1)</f>
        <v>0.42</v>
      </c>
      <c r="H21" s="24">
        <f>_xlfn.XLOOKUP(Table3[[#This Row],[instant]],Table2[instant],Table2[atemp], ,0,1)</f>
        <v>0.42420000000000002</v>
      </c>
      <c r="I21" s="1">
        <f>_xlfn.XLOOKUP(Table3[[#This Row],[instant]],Table2[instant],Table2[hum], ,0,1)</f>
        <v>0.88</v>
      </c>
      <c r="J21" s="1">
        <f>_xlfn.XLOOKUP(Table3[[#This Row],[instant]],Table2[instant],Table2[windspeed], ,0,1)</f>
        <v>0.25369999999999998</v>
      </c>
      <c r="K21" s="1">
        <f>_xlfn.XLOOKUP(Table3[[#This Row],[instant]],Table2[instant],Table2[casual], ,0,1)</f>
        <v>6</v>
      </c>
      <c r="L21" s="1">
        <f>_xlfn.XLOOKUP(Table3[[#This Row],[instant]],Table2[instant],Table2[registered], ,0,1)</f>
        <v>31</v>
      </c>
      <c r="M21" s="6">
        <f>_xlfn.XLOOKUP(Table3[[#This Row],[instant]],Table2[instant],Table2[cnt], ,0,1)</f>
        <v>37</v>
      </c>
      <c r="N21" s="6" t="str">
        <f>IF(OR(Table3[[#This Row],[weekday]]=0,Table3[[#This Row],[weekday]]=6),"Weekend","Weekday")</f>
        <v>Weekend</v>
      </c>
    </row>
    <row r="22" spans="1:14" ht="15" thickBot="1" x14ac:dyDescent="0.35">
      <c r="A22" s="5">
        <v>21</v>
      </c>
      <c r="B22" s="3">
        <f>_xlfn.XLOOKUP(Table3[[#This Row],[instant]],DatSet1!A22:A631,DatSet1!B22:B631,_xlfn.XLOOKUP(Table3[[#This Row],[instant]],'Final Data'!A22:A411,'Final Data'!B22:B411, ,0,1),0,1)</f>
        <v>40544</v>
      </c>
      <c r="C22" s="1">
        <f>_xlfn.XLOOKUP(Table3[[#This Row],[instant]],Table1[instant],Table1[hr], ,0,1)</f>
        <v>20</v>
      </c>
      <c r="D22" s="2" t="b">
        <f>_xlfn.XLOOKUP(Table3[[#This Row],[instant]],Table1[instant],Table1[holiday], ,0,1)</f>
        <v>0</v>
      </c>
      <c r="E22" s="2">
        <f>_xlfn.XLOOKUP(Table3[[#This Row],[instant]],Table1[instant],Table1[weekday], ,0,1)</f>
        <v>6</v>
      </c>
      <c r="F22" s="2">
        <f>_xlfn.XLOOKUP(Table3[[#This Row],[instant]],Table1[instant],Table1[weathersit], ,0,1)</f>
        <v>2</v>
      </c>
      <c r="G22" s="2">
        <f>_xlfn.XLOOKUP(Table3[[#This Row],[instant]],Table1[instant],Table1[temp], ,0,1)</f>
        <v>0.4</v>
      </c>
      <c r="H22" s="24">
        <f>_xlfn.XLOOKUP(Table3[[#This Row],[instant]],Table2[instant],Table2[atemp], ,0,1)</f>
        <v>0.40910000000000002</v>
      </c>
      <c r="I22" s="1">
        <f>_xlfn.XLOOKUP(Table3[[#This Row],[instant]],Table2[instant],Table2[hum], ,0,1)</f>
        <v>0.87</v>
      </c>
      <c r="J22" s="1">
        <f>_xlfn.XLOOKUP(Table3[[#This Row],[instant]],Table2[instant],Table2[windspeed], ,0,1)</f>
        <v>0.25369999999999998</v>
      </c>
      <c r="K22" s="1">
        <f>_xlfn.XLOOKUP(Table3[[#This Row],[instant]],Table2[instant],Table2[casual], ,0,1)</f>
        <v>11</v>
      </c>
      <c r="L22" s="1">
        <f>_xlfn.XLOOKUP(Table3[[#This Row],[instant]],Table2[instant],Table2[registered], ,0,1)</f>
        <v>25</v>
      </c>
      <c r="M22" s="6">
        <f>_xlfn.XLOOKUP(Table3[[#This Row],[instant]],Table2[instant],Table2[cnt], ,0,1)</f>
        <v>36</v>
      </c>
      <c r="N22" s="6" t="str">
        <f>IF(OR(Table3[[#This Row],[weekday]]=0,Table3[[#This Row],[weekday]]=6),"Weekend","Weekday")</f>
        <v>Weekend</v>
      </c>
    </row>
    <row r="23" spans="1:14" ht="15" thickBot="1" x14ac:dyDescent="0.35">
      <c r="A23" s="5">
        <v>22</v>
      </c>
      <c r="B23" s="3">
        <f>_xlfn.XLOOKUP(Table3[[#This Row],[instant]],DatSet1!A23:A632,DatSet1!B23:B632,_xlfn.XLOOKUP(Table3[[#This Row],[instant]],'Final Data'!A23:A412,'Final Data'!B23:B412, ,0,1),0,1)</f>
        <v>40544</v>
      </c>
      <c r="C23" s="1">
        <f>_xlfn.XLOOKUP(Table3[[#This Row],[instant]],Table1[instant],Table1[hr], ,0,1)</f>
        <v>21</v>
      </c>
      <c r="D23" s="2" t="b">
        <f>_xlfn.XLOOKUP(Table3[[#This Row],[instant]],Table1[instant],Table1[holiday], ,0,1)</f>
        <v>0</v>
      </c>
      <c r="E23" s="2">
        <f>_xlfn.XLOOKUP(Table3[[#This Row],[instant]],Table1[instant],Table1[weekday], ,0,1)</f>
        <v>6</v>
      </c>
      <c r="F23" s="2">
        <f>_xlfn.XLOOKUP(Table3[[#This Row],[instant]],Table1[instant],Table1[weathersit], ,0,1)</f>
        <v>2</v>
      </c>
      <c r="G23" s="2">
        <f>_xlfn.XLOOKUP(Table3[[#This Row],[instant]],Table1[instant],Table1[temp], ,0,1)</f>
        <v>0.4</v>
      </c>
      <c r="H23" s="24">
        <f>_xlfn.XLOOKUP(Table3[[#This Row],[instant]],Table2[instant],Table2[atemp], ,0,1)</f>
        <v>0.40910000000000002</v>
      </c>
      <c r="I23" s="1">
        <f>_xlfn.XLOOKUP(Table3[[#This Row],[instant]],Table2[instant],Table2[hum], ,0,1)</f>
        <v>0.87</v>
      </c>
      <c r="J23" s="1">
        <f>_xlfn.XLOOKUP(Table3[[#This Row],[instant]],Table2[instant],Table2[windspeed], ,0,1)</f>
        <v>0.19400000000000001</v>
      </c>
      <c r="K23" s="1">
        <f>_xlfn.XLOOKUP(Table3[[#This Row],[instant]],Table2[instant],Table2[casual], ,0,1)</f>
        <v>3</v>
      </c>
      <c r="L23" s="1">
        <f>_xlfn.XLOOKUP(Table3[[#This Row],[instant]],Table2[instant],Table2[registered], ,0,1)</f>
        <v>31</v>
      </c>
      <c r="M23" s="6">
        <f>_xlfn.XLOOKUP(Table3[[#This Row],[instant]],Table2[instant],Table2[cnt], ,0,1)</f>
        <v>34</v>
      </c>
      <c r="N23" s="6" t="str">
        <f>IF(OR(Table3[[#This Row],[weekday]]=0,Table3[[#This Row],[weekday]]=6),"Weekend","Weekday")</f>
        <v>Weekend</v>
      </c>
    </row>
    <row r="24" spans="1:14" ht="15" thickBot="1" x14ac:dyDescent="0.35">
      <c r="A24" s="5">
        <v>23</v>
      </c>
      <c r="B24" s="3">
        <f>_xlfn.XLOOKUP(Table3[[#This Row],[instant]],DatSet1!A24:A633,DatSet1!B24:B633,_xlfn.XLOOKUP(Table3[[#This Row],[instant]],'Final Data'!A24:A413,'Final Data'!B24:B413, ,0,1),0,1)</f>
        <v>40544</v>
      </c>
      <c r="C24" s="1">
        <f>_xlfn.XLOOKUP(Table3[[#This Row],[instant]],Table1[instant],Table1[hr], ,0,1)</f>
        <v>22</v>
      </c>
      <c r="D24" s="2" t="b">
        <f>_xlfn.XLOOKUP(Table3[[#This Row],[instant]],Table1[instant],Table1[holiday], ,0,1)</f>
        <v>0</v>
      </c>
      <c r="E24" s="2">
        <f>_xlfn.XLOOKUP(Table3[[#This Row],[instant]],Table1[instant],Table1[weekday], ,0,1)</f>
        <v>6</v>
      </c>
      <c r="F24" s="2">
        <f>_xlfn.XLOOKUP(Table3[[#This Row],[instant]],Table1[instant],Table1[weathersit], ,0,1)</f>
        <v>2</v>
      </c>
      <c r="G24" s="2">
        <f>_xlfn.XLOOKUP(Table3[[#This Row],[instant]],Table1[instant],Table1[temp], ,0,1)</f>
        <v>0.4</v>
      </c>
      <c r="H24" s="24">
        <f>_xlfn.XLOOKUP(Table3[[#This Row],[instant]],Table2[instant],Table2[atemp], ,0,1)</f>
        <v>0.40910000000000002</v>
      </c>
      <c r="I24" s="1">
        <f>_xlfn.XLOOKUP(Table3[[#This Row],[instant]],Table2[instant],Table2[hum], ,0,1)</f>
        <v>0.94</v>
      </c>
      <c r="J24" s="1">
        <f>_xlfn.XLOOKUP(Table3[[#This Row],[instant]],Table2[instant],Table2[windspeed], ,0,1)</f>
        <v>0.22389999999999999</v>
      </c>
      <c r="K24" s="1">
        <f>_xlfn.XLOOKUP(Table3[[#This Row],[instant]],Table2[instant],Table2[casual], ,0,1)</f>
        <v>11</v>
      </c>
      <c r="L24" s="1">
        <f>_xlfn.XLOOKUP(Table3[[#This Row],[instant]],Table2[instant],Table2[registered], ,0,1)</f>
        <v>17</v>
      </c>
      <c r="M24" s="6">
        <f>_xlfn.XLOOKUP(Table3[[#This Row],[instant]],Table2[instant],Table2[cnt], ,0,1)</f>
        <v>28</v>
      </c>
      <c r="N24" s="6" t="str">
        <f>IF(OR(Table3[[#This Row],[weekday]]=0,Table3[[#This Row],[weekday]]=6),"Weekend","Weekday")</f>
        <v>Weekend</v>
      </c>
    </row>
    <row r="25" spans="1:14" ht="15" thickBot="1" x14ac:dyDescent="0.35">
      <c r="A25" s="5">
        <v>24</v>
      </c>
      <c r="B25" s="3">
        <f>_xlfn.XLOOKUP(Table3[[#This Row],[instant]],DatSet1!A25:A634,DatSet1!B25:B634,_xlfn.XLOOKUP(Table3[[#This Row],[instant]],'Final Data'!A25:A414,'Final Data'!B25:B414, ,0,1),0,1)</f>
        <v>40544</v>
      </c>
      <c r="C25" s="1">
        <f>_xlfn.XLOOKUP(Table3[[#This Row],[instant]],Table1[instant],Table1[hr], ,0,1)</f>
        <v>23</v>
      </c>
      <c r="D25" s="2" t="b">
        <f>_xlfn.XLOOKUP(Table3[[#This Row],[instant]],Table1[instant],Table1[holiday], ,0,1)</f>
        <v>0</v>
      </c>
      <c r="E25" s="2">
        <f>_xlfn.XLOOKUP(Table3[[#This Row],[instant]],Table1[instant],Table1[weekday], ,0,1)</f>
        <v>6</v>
      </c>
      <c r="F25" s="2">
        <f>_xlfn.XLOOKUP(Table3[[#This Row],[instant]],Table1[instant],Table1[weathersit], ,0,1)</f>
        <v>2</v>
      </c>
      <c r="G25" s="2">
        <f>_xlfn.XLOOKUP(Table3[[#This Row],[instant]],Table1[instant],Table1[temp], ,0,1)</f>
        <v>0.46</v>
      </c>
      <c r="H25" s="24">
        <f>_xlfn.XLOOKUP(Table3[[#This Row],[instant]],Table2[instant],Table2[atemp], ,0,1)</f>
        <v>0.1999348914858099</v>
      </c>
      <c r="I25" s="1">
        <f>_xlfn.XLOOKUP(Table3[[#This Row],[instant]],Table2[instant],Table2[hum], ,0,1)</f>
        <v>0.88</v>
      </c>
      <c r="J25" s="1">
        <f>_xlfn.XLOOKUP(Table3[[#This Row],[instant]],Table2[instant],Table2[windspeed], ,0,1)</f>
        <v>0.29849999999999999</v>
      </c>
      <c r="K25" s="1">
        <f>_xlfn.XLOOKUP(Table3[[#This Row],[instant]],Table2[instant],Table2[casual], ,0,1)</f>
        <v>15</v>
      </c>
      <c r="L25" s="1">
        <f>_xlfn.XLOOKUP(Table3[[#This Row],[instant]],Table2[instant],Table2[registered], ,0,1)</f>
        <v>24</v>
      </c>
      <c r="M25" s="6">
        <f>_xlfn.XLOOKUP(Table3[[#This Row],[instant]],Table2[instant],Table2[cnt], ,0,1)</f>
        <v>39</v>
      </c>
      <c r="N25" s="6" t="str">
        <f>IF(OR(Table3[[#This Row],[weekday]]=0,Table3[[#This Row],[weekday]]=6),"Weekend","Weekday")</f>
        <v>Weekend</v>
      </c>
    </row>
    <row r="26" spans="1:14" ht="15" thickBot="1" x14ac:dyDescent="0.35">
      <c r="A26" s="5">
        <v>25</v>
      </c>
      <c r="B26" s="3">
        <f>_xlfn.XLOOKUP(Table3[[#This Row],[instant]],DatSet1!A26:A635,DatSet1!B26:B635,_xlfn.XLOOKUP(Table3[[#This Row],[instant]],'Final Data'!A26:A415,'Final Data'!B26:B415, ,0,1),0,1)</f>
        <v>40545</v>
      </c>
      <c r="C26" s="1">
        <f>_xlfn.XLOOKUP(Table3[[#This Row],[instant]],Table1[instant],Table1[hr], ,0,1)</f>
        <v>0</v>
      </c>
      <c r="D26" s="2" t="b">
        <f>_xlfn.XLOOKUP(Table3[[#This Row],[instant]],Table1[instant],Table1[holiday], ,0,1)</f>
        <v>0</v>
      </c>
      <c r="E26" s="2">
        <f>_xlfn.XLOOKUP(Table3[[#This Row],[instant]],Table1[instant],Table1[weekday], ,0,1)</f>
        <v>0</v>
      </c>
      <c r="F26" s="2">
        <f>_xlfn.XLOOKUP(Table3[[#This Row],[instant]],Table1[instant],Table1[weathersit], ,0,1)</f>
        <v>2</v>
      </c>
      <c r="G26" s="2">
        <f>_xlfn.XLOOKUP(Table3[[#This Row],[instant]],Table1[instant],Table1[temp], ,0,1)</f>
        <v>0.46</v>
      </c>
      <c r="H26" s="24">
        <f>_xlfn.XLOOKUP(Table3[[#This Row],[instant]],Table2[instant],Table2[atemp], ,0,1)</f>
        <v>0.45450000000000002</v>
      </c>
      <c r="I26" s="1">
        <f>_xlfn.XLOOKUP(Table3[[#This Row],[instant]],Table2[instant],Table2[hum], ,0,1)</f>
        <v>0.88</v>
      </c>
      <c r="J26" s="1">
        <f>_xlfn.XLOOKUP(Table3[[#This Row],[instant]],Table2[instant],Table2[windspeed], ,0,1)</f>
        <v>0.29849999999999999</v>
      </c>
      <c r="K26" s="1">
        <f>_xlfn.XLOOKUP(Table3[[#This Row],[instant]],Table2[instant],Table2[casual], ,0,1)</f>
        <v>4</v>
      </c>
      <c r="L26" s="1">
        <f>_xlfn.XLOOKUP(Table3[[#This Row],[instant]],Table2[instant],Table2[registered], ,0,1)</f>
        <v>13</v>
      </c>
      <c r="M26" s="6">
        <f>_xlfn.XLOOKUP(Table3[[#This Row],[instant]],Table2[instant],Table2[cnt], ,0,1)</f>
        <v>17</v>
      </c>
      <c r="N26" s="6" t="str">
        <f>IF(OR(Table3[[#This Row],[weekday]]=0,Table3[[#This Row],[weekday]]=6),"Weekend","Weekday")</f>
        <v>Weekend</v>
      </c>
    </row>
    <row r="27" spans="1:14" ht="15" thickBot="1" x14ac:dyDescent="0.35">
      <c r="A27" s="5">
        <v>26</v>
      </c>
      <c r="B27" s="3">
        <f>_xlfn.XLOOKUP(Table3[[#This Row],[instant]],DatSet1!A27:A636,DatSet1!B27:B636,_xlfn.XLOOKUP(Table3[[#This Row],[instant]],'Final Data'!A27:A416,'Final Data'!B27:B416, ,0,1),0,1)</f>
        <v>40545</v>
      </c>
      <c r="C27" s="1">
        <f>_xlfn.XLOOKUP(Table3[[#This Row],[instant]],Table1[instant],Table1[hr], ,0,1)</f>
        <v>1</v>
      </c>
      <c r="D27" s="2" t="b">
        <f>_xlfn.XLOOKUP(Table3[[#This Row],[instant]],Table1[instant],Table1[holiday], ,0,1)</f>
        <v>0</v>
      </c>
      <c r="E27" s="2">
        <f>_xlfn.XLOOKUP(Table3[[#This Row],[instant]],Table1[instant],Table1[weekday], ,0,1)</f>
        <v>0</v>
      </c>
      <c r="F27" s="2">
        <f>_xlfn.XLOOKUP(Table3[[#This Row],[instant]],Table1[instant],Table1[weathersit], ,0,1)</f>
        <v>2</v>
      </c>
      <c r="G27" s="2">
        <f>_xlfn.XLOOKUP(Table3[[#This Row],[instant]],Table1[instant],Table1[temp], ,0,1)</f>
        <v>0.44</v>
      </c>
      <c r="H27" s="24">
        <f>_xlfn.XLOOKUP(Table3[[#This Row],[instant]],Table2[instant],Table2[atemp], ,0,1)</f>
        <v>0.43940000000000001</v>
      </c>
      <c r="I27" s="1">
        <f>_xlfn.XLOOKUP(Table3[[#This Row],[instant]],Table2[instant],Table2[hum], ,0,1)</f>
        <v>0.94</v>
      </c>
      <c r="J27" s="1">
        <f>_xlfn.XLOOKUP(Table3[[#This Row],[instant]],Table2[instant],Table2[windspeed], ,0,1)</f>
        <v>0.25369999999999998</v>
      </c>
      <c r="K27" s="1">
        <f>_xlfn.XLOOKUP(Table3[[#This Row],[instant]],Table2[instant],Table2[casual], ,0,1)</f>
        <v>1</v>
      </c>
      <c r="L27" s="1">
        <f>_xlfn.XLOOKUP(Table3[[#This Row],[instant]],Table2[instant],Table2[registered], ,0,1)</f>
        <v>16</v>
      </c>
      <c r="M27" s="6">
        <f>_xlfn.XLOOKUP(Table3[[#This Row],[instant]],Table2[instant],Table2[cnt], ,0,1)</f>
        <v>17</v>
      </c>
      <c r="N27" s="6" t="str">
        <f>IF(OR(Table3[[#This Row],[weekday]]=0,Table3[[#This Row],[weekday]]=6),"Weekend","Weekday")</f>
        <v>Weekend</v>
      </c>
    </row>
    <row r="28" spans="1:14" ht="15" thickBot="1" x14ac:dyDescent="0.35">
      <c r="A28" s="5">
        <v>27</v>
      </c>
      <c r="B28" s="3">
        <f>_xlfn.XLOOKUP(Table3[[#This Row],[instant]],DatSet1!A28:A637,DatSet1!B28:B637,_xlfn.XLOOKUP(Table3[[#This Row],[instant]],'Final Data'!A28:A417,'Final Data'!B28:B417, ,0,1),0,1)</f>
        <v>40545</v>
      </c>
      <c r="C28" s="1">
        <f>_xlfn.XLOOKUP(Table3[[#This Row],[instant]],Table1[instant],Table1[hr], ,0,1)</f>
        <v>2</v>
      </c>
      <c r="D28" s="2" t="b">
        <f>_xlfn.XLOOKUP(Table3[[#This Row],[instant]],Table1[instant],Table1[holiday], ,0,1)</f>
        <v>0</v>
      </c>
      <c r="E28" s="2">
        <f>_xlfn.XLOOKUP(Table3[[#This Row],[instant]],Table1[instant],Table1[weekday], ,0,1)</f>
        <v>0</v>
      </c>
      <c r="F28" s="2">
        <f>_xlfn.XLOOKUP(Table3[[#This Row],[instant]],Table1[instant],Table1[weathersit], ,0,1)</f>
        <v>2</v>
      </c>
      <c r="G28" s="2">
        <f>_xlfn.XLOOKUP(Table3[[#This Row],[instant]],Table1[instant],Table1[temp], ,0,1)</f>
        <v>0.42</v>
      </c>
      <c r="H28" s="24">
        <f>_xlfn.XLOOKUP(Table3[[#This Row],[instant]],Table2[instant],Table2[atemp], ,0,1)</f>
        <v>0.42420000000000002</v>
      </c>
      <c r="I28" s="1">
        <f>_xlfn.XLOOKUP(Table3[[#This Row],[instant]],Table2[instant],Table2[hum], ,0,1)</f>
        <v>1</v>
      </c>
      <c r="J28" s="1">
        <f>_xlfn.XLOOKUP(Table3[[#This Row],[instant]],Table2[instant],Table2[windspeed], ,0,1)</f>
        <v>0.28360000000000002</v>
      </c>
      <c r="K28" s="1">
        <f>_xlfn.XLOOKUP(Table3[[#This Row],[instant]],Table2[instant],Table2[casual], ,0,1)</f>
        <v>1</v>
      </c>
      <c r="L28" s="1">
        <f>_xlfn.XLOOKUP(Table3[[#This Row],[instant]],Table2[instant],Table2[registered], ,0,1)</f>
        <v>8</v>
      </c>
      <c r="M28" s="6">
        <f>_xlfn.XLOOKUP(Table3[[#This Row],[instant]],Table2[instant],Table2[cnt], ,0,1)</f>
        <v>9</v>
      </c>
      <c r="N28" s="6" t="str">
        <f>IF(OR(Table3[[#This Row],[weekday]]=0,Table3[[#This Row],[weekday]]=6),"Weekend","Weekday")</f>
        <v>Weekend</v>
      </c>
    </row>
    <row r="29" spans="1:14" ht="15" thickBot="1" x14ac:dyDescent="0.35">
      <c r="A29" s="5">
        <v>28</v>
      </c>
      <c r="B29" s="3">
        <f>_xlfn.XLOOKUP(Table3[[#This Row],[instant]],DatSet1!A29:A638,DatSet1!B29:B638,_xlfn.XLOOKUP(Table3[[#This Row],[instant]],'Final Data'!A29:A418,'Final Data'!B29:B418, ,0,1),0,1)</f>
        <v>40545</v>
      </c>
      <c r="C29" s="1">
        <f>_xlfn.XLOOKUP(Table3[[#This Row],[instant]],Table1[instant],Table1[hr], ,0,1)</f>
        <v>3</v>
      </c>
      <c r="D29" s="2" t="b">
        <f>_xlfn.XLOOKUP(Table3[[#This Row],[instant]],Table1[instant],Table1[holiday], ,0,1)</f>
        <v>0</v>
      </c>
      <c r="E29" s="2">
        <f>_xlfn.XLOOKUP(Table3[[#This Row],[instant]],Table1[instant],Table1[weekday], ,0,1)</f>
        <v>0</v>
      </c>
      <c r="F29" s="2">
        <f>_xlfn.XLOOKUP(Table3[[#This Row],[instant]],Table1[instant],Table1[weathersit], ,0,1)</f>
        <v>2</v>
      </c>
      <c r="G29" s="2">
        <f>_xlfn.XLOOKUP(Table3[[#This Row],[instant]],Table1[instant],Table1[temp], ,0,1)</f>
        <v>0.46</v>
      </c>
      <c r="H29" s="24">
        <f>_xlfn.XLOOKUP(Table3[[#This Row],[instant]],Table2[instant],Table2[atemp], ,0,1)</f>
        <v>0.45450000000000002</v>
      </c>
      <c r="I29" s="1">
        <f>_xlfn.XLOOKUP(Table3[[#This Row],[instant]],Table2[instant],Table2[hum], ,0,1)</f>
        <v>0.94</v>
      </c>
      <c r="J29" s="1">
        <f>_xlfn.XLOOKUP(Table3[[#This Row],[instant]],Table2[instant],Table2[windspeed], ,0,1)</f>
        <v>0.19400000000000001</v>
      </c>
      <c r="K29" s="1">
        <f>_xlfn.XLOOKUP(Table3[[#This Row],[instant]],Table2[instant],Table2[casual], ,0,1)</f>
        <v>2</v>
      </c>
      <c r="L29" s="1">
        <f>_xlfn.XLOOKUP(Table3[[#This Row],[instant]],Table2[instant],Table2[registered], ,0,1)</f>
        <v>4</v>
      </c>
      <c r="M29" s="6">
        <f>_xlfn.XLOOKUP(Table3[[#This Row],[instant]],Table2[instant],Table2[cnt], ,0,1)</f>
        <v>6</v>
      </c>
      <c r="N29" s="6" t="str">
        <f>IF(OR(Table3[[#This Row],[weekday]]=0,Table3[[#This Row],[weekday]]=6),"Weekend","Weekday")</f>
        <v>Weekend</v>
      </c>
    </row>
    <row r="30" spans="1:14" ht="15" thickBot="1" x14ac:dyDescent="0.35">
      <c r="A30" s="5">
        <v>29</v>
      </c>
      <c r="B30" s="3">
        <f>_xlfn.XLOOKUP(Table3[[#This Row],[instant]],DatSet1!A30:A639,DatSet1!B30:B639,_xlfn.XLOOKUP(Table3[[#This Row],[instant]],'Final Data'!A30:A419,'Final Data'!B30:B419, ,0,1),0,1)</f>
        <v>40545</v>
      </c>
      <c r="C30" s="1">
        <f>_xlfn.XLOOKUP(Table3[[#This Row],[instant]],Table1[instant],Table1[hr], ,0,1)</f>
        <v>4</v>
      </c>
      <c r="D30" s="2" t="b">
        <f>_xlfn.XLOOKUP(Table3[[#This Row],[instant]],Table1[instant],Table1[holiday], ,0,1)</f>
        <v>0</v>
      </c>
      <c r="E30" s="2">
        <f>_xlfn.XLOOKUP(Table3[[#This Row],[instant]],Table1[instant],Table1[weekday], ,0,1)</f>
        <v>0</v>
      </c>
      <c r="F30" s="2">
        <f>_xlfn.XLOOKUP(Table3[[#This Row],[instant]],Table1[instant],Table1[weathersit], ,0,1)</f>
        <v>2</v>
      </c>
      <c r="G30" s="2">
        <f>_xlfn.XLOOKUP(Table3[[#This Row],[instant]],Table1[instant],Table1[temp], ,0,1)</f>
        <v>0.46</v>
      </c>
      <c r="H30" s="24">
        <f>_xlfn.XLOOKUP(Table3[[#This Row],[instant]],Table2[instant],Table2[atemp], ,0,1)</f>
        <v>0.19993489148580987</v>
      </c>
      <c r="I30" s="1">
        <f>_xlfn.XLOOKUP(Table3[[#This Row],[instant]],Table2[instant],Table2[hum], ,0,1)</f>
        <v>0.94</v>
      </c>
      <c r="J30" s="1">
        <f>_xlfn.XLOOKUP(Table3[[#This Row],[instant]],Table2[instant],Table2[windspeed], ,0,1)</f>
        <v>0.19400000000000001</v>
      </c>
      <c r="K30" s="1">
        <f>_xlfn.XLOOKUP(Table3[[#This Row],[instant]],Table2[instant],Table2[casual], ,0,1)</f>
        <v>2</v>
      </c>
      <c r="L30" s="1">
        <f>_xlfn.XLOOKUP(Table3[[#This Row],[instant]],Table2[instant],Table2[registered], ,0,1)</f>
        <v>1</v>
      </c>
      <c r="M30" s="6">
        <f>_xlfn.XLOOKUP(Table3[[#This Row],[instant]],Table2[instant],Table2[cnt], ,0,1)</f>
        <v>3</v>
      </c>
      <c r="N30" s="6" t="str">
        <f>IF(OR(Table3[[#This Row],[weekday]]=0,Table3[[#This Row],[weekday]]=6),"Weekend","Weekday")</f>
        <v>Weekend</v>
      </c>
    </row>
    <row r="31" spans="1:14" ht="15" thickBot="1" x14ac:dyDescent="0.35">
      <c r="A31" s="5">
        <v>30</v>
      </c>
      <c r="B31" s="3">
        <f>_xlfn.XLOOKUP(Table3[[#This Row],[instant]],DatSet1!A31:A640,DatSet1!B31:B640,_xlfn.XLOOKUP(Table3[[#This Row],[instant]],'Final Data'!A31:A420,'Final Data'!B31:B420, ,0,1),0,1)</f>
        <v>40545</v>
      </c>
      <c r="C31" s="1">
        <f>_xlfn.XLOOKUP(Table3[[#This Row],[instant]],Table1[instant],Table1[hr], ,0,1)</f>
        <v>6</v>
      </c>
      <c r="D31" s="2" t="b">
        <f>_xlfn.XLOOKUP(Table3[[#This Row],[instant]],Table1[instant],Table1[holiday], ,0,1)</f>
        <v>0</v>
      </c>
      <c r="E31" s="2">
        <f>_xlfn.XLOOKUP(Table3[[#This Row],[instant]],Table1[instant],Table1[weekday], ,0,1)</f>
        <v>0</v>
      </c>
      <c r="F31" s="2">
        <f>_xlfn.XLOOKUP(Table3[[#This Row],[instant]],Table1[instant],Table1[weathersit], ,0,1)</f>
        <v>3</v>
      </c>
      <c r="G31" s="2">
        <f>_xlfn.XLOOKUP(Table3[[#This Row],[instant]],Table1[instant],Table1[temp], ,0,1)</f>
        <v>0.42</v>
      </c>
      <c r="H31" s="24">
        <f>_xlfn.XLOOKUP(Table3[[#This Row],[instant]],Table2[instant],Table2[atemp], ,0,1)</f>
        <v>0.42420000000000002</v>
      </c>
      <c r="I31" s="1">
        <f>_xlfn.XLOOKUP(Table3[[#This Row],[instant]],Table2[instant],Table2[hum], ,0,1)</f>
        <v>0.77</v>
      </c>
      <c r="J31" s="1">
        <f>_xlfn.XLOOKUP(Table3[[#This Row],[instant]],Table2[instant],Table2[windspeed], ,0,1)</f>
        <v>0.29849999999999999</v>
      </c>
      <c r="K31" s="1">
        <f>_xlfn.XLOOKUP(Table3[[#This Row],[instant]],Table2[instant],Table2[casual], ,0,1)</f>
        <v>0</v>
      </c>
      <c r="L31" s="1">
        <f>_xlfn.XLOOKUP(Table3[[#This Row],[instant]],Table2[instant],Table2[registered], ,0,1)</f>
        <v>2</v>
      </c>
      <c r="M31" s="6">
        <f>_xlfn.XLOOKUP(Table3[[#This Row],[instant]],Table2[instant],Table2[cnt], ,0,1)</f>
        <v>2</v>
      </c>
      <c r="N31" s="6" t="str">
        <f>IF(OR(Table3[[#This Row],[weekday]]=0,Table3[[#This Row],[weekday]]=6),"Weekend","Weekday")</f>
        <v>Weekend</v>
      </c>
    </row>
    <row r="32" spans="1:14" ht="15" thickBot="1" x14ac:dyDescent="0.35">
      <c r="A32" s="5">
        <v>31</v>
      </c>
      <c r="B32" s="3">
        <f>_xlfn.XLOOKUP(Table3[[#This Row],[instant]],DatSet1!A32:A641,DatSet1!B32:B641,_xlfn.XLOOKUP(Table3[[#This Row],[instant]],'Final Data'!A32:A421,'Final Data'!B32:B421, ,0,1),0,1)</f>
        <v>40545</v>
      </c>
      <c r="C32" s="1">
        <f>_xlfn.XLOOKUP(Table3[[#This Row],[instant]],Table1[instant],Table1[hr], ,0,1)</f>
        <v>7</v>
      </c>
      <c r="D32" s="2" t="b">
        <f>_xlfn.XLOOKUP(Table3[[#This Row],[instant]],Table1[instant],Table1[holiday], ,0,1)</f>
        <v>0</v>
      </c>
      <c r="E32" s="2">
        <f>_xlfn.XLOOKUP(Table3[[#This Row],[instant]],Table1[instant],Table1[weekday], ,0,1)</f>
        <v>0</v>
      </c>
      <c r="F32" s="2">
        <f>_xlfn.XLOOKUP(Table3[[#This Row],[instant]],Table1[instant],Table1[weathersit], ,0,1)</f>
        <v>2</v>
      </c>
      <c r="G32" s="2">
        <f>_xlfn.XLOOKUP(Table3[[#This Row],[instant]],Table1[instant],Table1[temp], ,0,1)</f>
        <v>0.4</v>
      </c>
      <c r="H32" s="24">
        <f>_xlfn.XLOOKUP(Table3[[#This Row],[instant]],Table2[instant],Table2[atemp], ,0,1)</f>
        <v>0.40910000000000002</v>
      </c>
      <c r="I32" s="1">
        <f>_xlfn.XLOOKUP(Table3[[#This Row],[instant]],Table2[instant],Table2[hum], ,0,1)</f>
        <v>0.76</v>
      </c>
      <c r="J32" s="1">
        <f>_xlfn.XLOOKUP(Table3[[#This Row],[instant]],Table2[instant],Table2[windspeed], ,0,1)</f>
        <v>0.19400000000000001</v>
      </c>
      <c r="K32" s="1">
        <f>_xlfn.XLOOKUP(Table3[[#This Row],[instant]],Table2[instant],Table2[casual], ,0,1)</f>
        <v>0</v>
      </c>
      <c r="L32" s="1">
        <f>_xlfn.XLOOKUP(Table3[[#This Row],[instant]],Table2[instant],Table2[registered], ,0,1)</f>
        <v>1</v>
      </c>
      <c r="M32" s="6">
        <f>_xlfn.XLOOKUP(Table3[[#This Row],[instant]],Table2[instant],Table2[cnt], ,0,1)</f>
        <v>1</v>
      </c>
      <c r="N32" s="6" t="str">
        <f>IF(OR(Table3[[#This Row],[weekday]]=0,Table3[[#This Row],[weekday]]=6),"Weekend","Weekday")</f>
        <v>Weekend</v>
      </c>
    </row>
    <row r="33" spans="1:14" ht="15" thickBot="1" x14ac:dyDescent="0.35">
      <c r="A33" s="5">
        <v>32</v>
      </c>
      <c r="B33" s="3">
        <f>_xlfn.XLOOKUP(Table3[[#This Row],[instant]],DatSet1!A33:A642,DatSet1!B33:B642,_xlfn.XLOOKUP(Table3[[#This Row],[instant]],'Final Data'!A33:A422,'Final Data'!B33:B422, ,0,1),0,1)</f>
        <v>40545</v>
      </c>
      <c r="C33" s="1">
        <f>_xlfn.XLOOKUP(Table3[[#This Row],[instant]],Table1[instant],Table1[hr], ,0,1)</f>
        <v>8</v>
      </c>
      <c r="D33" s="2" t="b">
        <f>_xlfn.XLOOKUP(Table3[[#This Row],[instant]],Table1[instant],Table1[holiday], ,0,1)</f>
        <v>0</v>
      </c>
      <c r="E33" s="2">
        <f>_xlfn.XLOOKUP(Table3[[#This Row],[instant]],Table1[instant],Table1[weekday], ,0,1)</f>
        <v>0</v>
      </c>
      <c r="F33" s="2">
        <f>_xlfn.XLOOKUP(Table3[[#This Row],[instant]],Table1[instant],Table1[weathersit], ,0,1)</f>
        <v>3</v>
      </c>
      <c r="G33" s="2">
        <f>_xlfn.XLOOKUP(Table3[[#This Row],[instant]],Table1[instant],Table1[temp], ,0,1)</f>
        <v>0.4</v>
      </c>
      <c r="H33" s="24">
        <f>_xlfn.XLOOKUP(Table3[[#This Row],[instant]],Table2[instant],Table2[atemp], ,0,1)</f>
        <v>0.40910000000000002</v>
      </c>
      <c r="I33" s="1">
        <f>_xlfn.XLOOKUP(Table3[[#This Row],[instant]],Table2[instant],Table2[hum], ,0,1)</f>
        <v>0.71</v>
      </c>
      <c r="J33" s="1">
        <f>_xlfn.XLOOKUP(Table3[[#This Row],[instant]],Table2[instant],Table2[windspeed], ,0,1)</f>
        <v>0.22389999999999999</v>
      </c>
      <c r="K33" s="1">
        <f>_xlfn.XLOOKUP(Table3[[#This Row],[instant]],Table2[instant],Table2[casual], ,0,1)</f>
        <v>0</v>
      </c>
      <c r="L33" s="1">
        <f>_xlfn.XLOOKUP(Table3[[#This Row],[instant]],Table2[instant],Table2[registered], ,0,1)</f>
        <v>8</v>
      </c>
      <c r="M33" s="6">
        <f>_xlfn.XLOOKUP(Table3[[#This Row],[instant]],Table2[instant],Table2[cnt], ,0,1)</f>
        <v>8</v>
      </c>
      <c r="N33" s="6" t="str">
        <f>IF(OR(Table3[[#This Row],[weekday]]=0,Table3[[#This Row],[weekday]]=6),"Weekend","Weekday")</f>
        <v>Weekend</v>
      </c>
    </row>
    <row r="34" spans="1:14" ht="15" thickBot="1" x14ac:dyDescent="0.35">
      <c r="A34" s="5">
        <v>33</v>
      </c>
      <c r="B34" s="3">
        <f>_xlfn.XLOOKUP(Table3[[#This Row],[instant]],DatSet1!A34:A643,DatSet1!B34:B643,_xlfn.XLOOKUP(Table3[[#This Row],[instant]],'Final Data'!A34:A423,'Final Data'!B34:B423, ,0,1),0,1)</f>
        <v>40545</v>
      </c>
      <c r="C34" s="1">
        <f>_xlfn.XLOOKUP(Table3[[#This Row],[instant]],Table1[instant],Table1[hr], ,0,1)</f>
        <v>9</v>
      </c>
      <c r="D34" s="2" t="b">
        <f>_xlfn.XLOOKUP(Table3[[#This Row],[instant]],Table1[instant],Table1[holiday], ,0,1)</f>
        <v>0</v>
      </c>
      <c r="E34" s="2">
        <f>_xlfn.XLOOKUP(Table3[[#This Row],[instant]],Table1[instant],Table1[weekday], ,0,1)</f>
        <v>0</v>
      </c>
      <c r="F34" s="2">
        <f>_xlfn.XLOOKUP(Table3[[#This Row],[instant]],Table1[instant],Table1[weathersit], ,0,1)</f>
        <v>2</v>
      </c>
      <c r="G34" s="2">
        <f>_xlfn.XLOOKUP(Table3[[#This Row],[instant]],Table1[instant],Table1[temp], ,0,1)</f>
        <v>0.38</v>
      </c>
      <c r="H34" s="24">
        <f>_xlfn.XLOOKUP(Table3[[#This Row],[instant]],Table2[instant],Table2[atemp], ,0,1)</f>
        <v>0.19993489148580984</v>
      </c>
      <c r="I34" s="1">
        <f>_xlfn.XLOOKUP(Table3[[#This Row],[instant]],Table2[instant],Table2[hum], ,0,1)</f>
        <v>0.76</v>
      </c>
      <c r="J34" s="1">
        <f>_xlfn.XLOOKUP(Table3[[#This Row],[instant]],Table2[instant],Table2[windspeed], ,0,1)</f>
        <v>0.22389999999999999</v>
      </c>
      <c r="K34" s="1">
        <f>_xlfn.XLOOKUP(Table3[[#This Row],[instant]],Table2[instant],Table2[casual], ,0,1)</f>
        <v>1</v>
      </c>
      <c r="L34" s="1">
        <f>_xlfn.XLOOKUP(Table3[[#This Row],[instant]],Table2[instant],Table2[registered], ,0,1)</f>
        <v>19</v>
      </c>
      <c r="M34" s="6">
        <f>_xlfn.XLOOKUP(Table3[[#This Row],[instant]],Table2[instant],Table2[cnt], ,0,1)</f>
        <v>20</v>
      </c>
      <c r="N34" s="6" t="str">
        <f>IF(OR(Table3[[#This Row],[weekday]]=0,Table3[[#This Row],[weekday]]=6),"Weekend","Weekday")</f>
        <v>Weekend</v>
      </c>
    </row>
    <row r="35" spans="1:14" ht="15" thickBot="1" x14ac:dyDescent="0.35">
      <c r="A35" s="5">
        <v>34</v>
      </c>
      <c r="B35" s="3">
        <f>_xlfn.XLOOKUP(Table3[[#This Row],[instant]],DatSet1!A35:A644,DatSet1!B35:B644,_xlfn.XLOOKUP(Table3[[#This Row],[instant]],'Final Data'!A35:A424,'Final Data'!B35:B424, ,0,1),0,1)</f>
        <v>40545</v>
      </c>
      <c r="C35" s="1">
        <f>_xlfn.XLOOKUP(Table3[[#This Row],[instant]],Table1[instant],Table1[hr], ,0,1)</f>
        <v>10</v>
      </c>
      <c r="D35" s="2" t="b">
        <f>_xlfn.XLOOKUP(Table3[[#This Row],[instant]],Table1[instant],Table1[holiday], ,0,1)</f>
        <v>0</v>
      </c>
      <c r="E35" s="2">
        <f>_xlfn.XLOOKUP(Table3[[#This Row],[instant]],Table1[instant],Table1[weekday], ,0,1)</f>
        <v>0</v>
      </c>
      <c r="F35" s="2">
        <f>_xlfn.XLOOKUP(Table3[[#This Row],[instant]],Table1[instant],Table1[weathersit], ,0,1)</f>
        <v>2</v>
      </c>
      <c r="G35" s="2">
        <f>_xlfn.XLOOKUP(Table3[[#This Row],[instant]],Table1[instant],Table1[temp], ,0,1)</f>
        <v>0.36</v>
      </c>
      <c r="H35" s="24">
        <f>_xlfn.XLOOKUP(Table3[[#This Row],[instant]],Table2[instant],Table2[atemp], ,0,1)</f>
        <v>0.34849999999999998</v>
      </c>
      <c r="I35" s="1">
        <f>_xlfn.XLOOKUP(Table3[[#This Row],[instant]],Table2[instant],Table2[hum], ,0,1)</f>
        <v>0.81</v>
      </c>
      <c r="J35" s="1">
        <f>_xlfn.XLOOKUP(Table3[[#This Row],[instant]],Table2[instant],Table2[windspeed], ,0,1)</f>
        <v>0.22389999999999999</v>
      </c>
      <c r="K35" s="1">
        <f>_xlfn.XLOOKUP(Table3[[#This Row],[instant]],Table2[instant],Table2[casual], ,0,1)</f>
        <v>7</v>
      </c>
      <c r="L35" s="1">
        <f>_xlfn.XLOOKUP(Table3[[#This Row],[instant]],Table2[instant],Table2[registered], ,0,1)</f>
        <v>46</v>
      </c>
      <c r="M35" s="6">
        <f>_xlfn.XLOOKUP(Table3[[#This Row],[instant]],Table2[instant],Table2[cnt], ,0,1)</f>
        <v>53</v>
      </c>
      <c r="N35" s="6" t="str">
        <f>IF(OR(Table3[[#This Row],[weekday]]=0,Table3[[#This Row],[weekday]]=6),"Weekend","Weekday")</f>
        <v>Weekend</v>
      </c>
    </row>
    <row r="36" spans="1:14" ht="15" thickBot="1" x14ac:dyDescent="0.35">
      <c r="A36" s="5">
        <v>35</v>
      </c>
      <c r="B36" s="3">
        <f>_xlfn.XLOOKUP(Table3[[#This Row],[instant]],DatSet1!A36:A645,DatSet1!B36:B645,_xlfn.XLOOKUP(Table3[[#This Row],[instant]],'Final Data'!A36:A425,'Final Data'!B36:B425, ,0,1),0,1)</f>
        <v>40545</v>
      </c>
      <c r="C36" s="1">
        <f>_xlfn.XLOOKUP(Table3[[#This Row],[instant]],Table1[instant],Table1[hr], ,0,1)</f>
        <v>11</v>
      </c>
      <c r="D36" s="2" t="b">
        <f>_xlfn.XLOOKUP(Table3[[#This Row],[instant]],Table1[instant],Table1[holiday], ,0,1)</f>
        <v>0</v>
      </c>
      <c r="E36" s="2">
        <f>_xlfn.XLOOKUP(Table3[[#This Row],[instant]],Table1[instant],Table1[weekday], ,0,1)</f>
        <v>0</v>
      </c>
      <c r="F36" s="2">
        <f>_xlfn.XLOOKUP(Table3[[#This Row],[instant]],Table1[instant],Table1[weathersit], ,0,1)</f>
        <v>2</v>
      </c>
      <c r="G36" s="2">
        <f>_xlfn.XLOOKUP(Table3[[#This Row],[instant]],Table1[instant],Table1[temp], ,0,1)</f>
        <v>0.36</v>
      </c>
      <c r="H36" s="24">
        <f>_xlfn.XLOOKUP(Table3[[#This Row],[instant]],Table2[instant],Table2[atemp], ,0,1)</f>
        <v>0.33329999999999999</v>
      </c>
      <c r="I36" s="1">
        <f>_xlfn.XLOOKUP(Table3[[#This Row],[instant]],Table2[instant],Table2[hum], ,0,1)</f>
        <v>0.71</v>
      </c>
      <c r="J36" s="1">
        <f>_xlfn.XLOOKUP(Table3[[#This Row],[instant]],Table2[instant],Table2[windspeed], ,0,1)</f>
        <v>0.25369999999999998</v>
      </c>
      <c r="K36" s="1">
        <f>_xlfn.XLOOKUP(Table3[[#This Row],[instant]],Table2[instant],Table2[casual], ,0,1)</f>
        <v>16</v>
      </c>
      <c r="L36" s="1">
        <f>_xlfn.XLOOKUP(Table3[[#This Row],[instant]],Table2[instant],Table2[registered], ,0,1)</f>
        <v>54</v>
      </c>
      <c r="M36" s="6">
        <f>_xlfn.XLOOKUP(Table3[[#This Row],[instant]],Table2[instant],Table2[cnt], ,0,1)</f>
        <v>70</v>
      </c>
      <c r="N36" s="6" t="str">
        <f>IF(OR(Table3[[#This Row],[weekday]]=0,Table3[[#This Row],[weekday]]=6),"Weekend","Weekday")</f>
        <v>Weekend</v>
      </c>
    </row>
    <row r="37" spans="1:14" ht="15" thickBot="1" x14ac:dyDescent="0.35">
      <c r="A37" s="5">
        <v>36</v>
      </c>
      <c r="B37" s="3">
        <f>_xlfn.XLOOKUP(Table3[[#This Row],[instant]],DatSet1!A37:A646,DatSet1!B37:B646,_xlfn.XLOOKUP(Table3[[#This Row],[instant]],'Final Data'!A37:A426,'Final Data'!B37:B426, ,0,1),0,1)</f>
        <v>40545</v>
      </c>
      <c r="C37" s="1">
        <f>_xlfn.XLOOKUP(Table3[[#This Row],[instant]],Table1[instant],Table1[hr], ,0,1)</f>
        <v>12</v>
      </c>
      <c r="D37" s="2" t="b">
        <f>_xlfn.XLOOKUP(Table3[[#This Row],[instant]],Table1[instant],Table1[holiday], ,0,1)</f>
        <v>0</v>
      </c>
      <c r="E37" s="2">
        <f>_xlfn.XLOOKUP(Table3[[#This Row],[instant]],Table1[instant],Table1[weekday], ,0,1)</f>
        <v>0</v>
      </c>
      <c r="F37" s="2">
        <f>_xlfn.XLOOKUP(Table3[[#This Row],[instant]],Table1[instant],Table1[weathersit], ,0,1)</f>
        <v>2</v>
      </c>
      <c r="G37" s="2">
        <f>_xlfn.XLOOKUP(Table3[[#This Row],[instant]],Table1[instant],Table1[temp], ,0,1)</f>
        <v>0.36</v>
      </c>
      <c r="H37" s="24">
        <f>_xlfn.XLOOKUP(Table3[[#This Row],[instant]],Table2[instant],Table2[atemp], ,0,1)</f>
        <v>0.33329999999999999</v>
      </c>
      <c r="I37" s="1">
        <f>_xlfn.XLOOKUP(Table3[[#This Row],[instant]],Table2[instant],Table2[hum], ,0,1)</f>
        <v>0.66</v>
      </c>
      <c r="J37" s="1">
        <f>_xlfn.XLOOKUP(Table3[[#This Row],[instant]],Table2[instant],Table2[windspeed], ,0,1)</f>
        <v>0.29849999999999999</v>
      </c>
      <c r="K37" s="1">
        <f>_xlfn.XLOOKUP(Table3[[#This Row],[instant]],Table2[instant],Table2[casual], ,0,1)</f>
        <v>20</v>
      </c>
      <c r="L37" s="1">
        <f>_xlfn.XLOOKUP(Table3[[#This Row],[instant]],Table2[instant],Table2[registered], ,0,1)</f>
        <v>73</v>
      </c>
      <c r="M37" s="6">
        <f>_xlfn.XLOOKUP(Table3[[#This Row],[instant]],Table2[instant],Table2[cnt], ,0,1)</f>
        <v>93</v>
      </c>
      <c r="N37" s="6" t="str">
        <f>IF(OR(Table3[[#This Row],[weekday]]=0,Table3[[#This Row],[weekday]]=6),"Weekend","Weekday")</f>
        <v>Weekend</v>
      </c>
    </row>
    <row r="38" spans="1:14" ht="15" thickBot="1" x14ac:dyDescent="0.35">
      <c r="A38" s="5">
        <v>37</v>
      </c>
      <c r="B38" s="3">
        <f>_xlfn.XLOOKUP(Table3[[#This Row],[instant]],DatSet1!A38:A647,DatSet1!B38:B647,_xlfn.XLOOKUP(Table3[[#This Row],[instant]],'Final Data'!A38:A427,'Final Data'!B38:B427, ,0,1),0,1)</f>
        <v>40545</v>
      </c>
      <c r="C38" s="1">
        <f>_xlfn.XLOOKUP(Table3[[#This Row],[instant]],Table1[instant],Table1[hr], ,0,1)</f>
        <v>13</v>
      </c>
      <c r="D38" s="2" t="b">
        <f>_xlfn.XLOOKUP(Table3[[#This Row],[instant]],Table1[instant],Table1[holiday], ,0,1)</f>
        <v>0</v>
      </c>
      <c r="E38" s="2">
        <f>_xlfn.XLOOKUP(Table3[[#This Row],[instant]],Table1[instant],Table1[weekday], ,0,1)</f>
        <v>0</v>
      </c>
      <c r="F38" s="2">
        <f>_xlfn.XLOOKUP(Table3[[#This Row],[instant]],Table1[instant],Table1[weathersit], ,0,1)</f>
        <v>2</v>
      </c>
      <c r="G38" s="2">
        <f>_xlfn.XLOOKUP(Table3[[#This Row],[instant]],Table1[instant],Table1[temp], ,0,1)</f>
        <v>0.36</v>
      </c>
      <c r="H38" s="24">
        <f>_xlfn.XLOOKUP(Table3[[#This Row],[instant]],Table2[instant],Table2[atemp], ,0,1)</f>
        <v>0.34849999999999998</v>
      </c>
      <c r="I38" s="1">
        <f>_xlfn.XLOOKUP(Table3[[#This Row],[instant]],Table2[instant],Table2[hum], ,0,1)</f>
        <v>0.66</v>
      </c>
      <c r="J38" s="1">
        <f>_xlfn.XLOOKUP(Table3[[#This Row],[instant]],Table2[instant],Table2[windspeed], ,0,1)</f>
        <v>0.1343</v>
      </c>
      <c r="K38" s="1">
        <f>_xlfn.XLOOKUP(Table3[[#This Row],[instant]],Table2[instant],Table2[casual], ,0,1)</f>
        <v>11</v>
      </c>
      <c r="L38" s="1">
        <f>_xlfn.XLOOKUP(Table3[[#This Row],[instant]],Table2[instant],Table2[registered], ,0,1)</f>
        <v>64</v>
      </c>
      <c r="M38" s="6">
        <f>_xlfn.XLOOKUP(Table3[[#This Row],[instant]],Table2[instant],Table2[cnt], ,0,1)</f>
        <v>75</v>
      </c>
      <c r="N38" s="6" t="str">
        <f>IF(OR(Table3[[#This Row],[weekday]]=0,Table3[[#This Row],[weekday]]=6),"Weekend","Weekday")</f>
        <v>Weekend</v>
      </c>
    </row>
    <row r="39" spans="1:14" ht="15" thickBot="1" x14ac:dyDescent="0.35">
      <c r="A39" s="5">
        <v>38</v>
      </c>
      <c r="B39" s="3">
        <f>_xlfn.XLOOKUP(Table3[[#This Row],[instant]],DatSet1!A39:A648,DatSet1!B39:B648,_xlfn.XLOOKUP(Table3[[#This Row],[instant]],'Final Data'!A39:A428,'Final Data'!B39:B428, ,0,1),0,1)</f>
        <v>40545</v>
      </c>
      <c r="C39" s="1">
        <f>_xlfn.XLOOKUP(Table3[[#This Row],[instant]],Table1[instant],Table1[hr], ,0,1)</f>
        <v>14</v>
      </c>
      <c r="D39" s="2" t="b">
        <f>_xlfn.XLOOKUP(Table3[[#This Row],[instant]],Table1[instant],Table1[holiday], ,0,1)</f>
        <v>0</v>
      </c>
      <c r="E39" s="2">
        <f>_xlfn.XLOOKUP(Table3[[#This Row],[instant]],Table1[instant],Table1[weekday], ,0,1)</f>
        <v>0</v>
      </c>
      <c r="F39" s="2">
        <f>_xlfn.XLOOKUP(Table3[[#This Row],[instant]],Table1[instant],Table1[weathersit], ,0,1)</f>
        <v>3</v>
      </c>
      <c r="G39" s="2">
        <f>_xlfn.XLOOKUP(Table3[[#This Row],[instant]],Table1[instant],Table1[temp], ,0,1)</f>
        <v>0.36</v>
      </c>
      <c r="H39" s="24">
        <f>_xlfn.XLOOKUP(Table3[[#This Row],[instant]],Table2[instant],Table2[atemp], ,0,1)</f>
        <v>0.19993489148580984</v>
      </c>
      <c r="I39" s="1">
        <f>_xlfn.XLOOKUP(Table3[[#This Row],[instant]],Table2[instant],Table2[hum], ,0,1)</f>
        <v>0.76</v>
      </c>
      <c r="J39" s="1">
        <f>_xlfn.XLOOKUP(Table3[[#This Row],[instant]],Table2[instant],Table2[windspeed], ,0,1)</f>
        <v>0.19400000000000001</v>
      </c>
      <c r="K39" s="1">
        <f>_xlfn.XLOOKUP(Table3[[#This Row],[instant]],Table2[instant],Table2[casual], ,0,1)</f>
        <v>4</v>
      </c>
      <c r="L39" s="1">
        <f>_xlfn.XLOOKUP(Table3[[#This Row],[instant]],Table2[instant],Table2[registered], ,0,1)</f>
        <v>55</v>
      </c>
      <c r="M39" s="6">
        <f>_xlfn.XLOOKUP(Table3[[#This Row],[instant]],Table2[instant],Table2[cnt], ,0,1)</f>
        <v>59</v>
      </c>
      <c r="N39" s="6" t="str">
        <f>IF(OR(Table3[[#This Row],[weekday]]=0,Table3[[#This Row],[weekday]]=6),"Weekend","Weekday")</f>
        <v>Weekend</v>
      </c>
    </row>
    <row r="40" spans="1:14" ht="15" thickBot="1" x14ac:dyDescent="0.35">
      <c r="A40" s="5">
        <v>39</v>
      </c>
      <c r="B40" s="3">
        <f>_xlfn.XLOOKUP(Table3[[#This Row],[instant]],DatSet1!A40:A649,DatSet1!B40:B649,_xlfn.XLOOKUP(Table3[[#This Row],[instant]],'Final Data'!A40:A429,'Final Data'!B40:B429, ,0,1),0,1)</f>
        <v>40545</v>
      </c>
      <c r="C40" s="1">
        <f>_xlfn.XLOOKUP(Table3[[#This Row],[instant]],Table1[instant],Table1[hr], ,0,1)</f>
        <v>15</v>
      </c>
      <c r="D40" s="2" t="b">
        <f>_xlfn.XLOOKUP(Table3[[#This Row],[instant]],Table1[instant],Table1[holiday], ,0,1)</f>
        <v>0</v>
      </c>
      <c r="E40" s="2">
        <f>_xlfn.XLOOKUP(Table3[[#This Row],[instant]],Table1[instant],Table1[weekday], ,0,1)</f>
        <v>0</v>
      </c>
      <c r="F40" s="2">
        <f>_xlfn.XLOOKUP(Table3[[#This Row],[instant]],Table1[instant],Table1[weathersit], ,0,1)</f>
        <v>3</v>
      </c>
      <c r="G40" s="2">
        <f>_xlfn.XLOOKUP(Table3[[#This Row],[instant]],Table1[instant],Table1[temp], ,0,1)</f>
        <v>0.34</v>
      </c>
      <c r="H40" s="24">
        <f>_xlfn.XLOOKUP(Table3[[#This Row],[instant]],Table2[instant],Table2[atemp], ,0,1)</f>
        <v>0.33329999999999999</v>
      </c>
      <c r="I40" s="1">
        <f>_xlfn.XLOOKUP(Table3[[#This Row],[instant]],Table2[instant],Table2[hum], ,0,1)</f>
        <v>0.81</v>
      </c>
      <c r="J40" s="1">
        <f>_xlfn.XLOOKUP(Table3[[#This Row],[instant]],Table2[instant],Table2[windspeed], ,0,1)</f>
        <v>0.16420000000000001</v>
      </c>
      <c r="K40" s="1">
        <f>_xlfn.XLOOKUP(Table3[[#This Row],[instant]],Table2[instant],Table2[casual], ,0,1)</f>
        <v>19</v>
      </c>
      <c r="L40" s="1">
        <f>_xlfn.XLOOKUP(Table3[[#This Row],[instant]],Table2[instant],Table2[registered], ,0,1)</f>
        <v>55</v>
      </c>
      <c r="M40" s="6">
        <f>_xlfn.XLOOKUP(Table3[[#This Row],[instant]],Table2[instant],Table2[cnt], ,0,1)</f>
        <v>74</v>
      </c>
      <c r="N40" s="6" t="str">
        <f>IF(OR(Table3[[#This Row],[weekday]]=0,Table3[[#This Row],[weekday]]=6),"Weekend","Weekday")</f>
        <v>Weekend</v>
      </c>
    </row>
    <row r="41" spans="1:14" ht="15" thickBot="1" x14ac:dyDescent="0.35">
      <c r="A41" s="5">
        <v>40</v>
      </c>
      <c r="B41" s="3">
        <f>_xlfn.XLOOKUP(Table3[[#This Row],[instant]],DatSet1!A41:A650,DatSet1!B41:B650,_xlfn.XLOOKUP(Table3[[#This Row],[instant]],'Final Data'!A41:A430,'Final Data'!B41:B430, ,0,1),0,1)</f>
        <v>40545</v>
      </c>
      <c r="C41" s="1">
        <f>_xlfn.XLOOKUP(Table3[[#This Row],[instant]],Table1[instant],Table1[hr], ,0,1)</f>
        <v>16</v>
      </c>
      <c r="D41" s="2" t="b">
        <f>_xlfn.XLOOKUP(Table3[[#This Row],[instant]],Table1[instant],Table1[holiday], ,0,1)</f>
        <v>0</v>
      </c>
      <c r="E41" s="2">
        <f>_xlfn.XLOOKUP(Table3[[#This Row],[instant]],Table1[instant],Table1[weekday], ,0,1)</f>
        <v>0</v>
      </c>
      <c r="F41" s="2">
        <f>_xlfn.XLOOKUP(Table3[[#This Row],[instant]],Table1[instant],Table1[weathersit], ,0,1)</f>
        <v>3</v>
      </c>
      <c r="G41" s="2">
        <f>_xlfn.XLOOKUP(Table3[[#This Row],[instant]],Table1[instant],Table1[temp], ,0,1)</f>
        <v>0.34</v>
      </c>
      <c r="H41" s="24">
        <f>_xlfn.XLOOKUP(Table3[[#This Row],[instant]],Table2[instant],Table2[atemp], ,0,1)</f>
        <v>0.33329999999999999</v>
      </c>
      <c r="I41" s="1">
        <f>_xlfn.XLOOKUP(Table3[[#This Row],[instant]],Table2[instant],Table2[hum], ,0,1)</f>
        <v>0.71</v>
      </c>
      <c r="J41" s="1">
        <f>_xlfn.XLOOKUP(Table3[[#This Row],[instant]],Table2[instant],Table2[windspeed], ,0,1)</f>
        <v>0.16420000000000001</v>
      </c>
      <c r="K41" s="1">
        <f>_xlfn.XLOOKUP(Table3[[#This Row],[instant]],Table2[instant],Table2[casual], ,0,1)</f>
        <v>9</v>
      </c>
      <c r="L41" s="1">
        <f>_xlfn.XLOOKUP(Table3[[#This Row],[instant]],Table2[instant],Table2[registered], ,0,1)</f>
        <v>67</v>
      </c>
      <c r="M41" s="6">
        <f>_xlfn.XLOOKUP(Table3[[#This Row],[instant]],Table2[instant],Table2[cnt], ,0,1)</f>
        <v>76</v>
      </c>
      <c r="N41" s="6" t="str">
        <f>IF(OR(Table3[[#This Row],[weekday]]=0,Table3[[#This Row],[weekday]]=6),"Weekend","Weekday")</f>
        <v>Weekend</v>
      </c>
    </row>
    <row r="42" spans="1:14" ht="15" thickBot="1" x14ac:dyDescent="0.35">
      <c r="A42" s="5">
        <v>41</v>
      </c>
      <c r="B42" s="3">
        <f>_xlfn.XLOOKUP(Table3[[#This Row],[instant]],DatSet1!A42:A651,DatSet1!B42:B651,_xlfn.XLOOKUP(Table3[[#This Row],[instant]],'Final Data'!A42:A431,'Final Data'!B42:B431, ,0,1),0,1)</f>
        <v>40545</v>
      </c>
      <c r="C42" s="1">
        <f>_xlfn.XLOOKUP(Table3[[#This Row],[instant]],Table1[instant],Table1[hr], ,0,1)</f>
        <v>17</v>
      </c>
      <c r="D42" s="2" t="b">
        <f>_xlfn.XLOOKUP(Table3[[#This Row],[instant]],Table1[instant],Table1[holiday], ,0,1)</f>
        <v>0</v>
      </c>
      <c r="E42" s="2">
        <f>_xlfn.XLOOKUP(Table3[[#This Row],[instant]],Table1[instant],Table1[weekday], ,0,1)</f>
        <v>0</v>
      </c>
      <c r="F42" s="2">
        <f>_xlfn.XLOOKUP(Table3[[#This Row],[instant]],Table1[instant],Table1[weathersit], ,0,1)</f>
        <v>1</v>
      </c>
      <c r="G42" s="2">
        <f>_xlfn.XLOOKUP(Table3[[#This Row],[instant]],Table1[instant],Table1[temp], ,0,1)</f>
        <v>0.34</v>
      </c>
      <c r="H42" s="24">
        <f>_xlfn.XLOOKUP(Table3[[#This Row],[instant]],Table2[instant],Table2[atemp], ,0,1)</f>
        <v>0.33329999999999999</v>
      </c>
      <c r="I42" s="1">
        <f>_xlfn.XLOOKUP(Table3[[#This Row],[instant]],Table2[instant],Table2[hum], ,0,1)</f>
        <v>0.56999999999999995</v>
      </c>
      <c r="J42" s="1">
        <f>_xlfn.XLOOKUP(Table3[[#This Row],[instant]],Table2[instant],Table2[windspeed], ,0,1)</f>
        <v>0.19400000000000001</v>
      </c>
      <c r="K42" s="1">
        <f>_xlfn.XLOOKUP(Table3[[#This Row],[instant]],Table2[instant],Table2[casual], ,0,1)</f>
        <v>7</v>
      </c>
      <c r="L42" s="1">
        <f>_xlfn.XLOOKUP(Table3[[#This Row],[instant]],Table2[instant],Table2[registered], ,0,1)</f>
        <v>58</v>
      </c>
      <c r="M42" s="6">
        <f>_xlfn.XLOOKUP(Table3[[#This Row],[instant]],Table2[instant],Table2[cnt], ,0,1)</f>
        <v>65</v>
      </c>
      <c r="N42" s="6" t="str">
        <f>IF(OR(Table3[[#This Row],[weekday]]=0,Table3[[#This Row],[weekday]]=6),"Weekend","Weekday")</f>
        <v>Weekend</v>
      </c>
    </row>
    <row r="43" spans="1:14" ht="15" thickBot="1" x14ac:dyDescent="0.35">
      <c r="A43" s="5">
        <v>42</v>
      </c>
      <c r="B43" s="3">
        <f>_xlfn.XLOOKUP(Table3[[#This Row],[instant]],DatSet1!A43:A652,DatSet1!B43:B652,_xlfn.XLOOKUP(Table3[[#This Row],[instant]],'Final Data'!A43:A432,'Final Data'!B43:B432, ,0,1),0,1)</f>
        <v>40545</v>
      </c>
      <c r="C43" s="1">
        <f>_xlfn.XLOOKUP(Table3[[#This Row],[instant]],Table1[instant],Table1[hr], ,0,1)</f>
        <v>18</v>
      </c>
      <c r="D43" s="2" t="b">
        <f>_xlfn.XLOOKUP(Table3[[#This Row],[instant]],Table1[instant],Table1[holiday], ,0,1)</f>
        <v>0</v>
      </c>
      <c r="E43" s="2">
        <f>_xlfn.XLOOKUP(Table3[[#This Row],[instant]],Table1[instant],Table1[weekday], ,0,1)</f>
        <v>0</v>
      </c>
      <c r="F43" s="2">
        <f>_xlfn.XLOOKUP(Table3[[#This Row],[instant]],Table1[instant],Table1[weathersit], ,0,1)</f>
        <v>2</v>
      </c>
      <c r="G43" s="2">
        <f>_xlfn.XLOOKUP(Table3[[#This Row],[instant]],Table1[instant],Table1[temp], ,0,1)</f>
        <v>0.36</v>
      </c>
      <c r="H43" s="24">
        <f>_xlfn.XLOOKUP(Table3[[#This Row],[instant]],Table2[instant],Table2[atemp], ,0,1)</f>
        <v>0.33329999999999999</v>
      </c>
      <c r="I43" s="1">
        <f>_xlfn.XLOOKUP(Table3[[#This Row],[instant]],Table2[instant],Table2[hum], ,0,1)</f>
        <v>0.46</v>
      </c>
      <c r="J43" s="1">
        <f>_xlfn.XLOOKUP(Table3[[#This Row],[instant]],Table2[instant],Table2[windspeed], ,0,1)</f>
        <v>0.32840000000000003</v>
      </c>
      <c r="K43" s="1">
        <f>_xlfn.XLOOKUP(Table3[[#This Row],[instant]],Table2[instant],Table2[casual], ,0,1)</f>
        <v>10</v>
      </c>
      <c r="L43" s="1">
        <f>_xlfn.XLOOKUP(Table3[[#This Row],[instant]],Table2[instant],Table2[registered], ,0,1)</f>
        <v>43</v>
      </c>
      <c r="M43" s="6">
        <f>_xlfn.XLOOKUP(Table3[[#This Row],[instant]],Table2[instant],Table2[cnt], ,0,1)</f>
        <v>53</v>
      </c>
      <c r="N43" s="6" t="str">
        <f>IF(OR(Table3[[#This Row],[weekday]]=0,Table3[[#This Row],[weekday]]=6),"Weekend","Weekday")</f>
        <v>Weekend</v>
      </c>
    </row>
    <row r="44" spans="1:14" ht="15" thickBot="1" x14ac:dyDescent="0.35">
      <c r="A44" s="5">
        <v>43</v>
      </c>
      <c r="B44" s="3">
        <f>_xlfn.XLOOKUP(Table3[[#This Row],[instant]],DatSet1!A44:A653,DatSet1!B44:B653,_xlfn.XLOOKUP(Table3[[#This Row],[instant]],'Final Data'!A44:A433,'Final Data'!B44:B433, ,0,1),0,1)</f>
        <v>40545</v>
      </c>
      <c r="C44" s="1">
        <f>_xlfn.XLOOKUP(Table3[[#This Row],[instant]],Table1[instant],Table1[hr], ,0,1)</f>
        <v>19</v>
      </c>
      <c r="D44" s="2" t="b">
        <f>_xlfn.XLOOKUP(Table3[[#This Row],[instant]],Table1[instant],Table1[holiday], ,0,1)</f>
        <v>0</v>
      </c>
      <c r="E44" s="2">
        <f>_xlfn.XLOOKUP(Table3[[#This Row],[instant]],Table1[instant],Table1[weekday], ,0,1)</f>
        <v>0</v>
      </c>
      <c r="F44" s="2">
        <f>_xlfn.XLOOKUP(Table3[[#This Row],[instant]],Table1[instant],Table1[weathersit], ,0,1)</f>
        <v>1</v>
      </c>
      <c r="G44" s="2">
        <f>_xlfn.XLOOKUP(Table3[[#This Row],[instant]],Table1[instant],Table1[temp], ,0,1)</f>
        <v>0.32</v>
      </c>
      <c r="H44" s="24">
        <f>_xlfn.XLOOKUP(Table3[[#This Row],[instant]],Table2[instant],Table2[atemp], ,0,1)</f>
        <v>0.28789999999999999</v>
      </c>
      <c r="I44" s="1">
        <f>_xlfn.XLOOKUP(Table3[[#This Row],[instant]],Table2[instant],Table2[hum], ,0,1)</f>
        <v>0.42</v>
      </c>
      <c r="J44" s="1">
        <f>_xlfn.XLOOKUP(Table3[[#This Row],[instant]],Table2[instant],Table2[windspeed], ,0,1)</f>
        <v>0.44779999999999998</v>
      </c>
      <c r="K44" s="1">
        <f>_xlfn.XLOOKUP(Table3[[#This Row],[instant]],Table2[instant],Table2[casual], ,0,1)</f>
        <v>1</v>
      </c>
      <c r="L44" s="1">
        <f>_xlfn.XLOOKUP(Table3[[#This Row],[instant]],Table2[instant],Table2[registered], ,0,1)</f>
        <v>29</v>
      </c>
      <c r="M44" s="6">
        <f>_xlfn.XLOOKUP(Table3[[#This Row],[instant]],Table2[instant],Table2[cnt], ,0,1)</f>
        <v>30</v>
      </c>
      <c r="N44" s="6" t="str">
        <f>IF(OR(Table3[[#This Row],[weekday]]=0,Table3[[#This Row],[weekday]]=6),"Weekend","Weekday")</f>
        <v>Weekend</v>
      </c>
    </row>
    <row r="45" spans="1:14" ht="15" thickBot="1" x14ac:dyDescent="0.35">
      <c r="A45" s="5">
        <v>44</v>
      </c>
      <c r="B45" s="3">
        <f>_xlfn.XLOOKUP(Table3[[#This Row],[instant]],DatSet1!A45:A654,DatSet1!B45:B654,_xlfn.XLOOKUP(Table3[[#This Row],[instant]],'Final Data'!A45:A434,'Final Data'!B45:B434, ,0,1),0,1)</f>
        <v>40545</v>
      </c>
      <c r="C45" s="1">
        <f>_xlfn.XLOOKUP(Table3[[#This Row],[instant]],Table1[instant],Table1[hr], ,0,1)</f>
        <v>20</v>
      </c>
      <c r="D45" s="2" t="b">
        <f>_xlfn.XLOOKUP(Table3[[#This Row],[instant]],Table1[instant],Table1[holiday], ,0,1)</f>
        <v>0</v>
      </c>
      <c r="E45" s="2">
        <f>_xlfn.XLOOKUP(Table3[[#This Row],[instant]],Table1[instant],Table1[weekday], ,0,1)</f>
        <v>0</v>
      </c>
      <c r="F45" s="2">
        <f>_xlfn.XLOOKUP(Table3[[#This Row],[instant]],Table1[instant],Table1[weathersit], ,0,1)</f>
        <v>1</v>
      </c>
      <c r="G45" s="2">
        <f>_xlfn.XLOOKUP(Table3[[#This Row],[instant]],Table1[instant],Table1[temp], ,0,1)</f>
        <v>0.3</v>
      </c>
      <c r="H45" s="24">
        <f>_xlfn.XLOOKUP(Table3[[#This Row],[instant]],Table2[instant],Table2[atemp], ,0,1)</f>
        <v>0.19993489148580984</v>
      </c>
      <c r="I45" s="1">
        <f>_xlfn.XLOOKUP(Table3[[#This Row],[instant]],Table2[instant],Table2[hum], ,0,1)</f>
        <v>0.39</v>
      </c>
      <c r="J45" s="1">
        <f>_xlfn.XLOOKUP(Table3[[#This Row],[instant]],Table2[instant],Table2[windspeed], ,0,1)</f>
        <v>0.35820000000000002</v>
      </c>
      <c r="K45" s="1">
        <f>_xlfn.XLOOKUP(Table3[[#This Row],[instant]],Table2[instant],Table2[casual], ,0,1)</f>
        <v>5</v>
      </c>
      <c r="L45" s="1">
        <f>_xlfn.XLOOKUP(Table3[[#This Row],[instant]],Table2[instant],Table2[registered], ,0,1)</f>
        <v>17</v>
      </c>
      <c r="M45" s="6">
        <f>_xlfn.XLOOKUP(Table3[[#This Row],[instant]],Table2[instant],Table2[cnt], ,0,1)</f>
        <v>22</v>
      </c>
      <c r="N45" s="6" t="str">
        <f>IF(OR(Table3[[#This Row],[weekday]]=0,Table3[[#This Row],[weekday]]=6),"Weekend","Weekday")</f>
        <v>Weekend</v>
      </c>
    </row>
    <row r="46" spans="1:14" ht="15" thickBot="1" x14ac:dyDescent="0.35">
      <c r="A46" s="5">
        <v>45</v>
      </c>
      <c r="B46" s="3">
        <f>_xlfn.XLOOKUP(Table3[[#This Row],[instant]],DatSet1!A46:A655,DatSet1!B46:B655,_xlfn.XLOOKUP(Table3[[#This Row],[instant]],'Final Data'!A46:A435,'Final Data'!B46:B435, ,0,1),0,1)</f>
        <v>40545</v>
      </c>
      <c r="C46" s="1">
        <f>_xlfn.XLOOKUP(Table3[[#This Row],[instant]],Table1[instant],Table1[hr], ,0,1)</f>
        <v>21</v>
      </c>
      <c r="D46" s="2" t="b">
        <f>_xlfn.XLOOKUP(Table3[[#This Row],[instant]],Table1[instant],Table1[holiday], ,0,1)</f>
        <v>0</v>
      </c>
      <c r="E46" s="2">
        <f>_xlfn.XLOOKUP(Table3[[#This Row],[instant]],Table1[instant],Table1[weekday], ,0,1)</f>
        <v>0</v>
      </c>
      <c r="F46" s="2">
        <f>_xlfn.XLOOKUP(Table3[[#This Row],[instant]],Table1[instant],Table1[weathersit], ,0,1)</f>
        <v>1</v>
      </c>
      <c r="G46" s="2">
        <f>_xlfn.XLOOKUP(Table3[[#This Row],[instant]],Table1[instant],Table1[temp], ,0,1)</f>
        <v>0.26</v>
      </c>
      <c r="H46" s="24">
        <f>_xlfn.XLOOKUP(Table3[[#This Row],[instant]],Table2[instant],Table2[atemp], ,0,1)</f>
        <v>0.2273</v>
      </c>
      <c r="I46" s="1">
        <f>_xlfn.XLOOKUP(Table3[[#This Row],[instant]],Table2[instant],Table2[hum], ,0,1)</f>
        <v>0.44</v>
      </c>
      <c r="J46" s="1">
        <f>_xlfn.XLOOKUP(Table3[[#This Row],[instant]],Table2[instant],Table2[windspeed], ,0,1)</f>
        <v>0.32840000000000003</v>
      </c>
      <c r="K46" s="1">
        <f>_xlfn.XLOOKUP(Table3[[#This Row],[instant]],Table2[instant],Table2[casual], ,0,1)</f>
        <v>11</v>
      </c>
      <c r="L46" s="1">
        <f>_xlfn.XLOOKUP(Table3[[#This Row],[instant]],Table2[instant],Table2[registered], ,0,1)</f>
        <v>20</v>
      </c>
      <c r="M46" s="6">
        <f>_xlfn.XLOOKUP(Table3[[#This Row],[instant]],Table2[instant],Table2[cnt], ,0,1)</f>
        <v>31</v>
      </c>
      <c r="N46" s="6" t="str">
        <f>IF(OR(Table3[[#This Row],[weekday]]=0,Table3[[#This Row],[weekday]]=6),"Weekend","Weekday")</f>
        <v>Weekend</v>
      </c>
    </row>
    <row r="47" spans="1:14" ht="15" thickBot="1" x14ac:dyDescent="0.35">
      <c r="A47" s="5">
        <v>46</v>
      </c>
      <c r="B47" s="3">
        <f>_xlfn.XLOOKUP(Table3[[#This Row],[instant]],DatSet1!A47:A656,DatSet1!B47:B656,_xlfn.XLOOKUP(Table3[[#This Row],[instant]],'Final Data'!A47:A436,'Final Data'!B47:B436, ,0,1),0,1)</f>
        <v>40545</v>
      </c>
      <c r="C47" s="1">
        <f>_xlfn.XLOOKUP(Table3[[#This Row],[instant]],Table1[instant],Table1[hr], ,0,1)</f>
        <v>22</v>
      </c>
      <c r="D47" s="2" t="b">
        <f>_xlfn.XLOOKUP(Table3[[#This Row],[instant]],Table1[instant],Table1[holiday], ,0,1)</f>
        <v>0</v>
      </c>
      <c r="E47" s="2">
        <f>_xlfn.XLOOKUP(Table3[[#This Row],[instant]],Table1[instant],Table1[weekday], ,0,1)</f>
        <v>0</v>
      </c>
      <c r="F47" s="2">
        <f>_xlfn.XLOOKUP(Table3[[#This Row],[instant]],Table1[instant],Table1[weathersit], ,0,1)</f>
        <v>1</v>
      </c>
      <c r="G47" s="2">
        <f>_xlfn.XLOOKUP(Table3[[#This Row],[instant]],Table1[instant],Table1[temp], ,0,1)</f>
        <v>0.24</v>
      </c>
      <c r="H47" s="24">
        <f>_xlfn.XLOOKUP(Table3[[#This Row],[instant]],Table2[instant],Table2[atemp], ,0,1)</f>
        <v>0.21210000000000001</v>
      </c>
      <c r="I47" s="1">
        <f>_xlfn.XLOOKUP(Table3[[#This Row],[instant]],Table2[instant],Table2[hum], ,0,1)</f>
        <v>0.44</v>
      </c>
      <c r="J47" s="1">
        <f>_xlfn.XLOOKUP(Table3[[#This Row],[instant]],Table2[instant],Table2[windspeed], ,0,1)</f>
        <v>0.29849999999999999</v>
      </c>
      <c r="K47" s="1">
        <f>_xlfn.XLOOKUP(Table3[[#This Row],[instant]],Table2[instant],Table2[casual], ,0,1)</f>
        <v>0</v>
      </c>
      <c r="L47" s="1">
        <f>_xlfn.XLOOKUP(Table3[[#This Row],[instant]],Table2[instant],Table2[registered], ,0,1)</f>
        <v>9</v>
      </c>
      <c r="M47" s="6">
        <f>_xlfn.XLOOKUP(Table3[[#This Row],[instant]],Table2[instant],Table2[cnt], ,0,1)</f>
        <v>9</v>
      </c>
      <c r="N47" s="6" t="str">
        <f>IF(OR(Table3[[#This Row],[weekday]]=0,Table3[[#This Row],[weekday]]=6),"Weekend","Weekday")</f>
        <v>Weekend</v>
      </c>
    </row>
    <row r="48" spans="1:14" ht="15" thickBot="1" x14ac:dyDescent="0.35">
      <c r="A48" s="5">
        <v>47</v>
      </c>
      <c r="B48" s="3">
        <f>_xlfn.XLOOKUP(Table3[[#This Row],[instant]],DatSet1!A48:A657,DatSet1!B48:B657,_xlfn.XLOOKUP(Table3[[#This Row],[instant]],'Final Data'!A48:A437,'Final Data'!B48:B437, ,0,1),0,1)</f>
        <v>40545</v>
      </c>
      <c r="C48" s="1">
        <f>_xlfn.XLOOKUP(Table3[[#This Row],[instant]],Table1[instant],Table1[hr], ,0,1)</f>
        <v>23</v>
      </c>
      <c r="D48" s="2" t="b">
        <f>_xlfn.XLOOKUP(Table3[[#This Row],[instant]],Table1[instant],Table1[holiday], ,0,1)</f>
        <v>0</v>
      </c>
      <c r="E48" s="2">
        <f>_xlfn.XLOOKUP(Table3[[#This Row],[instant]],Table1[instant],Table1[weekday], ,0,1)</f>
        <v>0</v>
      </c>
      <c r="F48" s="2">
        <f>_xlfn.XLOOKUP(Table3[[#This Row],[instant]],Table1[instant],Table1[weathersit], ,0,1)</f>
        <v>1</v>
      </c>
      <c r="G48" s="2">
        <f>_xlfn.XLOOKUP(Table3[[#This Row],[instant]],Table1[instant],Table1[temp], ,0,1)</f>
        <v>0.22</v>
      </c>
      <c r="H48" s="24">
        <f>_xlfn.XLOOKUP(Table3[[#This Row],[instant]],Table2[instant],Table2[atemp], ,0,1)</f>
        <v>0.2273</v>
      </c>
      <c r="I48" s="1">
        <f>_xlfn.XLOOKUP(Table3[[#This Row],[instant]],Table2[instant],Table2[hum], ,0,1)</f>
        <v>0.47</v>
      </c>
      <c r="J48" s="1">
        <f>_xlfn.XLOOKUP(Table3[[#This Row],[instant]],Table2[instant],Table2[windspeed], ,0,1)</f>
        <v>0.16420000000000001</v>
      </c>
      <c r="K48" s="1">
        <f>_xlfn.XLOOKUP(Table3[[#This Row],[instant]],Table2[instant],Table2[casual], ,0,1)</f>
        <v>0</v>
      </c>
      <c r="L48" s="1">
        <f>_xlfn.XLOOKUP(Table3[[#This Row],[instant]],Table2[instant],Table2[registered], ,0,1)</f>
        <v>8</v>
      </c>
      <c r="M48" s="6">
        <f>_xlfn.XLOOKUP(Table3[[#This Row],[instant]],Table2[instant],Table2[cnt], ,0,1)</f>
        <v>8</v>
      </c>
      <c r="N48" s="6" t="str">
        <f>IF(OR(Table3[[#This Row],[weekday]]=0,Table3[[#This Row],[weekday]]=6),"Weekend","Weekday")</f>
        <v>Weekend</v>
      </c>
    </row>
    <row r="49" spans="1:14" ht="15" thickBot="1" x14ac:dyDescent="0.35">
      <c r="A49" s="5">
        <v>48</v>
      </c>
      <c r="B49" s="3">
        <f>_xlfn.XLOOKUP(Table3[[#This Row],[instant]],DatSet1!A49:A658,DatSet1!B49:B658,_xlfn.XLOOKUP(Table3[[#This Row],[instant]],'Final Data'!A49:A438,'Final Data'!B49:B438, ,0,1),0,1)</f>
        <v>40546</v>
      </c>
      <c r="C49" s="1">
        <f>_xlfn.XLOOKUP(Table3[[#This Row],[instant]],Table1[instant],Table1[hr], ,0,1)</f>
        <v>0</v>
      </c>
      <c r="D49" s="2" t="b">
        <f>_xlfn.XLOOKUP(Table3[[#This Row],[instant]],Table1[instant],Table1[holiday], ,0,1)</f>
        <v>0</v>
      </c>
      <c r="E49" s="2">
        <f>_xlfn.XLOOKUP(Table3[[#This Row],[instant]],Table1[instant],Table1[weekday], ,0,1)</f>
        <v>1</v>
      </c>
      <c r="F49" s="2">
        <f>_xlfn.XLOOKUP(Table3[[#This Row],[instant]],Table1[instant],Table1[weathersit], ,0,1)</f>
        <v>1</v>
      </c>
      <c r="G49" s="2">
        <f>_xlfn.XLOOKUP(Table3[[#This Row],[instant]],Table1[instant],Table1[temp], ,0,1)</f>
        <v>0.22</v>
      </c>
      <c r="H49" s="24">
        <f>_xlfn.XLOOKUP(Table3[[#This Row],[instant]],Table2[instant],Table2[atemp], ,0,1)</f>
        <v>0.19700000000000001</v>
      </c>
      <c r="I49" s="1">
        <f>_xlfn.XLOOKUP(Table3[[#This Row],[instant]],Table2[instant],Table2[hum], ,0,1)</f>
        <v>0.44</v>
      </c>
      <c r="J49" s="1">
        <f>_xlfn.XLOOKUP(Table3[[#This Row],[instant]],Table2[instant],Table2[windspeed], ,0,1)</f>
        <v>0.35820000000000002</v>
      </c>
      <c r="K49" s="1">
        <f>_xlfn.XLOOKUP(Table3[[#This Row],[instant]],Table2[instant],Table2[casual], ,0,1)</f>
        <v>0</v>
      </c>
      <c r="L49" s="1">
        <f>_xlfn.XLOOKUP(Table3[[#This Row],[instant]],Table2[instant],Table2[registered], ,0,1)</f>
        <v>5</v>
      </c>
      <c r="M49" s="6">
        <f>_xlfn.XLOOKUP(Table3[[#This Row],[instant]],Table2[instant],Table2[cnt], ,0,1)</f>
        <v>5</v>
      </c>
      <c r="N49" s="6" t="str">
        <f>IF(OR(Table3[[#This Row],[weekday]]=0,Table3[[#This Row],[weekday]]=6),"Weekend","Weekday")</f>
        <v>Weekday</v>
      </c>
    </row>
    <row r="50" spans="1:14" ht="15" thickBot="1" x14ac:dyDescent="0.35">
      <c r="A50" s="5">
        <v>49</v>
      </c>
      <c r="B50" s="3">
        <f>_xlfn.XLOOKUP(Table3[[#This Row],[instant]],DatSet1!A50:A659,DatSet1!B50:B659,_xlfn.XLOOKUP(Table3[[#This Row],[instant]],'Final Data'!A50:A439,'Final Data'!B50:B439, ,0,1),0,1)</f>
        <v>40546</v>
      </c>
      <c r="C50" s="1">
        <f>_xlfn.XLOOKUP(Table3[[#This Row],[instant]],Table1[instant],Table1[hr], ,0,1)</f>
        <v>1</v>
      </c>
      <c r="D50" s="2" t="b">
        <f>_xlfn.XLOOKUP(Table3[[#This Row],[instant]],Table1[instant],Table1[holiday], ,0,1)</f>
        <v>0</v>
      </c>
      <c r="E50" s="2">
        <f>_xlfn.XLOOKUP(Table3[[#This Row],[instant]],Table1[instant],Table1[weekday], ,0,1)</f>
        <v>1</v>
      </c>
      <c r="F50" s="2">
        <f>_xlfn.XLOOKUP(Table3[[#This Row],[instant]],Table1[instant],Table1[weathersit], ,0,1)</f>
        <v>1</v>
      </c>
      <c r="G50" s="2">
        <f>_xlfn.XLOOKUP(Table3[[#This Row],[instant]],Table1[instant],Table1[temp], ,0,1)</f>
        <v>0.2</v>
      </c>
      <c r="H50" s="24">
        <f>_xlfn.XLOOKUP(Table3[[#This Row],[instant]],Table2[instant],Table2[atemp], ,0,1)</f>
        <v>0.19993489148580987</v>
      </c>
      <c r="I50" s="1">
        <f>_xlfn.XLOOKUP(Table3[[#This Row],[instant]],Table2[instant],Table2[hum], ,0,1)</f>
        <v>0.44</v>
      </c>
      <c r="J50" s="1">
        <f>_xlfn.XLOOKUP(Table3[[#This Row],[instant]],Table2[instant],Table2[windspeed], ,0,1)</f>
        <v>0.41789999999999999</v>
      </c>
      <c r="K50" s="1">
        <f>_xlfn.XLOOKUP(Table3[[#This Row],[instant]],Table2[instant],Table2[casual], ,0,1)</f>
        <v>0</v>
      </c>
      <c r="L50" s="1">
        <f>_xlfn.XLOOKUP(Table3[[#This Row],[instant]],Table2[instant],Table2[registered], ,0,1)</f>
        <v>2</v>
      </c>
      <c r="M50" s="6">
        <f>_xlfn.XLOOKUP(Table3[[#This Row],[instant]],Table2[instant],Table2[cnt], ,0,1)</f>
        <v>2</v>
      </c>
      <c r="N50" s="6" t="str">
        <f>IF(OR(Table3[[#This Row],[weekday]]=0,Table3[[#This Row],[weekday]]=6),"Weekend","Weekday")</f>
        <v>Weekday</v>
      </c>
    </row>
    <row r="51" spans="1:14" ht="15" thickBot="1" x14ac:dyDescent="0.35">
      <c r="A51" s="5">
        <v>50</v>
      </c>
      <c r="B51" s="3">
        <f>_xlfn.XLOOKUP(Table3[[#This Row],[instant]],DatSet1!A51:A660,DatSet1!B51:B660,_xlfn.XLOOKUP(Table3[[#This Row],[instant]],'Final Data'!A51:A440,'Final Data'!B51:B440, ,0,1),0,1)</f>
        <v>40546</v>
      </c>
      <c r="C51" s="1">
        <f>_xlfn.XLOOKUP(Table3[[#This Row],[instant]],Table1[instant],Table1[hr], ,0,1)</f>
        <v>4</v>
      </c>
      <c r="D51" s="2" t="b">
        <f>_xlfn.XLOOKUP(Table3[[#This Row],[instant]],Table1[instant],Table1[holiday], ,0,1)</f>
        <v>0</v>
      </c>
      <c r="E51" s="2">
        <f>_xlfn.XLOOKUP(Table3[[#This Row],[instant]],Table1[instant],Table1[weekday], ,0,1)</f>
        <v>1</v>
      </c>
      <c r="F51" s="2">
        <f>_xlfn.XLOOKUP(Table3[[#This Row],[instant]],Table1[instant],Table1[weathersit], ,0,1)</f>
        <v>1</v>
      </c>
      <c r="G51" s="2">
        <f>_xlfn.XLOOKUP(Table3[[#This Row],[instant]],Table1[instant],Table1[temp], ,0,1)</f>
        <v>0.16</v>
      </c>
      <c r="H51" s="24">
        <f>_xlfn.XLOOKUP(Table3[[#This Row],[instant]],Table2[instant],Table2[atemp], ,0,1)</f>
        <v>0.13639999999999999</v>
      </c>
      <c r="I51" s="1">
        <f>_xlfn.XLOOKUP(Table3[[#This Row],[instant]],Table2[instant],Table2[hum], ,0,1)</f>
        <v>0.47</v>
      </c>
      <c r="J51" s="1">
        <f>_xlfn.XLOOKUP(Table3[[#This Row],[instant]],Table2[instant],Table2[windspeed], ,0,1)</f>
        <v>0.3881</v>
      </c>
      <c r="K51" s="1">
        <f>_xlfn.XLOOKUP(Table3[[#This Row],[instant]],Table2[instant],Table2[casual], ,0,1)</f>
        <v>0</v>
      </c>
      <c r="L51" s="1">
        <f>_xlfn.XLOOKUP(Table3[[#This Row],[instant]],Table2[instant],Table2[registered], ,0,1)</f>
        <v>1</v>
      </c>
      <c r="M51" s="6">
        <f>_xlfn.XLOOKUP(Table3[[#This Row],[instant]],Table2[instant],Table2[cnt], ,0,1)</f>
        <v>1</v>
      </c>
      <c r="N51" s="6" t="str">
        <f>IF(OR(Table3[[#This Row],[weekday]]=0,Table3[[#This Row],[weekday]]=6),"Weekend","Weekday")</f>
        <v>Weekday</v>
      </c>
    </row>
    <row r="52" spans="1:14" ht="15" thickBot="1" x14ac:dyDescent="0.35">
      <c r="A52" s="5">
        <v>51</v>
      </c>
      <c r="B52" s="3">
        <f>_xlfn.XLOOKUP(Table3[[#This Row],[instant]],DatSet1!A52:A661,DatSet1!B52:B661,_xlfn.XLOOKUP(Table3[[#This Row],[instant]],'Final Data'!A52:A441,'Final Data'!B52:B441, ,0,1),0,1)</f>
        <v>40546</v>
      </c>
      <c r="C52" s="1">
        <f>_xlfn.XLOOKUP(Table3[[#This Row],[instant]],Table1[instant],Table1[hr], ,0,1)</f>
        <v>5</v>
      </c>
      <c r="D52" s="2" t="b">
        <f>_xlfn.XLOOKUP(Table3[[#This Row],[instant]],Table1[instant],Table1[holiday], ,0,1)</f>
        <v>0</v>
      </c>
      <c r="E52" s="2">
        <f>_xlfn.XLOOKUP(Table3[[#This Row],[instant]],Table1[instant],Table1[weekday], ,0,1)</f>
        <v>1</v>
      </c>
      <c r="F52" s="2">
        <f>_xlfn.XLOOKUP(Table3[[#This Row],[instant]],Table1[instant],Table1[weathersit], ,0,1)</f>
        <v>1</v>
      </c>
      <c r="G52" s="2">
        <f>_xlfn.XLOOKUP(Table3[[#This Row],[instant]],Table1[instant],Table1[temp], ,0,1)</f>
        <v>0.16</v>
      </c>
      <c r="H52" s="24">
        <f>_xlfn.XLOOKUP(Table3[[#This Row],[instant]],Table2[instant],Table2[atemp], ,0,1)</f>
        <v>0.13639999999999999</v>
      </c>
      <c r="I52" s="1">
        <f>_xlfn.XLOOKUP(Table3[[#This Row],[instant]],Table2[instant],Table2[hum], ,0,1)</f>
        <v>0.47</v>
      </c>
      <c r="J52" s="1">
        <f>_xlfn.XLOOKUP(Table3[[#This Row],[instant]],Table2[instant],Table2[windspeed], ,0,1)</f>
        <v>0.28360000000000002</v>
      </c>
      <c r="K52" s="1">
        <f>_xlfn.XLOOKUP(Table3[[#This Row],[instant]],Table2[instant],Table2[casual], ,0,1)</f>
        <v>0</v>
      </c>
      <c r="L52" s="1">
        <f>_xlfn.XLOOKUP(Table3[[#This Row],[instant]],Table2[instant],Table2[registered], ,0,1)</f>
        <v>3</v>
      </c>
      <c r="M52" s="6">
        <f>_xlfn.XLOOKUP(Table3[[#This Row],[instant]],Table2[instant],Table2[cnt], ,0,1)</f>
        <v>3</v>
      </c>
      <c r="N52" s="6" t="str">
        <f>IF(OR(Table3[[#This Row],[weekday]]=0,Table3[[#This Row],[weekday]]=6),"Weekend","Weekday")</f>
        <v>Weekday</v>
      </c>
    </row>
    <row r="53" spans="1:14" ht="15" thickBot="1" x14ac:dyDescent="0.35">
      <c r="A53" s="5">
        <v>52</v>
      </c>
      <c r="B53" s="3">
        <f>_xlfn.XLOOKUP(Table3[[#This Row],[instant]],DatSet1!A53:A662,DatSet1!B53:B662,_xlfn.XLOOKUP(Table3[[#This Row],[instant]],'Final Data'!A53:A442,'Final Data'!B53:B442, ,0,1),0,1)</f>
        <v>40546</v>
      </c>
      <c r="C53" s="1">
        <f>_xlfn.XLOOKUP(Table3[[#This Row],[instant]],Table1[instant],Table1[hr], ,0,1)</f>
        <v>6</v>
      </c>
      <c r="D53" s="2" t="b">
        <f>_xlfn.XLOOKUP(Table3[[#This Row],[instant]],Table1[instant],Table1[holiday], ,0,1)</f>
        <v>0</v>
      </c>
      <c r="E53" s="2">
        <f>_xlfn.XLOOKUP(Table3[[#This Row],[instant]],Table1[instant],Table1[weekday], ,0,1)</f>
        <v>1</v>
      </c>
      <c r="F53" s="2">
        <f>_xlfn.XLOOKUP(Table3[[#This Row],[instant]],Table1[instant],Table1[weathersit], ,0,1)</f>
        <v>1</v>
      </c>
      <c r="G53" s="2">
        <f>_xlfn.XLOOKUP(Table3[[#This Row],[instant]],Table1[instant],Table1[temp], ,0,1)</f>
        <v>0.14000000000000001</v>
      </c>
      <c r="H53" s="24">
        <f>_xlfn.XLOOKUP(Table3[[#This Row],[instant]],Table2[instant],Table2[atemp], ,0,1)</f>
        <v>0.1061</v>
      </c>
      <c r="I53" s="1">
        <f>_xlfn.XLOOKUP(Table3[[#This Row],[instant]],Table2[instant],Table2[hum], ,0,1)</f>
        <v>0.5</v>
      </c>
      <c r="J53" s="1">
        <f>_xlfn.XLOOKUP(Table3[[#This Row],[instant]],Table2[instant],Table2[windspeed], ,0,1)</f>
        <v>0.3881</v>
      </c>
      <c r="K53" s="1">
        <f>_xlfn.XLOOKUP(Table3[[#This Row],[instant]],Table2[instant],Table2[casual], ,0,1)</f>
        <v>0</v>
      </c>
      <c r="L53" s="1">
        <f>_xlfn.XLOOKUP(Table3[[#This Row],[instant]],Table2[instant],Table2[registered], ,0,1)</f>
        <v>30</v>
      </c>
      <c r="M53" s="6">
        <f>_xlfn.XLOOKUP(Table3[[#This Row],[instant]],Table2[instant],Table2[cnt], ,0,1)</f>
        <v>30</v>
      </c>
      <c r="N53" s="6" t="str">
        <f>IF(OR(Table3[[#This Row],[weekday]]=0,Table3[[#This Row],[weekday]]=6),"Weekend","Weekday")</f>
        <v>Weekday</v>
      </c>
    </row>
    <row r="54" spans="1:14" ht="15" thickBot="1" x14ac:dyDescent="0.35">
      <c r="A54" s="5">
        <v>53</v>
      </c>
      <c r="B54" s="3">
        <f>_xlfn.XLOOKUP(Table3[[#This Row],[instant]],DatSet1!A54:A663,DatSet1!B54:B663,_xlfn.XLOOKUP(Table3[[#This Row],[instant]],'Final Data'!A54:A443,'Final Data'!B54:B443, ,0,1),0,1)</f>
        <v>40546</v>
      </c>
      <c r="C54" s="1">
        <f>_xlfn.XLOOKUP(Table3[[#This Row],[instant]],Table1[instant],Table1[hr], ,0,1)</f>
        <v>7</v>
      </c>
      <c r="D54" s="2" t="b">
        <f>_xlfn.XLOOKUP(Table3[[#This Row],[instant]],Table1[instant],Table1[holiday], ,0,1)</f>
        <v>0</v>
      </c>
      <c r="E54" s="2">
        <f>_xlfn.XLOOKUP(Table3[[#This Row],[instant]],Table1[instant],Table1[weekday], ,0,1)</f>
        <v>1</v>
      </c>
      <c r="F54" s="2">
        <f>_xlfn.XLOOKUP(Table3[[#This Row],[instant]],Table1[instant],Table1[weathersit], ,0,1)</f>
        <v>1</v>
      </c>
      <c r="G54" s="2">
        <f>_xlfn.XLOOKUP(Table3[[#This Row],[instant]],Table1[instant],Table1[temp], ,0,1)</f>
        <v>0.14000000000000001</v>
      </c>
      <c r="H54" s="24">
        <f>_xlfn.XLOOKUP(Table3[[#This Row],[instant]],Table2[instant],Table2[atemp], ,0,1)</f>
        <v>0.13639999999999999</v>
      </c>
      <c r="I54" s="1">
        <f>_xlfn.XLOOKUP(Table3[[#This Row],[instant]],Table2[instant],Table2[hum], ,0,1)</f>
        <v>0.5</v>
      </c>
      <c r="J54" s="1">
        <f>_xlfn.XLOOKUP(Table3[[#This Row],[instant]],Table2[instant],Table2[windspeed], ,0,1)</f>
        <v>0.19400000000000001</v>
      </c>
      <c r="K54" s="1">
        <f>_xlfn.XLOOKUP(Table3[[#This Row],[instant]],Table2[instant],Table2[casual], ,0,1)</f>
        <v>1</v>
      </c>
      <c r="L54" s="1">
        <f>_xlfn.XLOOKUP(Table3[[#This Row],[instant]],Table2[instant],Table2[registered], ,0,1)</f>
        <v>63</v>
      </c>
      <c r="M54" s="6">
        <f>_xlfn.XLOOKUP(Table3[[#This Row],[instant]],Table2[instant],Table2[cnt], ,0,1)</f>
        <v>64</v>
      </c>
      <c r="N54" s="6" t="str">
        <f>IF(OR(Table3[[#This Row],[weekday]]=0,Table3[[#This Row],[weekday]]=6),"Weekend","Weekday")</f>
        <v>Weekday</v>
      </c>
    </row>
    <row r="55" spans="1:14" ht="15" thickBot="1" x14ac:dyDescent="0.35">
      <c r="A55" s="5">
        <v>54</v>
      </c>
      <c r="B55" s="3">
        <f>_xlfn.XLOOKUP(Table3[[#This Row],[instant]],DatSet1!A55:A664,DatSet1!B55:B664,_xlfn.XLOOKUP(Table3[[#This Row],[instant]],'Final Data'!A55:A444,'Final Data'!B55:B444, ,0,1),0,1)</f>
        <v>40546</v>
      </c>
      <c r="C55" s="1">
        <f>_xlfn.XLOOKUP(Table3[[#This Row],[instant]],Table1[instant],Table1[hr], ,0,1)</f>
        <v>8</v>
      </c>
      <c r="D55" s="2" t="b">
        <f>_xlfn.XLOOKUP(Table3[[#This Row],[instant]],Table1[instant],Table1[holiday], ,0,1)</f>
        <v>0</v>
      </c>
      <c r="E55" s="2">
        <f>_xlfn.XLOOKUP(Table3[[#This Row],[instant]],Table1[instant],Table1[weekday], ,0,1)</f>
        <v>1</v>
      </c>
      <c r="F55" s="2">
        <f>_xlfn.XLOOKUP(Table3[[#This Row],[instant]],Table1[instant],Table1[weathersit], ,0,1)</f>
        <v>1</v>
      </c>
      <c r="G55" s="2">
        <f>_xlfn.XLOOKUP(Table3[[#This Row],[instant]],Table1[instant],Table1[temp], ,0,1)</f>
        <v>0.14000000000000001</v>
      </c>
      <c r="H55" s="24">
        <f>_xlfn.XLOOKUP(Table3[[#This Row],[instant]],Table2[instant],Table2[atemp], ,0,1)</f>
        <v>0.1212</v>
      </c>
      <c r="I55" s="1">
        <f>_xlfn.XLOOKUP(Table3[[#This Row],[instant]],Table2[instant],Table2[hum], ,0,1)</f>
        <v>0.5</v>
      </c>
      <c r="J55" s="1">
        <f>_xlfn.XLOOKUP(Table3[[#This Row],[instant]],Table2[instant],Table2[windspeed], ,0,1)</f>
        <v>0.28360000000000002</v>
      </c>
      <c r="K55" s="1">
        <f>_xlfn.XLOOKUP(Table3[[#This Row],[instant]],Table2[instant],Table2[casual], ,0,1)</f>
        <v>1</v>
      </c>
      <c r="L55" s="1">
        <f>_xlfn.XLOOKUP(Table3[[#This Row],[instant]],Table2[instant],Table2[registered], ,0,1)</f>
        <v>153</v>
      </c>
      <c r="M55" s="6">
        <f>_xlfn.XLOOKUP(Table3[[#This Row],[instant]],Table2[instant],Table2[cnt], ,0,1)</f>
        <v>154</v>
      </c>
      <c r="N55" s="6" t="str">
        <f>IF(OR(Table3[[#This Row],[weekday]]=0,Table3[[#This Row],[weekday]]=6),"Weekend","Weekday")</f>
        <v>Weekday</v>
      </c>
    </row>
    <row r="56" spans="1:14" ht="15" thickBot="1" x14ac:dyDescent="0.35">
      <c r="A56" s="5">
        <v>55</v>
      </c>
      <c r="B56" s="3">
        <f>_xlfn.XLOOKUP(Table3[[#This Row],[instant]],DatSet1!A56:A665,DatSet1!B56:B665,_xlfn.XLOOKUP(Table3[[#This Row],[instant]],'Final Data'!A56:A445,'Final Data'!B56:B445, ,0,1),0,1)</f>
        <v>40546</v>
      </c>
      <c r="C56" s="1">
        <f>_xlfn.XLOOKUP(Table3[[#This Row],[instant]],Table1[instant],Table1[hr], ,0,1)</f>
        <v>9</v>
      </c>
      <c r="D56" s="2" t="b">
        <f>_xlfn.XLOOKUP(Table3[[#This Row],[instant]],Table1[instant],Table1[holiday], ,0,1)</f>
        <v>0</v>
      </c>
      <c r="E56" s="2">
        <f>_xlfn.XLOOKUP(Table3[[#This Row],[instant]],Table1[instant],Table1[weekday], ,0,1)</f>
        <v>1</v>
      </c>
      <c r="F56" s="2">
        <f>_xlfn.XLOOKUP(Table3[[#This Row],[instant]],Table1[instant],Table1[weathersit], ,0,1)</f>
        <v>1</v>
      </c>
      <c r="G56" s="2">
        <f>_xlfn.XLOOKUP(Table3[[#This Row],[instant]],Table1[instant],Table1[temp], ,0,1)</f>
        <v>0.16</v>
      </c>
      <c r="H56" s="24">
        <f>_xlfn.XLOOKUP(Table3[[#This Row],[instant]],Table2[instant],Table2[atemp], ,0,1)</f>
        <v>0.13639999999999999</v>
      </c>
      <c r="I56" s="1">
        <f>_xlfn.XLOOKUP(Table3[[#This Row],[instant]],Table2[instant],Table2[hum], ,0,1)</f>
        <v>0.43</v>
      </c>
      <c r="J56" s="1">
        <f>_xlfn.XLOOKUP(Table3[[#This Row],[instant]],Table2[instant],Table2[windspeed], ,0,1)</f>
        <v>0.3881</v>
      </c>
      <c r="K56" s="1">
        <f>_xlfn.XLOOKUP(Table3[[#This Row],[instant]],Table2[instant],Table2[casual], ,0,1)</f>
        <v>7</v>
      </c>
      <c r="L56" s="1">
        <f>_xlfn.XLOOKUP(Table3[[#This Row],[instant]],Table2[instant],Table2[registered], ,0,1)</f>
        <v>81</v>
      </c>
      <c r="M56" s="6">
        <f>_xlfn.XLOOKUP(Table3[[#This Row],[instant]],Table2[instant],Table2[cnt], ,0,1)</f>
        <v>88</v>
      </c>
      <c r="N56" s="6" t="str">
        <f>IF(OR(Table3[[#This Row],[weekday]]=0,Table3[[#This Row],[weekday]]=6),"Weekend","Weekday")</f>
        <v>Weekday</v>
      </c>
    </row>
    <row r="57" spans="1:14" ht="15" thickBot="1" x14ac:dyDescent="0.35">
      <c r="A57" s="5">
        <v>56</v>
      </c>
      <c r="B57" s="3">
        <f>_xlfn.XLOOKUP(Table3[[#This Row],[instant]],DatSet1!A57:A666,DatSet1!B57:B666,_xlfn.XLOOKUP(Table3[[#This Row],[instant]],'Final Data'!A57:A446,'Final Data'!B57:B446, ,0,1),0,1)</f>
        <v>40546</v>
      </c>
      <c r="C57" s="1">
        <f>_xlfn.XLOOKUP(Table3[[#This Row],[instant]],Table1[instant],Table1[hr], ,0,1)</f>
        <v>10</v>
      </c>
      <c r="D57" s="2" t="b">
        <f>_xlfn.XLOOKUP(Table3[[#This Row],[instant]],Table1[instant],Table1[holiday], ,0,1)</f>
        <v>0</v>
      </c>
      <c r="E57" s="2">
        <f>_xlfn.XLOOKUP(Table3[[#This Row],[instant]],Table1[instant],Table1[weekday], ,0,1)</f>
        <v>1</v>
      </c>
      <c r="F57" s="2">
        <f>_xlfn.XLOOKUP(Table3[[#This Row],[instant]],Table1[instant],Table1[weathersit], ,0,1)</f>
        <v>1</v>
      </c>
      <c r="G57" s="2">
        <f>_xlfn.XLOOKUP(Table3[[#This Row],[instant]],Table1[instant],Table1[temp], ,0,1)</f>
        <v>0.18</v>
      </c>
      <c r="H57" s="24">
        <f>_xlfn.XLOOKUP(Table3[[#This Row],[instant]],Table2[instant],Table2[atemp], ,0,1)</f>
        <v>0.16669999999999999</v>
      </c>
      <c r="I57" s="1">
        <f>_xlfn.XLOOKUP(Table3[[#This Row],[instant]],Table2[instant],Table2[hum], ,0,1)</f>
        <v>0.43</v>
      </c>
      <c r="J57" s="1">
        <f>_xlfn.XLOOKUP(Table3[[#This Row],[instant]],Table2[instant],Table2[windspeed], ,0,1)</f>
        <v>0.25369999999999998</v>
      </c>
      <c r="K57" s="1">
        <f>_xlfn.XLOOKUP(Table3[[#This Row],[instant]],Table2[instant],Table2[casual], ,0,1)</f>
        <v>11</v>
      </c>
      <c r="L57" s="1">
        <f>_xlfn.XLOOKUP(Table3[[#This Row],[instant]],Table2[instant],Table2[registered], ,0,1)</f>
        <v>33</v>
      </c>
      <c r="M57" s="6">
        <f>_xlfn.XLOOKUP(Table3[[#This Row],[instant]],Table2[instant],Table2[cnt], ,0,1)</f>
        <v>44</v>
      </c>
      <c r="N57" s="6" t="str">
        <f>IF(OR(Table3[[#This Row],[weekday]]=0,Table3[[#This Row],[weekday]]=6),"Weekend","Weekday")</f>
        <v>Weekday</v>
      </c>
    </row>
    <row r="58" spans="1:14" ht="15" thickBot="1" x14ac:dyDescent="0.35">
      <c r="A58" s="5">
        <v>57</v>
      </c>
      <c r="B58" s="3">
        <f>_xlfn.XLOOKUP(Table3[[#This Row],[instant]],DatSet1!A58:A667,DatSet1!B58:B667,_xlfn.XLOOKUP(Table3[[#This Row],[instant]],'Final Data'!A58:A447,'Final Data'!B58:B447, ,0,1),0,1)</f>
        <v>40546</v>
      </c>
      <c r="C58" s="1">
        <f>_xlfn.XLOOKUP(Table3[[#This Row],[instant]],Table1[instant],Table1[hr], ,0,1)</f>
        <v>11</v>
      </c>
      <c r="D58" s="2" t="b">
        <f>_xlfn.XLOOKUP(Table3[[#This Row],[instant]],Table1[instant],Table1[holiday], ,0,1)</f>
        <v>0</v>
      </c>
      <c r="E58" s="2">
        <f>_xlfn.XLOOKUP(Table3[[#This Row],[instant]],Table1[instant],Table1[weekday], ,0,1)</f>
        <v>1</v>
      </c>
      <c r="F58" s="2">
        <f>_xlfn.XLOOKUP(Table3[[#This Row],[instant]],Table1[instant],Table1[weathersit], ,0,1)</f>
        <v>1</v>
      </c>
      <c r="G58" s="2">
        <f>_xlfn.XLOOKUP(Table3[[#This Row],[instant]],Table1[instant],Table1[temp], ,0,1)</f>
        <v>0.2</v>
      </c>
      <c r="H58" s="24">
        <f>_xlfn.XLOOKUP(Table3[[#This Row],[instant]],Table2[instant],Table2[atemp], ,0,1)</f>
        <v>0.18179999999999999</v>
      </c>
      <c r="I58" s="1">
        <f>_xlfn.XLOOKUP(Table3[[#This Row],[instant]],Table2[instant],Table2[hum], ,0,1)</f>
        <v>0.4</v>
      </c>
      <c r="J58" s="1">
        <f>_xlfn.XLOOKUP(Table3[[#This Row],[instant]],Table2[instant],Table2[windspeed], ,0,1)</f>
        <v>0.32840000000000003</v>
      </c>
      <c r="K58" s="1">
        <f>_xlfn.XLOOKUP(Table3[[#This Row],[instant]],Table2[instant],Table2[casual], ,0,1)</f>
        <v>10</v>
      </c>
      <c r="L58" s="1">
        <f>_xlfn.XLOOKUP(Table3[[#This Row],[instant]],Table2[instant],Table2[registered], ,0,1)</f>
        <v>41</v>
      </c>
      <c r="M58" s="6">
        <f>_xlfn.XLOOKUP(Table3[[#This Row],[instant]],Table2[instant],Table2[cnt], ,0,1)</f>
        <v>51</v>
      </c>
      <c r="N58" s="6" t="str">
        <f>IF(OR(Table3[[#This Row],[weekday]]=0,Table3[[#This Row],[weekday]]=6),"Weekend","Weekday")</f>
        <v>Weekday</v>
      </c>
    </row>
    <row r="59" spans="1:14" ht="15" thickBot="1" x14ac:dyDescent="0.35">
      <c r="A59" s="5">
        <v>58</v>
      </c>
      <c r="B59" s="3">
        <f>_xlfn.XLOOKUP(Table3[[#This Row],[instant]],DatSet1!A59:A668,DatSet1!B59:B668,_xlfn.XLOOKUP(Table3[[#This Row],[instant]],'Final Data'!A59:A448,'Final Data'!B59:B448, ,0,1),0,1)</f>
        <v>40546</v>
      </c>
      <c r="C59" s="1">
        <f>_xlfn.XLOOKUP(Table3[[#This Row],[instant]],Table1[instant],Table1[hr], ,0,1)</f>
        <v>12</v>
      </c>
      <c r="D59" s="2" t="b">
        <f>_xlfn.XLOOKUP(Table3[[#This Row],[instant]],Table1[instant],Table1[holiday], ,0,1)</f>
        <v>0</v>
      </c>
      <c r="E59" s="2">
        <f>_xlfn.XLOOKUP(Table3[[#This Row],[instant]],Table1[instant],Table1[weekday], ,0,1)</f>
        <v>1</v>
      </c>
      <c r="F59" s="2">
        <f>_xlfn.XLOOKUP(Table3[[#This Row],[instant]],Table1[instant],Table1[weathersit], ,0,1)</f>
        <v>1</v>
      </c>
      <c r="G59" s="2">
        <f>_xlfn.XLOOKUP(Table3[[#This Row],[instant]],Table1[instant],Table1[temp], ,0,1)</f>
        <v>0.22</v>
      </c>
      <c r="H59" s="24">
        <f>_xlfn.XLOOKUP(Table3[[#This Row],[instant]],Table2[instant],Table2[atemp], ,0,1)</f>
        <v>0.21210000000000001</v>
      </c>
      <c r="I59" s="1">
        <f>_xlfn.XLOOKUP(Table3[[#This Row],[instant]],Table2[instant],Table2[hum], ,0,1)</f>
        <v>0.35</v>
      </c>
      <c r="J59" s="1">
        <f>_xlfn.XLOOKUP(Table3[[#This Row],[instant]],Table2[instant],Table2[windspeed], ,0,1)</f>
        <v>0.29849999999999999</v>
      </c>
      <c r="K59" s="1">
        <f>_xlfn.XLOOKUP(Table3[[#This Row],[instant]],Table2[instant],Table2[casual], ,0,1)</f>
        <v>13</v>
      </c>
      <c r="L59" s="1">
        <f>_xlfn.XLOOKUP(Table3[[#This Row],[instant]],Table2[instant],Table2[registered], ,0,1)</f>
        <v>48</v>
      </c>
      <c r="M59" s="6">
        <f>_xlfn.XLOOKUP(Table3[[#This Row],[instant]],Table2[instant],Table2[cnt], ,0,1)</f>
        <v>61</v>
      </c>
      <c r="N59" s="6" t="str">
        <f>IF(OR(Table3[[#This Row],[weekday]]=0,Table3[[#This Row],[weekday]]=6),"Weekend","Weekday")</f>
        <v>Weekday</v>
      </c>
    </row>
    <row r="60" spans="1:14" ht="15" thickBot="1" x14ac:dyDescent="0.35">
      <c r="A60" s="5">
        <v>59</v>
      </c>
      <c r="B60" s="3">
        <f>_xlfn.XLOOKUP(Table3[[#This Row],[instant]],DatSet1!A60:A669,DatSet1!B60:B669,_xlfn.XLOOKUP(Table3[[#This Row],[instant]],'Final Data'!A60:A449,'Final Data'!B60:B449, ,0,1),0,1)</f>
        <v>40546</v>
      </c>
      <c r="C60" s="1">
        <f>_xlfn.XLOOKUP(Table3[[#This Row],[instant]],Table1[instant],Table1[hr], ,0,1)</f>
        <v>13</v>
      </c>
      <c r="D60" s="2" t="b">
        <f>_xlfn.XLOOKUP(Table3[[#This Row],[instant]],Table1[instant],Table1[holiday], ,0,1)</f>
        <v>0</v>
      </c>
      <c r="E60" s="2">
        <f>_xlfn.XLOOKUP(Table3[[#This Row],[instant]],Table1[instant],Table1[weekday], ,0,1)</f>
        <v>1</v>
      </c>
      <c r="F60" s="2">
        <f>_xlfn.XLOOKUP(Table3[[#This Row],[instant]],Table1[instant],Table1[weathersit], ,0,1)</f>
        <v>1</v>
      </c>
      <c r="G60" s="2">
        <f>_xlfn.XLOOKUP(Table3[[#This Row],[instant]],Table1[instant],Table1[temp], ,0,1)</f>
        <v>0.24</v>
      </c>
      <c r="H60" s="24">
        <f>_xlfn.XLOOKUP(Table3[[#This Row],[instant]],Table2[instant],Table2[atemp], ,0,1)</f>
        <v>0.19993489148580987</v>
      </c>
      <c r="I60" s="1">
        <f>_xlfn.XLOOKUP(Table3[[#This Row],[instant]],Table2[instant],Table2[hum], ,0,1)</f>
        <v>0.35</v>
      </c>
      <c r="J60" s="1">
        <f>_xlfn.XLOOKUP(Table3[[#This Row],[instant]],Table2[instant],Table2[windspeed], ,0,1)</f>
        <v>0.28360000000000002</v>
      </c>
      <c r="K60" s="1">
        <f>_xlfn.XLOOKUP(Table3[[#This Row],[instant]],Table2[instant],Table2[casual], ,0,1)</f>
        <v>8</v>
      </c>
      <c r="L60" s="1">
        <f>_xlfn.XLOOKUP(Table3[[#This Row],[instant]],Table2[instant],Table2[registered], ,0,1)</f>
        <v>53</v>
      </c>
      <c r="M60" s="6">
        <f>_xlfn.XLOOKUP(Table3[[#This Row],[instant]],Table2[instant],Table2[cnt], ,0,1)</f>
        <v>61</v>
      </c>
      <c r="N60" s="6" t="str">
        <f>IF(OR(Table3[[#This Row],[weekday]]=0,Table3[[#This Row],[weekday]]=6),"Weekend","Weekday")</f>
        <v>Weekday</v>
      </c>
    </row>
    <row r="61" spans="1:14" ht="15" thickBot="1" x14ac:dyDescent="0.35">
      <c r="A61" s="5">
        <v>60</v>
      </c>
      <c r="B61" s="3">
        <f>_xlfn.XLOOKUP(Table3[[#This Row],[instant]],DatSet1!A61:A670,DatSet1!B61:B670,_xlfn.XLOOKUP(Table3[[#This Row],[instant]],'Final Data'!A61:A450,'Final Data'!B61:B450, ,0,1),0,1)</f>
        <v>40546</v>
      </c>
      <c r="C61" s="1">
        <f>_xlfn.XLOOKUP(Table3[[#This Row],[instant]],Table1[instant],Table1[hr], ,0,1)</f>
        <v>14</v>
      </c>
      <c r="D61" s="2" t="b">
        <f>_xlfn.XLOOKUP(Table3[[#This Row],[instant]],Table1[instant],Table1[holiday], ,0,1)</f>
        <v>0</v>
      </c>
      <c r="E61" s="2">
        <f>_xlfn.XLOOKUP(Table3[[#This Row],[instant]],Table1[instant],Table1[weekday], ,0,1)</f>
        <v>1</v>
      </c>
      <c r="F61" s="2">
        <f>_xlfn.XLOOKUP(Table3[[#This Row],[instant]],Table1[instant],Table1[weathersit], ,0,1)</f>
        <v>1</v>
      </c>
      <c r="G61" s="2">
        <f>_xlfn.XLOOKUP(Table3[[#This Row],[instant]],Table1[instant],Table1[temp], ,0,1)</f>
        <v>0.26</v>
      </c>
      <c r="H61" s="24">
        <f>_xlfn.XLOOKUP(Table3[[#This Row],[instant]],Table2[instant],Table2[atemp], ,0,1)</f>
        <v>0.2424</v>
      </c>
      <c r="I61" s="1">
        <f>_xlfn.XLOOKUP(Table3[[#This Row],[instant]],Table2[instant],Table2[hum], ,0,1)</f>
        <v>0.3</v>
      </c>
      <c r="J61" s="1">
        <f>_xlfn.XLOOKUP(Table3[[#This Row],[instant]],Table2[instant],Table2[windspeed], ,0,1)</f>
        <v>0.28360000000000002</v>
      </c>
      <c r="K61" s="1">
        <f>_xlfn.XLOOKUP(Table3[[#This Row],[instant]],Table2[instant],Table2[casual], ,0,1)</f>
        <v>11</v>
      </c>
      <c r="L61" s="1">
        <f>_xlfn.XLOOKUP(Table3[[#This Row],[instant]],Table2[instant],Table2[registered], ,0,1)</f>
        <v>66</v>
      </c>
      <c r="M61" s="6">
        <f>_xlfn.XLOOKUP(Table3[[#This Row],[instant]],Table2[instant],Table2[cnt], ,0,1)</f>
        <v>77</v>
      </c>
      <c r="N61" s="6" t="str">
        <f>IF(OR(Table3[[#This Row],[weekday]]=0,Table3[[#This Row],[weekday]]=6),"Weekend","Weekday")</f>
        <v>Weekday</v>
      </c>
    </row>
    <row r="62" spans="1:14" ht="15" thickBot="1" x14ac:dyDescent="0.35">
      <c r="A62" s="5">
        <v>61</v>
      </c>
      <c r="B62" s="3">
        <f>_xlfn.XLOOKUP(Table3[[#This Row],[instant]],DatSet1!A62:A671,DatSet1!B62:B671,_xlfn.XLOOKUP(Table3[[#This Row],[instant]],'Final Data'!A62:A451,'Final Data'!B62:B451, ,0,1),0,1)</f>
        <v>40546</v>
      </c>
      <c r="C62" s="1">
        <f>_xlfn.XLOOKUP(Table3[[#This Row],[instant]],Table1[instant],Table1[hr], ,0,1)</f>
        <v>15</v>
      </c>
      <c r="D62" s="2" t="b">
        <f>_xlfn.XLOOKUP(Table3[[#This Row],[instant]],Table1[instant],Table1[holiday], ,0,1)</f>
        <v>0</v>
      </c>
      <c r="E62" s="2">
        <f>_xlfn.XLOOKUP(Table3[[#This Row],[instant]],Table1[instant],Table1[weekday], ,0,1)</f>
        <v>1</v>
      </c>
      <c r="F62" s="2">
        <f>_xlfn.XLOOKUP(Table3[[#This Row],[instant]],Table1[instant],Table1[weathersit], ,0,1)</f>
        <v>1</v>
      </c>
      <c r="G62" s="2">
        <f>_xlfn.XLOOKUP(Table3[[#This Row],[instant]],Table1[instant],Table1[temp], ,0,1)</f>
        <v>0.26</v>
      </c>
      <c r="H62" s="24">
        <f>_xlfn.XLOOKUP(Table3[[#This Row],[instant]],Table2[instant],Table2[atemp], ,0,1)</f>
        <v>0.2424</v>
      </c>
      <c r="I62" s="1">
        <f>_xlfn.XLOOKUP(Table3[[#This Row],[instant]],Table2[instant],Table2[hum], ,0,1)</f>
        <v>0.3</v>
      </c>
      <c r="J62" s="1">
        <f>_xlfn.XLOOKUP(Table3[[#This Row],[instant]],Table2[instant],Table2[windspeed], ,0,1)</f>
        <v>0.25369999999999998</v>
      </c>
      <c r="K62" s="1">
        <f>_xlfn.XLOOKUP(Table3[[#This Row],[instant]],Table2[instant],Table2[casual], ,0,1)</f>
        <v>14</v>
      </c>
      <c r="L62" s="1">
        <f>_xlfn.XLOOKUP(Table3[[#This Row],[instant]],Table2[instant],Table2[registered], ,0,1)</f>
        <v>58</v>
      </c>
      <c r="M62" s="6">
        <f>_xlfn.XLOOKUP(Table3[[#This Row],[instant]],Table2[instant],Table2[cnt], ,0,1)</f>
        <v>72</v>
      </c>
      <c r="N62" s="6" t="str">
        <f>IF(OR(Table3[[#This Row],[weekday]]=0,Table3[[#This Row],[weekday]]=6),"Weekend","Weekday")</f>
        <v>Weekday</v>
      </c>
    </row>
    <row r="63" spans="1:14" ht="15" thickBot="1" x14ac:dyDescent="0.35">
      <c r="A63" s="5">
        <v>62</v>
      </c>
      <c r="B63" s="3">
        <f>_xlfn.XLOOKUP(Table3[[#This Row],[instant]],DatSet1!A63:A672,DatSet1!B63:B672,_xlfn.XLOOKUP(Table3[[#This Row],[instant]],'Final Data'!A63:A452,'Final Data'!B63:B452, ,0,1),0,1)</f>
        <v>40546</v>
      </c>
      <c r="C63" s="1">
        <f>_xlfn.XLOOKUP(Table3[[#This Row],[instant]],Table1[instant],Table1[hr], ,0,1)</f>
        <v>16</v>
      </c>
      <c r="D63" s="2" t="b">
        <f>_xlfn.XLOOKUP(Table3[[#This Row],[instant]],Table1[instant],Table1[holiday], ,0,1)</f>
        <v>0</v>
      </c>
      <c r="E63" s="2">
        <f>_xlfn.XLOOKUP(Table3[[#This Row],[instant]],Table1[instant],Table1[weekday], ,0,1)</f>
        <v>1</v>
      </c>
      <c r="F63" s="2">
        <f>_xlfn.XLOOKUP(Table3[[#This Row],[instant]],Table1[instant],Table1[weathersit], ,0,1)</f>
        <v>1</v>
      </c>
      <c r="G63" s="2">
        <f>_xlfn.XLOOKUP(Table3[[#This Row],[instant]],Table1[instant],Table1[temp], ,0,1)</f>
        <v>0.26</v>
      </c>
      <c r="H63" s="24">
        <f>_xlfn.XLOOKUP(Table3[[#This Row],[instant]],Table2[instant],Table2[atemp], ,0,1)</f>
        <v>0.2424</v>
      </c>
      <c r="I63" s="1">
        <f>_xlfn.XLOOKUP(Table3[[#This Row],[instant]],Table2[instant],Table2[hum], ,0,1)</f>
        <v>0.3</v>
      </c>
      <c r="J63" s="1">
        <f>_xlfn.XLOOKUP(Table3[[#This Row],[instant]],Table2[instant],Table2[windspeed], ,0,1)</f>
        <v>0.25369999999999998</v>
      </c>
      <c r="K63" s="1">
        <f>_xlfn.XLOOKUP(Table3[[#This Row],[instant]],Table2[instant],Table2[casual], ,0,1)</f>
        <v>9</v>
      </c>
      <c r="L63" s="1">
        <f>_xlfn.XLOOKUP(Table3[[#This Row],[instant]],Table2[instant],Table2[registered], ,0,1)</f>
        <v>67</v>
      </c>
      <c r="M63" s="6">
        <f>_xlfn.XLOOKUP(Table3[[#This Row],[instant]],Table2[instant],Table2[cnt], ,0,1)</f>
        <v>76</v>
      </c>
      <c r="N63" s="6" t="str">
        <f>IF(OR(Table3[[#This Row],[weekday]]=0,Table3[[#This Row],[weekday]]=6),"Weekend","Weekday")</f>
        <v>Weekday</v>
      </c>
    </row>
    <row r="64" spans="1:14" ht="15" thickBot="1" x14ac:dyDescent="0.35">
      <c r="A64" s="5">
        <v>63</v>
      </c>
      <c r="B64" s="3">
        <f>_xlfn.XLOOKUP(Table3[[#This Row],[instant]],DatSet1!A64:A673,DatSet1!B64:B673,_xlfn.XLOOKUP(Table3[[#This Row],[instant]],'Final Data'!A64:A453,'Final Data'!B64:B453, ,0,1),0,1)</f>
        <v>40546</v>
      </c>
      <c r="C64" s="1">
        <f>_xlfn.XLOOKUP(Table3[[#This Row],[instant]],Table1[instant],Table1[hr], ,0,1)</f>
        <v>17</v>
      </c>
      <c r="D64" s="2" t="b">
        <f>_xlfn.XLOOKUP(Table3[[#This Row],[instant]],Table1[instant],Table1[holiday], ,0,1)</f>
        <v>0</v>
      </c>
      <c r="E64" s="2">
        <f>_xlfn.XLOOKUP(Table3[[#This Row],[instant]],Table1[instant],Table1[weekday], ,0,1)</f>
        <v>1</v>
      </c>
      <c r="F64" s="2">
        <f>_xlfn.XLOOKUP(Table3[[#This Row],[instant]],Table1[instant],Table1[weathersit], ,0,1)</f>
        <v>1</v>
      </c>
      <c r="G64" s="2">
        <f>_xlfn.XLOOKUP(Table3[[#This Row],[instant]],Table1[instant],Table1[temp], ,0,1)</f>
        <v>0.24</v>
      </c>
      <c r="H64" s="24">
        <f>_xlfn.XLOOKUP(Table3[[#This Row],[instant]],Table2[instant],Table2[atemp], ,0,1)</f>
        <v>0.2273</v>
      </c>
      <c r="I64" s="1">
        <f>_xlfn.XLOOKUP(Table3[[#This Row],[instant]],Table2[instant],Table2[hum], ,0,1)</f>
        <v>0.3</v>
      </c>
      <c r="J64" s="1">
        <f>_xlfn.XLOOKUP(Table3[[#This Row],[instant]],Table2[instant],Table2[windspeed], ,0,1)</f>
        <v>0.22389999999999999</v>
      </c>
      <c r="K64" s="1">
        <f>_xlfn.XLOOKUP(Table3[[#This Row],[instant]],Table2[instant],Table2[casual], ,0,1)</f>
        <v>11</v>
      </c>
      <c r="L64" s="1">
        <f>_xlfn.XLOOKUP(Table3[[#This Row],[instant]],Table2[instant],Table2[registered], ,0,1)</f>
        <v>146</v>
      </c>
      <c r="M64" s="6">
        <f>_xlfn.XLOOKUP(Table3[[#This Row],[instant]],Table2[instant],Table2[cnt], ,0,1)</f>
        <v>157</v>
      </c>
      <c r="N64" s="6" t="str">
        <f>IF(OR(Table3[[#This Row],[weekday]]=0,Table3[[#This Row],[weekday]]=6),"Weekend","Weekday")</f>
        <v>Weekday</v>
      </c>
    </row>
    <row r="65" spans="1:14" ht="15" thickBot="1" x14ac:dyDescent="0.35">
      <c r="A65" s="5">
        <v>64</v>
      </c>
      <c r="B65" s="3">
        <f>_xlfn.XLOOKUP(Table3[[#This Row],[instant]],DatSet1!A65:A674,DatSet1!B65:B674,_xlfn.XLOOKUP(Table3[[#This Row],[instant]],'Final Data'!A65:A454,'Final Data'!B65:B454, ,0,1),0,1)</f>
        <v>40546</v>
      </c>
      <c r="C65" s="1">
        <f>_xlfn.XLOOKUP(Table3[[#This Row],[instant]],Table1[instant],Table1[hr], ,0,1)</f>
        <v>18</v>
      </c>
      <c r="D65" s="2" t="b">
        <f>_xlfn.XLOOKUP(Table3[[#This Row],[instant]],Table1[instant],Table1[holiday], ,0,1)</f>
        <v>0</v>
      </c>
      <c r="E65" s="2">
        <f>_xlfn.XLOOKUP(Table3[[#This Row],[instant]],Table1[instant],Table1[weekday], ,0,1)</f>
        <v>1</v>
      </c>
      <c r="F65" s="2">
        <f>_xlfn.XLOOKUP(Table3[[#This Row],[instant]],Table1[instant],Table1[weathersit], ,0,1)</f>
        <v>1</v>
      </c>
      <c r="G65" s="2">
        <f>_xlfn.XLOOKUP(Table3[[#This Row],[instant]],Table1[instant],Table1[temp], ,0,1)</f>
        <v>0.24</v>
      </c>
      <c r="H65" s="24">
        <f>_xlfn.XLOOKUP(Table3[[#This Row],[instant]],Table2[instant],Table2[atemp], ,0,1)</f>
        <v>0.2576</v>
      </c>
      <c r="I65" s="1">
        <f>_xlfn.XLOOKUP(Table3[[#This Row],[instant]],Table2[instant],Table2[hum], ,0,1)</f>
        <v>0.32</v>
      </c>
      <c r="J65" s="1">
        <f>_xlfn.XLOOKUP(Table3[[#This Row],[instant]],Table2[instant],Table2[windspeed], ,0,1)</f>
        <v>0.1045</v>
      </c>
      <c r="K65" s="1">
        <f>_xlfn.XLOOKUP(Table3[[#This Row],[instant]],Table2[instant],Table2[casual], ,0,1)</f>
        <v>9</v>
      </c>
      <c r="L65" s="1">
        <f>_xlfn.XLOOKUP(Table3[[#This Row],[instant]],Table2[instant],Table2[registered], ,0,1)</f>
        <v>148</v>
      </c>
      <c r="M65" s="6">
        <f>_xlfn.XLOOKUP(Table3[[#This Row],[instant]],Table2[instant],Table2[cnt], ,0,1)</f>
        <v>157</v>
      </c>
      <c r="N65" s="6" t="str">
        <f>IF(OR(Table3[[#This Row],[weekday]]=0,Table3[[#This Row],[weekday]]=6),"Weekend","Weekday")</f>
        <v>Weekday</v>
      </c>
    </row>
    <row r="66" spans="1:14" ht="15" thickBot="1" x14ac:dyDescent="0.35">
      <c r="A66" s="5">
        <v>65</v>
      </c>
      <c r="B66" s="3">
        <f>_xlfn.XLOOKUP(Table3[[#This Row],[instant]],DatSet1!A66:A675,DatSet1!B66:B675,_xlfn.XLOOKUP(Table3[[#This Row],[instant]],'Final Data'!A66:A455,'Final Data'!B66:B455, ,0,1),0,1)</f>
        <v>40546</v>
      </c>
      <c r="C66" s="1">
        <f>_xlfn.XLOOKUP(Table3[[#This Row],[instant]],Table1[instant],Table1[hr], ,0,1)</f>
        <v>19</v>
      </c>
      <c r="D66" s="2" t="b">
        <f>_xlfn.XLOOKUP(Table3[[#This Row],[instant]],Table1[instant],Table1[holiday], ,0,1)</f>
        <v>0</v>
      </c>
      <c r="E66" s="2">
        <f>_xlfn.XLOOKUP(Table3[[#This Row],[instant]],Table1[instant],Table1[weekday], ,0,1)</f>
        <v>1</v>
      </c>
      <c r="F66" s="2">
        <f>_xlfn.XLOOKUP(Table3[[#This Row],[instant]],Table1[instant],Table1[weathersit], ,0,1)</f>
        <v>1</v>
      </c>
      <c r="G66" s="2">
        <f>_xlfn.XLOOKUP(Table3[[#This Row],[instant]],Table1[instant],Table1[temp], ,0,1)</f>
        <v>0.2</v>
      </c>
      <c r="H66" s="24">
        <f>_xlfn.XLOOKUP(Table3[[#This Row],[instant]],Table2[instant],Table2[atemp], ,0,1)</f>
        <v>0.2576</v>
      </c>
      <c r="I66" s="1">
        <f>_xlfn.XLOOKUP(Table3[[#This Row],[instant]],Table2[instant],Table2[hum], ,0,1)</f>
        <v>0.47</v>
      </c>
      <c r="J66" s="1">
        <f>_xlfn.XLOOKUP(Table3[[#This Row],[instant]],Table2[instant],Table2[windspeed], ,0,1)</f>
        <v>0</v>
      </c>
      <c r="K66" s="1">
        <f>_xlfn.XLOOKUP(Table3[[#This Row],[instant]],Table2[instant],Table2[casual], ,0,1)</f>
        <v>8</v>
      </c>
      <c r="L66" s="1">
        <f>_xlfn.XLOOKUP(Table3[[#This Row],[instant]],Table2[instant],Table2[registered], ,0,1)</f>
        <v>102</v>
      </c>
      <c r="M66" s="6">
        <f>_xlfn.XLOOKUP(Table3[[#This Row],[instant]],Table2[instant],Table2[cnt], ,0,1)</f>
        <v>110</v>
      </c>
      <c r="N66" s="6" t="str">
        <f>IF(OR(Table3[[#This Row],[weekday]]=0,Table3[[#This Row],[weekday]]=6),"Weekend","Weekday")</f>
        <v>Weekday</v>
      </c>
    </row>
    <row r="67" spans="1:14" ht="15" thickBot="1" x14ac:dyDescent="0.35">
      <c r="A67" s="5">
        <v>66</v>
      </c>
      <c r="B67" s="3">
        <f>_xlfn.XLOOKUP(Table3[[#This Row],[instant]],DatSet1!A67:A676,DatSet1!B67:B676,_xlfn.XLOOKUP(Table3[[#This Row],[instant]],'Final Data'!A67:A456,'Final Data'!B67:B456, ,0,1),0,1)</f>
        <v>40546</v>
      </c>
      <c r="C67" s="1">
        <f>_xlfn.XLOOKUP(Table3[[#This Row],[instant]],Table1[instant],Table1[hr], ,0,1)</f>
        <v>20</v>
      </c>
      <c r="D67" s="2" t="b">
        <f>_xlfn.XLOOKUP(Table3[[#This Row],[instant]],Table1[instant],Table1[holiday], ,0,1)</f>
        <v>0</v>
      </c>
      <c r="E67" s="2">
        <f>_xlfn.XLOOKUP(Table3[[#This Row],[instant]],Table1[instant],Table1[weekday], ,0,1)</f>
        <v>1</v>
      </c>
      <c r="F67" s="2">
        <f>_xlfn.XLOOKUP(Table3[[#This Row],[instant]],Table1[instant],Table1[weathersit], ,0,1)</f>
        <v>1</v>
      </c>
      <c r="G67" s="2">
        <f>_xlfn.XLOOKUP(Table3[[#This Row],[instant]],Table1[instant],Table1[temp], ,0,1)</f>
        <v>0.2</v>
      </c>
      <c r="H67" s="24">
        <f>_xlfn.XLOOKUP(Table3[[#This Row],[instant]],Table2[instant],Table2[atemp], ,0,1)</f>
        <v>0.19993489148580984</v>
      </c>
      <c r="I67" s="1">
        <f>_xlfn.XLOOKUP(Table3[[#This Row],[instant]],Table2[instant],Table2[hum], ,0,1)</f>
        <v>0.47</v>
      </c>
      <c r="J67" s="1">
        <f>_xlfn.XLOOKUP(Table3[[#This Row],[instant]],Table2[instant],Table2[windspeed], ,0,1)</f>
        <v>0.1045</v>
      </c>
      <c r="K67" s="1">
        <f>_xlfn.XLOOKUP(Table3[[#This Row],[instant]],Table2[instant],Table2[casual], ,0,1)</f>
        <v>3</v>
      </c>
      <c r="L67" s="1">
        <f>_xlfn.XLOOKUP(Table3[[#This Row],[instant]],Table2[instant],Table2[registered], ,0,1)</f>
        <v>49</v>
      </c>
      <c r="M67" s="6">
        <f>_xlfn.XLOOKUP(Table3[[#This Row],[instant]],Table2[instant],Table2[cnt], ,0,1)</f>
        <v>52</v>
      </c>
      <c r="N67" s="6" t="str">
        <f>IF(OR(Table3[[#This Row],[weekday]]=0,Table3[[#This Row],[weekday]]=6),"Weekend","Weekday")</f>
        <v>Weekday</v>
      </c>
    </row>
    <row r="68" spans="1:14" ht="15" thickBot="1" x14ac:dyDescent="0.35">
      <c r="A68" s="5">
        <v>67</v>
      </c>
      <c r="B68" s="3">
        <f>_xlfn.XLOOKUP(Table3[[#This Row],[instant]],DatSet1!A68:A677,DatSet1!B68:B677,_xlfn.XLOOKUP(Table3[[#This Row],[instant]],'Final Data'!A68:A457,'Final Data'!B68:B457, ,0,1),0,1)</f>
        <v>40546</v>
      </c>
      <c r="C68" s="1">
        <f>_xlfn.XLOOKUP(Table3[[#This Row],[instant]],Table1[instant],Table1[hr], ,0,1)</f>
        <v>21</v>
      </c>
      <c r="D68" s="2" t="b">
        <f>_xlfn.XLOOKUP(Table3[[#This Row],[instant]],Table1[instant],Table1[holiday], ,0,1)</f>
        <v>0</v>
      </c>
      <c r="E68" s="2">
        <f>_xlfn.XLOOKUP(Table3[[#This Row],[instant]],Table1[instant],Table1[weekday], ,0,1)</f>
        <v>1</v>
      </c>
      <c r="F68" s="2">
        <f>_xlfn.XLOOKUP(Table3[[#This Row],[instant]],Table1[instant],Table1[weathersit], ,0,1)</f>
        <v>1</v>
      </c>
      <c r="G68" s="2">
        <f>_xlfn.XLOOKUP(Table3[[#This Row],[instant]],Table1[instant],Table1[temp], ,0,1)</f>
        <v>0.18</v>
      </c>
      <c r="H68" s="24">
        <f>_xlfn.XLOOKUP(Table3[[#This Row],[instant]],Table2[instant],Table2[atemp], ,0,1)</f>
        <v>0.19700000000000001</v>
      </c>
      <c r="I68" s="1">
        <f>_xlfn.XLOOKUP(Table3[[#This Row],[instant]],Table2[instant],Table2[hum], ,0,1)</f>
        <v>0.64</v>
      </c>
      <c r="J68" s="1">
        <f>_xlfn.XLOOKUP(Table3[[#This Row],[instant]],Table2[instant],Table2[windspeed], ,0,1)</f>
        <v>0.1343</v>
      </c>
      <c r="K68" s="1">
        <f>_xlfn.XLOOKUP(Table3[[#This Row],[instant]],Table2[instant],Table2[casual], ,0,1)</f>
        <v>3</v>
      </c>
      <c r="L68" s="1">
        <f>_xlfn.XLOOKUP(Table3[[#This Row],[instant]],Table2[instant],Table2[registered], ,0,1)</f>
        <v>49</v>
      </c>
      <c r="M68" s="6">
        <f>_xlfn.XLOOKUP(Table3[[#This Row],[instant]],Table2[instant],Table2[cnt], ,0,1)</f>
        <v>52</v>
      </c>
      <c r="N68" s="6" t="str">
        <f>IF(OR(Table3[[#This Row],[weekday]]=0,Table3[[#This Row],[weekday]]=6),"Weekend","Weekday")</f>
        <v>Weekday</v>
      </c>
    </row>
    <row r="69" spans="1:14" ht="15" thickBot="1" x14ac:dyDescent="0.35">
      <c r="A69" s="5">
        <v>68</v>
      </c>
      <c r="B69" s="3">
        <f>_xlfn.XLOOKUP(Table3[[#This Row],[instant]],DatSet1!A69:A678,DatSet1!B69:B678,_xlfn.XLOOKUP(Table3[[#This Row],[instant]],'Final Data'!A69:A458,'Final Data'!B69:B458, ,0,1),0,1)</f>
        <v>40546</v>
      </c>
      <c r="C69" s="1">
        <f>_xlfn.XLOOKUP(Table3[[#This Row],[instant]],Table1[instant],Table1[hr], ,0,1)</f>
        <v>22</v>
      </c>
      <c r="D69" s="2" t="b">
        <f>_xlfn.XLOOKUP(Table3[[#This Row],[instant]],Table1[instant],Table1[holiday], ,0,1)</f>
        <v>0</v>
      </c>
      <c r="E69" s="2">
        <f>_xlfn.XLOOKUP(Table3[[#This Row],[instant]],Table1[instant],Table1[weekday], ,0,1)</f>
        <v>1</v>
      </c>
      <c r="F69" s="2">
        <f>_xlfn.XLOOKUP(Table3[[#This Row],[instant]],Table1[instant],Table1[weathersit], ,0,1)</f>
        <v>1</v>
      </c>
      <c r="G69" s="2">
        <f>_xlfn.XLOOKUP(Table3[[#This Row],[instant]],Table1[instant],Table1[temp], ,0,1)</f>
        <v>0.14000000000000001</v>
      </c>
      <c r="H69" s="24">
        <f>_xlfn.XLOOKUP(Table3[[#This Row],[instant]],Table2[instant],Table2[atemp], ,0,1)</f>
        <v>0.1515</v>
      </c>
      <c r="I69" s="1">
        <f>_xlfn.XLOOKUP(Table3[[#This Row],[instant]],Table2[instant],Table2[hum], ,0,1)</f>
        <v>0.69</v>
      </c>
      <c r="J69" s="1">
        <f>_xlfn.XLOOKUP(Table3[[#This Row],[instant]],Table2[instant],Table2[windspeed], ,0,1)</f>
        <v>0.1343</v>
      </c>
      <c r="K69" s="1">
        <f>_xlfn.XLOOKUP(Table3[[#This Row],[instant]],Table2[instant],Table2[casual], ,0,1)</f>
        <v>0</v>
      </c>
      <c r="L69" s="1">
        <f>_xlfn.XLOOKUP(Table3[[#This Row],[instant]],Table2[instant],Table2[registered], ,0,1)</f>
        <v>20</v>
      </c>
      <c r="M69" s="6">
        <f>_xlfn.XLOOKUP(Table3[[#This Row],[instant]],Table2[instant],Table2[cnt], ,0,1)</f>
        <v>20</v>
      </c>
      <c r="N69" s="6" t="str">
        <f>IF(OR(Table3[[#This Row],[weekday]]=0,Table3[[#This Row],[weekday]]=6),"Weekend","Weekday")</f>
        <v>Weekday</v>
      </c>
    </row>
    <row r="70" spans="1:14" ht="15" thickBot="1" x14ac:dyDescent="0.35">
      <c r="A70" s="5">
        <v>69</v>
      </c>
      <c r="B70" s="3">
        <f>_xlfn.XLOOKUP(Table3[[#This Row],[instant]],DatSet1!A70:A679,DatSet1!B70:B679,_xlfn.XLOOKUP(Table3[[#This Row],[instant]],'Final Data'!A70:A459,'Final Data'!B70:B459, ,0,1),0,1)</f>
        <v>40546</v>
      </c>
      <c r="C70" s="1">
        <f>_xlfn.XLOOKUP(Table3[[#This Row],[instant]],Table1[instant],Table1[hr], ,0,1)</f>
        <v>23</v>
      </c>
      <c r="D70" s="2" t="b">
        <f>_xlfn.XLOOKUP(Table3[[#This Row],[instant]],Table1[instant],Table1[holiday], ,0,1)</f>
        <v>0</v>
      </c>
      <c r="E70" s="2">
        <f>_xlfn.XLOOKUP(Table3[[#This Row],[instant]],Table1[instant],Table1[weekday], ,0,1)</f>
        <v>1</v>
      </c>
      <c r="F70" s="2">
        <f>_xlfn.XLOOKUP(Table3[[#This Row],[instant]],Table1[instant],Table1[weathersit], ,0,1)</f>
        <v>1</v>
      </c>
      <c r="G70" s="2">
        <f>_xlfn.XLOOKUP(Table3[[#This Row],[instant]],Table1[instant],Table1[temp], ,0,1)</f>
        <v>0.18</v>
      </c>
      <c r="H70" s="24">
        <f>_xlfn.XLOOKUP(Table3[[#This Row],[instant]],Table2[instant],Table2[atemp], ,0,1)</f>
        <v>0.21210000000000001</v>
      </c>
      <c r="I70" s="1">
        <f>_xlfn.XLOOKUP(Table3[[#This Row],[instant]],Table2[instant],Table2[hum], ,0,1)</f>
        <v>0.55000000000000004</v>
      </c>
      <c r="J70" s="1">
        <f>_xlfn.XLOOKUP(Table3[[#This Row],[instant]],Table2[instant],Table2[windspeed], ,0,1)</f>
        <v>0.1045</v>
      </c>
      <c r="K70" s="1">
        <f>_xlfn.XLOOKUP(Table3[[#This Row],[instant]],Table2[instant],Table2[casual], ,0,1)</f>
        <v>1</v>
      </c>
      <c r="L70" s="1">
        <f>_xlfn.XLOOKUP(Table3[[#This Row],[instant]],Table2[instant],Table2[registered], ,0,1)</f>
        <v>11</v>
      </c>
      <c r="M70" s="6">
        <f>_xlfn.XLOOKUP(Table3[[#This Row],[instant]],Table2[instant],Table2[cnt], ,0,1)</f>
        <v>12</v>
      </c>
      <c r="N70" s="6" t="str">
        <f>IF(OR(Table3[[#This Row],[weekday]]=0,Table3[[#This Row],[weekday]]=6),"Weekend","Weekday")</f>
        <v>Weekday</v>
      </c>
    </row>
    <row r="71" spans="1:14" ht="15" thickBot="1" x14ac:dyDescent="0.35">
      <c r="A71" s="5">
        <v>70</v>
      </c>
      <c r="B71" s="3">
        <f>_xlfn.XLOOKUP(Table3[[#This Row],[instant]],DatSet1!A71:A680,DatSet1!B71:B680,_xlfn.XLOOKUP(Table3[[#This Row],[instant]],'Final Data'!A71:A460,'Final Data'!B71:B460, ,0,1),0,1)</f>
        <v>40547</v>
      </c>
      <c r="C71" s="1">
        <f>_xlfn.XLOOKUP(Table3[[#This Row],[instant]],Table1[instant],Table1[hr], ,0,1)</f>
        <v>0</v>
      </c>
      <c r="D71" s="2" t="b">
        <f>_xlfn.XLOOKUP(Table3[[#This Row],[instant]],Table1[instant],Table1[holiday], ,0,1)</f>
        <v>0</v>
      </c>
      <c r="E71" s="2">
        <f>_xlfn.XLOOKUP(Table3[[#This Row],[instant]],Table1[instant],Table1[weekday], ,0,1)</f>
        <v>2</v>
      </c>
      <c r="F71" s="2">
        <f>_xlfn.XLOOKUP(Table3[[#This Row],[instant]],Table1[instant],Table1[weathersit], ,0,1)</f>
        <v>1</v>
      </c>
      <c r="G71" s="2">
        <f>_xlfn.XLOOKUP(Table3[[#This Row],[instant]],Table1[instant],Table1[temp], ,0,1)</f>
        <v>0.16</v>
      </c>
      <c r="H71" s="24">
        <f>_xlfn.XLOOKUP(Table3[[#This Row],[instant]],Table2[instant],Table2[atemp], ,0,1)</f>
        <v>0.19993489148580984</v>
      </c>
      <c r="I71" s="1">
        <f>_xlfn.XLOOKUP(Table3[[#This Row],[instant]],Table2[instant],Table2[hum], ,0,1)</f>
        <v>0.55000000000000004</v>
      </c>
      <c r="J71" s="1">
        <f>_xlfn.XLOOKUP(Table3[[#This Row],[instant]],Table2[instant],Table2[windspeed], ,0,1)</f>
        <v>0.1045</v>
      </c>
      <c r="K71" s="1">
        <f>_xlfn.XLOOKUP(Table3[[#This Row],[instant]],Table2[instant],Table2[casual], ,0,1)</f>
        <v>0</v>
      </c>
      <c r="L71" s="1">
        <f>_xlfn.XLOOKUP(Table3[[#This Row],[instant]],Table2[instant],Table2[registered], ,0,1)</f>
        <v>5</v>
      </c>
      <c r="M71" s="6">
        <f>_xlfn.XLOOKUP(Table3[[#This Row],[instant]],Table2[instant],Table2[cnt], ,0,1)</f>
        <v>5</v>
      </c>
      <c r="N71" s="6" t="str">
        <f>IF(OR(Table3[[#This Row],[weekday]]=0,Table3[[#This Row],[weekday]]=6),"Weekend","Weekday")</f>
        <v>Weekday</v>
      </c>
    </row>
    <row r="72" spans="1:14" ht="15" thickBot="1" x14ac:dyDescent="0.35">
      <c r="A72" s="5">
        <v>71</v>
      </c>
      <c r="B72" s="3">
        <f>_xlfn.XLOOKUP(Table3[[#This Row],[instant]],DatSet1!A72:A681,DatSet1!B72:B681,_xlfn.XLOOKUP(Table3[[#This Row],[instant]],'Final Data'!A72:A461,'Final Data'!B72:B461, ,0,1),0,1)</f>
        <v>40547</v>
      </c>
      <c r="C72" s="1">
        <f>_xlfn.XLOOKUP(Table3[[#This Row],[instant]],Table1[instant],Table1[hr], ,0,1)</f>
        <v>1</v>
      </c>
      <c r="D72" s="2" t="b">
        <f>_xlfn.XLOOKUP(Table3[[#This Row],[instant]],Table1[instant],Table1[holiday], ,0,1)</f>
        <v>0</v>
      </c>
      <c r="E72" s="2">
        <f>_xlfn.XLOOKUP(Table3[[#This Row],[instant]],Table1[instant],Table1[weekday], ,0,1)</f>
        <v>2</v>
      </c>
      <c r="F72" s="2">
        <f>_xlfn.XLOOKUP(Table3[[#This Row],[instant]],Table1[instant],Table1[weathersit], ,0,1)</f>
        <v>1</v>
      </c>
      <c r="G72" s="2">
        <f>_xlfn.XLOOKUP(Table3[[#This Row],[instant]],Table1[instant],Table1[temp], ,0,1)</f>
        <v>0.16</v>
      </c>
      <c r="H72" s="24">
        <f>_xlfn.XLOOKUP(Table3[[#This Row],[instant]],Table2[instant],Table2[atemp], ,0,1)</f>
        <v>0.18179999999999999</v>
      </c>
      <c r="I72" s="1">
        <f>_xlfn.XLOOKUP(Table3[[#This Row],[instant]],Table2[instant],Table2[hum], ,0,1)</f>
        <v>0.59</v>
      </c>
      <c r="J72" s="1">
        <f>_xlfn.XLOOKUP(Table3[[#This Row],[instant]],Table2[instant],Table2[windspeed], ,0,1)</f>
        <v>0.1045</v>
      </c>
      <c r="K72" s="1">
        <f>_xlfn.XLOOKUP(Table3[[#This Row],[instant]],Table2[instant],Table2[casual], ,0,1)</f>
        <v>0</v>
      </c>
      <c r="L72" s="1">
        <f>_xlfn.XLOOKUP(Table3[[#This Row],[instant]],Table2[instant],Table2[registered], ,0,1)</f>
        <v>2</v>
      </c>
      <c r="M72" s="6">
        <f>_xlfn.XLOOKUP(Table3[[#This Row],[instant]],Table2[instant],Table2[cnt], ,0,1)</f>
        <v>2</v>
      </c>
      <c r="N72" s="6" t="str">
        <f>IF(OR(Table3[[#This Row],[weekday]]=0,Table3[[#This Row],[weekday]]=6),"Weekend","Weekday")</f>
        <v>Weekday</v>
      </c>
    </row>
    <row r="73" spans="1:14" ht="15" thickBot="1" x14ac:dyDescent="0.35">
      <c r="A73" s="5">
        <v>72</v>
      </c>
      <c r="B73" s="3">
        <f>_xlfn.XLOOKUP(Table3[[#This Row],[instant]],DatSet1!A73:A682,DatSet1!B73:B682,_xlfn.XLOOKUP(Table3[[#This Row],[instant]],'Final Data'!A73:A462,'Final Data'!B73:B462, ,0,1),0,1)</f>
        <v>40547</v>
      </c>
      <c r="C73" s="1">
        <f>_xlfn.XLOOKUP(Table3[[#This Row],[instant]],Table1[instant],Table1[hr], ,0,1)</f>
        <v>2</v>
      </c>
      <c r="D73" s="2" t="b">
        <f>_xlfn.XLOOKUP(Table3[[#This Row],[instant]],Table1[instant],Table1[holiday], ,0,1)</f>
        <v>0</v>
      </c>
      <c r="E73" s="2">
        <f>_xlfn.XLOOKUP(Table3[[#This Row],[instant]],Table1[instant],Table1[weekday], ,0,1)</f>
        <v>2</v>
      </c>
      <c r="F73" s="2">
        <f>_xlfn.XLOOKUP(Table3[[#This Row],[instant]],Table1[instant],Table1[weathersit], ,0,1)</f>
        <v>1</v>
      </c>
      <c r="G73" s="2">
        <f>_xlfn.XLOOKUP(Table3[[#This Row],[instant]],Table1[instant],Table1[temp], ,0,1)</f>
        <v>0.14000000000000001</v>
      </c>
      <c r="H73" s="24">
        <f>_xlfn.XLOOKUP(Table3[[#This Row],[instant]],Table2[instant],Table2[atemp], ,0,1)</f>
        <v>0.1515</v>
      </c>
      <c r="I73" s="1">
        <f>_xlfn.XLOOKUP(Table3[[#This Row],[instant]],Table2[instant],Table2[hum], ,0,1)</f>
        <v>0.63</v>
      </c>
      <c r="J73" s="1">
        <f>_xlfn.XLOOKUP(Table3[[#This Row],[instant]],Table2[instant],Table2[windspeed], ,0,1)</f>
        <v>0.1343</v>
      </c>
      <c r="K73" s="1">
        <f>_xlfn.XLOOKUP(Table3[[#This Row],[instant]],Table2[instant],Table2[casual], ,0,1)</f>
        <v>0</v>
      </c>
      <c r="L73" s="1">
        <f>_xlfn.XLOOKUP(Table3[[#This Row],[instant]],Table2[instant],Table2[registered], ,0,1)</f>
        <v>1</v>
      </c>
      <c r="M73" s="6">
        <f>_xlfn.XLOOKUP(Table3[[#This Row],[instant]],Table2[instant],Table2[cnt], ,0,1)</f>
        <v>1</v>
      </c>
      <c r="N73" s="6" t="str">
        <f>IF(OR(Table3[[#This Row],[weekday]]=0,Table3[[#This Row],[weekday]]=6),"Weekend","Weekday")</f>
        <v>Weekday</v>
      </c>
    </row>
    <row r="74" spans="1:14" ht="15" thickBot="1" x14ac:dyDescent="0.35">
      <c r="A74" s="5">
        <v>73</v>
      </c>
      <c r="B74" s="3">
        <f>_xlfn.XLOOKUP(Table3[[#This Row],[instant]],DatSet1!A74:A683,DatSet1!B74:B683,_xlfn.XLOOKUP(Table3[[#This Row],[instant]],'Final Data'!A74:A463,'Final Data'!B74:B463, ,0,1),0,1)</f>
        <v>40547</v>
      </c>
      <c r="C74" s="1">
        <f>_xlfn.XLOOKUP(Table3[[#This Row],[instant]],Table1[instant],Table1[hr], ,0,1)</f>
        <v>4</v>
      </c>
      <c r="D74" s="2" t="b">
        <f>_xlfn.XLOOKUP(Table3[[#This Row],[instant]],Table1[instant],Table1[holiday], ,0,1)</f>
        <v>0</v>
      </c>
      <c r="E74" s="2">
        <f>_xlfn.XLOOKUP(Table3[[#This Row],[instant]],Table1[instant],Table1[weekday], ,0,1)</f>
        <v>2</v>
      </c>
      <c r="F74" s="2">
        <f>_xlfn.XLOOKUP(Table3[[#This Row],[instant]],Table1[instant],Table1[weathersit], ,0,1)</f>
        <v>1</v>
      </c>
      <c r="G74" s="2">
        <f>_xlfn.XLOOKUP(Table3[[#This Row],[instant]],Table1[instant],Table1[temp], ,0,1)</f>
        <v>0.14000000000000001</v>
      </c>
      <c r="H74" s="24">
        <f>_xlfn.XLOOKUP(Table3[[#This Row],[instant]],Table2[instant],Table2[atemp], ,0,1)</f>
        <v>0.18179999999999999</v>
      </c>
      <c r="I74" s="1">
        <f>_xlfn.XLOOKUP(Table3[[#This Row],[instant]],Table2[instant],Table2[hum], ,0,1)</f>
        <v>0.63</v>
      </c>
      <c r="J74" s="1">
        <f>_xlfn.XLOOKUP(Table3[[#This Row],[instant]],Table2[instant],Table2[windspeed], ,0,1)</f>
        <v>8.9599999999999999E-2</v>
      </c>
      <c r="K74" s="1">
        <f>_xlfn.XLOOKUP(Table3[[#This Row],[instant]],Table2[instant],Table2[casual], ,0,1)</f>
        <v>0</v>
      </c>
      <c r="L74" s="1">
        <f>_xlfn.XLOOKUP(Table3[[#This Row],[instant]],Table2[instant],Table2[registered], ,0,1)</f>
        <v>2</v>
      </c>
      <c r="M74" s="6">
        <f>_xlfn.XLOOKUP(Table3[[#This Row],[instant]],Table2[instant],Table2[cnt], ,0,1)</f>
        <v>2</v>
      </c>
      <c r="N74" s="6" t="str">
        <f>IF(OR(Table3[[#This Row],[weekday]]=0,Table3[[#This Row],[weekday]]=6),"Weekend","Weekday")</f>
        <v>Weekday</v>
      </c>
    </row>
    <row r="75" spans="1:14" ht="15" thickBot="1" x14ac:dyDescent="0.35">
      <c r="A75" s="5">
        <v>74</v>
      </c>
      <c r="B75" s="3">
        <f>_xlfn.XLOOKUP(Table3[[#This Row],[instant]],DatSet1!A75:A684,DatSet1!B75:B684,_xlfn.XLOOKUP(Table3[[#This Row],[instant]],'Final Data'!A75:A464,'Final Data'!B75:B464, ,0,1),0,1)</f>
        <v>40547</v>
      </c>
      <c r="C75" s="1">
        <f>_xlfn.XLOOKUP(Table3[[#This Row],[instant]],Table1[instant],Table1[hr], ,0,1)</f>
        <v>5</v>
      </c>
      <c r="D75" s="2" t="b">
        <f>_xlfn.XLOOKUP(Table3[[#This Row],[instant]],Table1[instant],Table1[holiday], ,0,1)</f>
        <v>0</v>
      </c>
      <c r="E75" s="2">
        <f>_xlfn.XLOOKUP(Table3[[#This Row],[instant]],Table1[instant],Table1[weekday], ,0,1)</f>
        <v>2</v>
      </c>
      <c r="F75" s="2">
        <f>_xlfn.XLOOKUP(Table3[[#This Row],[instant]],Table1[instant],Table1[weathersit], ,0,1)</f>
        <v>1</v>
      </c>
      <c r="G75" s="2">
        <f>_xlfn.XLOOKUP(Table3[[#This Row],[instant]],Table1[instant],Table1[temp], ,0,1)</f>
        <v>0.12</v>
      </c>
      <c r="H75" s="24">
        <f>_xlfn.XLOOKUP(Table3[[#This Row],[instant]],Table2[instant],Table2[atemp], ,0,1)</f>
        <v>0.1515</v>
      </c>
      <c r="I75" s="1">
        <f>_xlfn.XLOOKUP(Table3[[#This Row],[instant]],Table2[instant],Table2[hum], ,0,1)</f>
        <v>0.68</v>
      </c>
      <c r="J75" s="1">
        <f>_xlfn.XLOOKUP(Table3[[#This Row],[instant]],Table2[instant],Table2[windspeed], ,0,1)</f>
        <v>0.1045</v>
      </c>
      <c r="K75" s="1">
        <f>_xlfn.XLOOKUP(Table3[[#This Row],[instant]],Table2[instant],Table2[casual], ,0,1)</f>
        <v>0</v>
      </c>
      <c r="L75" s="1">
        <f>_xlfn.XLOOKUP(Table3[[#This Row],[instant]],Table2[instant],Table2[registered], ,0,1)</f>
        <v>4</v>
      </c>
      <c r="M75" s="6">
        <f>_xlfn.XLOOKUP(Table3[[#This Row],[instant]],Table2[instant],Table2[cnt], ,0,1)</f>
        <v>4</v>
      </c>
      <c r="N75" s="6" t="str">
        <f>IF(OR(Table3[[#This Row],[weekday]]=0,Table3[[#This Row],[weekday]]=6),"Weekend","Weekday")</f>
        <v>Weekday</v>
      </c>
    </row>
    <row r="76" spans="1:14" ht="15" thickBot="1" x14ac:dyDescent="0.35">
      <c r="A76" s="5">
        <v>75</v>
      </c>
      <c r="B76" s="3">
        <f>_xlfn.XLOOKUP(Table3[[#This Row],[instant]],DatSet1!A76:A685,DatSet1!B76:B685,_xlfn.XLOOKUP(Table3[[#This Row],[instant]],'Final Data'!A76:A465,'Final Data'!B76:B465, ,0,1),0,1)</f>
        <v>40547</v>
      </c>
      <c r="C76" s="1">
        <f>_xlfn.XLOOKUP(Table3[[#This Row],[instant]],Table1[instant],Table1[hr], ,0,1)</f>
        <v>6</v>
      </c>
      <c r="D76" s="2" t="b">
        <f>_xlfn.XLOOKUP(Table3[[#This Row],[instant]],Table1[instant],Table1[holiday], ,0,1)</f>
        <v>0</v>
      </c>
      <c r="E76" s="2">
        <f>_xlfn.XLOOKUP(Table3[[#This Row],[instant]],Table1[instant],Table1[weekday], ,0,1)</f>
        <v>2</v>
      </c>
      <c r="F76" s="2">
        <f>_xlfn.XLOOKUP(Table3[[#This Row],[instant]],Table1[instant],Table1[weathersit], ,0,1)</f>
        <v>1</v>
      </c>
      <c r="G76" s="2">
        <f>_xlfn.XLOOKUP(Table3[[#This Row],[instant]],Table1[instant],Table1[temp], ,0,1)</f>
        <v>0.12</v>
      </c>
      <c r="H76" s="24">
        <f>_xlfn.XLOOKUP(Table3[[#This Row],[instant]],Table2[instant],Table2[atemp], ,0,1)</f>
        <v>0.1515</v>
      </c>
      <c r="I76" s="1">
        <f>_xlfn.XLOOKUP(Table3[[#This Row],[instant]],Table2[instant],Table2[hum], ,0,1)</f>
        <v>0.74</v>
      </c>
      <c r="J76" s="1">
        <f>_xlfn.XLOOKUP(Table3[[#This Row],[instant]],Table2[instant],Table2[windspeed], ,0,1)</f>
        <v>0.1045</v>
      </c>
      <c r="K76" s="1">
        <f>_xlfn.XLOOKUP(Table3[[#This Row],[instant]],Table2[instant],Table2[casual], ,0,1)</f>
        <v>0</v>
      </c>
      <c r="L76" s="1">
        <f>_xlfn.XLOOKUP(Table3[[#This Row],[instant]],Table2[instant],Table2[registered], ,0,1)</f>
        <v>36</v>
      </c>
      <c r="M76" s="6">
        <f>_xlfn.XLOOKUP(Table3[[#This Row],[instant]],Table2[instant],Table2[cnt], ,0,1)</f>
        <v>36</v>
      </c>
      <c r="N76" s="6" t="str">
        <f>IF(OR(Table3[[#This Row],[weekday]]=0,Table3[[#This Row],[weekday]]=6),"Weekend","Weekday")</f>
        <v>Weekday</v>
      </c>
    </row>
    <row r="77" spans="1:14" ht="15" thickBot="1" x14ac:dyDescent="0.35">
      <c r="A77" s="5">
        <v>76</v>
      </c>
      <c r="B77" s="3">
        <f>_xlfn.XLOOKUP(Table3[[#This Row],[instant]],DatSet1!A77:A686,DatSet1!B77:B686,_xlfn.XLOOKUP(Table3[[#This Row],[instant]],'Final Data'!A77:A466,'Final Data'!B77:B466, ,0,1),0,1)</f>
        <v>40547</v>
      </c>
      <c r="C77" s="1">
        <f>_xlfn.XLOOKUP(Table3[[#This Row],[instant]],Table1[instant],Table1[hr], ,0,1)</f>
        <v>7</v>
      </c>
      <c r="D77" s="2" t="b">
        <f>_xlfn.XLOOKUP(Table3[[#This Row],[instant]],Table1[instant],Table1[holiday], ,0,1)</f>
        <v>0</v>
      </c>
      <c r="E77" s="2">
        <f>_xlfn.XLOOKUP(Table3[[#This Row],[instant]],Table1[instant],Table1[weekday], ,0,1)</f>
        <v>2</v>
      </c>
      <c r="F77" s="2">
        <f>_xlfn.XLOOKUP(Table3[[#This Row],[instant]],Table1[instant],Table1[weathersit], ,0,1)</f>
        <v>1</v>
      </c>
      <c r="G77" s="2">
        <f>_xlfn.XLOOKUP(Table3[[#This Row],[instant]],Table1[instant],Table1[temp], ,0,1)</f>
        <v>0.12</v>
      </c>
      <c r="H77" s="24">
        <f>_xlfn.XLOOKUP(Table3[[#This Row],[instant]],Table2[instant],Table2[atemp], ,0,1)</f>
        <v>0.1515</v>
      </c>
      <c r="I77" s="1">
        <f>_xlfn.XLOOKUP(Table3[[#This Row],[instant]],Table2[instant],Table2[hum], ,0,1)</f>
        <v>0.74</v>
      </c>
      <c r="J77" s="1">
        <f>_xlfn.XLOOKUP(Table3[[#This Row],[instant]],Table2[instant],Table2[windspeed], ,0,1)</f>
        <v>0.1343</v>
      </c>
      <c r="K77" s="1">
        <f>_xlfn.XLOOKUP(Table3[[#This Row],[instant]],Table2[instant],Table2[casual], ,0,1)</f>
        <v>2</v>
      </c>
      <c r="L77" s="1">
        <f>_xlfn.XLOOKUP(Table3[[#This Row],[instant]],Table2[instant],Table2[registered], ,0,1)</f>
        <v>92</v>
      </c>
      <c r="M77" s="6">
        <f>_xlfn.XLOOKUP(Table3[[#This Row],[instant]],Table2[instant],Table2[cnt], ,0,1)</f>
        <v>94</v>
      </c>
      <c r="N77" s="6" t="str">
        <f>IF(OR(Table3[[#This Row],[weekday]]=0,Table3[[#This Row],[weekday]]=6),"Weekend","Weekday")</f>
        <v>Weekday</v>
      </c>
    </row>
    <row r="78" spans="1:14" ht="15" thickBot="1" x14ac:dyDescent="0.35">
      <c r="A78" s="5">
        <v>77</v>
      </c>
      <c r="B78" s="3">
        <f>_xlfn.XLOOKUP(Table3[[#This Row],[instant]],DatSet1!A78:A687,DatSet1!B78:B687,_xlfn.XLOOKUP(Table3[[#This Row],[instant]],'Final Data'!A78:A467,'Final Data'!B78:B467, ,0,1),0,1)</f>
        <v>40547</v>
      </c>
      <c r="C78" s="1">
        <f>_xlfn.XLOOKUP(Table3[[#This Row],[instant]],Table1[instant],Table1[hr], ,0,1)</f>
        <v>8</v>
      </c>
      <c r="D78" s="2" t="b">
        <f>_xlfn.XLOOKUP(Table3[[#This Row],[instant]],Table1[instant],Table1[holiday], ,0,1)</f>
        <v>0</v>
      </c>
      <c r="E78" s="2">
        <f>_xlfn.XLOOKUP(Table3[[#This Row],[instant]],Table1[instant],Table1[weekday], ,0,1)</f>
        <v>2</v>
      </c>
      <c r="F78" s="2">
        <f>_xlfn.XLOOKUP(Table3[[#This Row],[instant]],Table1[instant],Table1[weathersit], ,0,1)</f>
        <v>1</v>
      </c>
      <c r="G78" s="2">
        <f>_xlfn.XLOOKUP(Table3[[#This Row],[instant]],Table1[instant],Table1[temp], ,0,1)</f>
        <v>0.14000000000000001</v>
      </c>
      <c r="H78" s="24">
        <f>_xlfn.XLOOKUP(Table3[[#This Row],[instant]],Table2[instant],Table2[atemp], ,0,1)</f>
        <v>0.1515</v>
      </c>
      <c r="I78" s="1">
        <f>_xlfn.XLOOKUP(Table3[[#This Row],[instant]],Table2[instant],Table2[hum], ,0,1)</f>
        <v>0.69</v>
      </c>
      <c r="J78" s="1">
        <f>_xlfn.XLOOKUP(Table3[[#This Row],[instant]],Table2[instant],Table2[windspeed], ,0,1)</f>
        <v>0.16420000000000001</v>
      </c>
      <c r="K78" s="1">
        <f>_xlfn.XLOOKUP(Table3[[#This Row],[instant]],Table2[instant],Table2[casual], ,0,1)</f>
        <v>2</v>
      </c>
      <c r="L78" s="1">
        <f>_xlfn.XLOOKUP(Table3[[#This Row],[instant]],Table2[instant],Table2[registered], ,0,1)</f>
        <v>177</v>
      </c>
      <c r="M78" s="6">
        <f>_xlfn.XLOOKUP(Table3[[#This Row],[instant]],Table2[instant],Table2[cnt], ,0,1)</f>
        <v>179</v>
      </c>
      <c r="N78" s="6" t="str">
        <f>IF(OR(Table3[[#This Row],[weekday]]=0,Table3[[#This Row],[weekday]]=6),"Weekend","Weekday")</f>
        <v>Weekday</v>
      </c>
    </row>
    <row r="79" spans="1:14" ht="15" thickBot="1" x14ac:dyDescent="0.35">
      <c r="A79" s="5">
        <v>78</v>
      </c>
      <c r="B79" s="3">
        <f>_xlfn.XLOOKUP(Table3[[#This Row],[instant]],DatSet1!A79:A688,DatSet1!B79:B688,_xlfn.XLOOKUP(Table3[[#This Row],[instant]],'Final Data'!A79:A468,'Final Data'!B79:B468, ,0,1),0,1)</f>
        <v>40547</v>
      </c>
      <c r="C79" s="1">
        <f>_xlfn.XLOOKUP(Table3[[#This Row],[instant]],Table1[instant],Table1[hr], ,0,1)</f>
        <v>9</v>
      </c>
      <c r="D79" s="2" t="b">
        <f>_xlfn.XLOOKUP(Table3[[#This Row],[instant]],Table1[instant],Table1[holiday], ,0,1)</f>
        <v>0</v>
      </c>
      <c r="E79" s="2">
        <f>_xlfn.XLOOKUP(Table3[[#This Row],[instant]],Table1[instant],Table1[weekday], ,0,1)</f>
        <v>2</v>
      </c>
      <c r="F79" s="2">
        <f>_xlfn.XLOOKUP(Table3[[#This Row],[instant]],Table1[instant],Table1[weathersit], ,0,1)</f>
        <v>1</v>
      </c>
      <c r="G79" s="2">
        <f>_xlfn.XLOOKUP(Table3[[#This Row],[instant]],Table1[instant],Table1[temp], ,0,1)</f>
        <v>0.16</v>
      </c>
      <c r="H79" s="24">
        <f>_xlfn.XLOOKUP(Table3[[#This Row],[instant]],Table2[instant],Table2[atemp], ,0,1)</f>
        <v>0.1515</v>
      </c>
      <c r="I79" s="1">
        <f>_xlfn.XLOOKUP(Table3[[#This Row],[instant]],Table2[instant],Table2[hum], ,0,1)</f>
        <v>0.64</v>
      </c>
      <c r="J79" s="1">
        <f>_xlfn.XLOOKUP(Table3[[#This Row],[instant]],Table2[instant],Table2[windspeed], ,0,1)</f>
        <v>0.22389999999999999</v>
      </c>
      <c r="K79" s="1">
        <f>_xlfn.XLOOKUP(Table3[[#This Row],[instant]],Table2[instant],Table2[casual], ,0,1)</f>
        <v>2</v>
      </c>
      <c r="L79" s="1">
        <f>_xlfn.XLOOKUP(Table3[[#This Row],[instant]],Table2[instant],Table2[registered], ,0,1)</f>
        <v>98</v>
      </c>
      <c r="M79" s="6">
        <f>_xlfn.XLOOKUP(Table3[[#This Row],[instant]],Table2[instant],Table2[cnt], ,0,1)</f>
        <v>100</v>
      </c>
      <c r="N79" s="6" t="str">
        <f>IF(OR(Table3[[#This Row],[weekday]]=0,Table3[[#This Row],[weekday]]=6),"Weekend","Weekday")</f>
        <v>Weekday</v>
      </c>
    </row>
    <row r="80" spans="1:14" ht="15" thickBot="1" x14ac:dyDescent="0.35">
      <c r="A80" s="5">
        <v>79</v>
      </c>
      <c r="B80" s="3">
        <f>_xlfn.XLOOKUP(Table3[[#This Row],[instant]],DatSet1!A80:A689,DatSet1!B80:B689,_xlfn.XLOOKUP(Table3[[#This Row],[instant]],'Final Data'!A80:A469,'Final Data'!B80:B469, ,0,1),0,1)</f>
        <v>40547</v>
      </c>
      <c r="C80" s="1">
        <f>_xlfn.XLOOKUP(Table3[[#This Row],[instant]],Table1[instant],Table1[hr], ,0,1)</f>
        <v>10</v>
      </c>
      <c r="D80" s="2" t="b">
        <f>_xlfn.XLOOKUP(Table3[[#This Row],[instant]],Table1[instant],Table1[holiday], ,0,1)</f>
        <v>0</v>
      </c>
      <c r="E80" s="2">
        <f>_xlfn.XLOOKUP(Table3[[#This Row],[instant]],Table1[instant],Table1[weekday], ,0,1)</f>
        <v>2</v>
      </c>
      <c r="F80" s="2">
        <f>_xlfn.XLOOKUP(Table3[[#This Row],[instant]],Table1[instant],Table1[weathersit], ,0,1)</f>
        <v>2</v>
      </c>
      <c r="G80" s="2">
        <f>_xlfn.XLOOKUP(Table3[[#This Row],[instant]],Table1[instant],Table1[temp], ,0,1)</f>
        <v>0.16</v>
      </c>
      <c r="H80" s="24">
        <f>_xlfn.XLOOKUP(Table3[[#This Row],[instant]],Table2[instant],Table2[atemp], ,0,1)</f>
        <v>0.13639999999999999</v>
      </c>
      <c r="I80" s="1">
        <f>_xlfn.XLOOKUP(Table3[[#This Row],[instant]],Table2[instant],Table2[hum], ,0,1)</f>
        <v>0.69</v>
      </c>
      <c r="J80" s="1">
        <f>_xlfn.XLOOKUP(Table3[[#This Row],[instant]],Table2[instant],Table2[windspeed], ,0,1)</f>
        <v>0.32840000000000003</v>
      </c>
      <c r="K80" s="1">
        <f>_xlfn.XLOOKUP(Table3[[#This Row],[instant]],Table2[instant],Table2[casual], ,0,1)</f>
        <v>5</v>
      </c>
      <c r="L80" s="1">
        <f>_xlfn.XLOOKUP(Table3[[#This Row],[instant]],Table2[instant],Table2[registered], ,0,1)</f>
        <v>37</v>
      </c>
      <c r="M80" s="6">
        <f>_xlfn.XLOOKUP(Table3[[#This Row],[instant]],Table2[instant],Table2[cnt], ,0,1)</f>
        <v>42</v>
      </c>
      <c r="N80" s="6" t="str">
        <f>IF(OR(Table3[[#This Row],[weekday]]=0,Table3[[#This Row],[weekday]]=6),"Weekend","Weekday")</f>
        <v>Weekday</v>
      </c>
    </row>
    <row r="81" spans="1:14" ht="15" thickBot="1" x14ac:dyDescent="0.35">
      <c r="A81" s="5">
        <v>80</v>
      </c>
      <c r="B81" s="3">
        <f>_xlfn.XLOOKUP(Table3[[#This Row],[instant]],DatSet1!A81:A690,DatSet1!B81:B690,_xlfn.XLOOKUP(Table3[[#This Row],[instant]],'Final Data'!A81:A470,'Final Data'!B81:B470, ,0,1),0,1)</f>
        <v>40547</v>
      </c>
      <c r="C81" s="1">
        <f>_xlfn.XLOOKUP(Table3[[#This Row],[instant]],Table1[instant],Table1[hr], ,0,1)</f>
        <v>11</v>
      </c>
      <c r="D81" s="2" t="b">
        <f>_xlfn.XLOOKUP(Table3[[#This Row],[instant]],Table1[instant],Table1[holiday], ,0,1)</f>
        <v>0</v>
      </c>
      <c r="E81" s="2">
        <f>_xlfn.XLOOKUP(Table3[[#This Row],[instant]],Table1[instant],Table1[weekday], ,0,1)</f>
        <v>2</v>
      </c>
      <c r="F81" s="2">
        <f>_xlfn.XLOOKUP(Table3[[#This Row],[instant]],Table1[instant],Table1[weathersit], ,0,1)</f>
        <v>1</v>
      </c>
      <c r="G81" s="2">
        <f>_xlfn.XLOOKUP(Table3[[#This Row],[instant]],Table1[instant],Table1[temp], ,0,1)</f>
        <v>0.22</v>
      </c>
      <c r="H81" s="24">
        <f>_xlfn.XLOOKUP(Table3[[#This Row],[instant]],Table2[instant],Table2[atemp], ,0,1)</f>
        <v>0.21210000000000001</v>
      </c>
      <c r="I81" s="1">
        <f>_xlfn.XLOOKUP(Table3[[#This Row],[instant]],Table2[instant],Table2[hum], ,0,1)</f>
        <v>0.51</v>
      </c>
      <c r="J81" s="1">
        <f>_xlfn.XLOOKUP(Table3[[#This Row],[instant]],Table2[instant],Table2[windspeed], ,0,1)</f>
        <v>0.29849999999999999</v>
      </c>
      <c r="K81" s="1">
        <f>_xlfn.XLOOKUP(Table3[[#This Row],[instant]],Table2[instant],Table2[casual], ,0,1)</f>
        <v>7</v>
      </c>
      <c r="L81" s="1">
        <f>_xlfn.XLOOKUP(Table3[[#This Row],[instant]],Table2[instant],Table2[registered], ,0,1)</f>
        <v>50</v>
      </c>
      <c r="M81" s="6">
        <f>_xlfn.XLOOKUP(Table3[[#This Row],[instant]],Table2[instant],Table2[cnt], ,0,1)</f>
        <v>57</v>
      </c>
      <c r="N81" s="6" t="str">
        <f>IF(OR(Table3[[#This Row],[weekday]]=0,Table3[[#This Row],[weekday]]=6),"Weekend","Weekday")</f>
        <v>Weekday</v>
      </c>
    </row>
    <row r="82" spans="1:14" ht="15" thickBot="1" x14ac:dyDescent="0.35">
      <c r="A82" s="5">
        <v>81</v>
      </c>
      <c r="B82" s="3">
        <f>_xlfn.XLOOKUP(Table3[[#This Row],[instant]],DatSet1!A82:A691,DatSet1!B82:B691,_xlfn.XLOOKUP(Table3[[#This Row],[instant]],'Final Data'!A82:A471,'Final Data'!B82:B471, ,0,1),0,1)</f>
        <v>40547</v>
      </c>
      <c r="C82" s="1">
        <f>_xlfn.XLOOKUP(Table3[[#This Row],[instant]],Table1[instant],Table1[hr], ,0,1)</f>
        <v>12</v>
      </c>
      <c r="D82" s="2" t="b">
        <f>_xlfn.XLOOKUP(Table3[[#This Row],[instant]],Table1[instant],Table1[holiday], ,0,1)</f>
        <v>0</v>
      </c>
      <c r="E82" s="2">
        <f>_xlfn.XLOOKUP(Table3[[#This Row],[instant]],Table1[instant],Table1[weekday], ,0,1)</f>
        <v>2</v>
      </c>
      <c r="F82" s="2">
        <f>_xlfn.XLOOKUP(Table3[[#This Row],[instant]],Table1[instant],Table1[weathersit], ,0,1)</f>
        <v>1</v>
      </c>
      <c r="G82" s="2">
        <f>_xlfn.XLOOKUP(Table3[[#This Row],[instant]],Table1[instant],Table1[temp], ,0,1)</f>
        <v>0.22</v>
      </c>
      <c r="H82" s="24">
        <f>_xlfn.XLOOKUP(Table3[[#This Row],[instant]],Table2[instant],Table2[atemp], ,0,1)</f>
        <v>0.2273</v>
      </c>
      <c r="I82" s="1">
        <f>_xlfn.XLOOKUP(Table3[[#This Row],[instant]],Table2[instant],Table2[hum], ,0,1)</f>
        <v>0.51</v>
      </c>
      <c r="J82" s="1">
        <f>_xlfn.XLOOKUP(Table3[[#This Row],[instant]],Table2[instant],Table2[windspeed], ,0,1)</f>
        <v>0.16420000000000001</v>
      </c>
      <c r="K82" s="1">
        <f>_xlfn.XLOOKUP(Table3[[#This Row],[instant]],Table2[instant],Table2[casual], ,0,1)</f>
        <v>12</v>
      </c>
      <c r="L82" s="1">
        <f>_xlfn.XLOOKUP(Table3[[#This Row],[instant]],Table2[instant],Table2[registered], ,0,1)</f>
        <v>66</v>
      </c>
      <c r="M82" s="6">
        <f>_xlfn.XLOOKUP(Table3[[#This Row],[instant]],Table2[instant],Table2[cnt], ,0,1)</f>
        <v>78</v>
      </c>
      <c r="N82" s="6" t="str">
        <f>IF(OR(Table3[[#This Row],[weekday]]=0,Table3[[#This Row],[weekday]]=6),"Weekend","Weekday")</f>
        <v>Weekday</v>
      </c>
    </row>
    <row r="83" spans="1:14" ht="15" thickBot="1" x14ac:dyDescent="0.35">
      <c r="A83" s="5">
        <v>82</v>
      </c>
      <c r="B83" s="3">
        <f>_xlfn.XLOOKUP(Table3[[#This Row],[instant]],DatSet1!A83:A692,DatSet1!B83:B692,_xlfn.XLOOKUP(Table3[[#This Row],[instant]],'Final Data'!A83:A472,'Final Data'!B83:B472, ,0,1),0,1)</f>
        <v>40547</v>
      </c>
      <c r="C83" s="1">
        <f>_xlfn.XLOOKUP(Table3[[#This Row],[instant]],Table1[instant],Table1[hr], ,0,1)</f>
        <v>13</v>
      </c>
      <c r="D83" s="2" t="b">
        <f>_xlfn.XLOOKUP(Table3[[#This Row],[instant]],Table1[instant],Table1[holiday], ,0,1)</f>
        <v>0</v>
      </c>
      <c r="E83" s="2">
        <f>_xlfn.XLOOKUP(Table3[[#This Row],[instant]],Table1[instant],Table1[weekday], ,0,1)</f>
        <v>2</v>
      </c>
      <c r="F83" s="2">
        <f>_xlfn.XLOOKUP(Table3[[#This Row],[instant]],Table1[instant],Table1[weathersit], ,0,1)</f>
        <v>1</v>
      </c>
      <c r="G83" s="2">
        <f>_xlfn.XLOOKUP(Table3[[#This Row],[instant]],Table1[instant],Table1[temp], ,0,1)</f>
        <v>0.24</v>
      </c>
      <c r="H83" s="24">
        <f>_xlfn.XLOOKUP(Table3[[#This Row],[instant]],Table2[instant],Table2[atemp], ,0,1)</f>
        <v>0.2273</v>
      </c>
      <c r="I83" s="1">
        <f>_xlfn.XLOOKUP(Table3[[#This Row],[instant]],Table2[instant],Table2[hum], ,0,1)</f>
        <v>0.56000000000000005</v>
      </c>
      <c r="J83" s="1">
        <f>_xlfn.XLOOKUP(Table3[[#This Row],[instant]],Table2[instant],Table2[windspeed], ,0,1)</f>
        <v>0.19400000000000001</v>
      </c>
      <c r="K83" s="1">
        <f>_xlfn.XLOOKUP(Table3[[#This Row],[instant]],Table2[instant],Table2[casual], ,0,1)</f>
        <v>18</v>
      </c>
      <c r="L83" s="1">
        <f>_xlfn.XLOOKUP(Table3[[#This Row],[instant]],Table2[instant],Table2[registered], ,0,1)</f>
        <v>79</v>
      </c>
      <c r="M83" s="6">
        <f>_xlfn.XLOOKUP(Table3[[#This Row],[instant]],Table2[instant],Table2[cnt], ,0,1)</f>
        <v>97</v>
      </c>
      <c r="N83" s="6" t="str">
        <f>IF(OR(Table3[[#This Row],[weekday]]=0,Table3[[#This Row],[weekday]]=6),"Weekend","Weekday")</f>
        <v>Weekday</v>
      </c>
    </row>
    <row r="84" spans="1:14" ht="15" thickBot="1" x14ac:dyDescent="0.35">
      <c r="A84" s="5">
        <v>83</v>
      </c>
      <c r="B84" s="3">
        <f>_xlfn.XLOOKUP(Table3[[#This Row],[instant]],DatSet1!A84:A693,DatSet1!B84:B693,_xlfn.XLOOKUP(Table3[[#This Row],[instant]],'Final Data'!A84:A473,'Final Data'!B84:B473, ,0,1),0,1)</f>
        <v>40547</v>
      </c>
      <c r="C84" s="1">
        <f>_xlfn.XLOOKUP(Table3[[#This Row],[instant]],Table1[instant],Table1[hr], ,0,1)</f>
        <v>14</v>
      </c>
      <c r="D84" s="2" t="b">
        <f>_xlfn.XLOOKUP(Table3[[#This Row],[instant]],Table1[instant],Table1[holiday], ,0,1)</f>
        <v>0</v>
      </c>
      <c r="E84" s="2">
        <f>_xlfn.XLOOKUP(Table3[[#This Row],[instant]],Table1[instant],Table1[weekday], ,0,1)</f>
        <v>2</v>
      </c>
      <c r="F84" s="2">
        <f>_xlfn.XLOOKUP(Table3[[#This Row],[instant]],Table1[instant],Table1[weathersit], ,0,1)</f>
        <v>1</v>
      </c>
      <c r="G84" s="2">
        <f>_xlfn.XLOOKUP(Table3[[#This Row],[instant]],Table1[instant],Table1[temp], ,0,1)</f>
        <v>0.26</v>
      </c>
      <c r="H84" s="24">
        <f>_xlfn.XLOOKUP(Table3[[#This Row],[instant]],Table2[instant],Table2[atemp], ,0,1)</f>
        <v>0.2576</v>
      </c>
      <c r="I84" s="1">
        <f>_xlfn.XLOOKUP(Table3[[#This Row],[instant]],Table2[instant],Table2[hum], ,0,1)</f>
        <v>0.52</v>
      </c>
      <c r="J84" s="1">
        <f>_xlfn.XLOOKUP(Table3[[#This Row],[instant]],Table2[instant],Table2[windspeed], ,0,1)</f>
        <v>0.22389999999999999</v>
      </c>
      <c r="K84" s="1">
        <f>_xlfn.XLOOKUP(Table3[[#This Row],[instant]],Table2[instant],Table2[casual], ,0,1)</f>
        <v>9</v>
      </c>
      <c r="L84" s="1">
        <f>_xlfn.XLOOKUP(Table3[[#This Row],[instant]],Table2[instant],Table2[registered], ,0,1)</f>
        <v>54</v>
      </c>
      <c r="M84" s="6">
        <f>_xlfn.XLOOKUP(Table3[[#This Row],[instant]],Table2[instant],Table2[cnt], ,0,1)</f>
        <v>63</v>
      </c>
      <c r="N84" s="6" t="str">
        <f>IF(OR(Table3[[#This Row],[weekday]]=0,Table3[[#This Row],[weekday]]=6),"Weekend","Weekday")</f>
        <v>Weekday</v>
      </c>
    </row>
    <row r="85" spans="1:14" ht="15" thickBot="1" x14ac:dyDescent="0.35">
      <c r="A85" s="5">
        <v>84</v>
      </c>
      <c r="B85" s="3">
        <f>_xlfn.XLOOKUP(Table3[[#This Row],[instant]],DatSet1!A85:A694,DatSet1!B85:B694,_xlfn.XLOOKUP(Table3[[#This Row],[instant]],'Final Data'!A85:A474,'Final Data'!B85:B474, ,0,1),0,1)</f>
        <v>40547</v>
      </c>
      <c r="C85" s="1">
        <f>_xlfn.XLOOKUP(Table3[[#This Row],[instant]],Table1[instant],Table1[hr], ,0,1)</f>
        <v>15</v>
      </c>
      <c r="D85" s="2" t="b">
        <f>_xlfn.XLOOKUP(Table3[[#This Row],[instant]],Table1[instant],Table1[holiday], ,0,1)</f>
        <v>0</v>
      </c>
      <c r="E85" s="2">
        <f>_xlfn.XLOOKUP(Table3[[#This Row],[instant]],Table1[instant],Table1[weekday], ,0,1)</f>
        <v>2</v>
      </c>
      <c r="F85" s="2">
        <f>_xlfn.XLOOKUP(Table3[[#This Row],[instant]],Table1[instant],Table1[weathersit], ,0,1)</f>
        <v>1</v>
      </c>
      <c r="G85" s="2">
        <f>_xlfn.XLOOKUP(Table3[[#This Row],[instant]],Table1[instant],Table1[temp], ,0,1)</f>
        <v>0.28000000000000003</v>
      </c>
      <c r="H85" s="24">
        <f>_xlfn.XLOOKUP(Table3[[#This Row],[instant]],Table2[instant],Table2[atemp], ,0,1)</f>
        <v>0.2727</v>
      </c>
      <c r="I85" s="1">
        <f>_xlfn.XLOOKUP(Table3[[#This Row],[instant]],Table2[instant],Table2[hum], ,0,1)</f>
        <v>0.52</v>
      </c>
      <c r="J85" s="1">
        <f>_xlfn.XLOOKUP(Table3[[#This Row],[instant]],Table2[instant],Table2[windspeed], ,0,1)</f>
        <v>0.25369999999999998</v>
      </c>
      <c r="K85" s="1">
        <f>_xlfn.XLOOKUP(Table3[[#This Row],[instant]],Table2[instant],Table2[casual], ,0,1)</f>
        <v>17</v>
      </c>
      <c r="L85" s="1">
        <f>_xlfn.XLOOKUP(Table3[[#This Row],[instant]],Table2[instant],Table2[registered], ,0,1)</f>
        <v>48</v>
      </c>
      <c r="M85" s="6">
        <f>_xlfn.XLOOKUP(Table3[[#This Row],[instant]],Table2[instant],Table2[cnt], ,0,1)</f>
        <v>65</v>
      </c>
      <c r="N85" s="6" t="str">
        <f>IF(OR(Table3[[#This Row],[weekday]]=0,Table3[[#This Row],[weekday]]=6),"Weekend","Weekday")</f>
        <v>Weekday</v>
      </c>
    </row>
    <row r="86" spans="1:14" ht="15" thickBot="1" x14ac:dyDescent="0.35">
      <c r="A86" s="5">
        <v>85</v>
      </c>
      <c r="B86" s="3">
        <f>_xlfn.XLOOKUP(Table3[[#This Row],[instant]],DatSet1!A86:A695,DatSet1!B86:B695,_xlfn.XLOOKUP(Table3[[#This Row],[instant]],'Final Data'!A86:A475,'Final Data'!B86:B475, ,0,1),0,1)</f>
        <v>40547</v>
      </c>
      <c r="C86" s="1">
        <f>_xlfn.XLOOKUP(Table3[[#This Row],[instant]],Table1[instant],Table1[hr], ,0,1)</f>
        <v>16</v>
      </c>
      <c r="D86" s="2" t="b">
        <f>_xlfn.XLOOKUP(Table3[[#This Row],[instant]],Table1[instant],Table1[holiday], ,0,1)</f>
        <v>0</v>
      </c>
      <c r="E86" s="2">
        <f>_xlfn.XLOOKUP(Table3[[#This Row],[instant]],Table1[instant],Table1[weekday], ,0,1)</f>
        <v>2</v>
      </c>
      <c r="F86" s="2">
        <f>_xlfn.XLOOKUP(Table3[[#This Row],[instant]],Table1[instant],Table1[weathersit], ,0,1)</f>
        <v>1</v>
      </c>
      <c r="G86" s="2">
        <f>_xlfn.XLOOKUP(Table3[[#This Row],[instant]],Table1[instant],Table1[temp], ,0,1)</f>
        <v>0.3</v>
      </c>
      <c r="H86" s="24">
        <f>_xlfn.XLOOKUP(Table3[[#This Row],[instant]],Table2[instant],Table2[atemp], ,0,1)</f>
        <v>0.28789999999999999</v>
      </c>
      <c r="I86" s="1">
        <f>_xlfn.XLOOKUP(Table3[[#This Row],[instant]],Table2[instant],Table2[hum], ,0,1)</f>
        <v>0.49</v>
      </c>
      <c r="J86" s="1">
        <f>_xlfn.XLOOKUP(Table3[[#This Row],[instant]],Table2[instant],Table2[windspeed], ,0,1)</f>
        <v>0.25369999999999998</v>
      </c>
      <c r="K86" s="1">
        <f>_xlfn.XLOOKUP(Table3[[#This Row],[instant]],Table2[instant],Table2[casual], ,0,1)</f>
        <v>15</v>
      </c>
      <c r="L86" s="1">
        <f>_xlfn.XLOOKUP(Table3[[#This Row],[instant]],Table2[instant],Table2[registered], ,0,1)</f>
        <v>68</v>
      </c>
      <c r="M86" s="6">
        <f>_xlfn.XLOOKUP(Table3[[#This Row],[instant]],Table2[instant],Table2[cnt], ,0,1)</f>
        <v>83</v>
      </c>
      <c r="N86" s="6" t="str">
        <f>IF(OR(Table3[[#This Row],[weekday]]=0,Table3[[#This Row],[weekday]]=6),"Weekend","Weekday")</f>
        <v>Weekday</v>
      </c>
    </row>
    <row r="87" spans="1:14" ht="15" thickBot="1" x14ac:dyDescent="0.35">
      <c r="A87" s="5">
        <v>86</v>
      </c>
      <c r="B87" s="3">
        <f>_xlfn.XLOOKUP(Table3[[#This Row],[instant]],DatSet1!A87:A696,DatSet1!B87:B696,_xlfn.XLOOKUP(Table3[[#This Row],[instant]],'Final Data'!A87:A476,'Final Data'!B87:B476, ,0,1),0,1)</f>
        <v>40547</v>
      </c>
      <c r="C87" s="1">
        <f>_xlfn.XLOOKUP(Table3[[#This Row],[instant]],Table1[instant],Table1[hr], ,0,1)</f>
        <v>17</v>
      </c>
      <c r="D87" s="2" t="b">
        <f>_xlfn.XLOOKUP(Table3[[#This Row],[instant]],Table1[instant],Table1[holiday], ,0,1)</f>
        <v>0</v>
      </c>
      <c r="E87" s="2">
        <f>_xlfn.XLOOKUP(Table3[[#This Row],[instant]],Table1[instant],Table1[weekday], ,0,1)</f>
        <v>2</v>
      </c>
      <c r="F87" s="2">
        <f>_xlfn.XLOOKUP(Table3[[#This Row],[instant]],Table1[instant],Table1[weathersit], ,0,1)</f>
        <v>1</v>
      </c>
      <c r="G87" s="2">
        <f>_xlfn.XLOOKUP(Table3[[#This Row],[instant]],Table1[instant],Table1[temp], ,0,1)</f>
        <v>0.28000000000000003</v>
      </c>
      <c r="H87" s="24">
        <f>_xlfn.XLOOKUP(Table3[[#This Row],[instant]],Table2[instant],Table2[atemp], ,0,1)</f>
        <v>0.2727</v>
      </c>
      <c r="I87" s="1">
        <f>_xlfn.XLOOKUP(Table3[[#This Row],[instant]],Table2[instant],Table2[hum], ,0,1)</f>
        <v>0.48</v>
      </c>
      <c r="J87" s="1">
        <f>_xlfn.XLOOKUP(Table3[[#This Row],[instant]],Table2[instant],Table2[windspeed], ,0,1)</f>
        <v>0.22389999999999999</v>
      </c>
      <c r="K87" s="1">
        <f>_xlfn.XLOOKUP(Table3[[#This Row],[instant]],Table2[instant],Table2[casual], ,0,1)</f>
        <v>10</v>
      </c>
      <c r="L87" s="1">
        <f>_xlfn.XLOOKUP(Table3[[#This Row],[instant]],Table2[instant],Table2[registered], ,0,1)</f>
        <v>202</v>
      </c>
      <c r="M87" s="6">
        <f>_xlfn.XLOOKUP(Table3[[#This Row],[instant]],Table2[instant],Table2[cnt], ,0,1)</f>
        <v>212</v>
      </c>
      <c r="N87" s="6" t="str">
        <f>IF(OR(Table3[[#This Row],[weekday]]=0,Table3[[#This Row],[weekday]]=6),"Weekend","Weekday")</f>
        <v>Weekday</v>
      </c>
    </row>
    <row r="88" spans="1:14" ht="15" thickBot="1" x14ac:dyDescent="0.35">
      <c r="A88" s="5">
        <v>87</v>
      </c>
      <c r="B88" s="3">
        <f>_xlfn.XLOOKUP(Table3[[#This Row],[instant]],DatSet1!A88:A697,DatSet1!B88:B697,_xlfn.XLOOKUP(Table3[[#This Row],[instant]],'Final Data'!A88:A477,'Final Data'!B88:B477, ,0,1),0,1)</f>
        <v>40547</v>
      </c>
      <c r="C88" s="1">
        <f>_xlfn.XLOOKUP(Table3[[#This Row],[instant]],Table1[instant],Table1[hr], ,0,1)</f>
        <v>18</v>
      </c>
      <c r="D88" s="2" t="b">
        <f>_xlfn.XLOOKUP(Table3[[#This Row],[instant]],Table1[instant],Table1[holiday], ,0,1)</f>
        <v>0</v>
      </c>
      <c r="E88" s="2">
        <f>_xlfn.XLOOKUP(Table3[[#This Row],[instant]],Table1[instant],Table1[weekday], ,0,1)</f>
        <v>2</v>
      </c>
      <c r="F88" s="2">
        <f>_xlfn.XLOOKUP(Table3[[#This Row],[instant]],Table1[instant],Table1[weathersit], ,0,1)</f>
        <v>1</v>
      </c>
      <c r="G88" s="2">
        <f>_xlfn.XLOOKUP(Table3[[#This Row],[instant]],Table1[instant],Table1[temp], ,0,1)</f>
        <v>0.26</v>
      </c>
      <c r="H88" s="24">
        <f>_xlfn.XLOOKUP(Table3[[#This Row],[instant]],Table2[instant],Table2[atemp], ,0,1)</f>
        <v>0.2576</v>
      </c>
      <c r="I88" s="1">
        <f>_xlfn.XLOOKUP(Table3[[#This Row],[instant]],Table2[instant],Table2[hum], ,0,1)</f>
        <v>0.48</v>
      </c>
      <c r="J88" s="1">
        <f>_xlfn.XLOOKUP(Table3[[#This Row],[instant]],Table2[instant],Table2[windspeed], ,0,1)</f>
        <v>0.19400000000000001</v>
      </c>
      <c r="K88" s="1">
        <f>_xlfn.XLOOKUP(Table3[[#This Row],[instant]],Table2[instant],Table2[casual], ,0,1)</f>
        <v>3</v>
      </c>
      <c r="L88" s="1">
        <f>_xlfn.XLOOKUP(Table3[[#This Row],[instant]],Table2[instant],Table2[registered], ,0,1)</f>
        <v>179</v>
      </c>
      <c r="M88" s="6">
        <f>_xlfn.XLOOKUP(Table3[[#This Row],[instant]],Table2[instant],Table2[cnt], ,0,1)</f>
        <v>182</v>
      </c>
      <c r="N88" s="6" t="str">
        <f>IF(OR(Table3[[#This Row],[weekday]]=0,Table3[[#This Row],[weekday]]=6),"Weekend","Weekday")</f>
        <v>Weekday</v>
      </c>
    </row>
    <row r="89" spans="1:14" ht="15" thickBot="1" x14ac:dyDescent="0.35">
      <c r="A89" s="5">
        <v>88</v>
      </c>
      <c r="B89" s="3">
        <f>_xlfn.XLOOKUP(Table3[[#This Row],[instant]],DatSet1!A89:A698,DatSet1!B89:B698,_xlfn.XLOOKUP(Table3[[#This Row],[instant]],'Final Data'!A89:A478,'Final Data'!B89:B478, ,0,1),0,1)</f>
        <v>40547</v>
      </c>
      <c r="C89" s="1">
        <f>_xlfn.XLOOKUP(Table3[[#This Row],[instant]],Table1[instant],Table1[hr], ,0,1)</f>
        <v>19</v>
      </c>
      <c r="D89" s="2" t="b">
        <f>_xlfn.XLOOKUP(Table3[[#This Row],[instant]],Table1[instant],Table1[holiday], ,0,1)</f>
        <v>0</v>
      </c>
      <c r="E89" s="2">
        <f>_xlfn.XLOOKUP(Table3[[#This Row],[instant]],Table1[instant],Table1[weekday], ,0,1)</f>
        <v>2</v>
      </c>
      <c r="F89" s="2">
        <f>_xlfn.XLOOKUP(Table3[[#This Row],[instant]],Table1[instant],Table1[weathersit], ,0,1)</f>
        <v>1</v>
      </c>
      <c r="G89" s="2">
        <f>_xlfn.XLOOKUP(Table3[[#This Row],[instant]],Table1[instant],Table1[temp], ,0,1)</f>
        <v>0.24</v>
      </c>
      <c r="H89" s="24">
        <f>_xlfn.XLOOKUP(Table3[[#This Row],[instant]],Table2[instant],Table2[atemp], ,0,1)</f>
        <v>0.2576</v>
      </c>
      <c r="I89" s="1">
        <f>_xlfn.XLOOKUP(Table3[[#This Row],[instant]],Table2[instant],Table2[hum], ,0,1)</f>
        <v>0.48</v>
      </c>
      <c r="J89" s="1">
        <f>_xlfn.XLOOKUP(Table3[[#This Row],[instant]],Table2[instant],Table2[windspeed], ,0,1)</f>
        <v>0.1045</v>
      </c>
      <c r="K89" s="1">
        <f>_xlfn.XLOOKUP(Table3[[#This Row],[instant]],Table2[instant],Table2[casual], ,0,1)</f>
        <v>2</v>
      </c>
      <c r="L89" s="1">
        <f>_xlfn.XLOOKUP(Table3[[#This Row],[instant]],Table2[instant],Table2[registered], ,0,1)</f>
        <v>110</v>
      </c>
      <c r="M89" s="6">
        <f>_xlfn.XLOOKUP(Table3[[#This Row],[instant]],Table2[instant],Table2[cnt], ,0,1)</f>
        <v>112</v>
      </c>
      <c r="N89" s="6" t="str">
        <f>IF(OR(Table3[[#This Row],[weekday]]=0,Table3[[#This Row],[weekday]]=6),"Weekend","Weekday")</f>
        <v>Weekday</v>
      </c>
    </row>
    <row r="90" spans="1:14" ht="15" thickBot="1" x14ac:dyDescent="0.35">
      <c r="A90" s="5">
        <v>89</v>
      </c>
      <c r="B90" s="3">
        <f>_xlfn.XLOOKUP(Table3[[#This Row],[instant]],DatSet1!A90:A699,DatSet1!B90:B699,_xlfn.XLOOKUP(Table3[[#This Row],[instant]],'Final Data'!A90:A479,'Final Data'!B90:B479, ,0,1),0,1)</f>
        <v>40547</v>
      </c>
      <c r="C90" s="1">
        <f>_xlfn.XLOOKUP(Table3[[#This Row],[instant]],Table1[instant],Table1[hr], ,0,1)</f>
        <v>20</v>
      </c>
      <c r="D90" s="2" t="b">
        <f>_xlfn.XLOOKUP(Table3[[#This Row],[instant]],Table1[instant],Table1[holiday], ,0,1)</f>
        <v>0</v>
      </c>
      <c r="E90" s="2">
        <f>_xlfn.XLOOKUP(Table3[[#This Row],[instant]],Table1[instant],Table1[weekday], ,0,1)</f>
        <v>2</v>
      </c>
      <c r="F90" s="2">
        <f>_xlfn.XLOOKUP(Table3[[#This Row],[instant]],Table1[instant],Table1[weathersit], ,0,1)</f>
        <v>1</v>
      </c>
      <c r="G90" s="2">
        <f>_xlfn.XLOOKUP(Table3[[#This Row],[instant]],Table1[instant],Table1[temp], ,0,1)</f>
        <v>0.24</v>
      </c>
      <c r="H90" s="24">
        <f>_xlfn.XLOOKUP(Table3[[#This Row],[instant]],Table2[instant],Table2[atemp], ,0,1)</f>
        <v>0.2576</v>
      </c>
      <c r="I90" s="1">
        <f>_xlfn.XLOOKUP(Table3[[#This Row],[instant]],Table2[instant],Table2[hum], ,0,1)</f>
        <v>0.48</v>
      </c>
      <c r="J90" s="1">
        <f>_xlfn.XLOOKUP(Table3[[#This Row],[instant]],Table2[instant],Table2[windspeed], ,0,1)</f>
        <v>0.1045</v>
      </c>
      <c r="K90" s="1">
        <f>_xlfn.XLOOKUP(Table3[[#This Row],[instant]],Table2[instant],Table2[casual], ,0,1)</f>
        <v>1</v>
      </c>
      <c r="L90" s="1">
        <f>_xlfn.XLOOKUP(Table3[[#This Row],[instant]],Table2[instant],Table2[registered], ,0,1)</f>
        <v>53</v>
      </c>
      <c r="M90" s="6">
        <f>_xlfn.XLOOKUP(Table3[[#This Row],[instant]],Table2[instant],Table2[cnt], ,0,1)</f>
        <v>54</v>
      </c>
      <c r="N90" s="6" t="str">
        <f>IF(OR(Table3[[#This Row],[weekday]]=0,Table3[[#This Row],[weekday]]=6),"Weekend","Weekday")</f>
        <v>Weekday</v>
      </c>
    </row>
    <row r="91" spans="1:14" ht="15" thickBot="1" x14ac:dyDescent="0.35">
      <c r="A91" s="5">
        <v>90</v>
      </c>
      <c r="B91" s="3">
        <f>_xlfn.XLOOKUP(Table3[[#This Row],[instant]],DatSet1!A91:A700,DatSet1!B91:B700,_xlfn.XLOOKUP(Table3[[#This Row],[instant]],'Final Data'!A91:A480,'Final Data'!B91:B480, ,0,1),0,1)</f>
        <v>40547</v>
      </c>
      <c r="C91" s="1">
        <f>_xlfn.XLOOKUP(Table3[[#This Row],[instant]],Table1[instant],Table1[hr], ,0,1)</f>
        <v>21</v>
      </c>
      <c r="D91" s="2" t="b">
        <f>_xlfn.XLOOKUP(Table3[[#This Row],[instant]],Table1[instant],Table1[holiday], ,0,1)</f>
        <v>0</v>
      </c>
      <c r="E91" s="2">
        <f>_xlfn.XLOOKUP(Table3[[#This Row],[instant]],Table1[instant],Table1[weekday], ,0,1)</f>
        <v>2</v>
      </c>
      <c r="F91" s="2">
        <f>_xlfn.XLOOKUP(Table3[[#This Row],[instant]],Table1[instant],Table1[weathersit], ,0,1)</f>
        <v>1</v>
      </c>
      <c r="G91" s="2">
        <f>_xlfn.XLOOKUP(Table3[[#This Row],[instant]],Table1[instant],Table1[temp], ,0,1)</f>
        <v>0.22</v>
      </c>
      <c r="H91" s="24">
        <f>_xlfn.XLOOKUP(Table3[[#This Row],[instant]],Table2[instant],Table2[atemp], ,0,1)</f>
        <v>0.2727</v>
      </c>
      <c r="I91" s="1">
        <f>_xlfn.XLOOKUP(Table3[[#This Row],[instant]],Table2[instant],Table2[hum], ,0,1)</f>
        <v>0.64</v>
      </c>
      <c r="J91" s="1">
        <f>_xlfn.XLOOKUP(Table3[[#This Row],[instant]],Table2[instant],Table2[windspeed], ,0,1)</f>
        <v>0</v>
      </c>
      <c r="K91" s="1">
        <f>_xlfn.XLOOKUP(Table3[[#This Row],[instant]],Table2[instant],Table2[casual], ,0,1)</f>
        <v>0</v>
      </c>
      <c r="L91" s="1">
        <f>_xlfn.XLOOKUP(Table3[[#This Row],[instant]],Table2[instant],Table2[registered], ,0,1)</f>
        <v>48</v>
      </c>
      <c r="M91" s="6">
        <f>_xlfn.XLOOKUP(Table3[[#This Row],[instant]],Table2[instant],Table2[cnt], ,0,1)</f>
        <v>48</v>
      </c>
      <c r="N91" s="6" t="str">
        <f>IF(OR(Table3[[#This Row],[weekday]]=0,Table3[[#This Row],[weekday]]=6),"Weekend","Weekday")</f>
        <v>Weekday</v>
      </c>
    </row>
    <row r="92" spans="1:14" ht="15" thickBot="1" x14ac:dyDescent="0.35">
      <c r="A92" s="5">
        <v>91</v>
      </c>
      <c r="B92" s="3">
        <f>_xlfn.XLOOKUP(Table3[[#This Row],[instant]],DatSet1!A92:A701,DatSet1!B92:B701,_xlfn.XLOOKUP(Table3[[#This Row],[instant]],'Final Data'!A92:A481,'Final Data'!B92:B481, ,0,1),0,1)</f>
        <v>40547</v>
      </c>
      <c r="C92" s="1">
        <f>_xlfn.XLOOKUP(Table3[[#This Row],[instant]],Table1[instant],Table1[hr], ,0,1)</f>
        <v>22</v>
      </c>
      <c r="D92" s="2" t="b">
        <f>_xlfn.XLOOKUP(Table3[[#This Row],[instant]],Table1[instant],Table1[holiday], ,0,1)</f>
        <v>0</v>
      </c>
      <c r="E92" s="2">
        <f>_xlfn.XLOOKUP(Table3[[#This Row],[instant]],Table1[instant],Table1[weekday], ,0,1)</f>
        <v>2</v>
      </c>
      <c r="F92" s="2">
        <f>_xlfn.XLOOKUP(Table3[[#This Row],[instant]],Table1[instant],Table1[weathersit], ,0,1)</f>
        <v>1</v>
      </c>
      <c r="G92" s="2">
        <f>_xlfn.XLOOKUP(Table3[[#This Row],[instant]],Table1[instant],Table1[temp], ,0,1)</f>
        <v>0.22</v>
      </c>
      <c r="H92" s="24">
        <f>_xlfn.XLOOKUP(Table3[[#This Row],[instant]],Table2[instant],Table2[atemp], ,0,1)</f>
        <v>0.2576</v>
      </c>
      <c r="I92" s="1">
        <f>_xlfn.XLOOKUP(Table3[[#This Row],[instant]],Table2[instant],Table2[hum], ,0,1)</f>
        <v>0.64</v>
      </c>
      <c r="J92" s="1">
        <f>_xlfn.XLOOKUP(Table3[[#This Row],[instant]],Table2[instant],Table2[windspeed], ,0,1)</f>
        <v>8.9599999999999999E-2</v>
      </c>
      <c r="K92" s="1">
        <f>_xlfn.XLOOKUP(Table3[[#This Row],[instant]],Table2[instant],Table2[casual], ,0,1)</f>
        <v>1</v>
      </c>
      <c r="L92" s="1">
        <f>_xlfn.XLOOKUP(Table3[[#This Row],[instant]],Table2[instant],Table2[registered], ,0,1)</f>
        <v>34</v>
      </c>
      <c r="M92" s="6">
        <f>_xlfn.XLOOKUP(Table3[[#This Row],[instant]],Table2[instant],Table2[cnt], ,0,1)</f>
        <v>35</v>
      </c>
      <c r="N92" s="6" t="str">
        <f>IF(OR(Table3[[#This Row],[weekday]]=0,Table3[[#This Row],[weekday]]=6),"Weekend","Weekday")</f>
        <v>Weekday</v>
      </c>
    </row>
    <row r="93" spans="1:14" ht="15" thickBot="1" x14ac:dyDescent="0.35">
      <c r="A93" s="5">
        <v>92</v>
      </c>
      <c r="B93" s="3">
        <f>_xlfn.XLOOKUP(Table3[[#This Row],[instant]],DatSet1!A93:A702,DatSet1!B93:B702,_xlfn.XLOOKUP(Table3[[#This Row],[instant]],'Final Data'!A93:A482,'Final Data'!B93:B482, ,0,1),0,1)</f>
        <v>40547</v>
      </c>
      <c r="C93" s="1">
        <f>_xlfn.XLOOKUP(Table3[[#This Row],[instant]],Table1[instant],Table1[hr], ,0,1)</f>
        <v>23</v>
      </c>
      <c r="D93" s="2" t="b">
        <f>_xlfn.XLOOKUP(Table3[[#This Row],[instant]],Table1[instant],Table1[holiday], ,0,1)</f>
        <v>0</v>
      </c>
      <c r="E93" s="2">
        <f>_xlfn.XLOOKUP(Table3[[#This Row],[instant]],Table1[instant],Table1[weekday], ,0,1)</f>
        <v>2</v>
      </c>
      <c r="F93" s="2">
        <f>_xlfn.XLOOKUP(Table3[[#This Row],[instant]],Table1[instant],Table1[weathersit], ,0,1)</f>
        <v>1</v>
      </c>
      <c r="G93" s="2">
        <f>_xlfn.XLOOKUP(Table3[[#This Row],[instant]],Table1[instant],Table1[temp], ,0,1)</f>
        <v>0.2</v>
      </c>
      <c r="H93" s="24">
        <f>_xlfn.XLOOKUP(Table3[[#This Row],[instant]],Table2[instant],Table2[atemp], ,0,1)</f>
        <v>0.2273</v>
      </c>
      <c r="I93" s="1">
        <f>_xlfn.XLOOKUP(Table3[[#This Row],[instant]],Table2[instant],Table2[hum], ,0,1)</f>
        <v>0.69</v>
      </c>
      <c r="J93" s="1">
        <f>_xlfn.XLOOKUP(Table3[[#This Row],[instant]],Table2[instant],Table2[windspeed], ,0,1)</f>
        <v>8.9599999999999999E-2</v>
      </c>
      <c r="K93" s="1">
        <f>_xlfn.XLOOKUP(Table3[[#This Row],[instant]],Table2[instant],Table2[casual], ,0,1)</f>
        <v>2</v>
      </c>
      <c r="L93" s="1">
        <f>_xlfn.XLOOKUP(Table3[[#This Row],[instant]],Table2[instant],Table2[registered], ,0,1)</f>
        <v>9</v>
      </c>
      <c r="M93" s="6">
        <f>_xlfn.XLOOKUP(Table3[[#This Row],[instant]],Table2[instant],Table2[cnt], ,0,1)</f>
        <v>11</v>
      </c>
      <c r="N93" s="6" t="str">
        <f>IF(OR(Table3[[#This Row],[weekday]]=0,Table3[[#This Row],[weekday]]=6),"Weekend","Weekday")</f>
        <v>Weekday</v>
      </c>
    </row>
    <row r="94" spans="1:14" ht="15" thickBot="1" x14ac:dyDescent="0.35">
      <c r="A94" s="5">
        <v>93</v>
      </c>
      <c r="B94" s="3">
        <f>_xlfn.XLOOKUP(Table3[[#This Row],[instant]],DatSet1!A94:A703,DatSet1!B94:B703,_xlfn.XLOOKUP(Table3[[#This Row],[instant]],'Final Data'!A94:A483,'Final Data'!B94:B483, ,0,1),0,1)</f>
        <v>40548</v>
      </c>
      <c r="C94" s="1">
        <f>_xlfn.XLOOKUP(Table3[[#This Row],[instant]],Table1[instant],Table1[hr], ,0,1)</f>
        <v>0</v>
      </c>
      <c r="D94" s="2" t="b">
        <f>_xlfn.XLOOKUP(Table3[[#This Row],[instant]],Table1[instant],Table1[holiday], ,0,1)</f>
        <v>0</v>
      </c>
      <c r="E94" s="2">
        <f>_xlfn.XLOOKUP(Table3[[#This Row],[instant]],Table1[instant],Table1[weekday], ,0,1)</f>
        <v>3</v>
      </c>
      <c r="F94" s="2">
        <f>_xlfn.XLOOKUP(Table3[[#This Row],[instant]],Table1[instant],Table1[weathersit], ,0,1)</f>
        <v>1</v>
      </c>
      <c r="G94" s="2">
        <f>_xlfn.XLOOKUP(Table3[[#This Row],[instant]],Table1[instant],Table1[temp], ,0,1)</f>
        <v>0.2</v>
      </c>
      <c r="H94" s="24">
        <f>_xlfn.XLOOKUP(Table3[[#This Row],[instant]],Table2[instant],Table2[atemp], ,0,1)</f>
        <v>0.2576</v>
      </c>
      <c r="I94" s="1">
        <f>_xlfn.XLOOKUP(Table3[[#This Row],[instant]],Table2[instant],Table2[hum], ,0,1)</f>
        <v>0.64</v>
      </c>
      <c r="J94" s="1">
        <f>_xlfn.XLOOKUP(Table3[[#This Row],[instant]],Table2[instant],Table2[windspeed], ,0,1)</f>
        <v>0</v>
      </c>
      <c r="K94" s="1">
        <f>_xlfn.XLOOKUP(Table3[[#This Row],[instant]],Table2[instant],Table2[casual], ,0,1)</f>
        <v>0</v>
      </c>
      <c r="L94" s="1">
        <f>_xlfn.XLOOKUP(Table3[[#This Row],[instant]],Table2[instant],Table2[registered], ,0,1)</f>
        <v>6</v>
      </c>
      <c r="M94" s="6">
        <f>_xlfn.XLOOKUP(Table3[[#This Row],[instant]],Table2[instant],Table2[cnt], ,0,1)</f>
        <v>6</v>
      </c>
      <c r="N94" s="6" t="str">
        <f>IF(OR(Table3[[#This Row],[weekday]]=0,Table3[[#This Row],[weekday]]=6),"Weekend","Weekday")</f>
        <v>Weekday</v>
      </c>
    </row>
    <row r="95" spans="1:14" ht="15" thickBot="1" x14ac:dyDescent="0.35">
      <c r="A95" s="5">
        <v>94</v>
      </c>
      <c r="B95" s="3">
        <f>_xlfn.XLOOKUP(Table3[[#This Row],[instant]],DatSet1!A95:A704,DatSet1!B95:B704,_xlfn.XLOOKUP(Table3[[#This Row],[instant]],'Final Data'!A95:A484,'Final Data'!B95:B484, ,0,1),0,1)</f>
        <v>40548</v>
      </c>
      <c r="C95" s="1">
        <f>_xlfn.XLOOKUP(Table3[[#This Row],[instant]],Table1[instant],Table1[hr], ,0,1)</f>
        <v>1</v>
      </c>
      <c r="D95" s="2" t="b">
        <f>_xlfn.XLOOKUP(Table3[[#This Row],[instant]],Table1[instant],Table1[holiday], ,0,1)</f>
        <v>0</v>
      </c>
      <c r="E95" s="2">
        <f>_xlfn.XLOOKUP(Table3[[#This Row],[instant]],Table1[instant],Table1[weekday], ,0,1)</f>
        <v>3</v>
      </c>
      <c r="F95" s="2">
        <f>_xlfn.XLOOKUP(Table3[[#This Row],[instant]],Table1[instant],Table1[weathersit], ,0,1)</f>
        <v>1</v>
      </c>
      <c r="G95" s="2">
        <f>_xlfn.XLOOKUP(Table3[[#This Row],[instant]],Table1[instant],Table1[temp], ,0,1)</f>
        <v>0.16</v>
      </c>
      <c r="H95" s="24">
        <f>_xlfn.XLOOKUP(Table3[[#This Row],[instant]],Table2[instant],Table2[atemp], ,0,1)</f>
        <v>0.19700000000000001</v>
      </c>
      <c r="I95" s="1">
        <f>_xlfn.XLOOKUP(Table3[[#This Row],[instant]],Table2[instant],Table2[hum], ,0,1)</f>
        <v>0.74</v>
      </c>
      <c r="J95" s="1">
        <f>_xlfn.XLOOKUP(Table3[[#This Row],[instant]],Table2[instant],Table2[windspeed], ,0,1)</f>
        <v>8.9599999999999999E-2</v>
      </c>
      <c r="K95" s="1">
        <f>_xlfn.XLOOKUP(Table3[[#This Row],[instant]],Table2[instant],Table2[casual], ,0,1)</f>
        <v>0</v>
      </c>
      <c r="L95" s="1">
        <f>_xlfn.XLOOKUP(Table3[[#This Row],[instant]],Table2[instant],Table2[registered], ,0,1)</f>
        <v>6</v>
      </c>
      <c r="M95" s="6">
        <f>_xlfn.XLOOKUP(Table3[[#This Row],[instant]],Table2[instant],Table2[cnt], ,0,1)</f>
        <v>6</v>
      </c>
      <c r="N95" s="6" t="str">
        <f>IF(OR(Table3[[#This Row],[weekday]]=0,Table3[[#This Row],[weekday]]=6),"Weekend","Weekday")</f>
        <v>Weekday</v>
      </c>
    </row>
    <row r="96" spans="1:14" ht="15" thickBot="1" x14ac:dyDescent="0.35">
      <c r="A96" s="5">
        <v>95</v>
      </c>
      <c r="B96" s="3">
        <f>_xlfn.XLOOKUP(Table3[[#This Row],[instant]],DatSet1!A96:A705,DatSet1!B96:B705,_xlfn.XLOOKUP(Table3[[#This Row],[instant]],'Final Data'!A96:A485,'Final Data'!B96:B485, ,0,1),0,1)</f>
        <v>40548</v>
      </c>
      <c r="C96" s="1">
        <f>_xlfn.XLOOKUP(Table3[[#This Row],[instant]],Table1[instant],Table1[hr], ,0,1)</f>
        <v>2</v>
      </c>
      <c r="D96" s="2" t="b">
        <f>_xlfn.XLOOKUP(Table3[[#This Row],[instant]],Table1[instant],Table1[holiday], ,0,1)</f>
        <v>0</v>
      </c>
      <c r="E96" s="2">
        <f>_xlfn.XLOOKUP(Table3[[#This Row],[instant]],Table1[instant],Table1[weekday], ,0,1)</f>
        <v>3</v>
      </c>
      <c r="F96" s="2">
        <f>_xlfn.XLOOKUP(Table3[[#This Row],[instant]],Table1[instant],Table1[weathersit], ,0,1)</f>
        <v>1</v>
      </c>
      <c r="G96" s="2">
        <f>_xlfn.XLOOKUP(Table3[[#This Row],[instant]],Table1[instant],Table1[temp], ,0,1)</f>
        <v>0.16</v>
      </c>
      <c r="H96" s="24">
        <f>_xlfn.XLOOKUP(Table3[[#This Row],[instant]],Table2[instant],Table2[atemp], ,0,1)</f>
        <v>0.19700000000000001</v>
      </c>
      <c r="I96" s="1">
        <f>_xlfn.XLOOKUP(Table3[[#This Row],[instant]],Table2[instant],Table2[hum], ,0,1)</f>
        <v>0.74</v>
      </c>
      <c r="J96" s="1">
        <f>_xlfn.XLOOKUP(Table3[[#This Row],[instant]],Table2[instant],Table2[windspeed], ,0,1)</f>
        <v>8.9599999999999999E-2</v>
      </c>
      <c r="K96" s="1">
        <f>_xlfn.XLOOKUP(Table3[[#This Row],[instant]],Table2[instant],Table2[casual], ,0,1)</f>
        <v>0</v>
      </c>
      <c r="L96" s="1">
        <f>_xlfn.XLOOKUP(Table3[[#This Row],[instant]],Table2[instant],Table2[registered], ,0,1)</f>
        <v>2</v>
      </c>
      <c r="M96" s="6">
        <f>_xlfn.XLOOKUP(Table3[[#This Row],[instant]],Table2[instant],Table2[cnt], ,0,1)</f>
        <v>2</v>
      </c>
      <c r="N96" s="6" t="str">
        <f>IF(OR(Table3[[#This Row],[weekday]]=0,Table3[[#This Row],[weekday]]=6),"Weekend","Weekday")</f>
        <v>Weekday</v>
      </c>
    </row>
    <row r="97" spans="1:14" ht="15" thickBot="1" x14ac:dyDescent="0.35">
      <c r="A97" s="5">
        <v>96</v>
      </c>
      <c r="B97" s="3">
        <f>_xlfn.XLOOKUP(Table3[[#This Row],[instant]],DatSet1!A97:A706,DatSet1!B97:B706,_xlfn.XLOOKUP(Table3[[#This Row],[instant]],'Final Data'!A97:A486,'Final Data'!B97:B486, ,0,1),0,1)</f>
        <v>40548</v>
      </c>
      <c r="C97" s="1">
        <f>_xlfn.XLOOKUP(Table3[[#This Row],[instant]],Table1[instant],Table1[hr], ,0,1)</f>
        <v>4</v>
      </c>
      <c r="D97" s="2" t="b">
        <f>_xlfn.XLOOKUP(Table3[[#This Row],[instant]],Table1[instant],Table1[holiday], ,0,1)</f>
        <v>0</v>
      </c>
      <c r="E97" s="2">
        <f>_xlfn.XLOOKUP(Table3[[#This Row],[instant]],Table1[instant],Table1[weekday], ,0,1)</f>
        <v>3</v>
      </c>
      <c r="F97" s="2">
        <f>_xlfn.XLOOKUP(Table3[[#This Row],[instant]],Table1[instant],Table1[weathersit], ,0,1)</f>
        <v>1</v>
      </c>
      <c r="G97" s="2">
        <f>_xlfn.XLOOKUP(Table3[[#This Row],[instant]],Table1[instant],Table1[temp], ,0,1)</f>
        <v>0.24</v>
      </c>
      <c r="H97" s="24">
        <f>_xlfn.XLOOKUP(Table3[[#This Row],[instant]],Table2[instant],Table2[atemp], ,0,1)</f>
        <v>0.2273</v>
      </c>
      <c r="I97" s="1">
        <f>_xlfn.XLOOKUP(Table3[[#This Row],[instant]],Table2[instant],Table2[hum], ,0,1)</f>
        <v>0.48</v>
      </c>
      <c r="J97" s="1">
        <f>_xlfn.XLOOKUP(Table3[[#This Row],[instant]],Table2[instant],Table2[windspeed], ,0,1)</f>
        <v>0.22389999999999999</v>
      </c>
      <c r="K97" s="1">
        <f>_xlfn.XLOOKUP(Table3[[#This Row],[instant]],Table2[instant],Table2[casual], ,0,1)</f>
        <v>0</v>
      </c>
      <c r="L97" s="1">
        <f>_xlfn.XLOOKUP(Table3[[#This Row],[instant]],Table2[instant],Table2[registered], ,0,1)</f>
        <v>2</v>
      </c>
      <c r="M97" s="6">
        <f>_xlfn.XLOOKUP(Table3[[#This Row],[instant]],Table2[instant],Table2[cnt], ,0,1)</f>
        <v>2</v>
      </c>
      <c r="N97" s="6" t="str">
        <f>IF(OR(Table3[[#This Row],[weekday]]=0,Table3[[#This Row],[weekday]]=6),"Weekend","Weekday")</f>
        <v>Weekday</v>
      </c>
    </row>
    <row r="98" spans="1:14" ht="15" thickBot="1" x14ac:dyDescent="0.35">
      <c r="A98" s="5">
        <v>97</v>
      </c>
      <c r="B98" s="3">
        <f>_xlfn.XLOOKUP(Table3[[#This Row],[instant]],DatSet1!A98:A707,DatSet1!B98:B707,_xlfn.XLOOKUP(Table3[[#This Row],[instant]],'Final Data'!A98:A487,'Final Data'!B98:B487, ,0,1),0,1)</f>
        <v>40548</v>
      </c>
      <c r="C98" s="1">
        <f>_xlfn.XLOOKUP(Table3[[#This Row],[instant]],Table1[instant],Table1[hr], ,0,1)</f>
        <v>5</v>
      </c>
      <c r="D98" s="2" t="b">
        <f>_xlfn.XLOOKUP(Table3[[#This Row],[instant]],Table1[instant],Table1[holiday], ,0,1)</f>
        <v>0</v>
      </c>
      <c r="E98" s="2">
        <f>_xlfn.XLOOKUP(Table3[[#This Row],[instant]],Table1[instant],Table1[weekday], ,0,1)</f>
        <v>3</v>
      </c>
      <c r="F98" s="2">
        <f>_xlfn.XLOOKUP(Table3[[#This Row],[instant]],Table1[instant],Table1[weathersit], ,0,1)</f>
        <v>1</v>
      </c>
      <c r="G98" s="2">
        <f>_xlfn.XLOOKUP(Table3[[#This Row],[instant]],Table1[instant],Table1[temp], ,0,1)</f>
        <v>0.22</v>
      </c>
      <c r="H98" s="24">
        <f>_xlfn.XLOOKUP(Table3[[#This Row],[instant]],Table2[instant],Table2[atemp], ,0,1)</f>
        <v>0.2273</v>
      </c>
      <c r="I98" s="1">
        <f>_xlfn.XLOOKUP(Table3[[#This Row],[instant]],Table2[instant],Table2[hum], ,0,1)</f>
        <v>0.47</v>
      </c>
      <c r="J98" s="1">
        <f>_xlfn.XLOOKUP(Table3[[#This Row],[instant]],Table2[instant],Table2[windspeed], ,0,1)</f>
        <v>0.16420000000000001</v>
      </c>
      <c r="K98" s="1">
        <f>_xlfn.XLOOKUP(Table3[[#This Row],[instant]],Table2[instant],Table2[casual], ,0,1)</f>
        <v>0</v>
      </c>
      <c r="L98" s="1">
        <f>_xlfn.XLOOKUP(Table3[[#This Row],[instant]],Table2[instant],Table2[registered], ,0,1)</f>
        <v>3</v>
      </c>
      <c r="M98" s="6">
        <f>_xlfn.XLOOKUP(Table3[[#This Row],[instant]],Table2[instant],Table2[cnt], ,0,1)</f>
        <v>3</v>
      </c>
      <c r="N98" s="6" t="str">
        <f>IF(OR(Table3[[#This Row],[weekday]]=0,Table3[[#This Row],[weekday]]=6),"Weekend","Weekday")</f>
        <v>Weekday</v>
      </c>
    </row>
    <row r="99" spans="1:14" ht="15" thickBot="1" x14ac:dyDescent="0.35">
      <c r="A99" s="5">
        <v>98</v>
      </c>
      <c r="B99" s="3">
        <f>_xlfn.XLOOKUP(Table3[[#This Row],[instant]],DatSet1!A99:A708,DatSet1!B99:B708,_xlfn.XLOOKUP(Table3[[#This Row],[instant]],'Final Data'!A99:A488,'Final Data'!B99:B488, ,0,1),0,1)</f>
        <v>40548</v>
      </c>
      <c r="C99" s="1">
        <f>_xlfn.XLOOKUP(Table3[[#This Row],[instant]],Table1[instant],Table1[hr], ,0,1)</f>
        <v>6</v>
      </c>
      <c r="D99" s="2" t="b">
        <f>_xlfn.XLOOKUP(Table3[[#This Row],[instant]],Table1[instant],Table1[holiday], ,0,1)</f>
        <v>0</v>
      </c>
      <c r="E99" s="2">
        <f>_xlfn.XLOOKUP(Table3[[#This Row],[instant]],Table1[instant],Table1[weekday], ,0,1)</f>
        <v>3</v>
      </c>
      <c r="F99" s="2">
        <f>_xlfn.XLOOKUP(Table3[[#This Row],[instant]],Table1[instant],Table1[weathersit], ,0,1)</f>
        <v>1</v>
      </c>
      <c r="G99" s="2">
        <f>_xlfn.XLOOKUP(Table3[[#This Row],[instant]],Table1[instant],Table1[temp], ,0,1)</f>
        <v>0.2</v>
      </c>
      <c r="H99" s="24">
        <f>_xlfn.XLOOKUP(Table3[[#This Row],[instant]],Table2[instant],Table2[atemp], ,0,1)</f>
        <v>0.19700000000000001</v>
      </c>
      <c r="I99" s="1">
        <f>_xlfn.XLOOKUP(Table3[[#This Row],[instant]],Table2[instant],Table2[hum], ,0,1)</f>
        <v>0.47</v>
      </c>
      <c r="J99" s="1">
        <f>_xlfn.XLOOKUP(Table3[[#This Row],[instant]],Table2[instant],Table2[windspeed], ,0,1)</f>
        <v>0.22389999999999999</v>
      </c>
      <c r="K99" s="1">
        <f>_xlfn.XLOOKUP(Table3[[#This Row],[instant]],Table2[instant],Table2[casual], ,0,1)</f>
        <v>0</v>
      </c>
      <c r="L99" s="1">
        <f>_xlfn.XLOOKUP(Table3[[#This Row],[instant]],Table2[instant],Table2[registered], ,0,1)</f>
        <v>33</v>
      </c>
      <c r="M99" s="6">
        <f>_xlfn.XLOOKUP(Table3[[#This Row],[instant]],Table2[instant],Table2[cnt], ,0,1)</f>
        <v>33</v>
      </c>
      <c r="N99" s="6" t="str">
        <f>IF(OR(Table3[[#This Row],[weekday]]=0,Table3[[#This Row],[weekday]]=6),"Weekend","Weekday")</f>
        <v>Weekday</v>
      </c>
    </row>
    <row r="100" spans="1:14" ht="15" thickBot="1" x14ac:dyDescent="0.35">
      <c r="A100" s="5">
        <v>99</v>
      </c>
      <c r="B100" s="3">
        <f>_xlfn.XLOOKUP(Table3[[#This Row],[instant]],DatSet1!A100:A709,DatSet1!B100:B709,_xlfn.XLOOKUP(Table3[[#This Row],[instant]],'Final Data'!A100:A489,'Final Data'!B100:B489, ,0,1),0,1)</f>
        <v>40548</v>
      </c>
      <c r="C100" s="1">
        <f>_xlfn.XLOOKUP(Table3[[#This Row],[instant]],Table1[instant],Table1[hr], ,0,1)</f>
        <v>7</v>
      </c>
      <c r="D100" s="2" t="b">
        <f>_xlfn.XLOOKUP(Table3[[#This Row],[instant]],Table1[instant],Table1[holiday], ,0,1)</f>
        <v>0</v>
      </c>
      <c r="E100" s="2">
        <f>_xlfn.XLOOKUP(Table3[[#This Row],[instant]],Table1[instant],Table1[weekday], ,0,1)</f>
        <v>3</v>
      </c>
      <c r="F100" s="2">
        <f>_xlfn.XLOOKUP(Table3[[#This Row],[instant]],Table1[instant],Table1[weathersit], ,0,1)</f>
        <v>1</v>
      </c>
      <c r="G100" s="2">
        <f>_xlfn.XLOOKUP(Table3[[#This Row],[instant]],Table1[instant],Table1[temp], ,0,1)</f>
        <v>0.18</v>
      </c>
      <c r="H100" s="24">
        <f>_xlfn.XLOOKUP(Table3[[#This Row],[instant]],Table2[instant],Table2[atemp], ,0,1)</f>
        <v>0.18179999999999999</v>
      </c>
      <c r="I100" s="1">
        <f>_xlfn.XLOOKUP(Table3[[#This Row],[instant]],Table2[instant],Table2[hum], ,0,1)</f>
        <v>0.43</v>
      </c>
      <c r="J100" s="1">
        <f>_xlfn.XLOOKUP(Table3[[#This Row],[instant]],Table2[instant],Table2[windspeed], ,0,1)</f>
        <v>0.19400000000000001</v>
      </c>
      <c r="K100" s="1">
        <f>_xlfn.XLOOKUP(Table3[[#This Row],[instant]],Table2[instant],Table2[casual], ,0,1)</f>
        <v>1</v>
      </c>
      <c r="L100" s="1">
        <f>_xlfn.XLOOKUP(Table3[[#This Row],[instant]],Table2[instant],Table2[registered], ,0,1)</f>
        <v>87</v>
      </c>
      <c r="M100" s="6">
        <f>_xlfn.XLOOKUP(Table3[[#This Row],[instant]],Table2[instant],Table2[cnt], ,0,1)</f>
        <v>88</v>
      </c>
      <c r="N100" s="6" t="str">
        <f>IF(OR(Table3[[#This Row],[weekday]]=0,Table3[[#This Row],[weekday]]=6),"Weekend","Weekday")</f>
        <v>Weekday</v>
      </c>
    </row>
    <row r="101" spans="1:14" ht="15" thickBot="1" x14ac:dyDescent="0.35">
      <c r="A101" s="5">
        <v>100</v>
      </c>
      <c r="B101" s="3">
        <f>_xlfn.XLOOKUP(Table3[[#This Row],[instant]],DatSet1!A101:A710,DatSet1!B101:B710,_xlfn.XLOOKUP(Table3[[#This Row],[instant]],'Final Data'!A101:A490,'Final Data'!B101:B490, ,0,1),0,1)</f>
        <v>40548</v>
      </c>
      <c r="C101" s="1">
        <f>_xlfn.XLOOKUP(Table3[[#This Row],[instant]],Table1[instant],Table1[hr], ,0,1)</f>
        <v>8</v>
      </c>
      <c r="D101" s="2" t="b">
        <f>_xlfn.XLOOKUP(Table3[[#This Row],[instant]],Table1[instant],Table1[holiday], ,0,1)</f>
        <v>0</v>
      </c>
      <c r="E101" s="2">
        <f>_xlfn.XLOOKUP(Table3[[#This Row],[instant]],Table1[instant],Table1[weekday], ,0,1)</f>
        <v>3</v>
      </c>
      <c r="F101" s="2">
        <f>_xlfn.XLOOKUP(Table3[[#This Row],[instant]],Table1[instant],Table1[weathersit], ,0,1)</f>
        <v>1</v>
      </c>
      <c r="G101" s="2">
        <f>_xlfn.XLOOKUP(Table3[[#This Row],[instant]],Table1[instant],Table1[temp], ,0,1)</f>
        <v>0.2</v>
      </c>
      <c r="H101" s="24">
        <f>_xlfn.XLOOKUP(Table3[[#This Row],[instant]],Table2[instant],Table2[atemp], ,0,1)</f>
        <v>0.18179999999999999</v>
      </c>
      <c r="I101" s="1">
        <f>_xlfn.XLOOKUP(Table3[[#This Row],[instant]],Table2[instant],Table2[hum], ,0,1)</f>
        <v>0.4</v>
      </c>
      <c r="J101" s="1">
        <f>_xlfn.XLOOKUP(Table3[[#This Row],[instant]],Table2[instant],Table2[windspeed], ,0,1)</f>
        <v>0.29849999999999999</v>
      </c>
      <c r="K101" s="1">
        <f>_xlfn.XLOOKUP(Table3[[#This Row],[instant]],Table2[instant],Table2[casual], ,0,1)</f>
        <v>3</v>
      </c>
      <c r="L101" s="1">
        <f>_xlfn.XLOOKUP(Table3[[#This Row],[instant]],Table2[instant],Table2[registered], ,0,1)</f>
        <v>192</v>
      </c>
      <c r="M101" s="6">
        <f>_xlfn.XLOOKUP(Table3[[#This Row],[instant]],Table2[instant],Table2[cnt], ,0,1)</f>
        <v>195</v>
      </c>
      <c r="N101" s="6" t="str">
        <f>IF(OR(Table3[[#This Row],[weekday]]=0,Table3[[#This Row],[weekday]]=6),"Weekend","Weekday")</f>
        <v>Weekday</v>
      </c>
    </row>
    <row r="102" spans="1:14" ht="15" thickBot="1" x14ac:dyDescent="0.35">
      <c r="A102" s="5">
        <v>101</v>
      </c>
      <c r="B102" s="3">
        <f>_xlfn.XLOOKUP(Table3[[#This Row],[instant]],DatSet1!A102:A711,DatSet1!B102:B711,_xlfn.XLOOKUP(Table3[[#This Row],[instant]],'Final Data'!A102:A491,'Final Data'!B102:B491, ,0,1),0,1)</f>
        <v>40548</v>
      </c>
      <c r="C102" s="1">
        <f>_xlfn.XLOOKUP(Table3[[#This Row],[instant]],Table1[instant],Table1[hr], ,0,1)</f>
        <v>9</v>
      </c>
      <c r="D102" s="2" t="b">
        <f>_xlfn.XLOOKUP(Table3[[#This Row],[instant]],Table1[instant],Table1[holiday], ,0,1)</f>
        <v>0</v>
      </c>
      <c r="E102" s="2">
        <f>_xlfn.XLOOKUP(Table3[[#This Row],[instant]],Table1[instant],Table1[weekday], ,0,1)</f>
        <v>3</v>
      </c>
      <c r="F102" s="2">
        <f>_xlfn.XLOOKUP(Table3[[#This Row],[instant]],Table1[instant],Table1[weathersit], ,0,1)</f>
        <v>1</v>
      </c>
      <c r="G102" s="2">
        <f>_xlfn.XLOOKUP(Table3[[#This Row],[instant]],Table1[instant],Table1[temp], ,0,1)</f>
        <v>0.22</v>
      </c>
      <c r="H102" s="24">
        <f>_xlfn.XLOOKUP(Table3[[#This Row],[instant]],Table2[instant],Table2[atemp], ,0,1)</f>
        <v>0.19700000000000001</v>
      </c>
      <c r="I102" s="1">
        <f>_xlfn.XLOOKUP(Table3[[#This Row],[instant]],Table2[instant],Table2[hum], ,0,1)</f>
        <v>0.37</v>
      </c>
      <c r="J102" s="1">
        <f>_xlfn.XLOOKUP(Table3[[#This Row],[instant]],Table2[instant],Table2[windspeed], ,0,1)</f>
        <v>0.32840000000000003</v>
      </c>
      <c r="K102" s="1">
        <f>_xlfn.XLOOKUP(Table3[[#This Row],[instant]],Table2[instant],Table2[casual], ,0,1)</f>
        <v>6</v>
      </c>
      <c r="L102" s="1">
        <f>_xlfn.XLOOKUP(Table3[[#This Row],[instant]],Table2[instant],Table2[registered], ,0,1)</f>
        <v>109</v>
      </c>
      <c r="M102" s="6">
        <f>_xlfn.XLOOKUP(Table3[[#This Row],[instant]],Table2[instant],Table2[cnt], ,0,1)</f>
        <v>115</v>
      </c>
      <c r="N102" s="6" t="str">
        <f>IF(OR(Table3[[#This Row],[weekday]]=0,Table3[[#This Row],[weekday]]=6),"Weekend","Weekday")</f>
        <v>Weekday</v>
      </c>
    </row>
    <row r="103" spans="1:14" ht="15" thickBot="1" x14ac:dyDescent="0.35">
      <c r="A103" s="5">
        <v>102</v>
      </c>
      <c r="B103" s="3">
        <f>_xlfn.XLOOKUP(Table3[[#This Row],[instant]],DatSet1!A103:A712,DatSet1!B103:B712,_xlfn.XLOOKUP(Table3[[#This Row],[instant]],'Final Data'!A103:A492,'Final Data'!B103:B492, ,0,1),0,1)</f>
        <v>40548</v>
      </c>
      <c r="C103" s="1">
        <f>_xlfn.XLOOKUP(Table3[[#This Row],[instant]],Table1[instant],Table1[hr], ,0,1)</f>
        <v>10</v>
      </c>
      <c r="D103" s="2" t="b">
        <f>_xlfn.XLOOKUP(Table3[[#This Row],[instant]],Table1[instant],Table1[holiday], ,0,1)</f>
        <v>0</v>
      </c>
      <c r="E103" s="2">
        <f>_xlfn.XLOOKUP(Table3[[#This Row],[instant]],Table1[instant],Table1[weekday], ,0,1)</f>
        <v>3</v>
      </c>
      <c r="F103" s="2">
        <f>_xlfn.XLOOKUP(Table3[[#This Row],[instant]],Table1[instant],Table1[weathersit], ,0,1)</f>
        <v>1</v>
      </c>
      <c r="G103" s="2">
        <f>_xlfn.XLOOKUP(Table3[[#This Row],[instant]],Table1[instant],Table1[temp], ,0,1)</f>
        <v>0.22</v>
      </c>
      <c r="H103" s="24">
        <f>_xlfn.XLOOKUP(Table3[[#This Row],[instant]],Table2[instant],Table2[atemp], ,0,1)</f>
        <v>0.19700000000000001</v>
      </c>
      <c r="I103" s="1">
        <f>_xlfn.XLOOKUP(Table3[[#This Row],[instant]],Table2[instant],Table2[hum], ,0,1)</f>
        <v>0.37</v>
      </c>
      <c r="J103" s="1">
        <f>_xlfn.XLOOKUP(Table3[[#This Row],[instant]],Table2[instant],Table2[windspeed], ,0,1)</f>
        <v>0.32840000000000003</v>
      </c>
      <c r="K103" s="1">
        <f>_xlfn.XLOOKUP(Table3[[#This Row],[instant]],Table2[instant],Table2[casual], ,0,1)</f>
        <v>4</v>
      </c>
      <c r="L103" s="1">
        <f>_xlfn.XLOOKUP(Table3[[#This Row],[instant]],Table2[instant],Table2[registered], ,0,1)</f>
        <v>53</v>
      </c>
      <c r="M103" s="6">
        <f>_xlfn.XLOOKUP(Table3[[#This Row],[instant]],Table2[instant],Table2[cnt], ,0,1)</f>
        <v>57</v>
      </c>
      <c r="N103" s="6" t="str">
        <f>IF(OR(Table3[[#This Row],[weekday]]=0,Table3[[#This Row],[weekday]]=6),"Weekend","Weekday")</f>
        <v>Weekday</v>
      </c>
    </row>
    <row r="104" spans="1:14" ht="15" thickBot="1" x14ac:dyDescent="0.35">
      <c r="A104" s="5">
        <v>103</v>
      </c>
      <c r="B104" s="3">
        <f>_xlfn.XLOOKUP(Table3[[#This Row],[instant]],DatSet1!A104:A713,DatSet1!B104:B713,_xlfn.XLOOKUP(Table3[[#This Row],[instant]],'Final Data'!A104:A493,'Final Data'!B104:B493, ,0,1),0,1)</f>
        <v>40548</v>
      </c>
      <c r="C104" s="1">
        <f>_xlfn.XLOOKUP(Table3[[#This Row],[instant]],Table1[instant],Table1[hr], ,0,1)</f>
        <v>11</v>
      </c>
      <c r="D104" s="2" t="b">
        <f>_xlfn.XLOOKUP(Table3[[#This Row],[instant]],Table1[instant],Table1[holiday], ,0,1)</f>
        <v>0</v>
      </c>
      <c r="E104" s="2">
        <f>_xlfn.XLOOKUP(Table3[[#This Row],[instant]],Table1[instant],Table1[weekday], ,0,1)</f>
        <v>3</v>
      </c>
      <c r="F104" s="2">
        <f>_xlfn.XLOOKUP(Table3[[#This Row],[instant]],Table1[instant],Table1[weathersit], ,0,1)</f>
        <v>1</v>
      </c>
      <c r="G104" s="2">
        <f>_xlfn.XLOOKUP(Table3[[#This Row],[instant]],Table1[instant],Table1[temp], ,0,1)</f>
        <v>0.26</v>
      </c>
      <c r="H104" s="24">
        <f>_xlfn.XLOOKUP(Table3[[#This Row],[instant]],Table2[instant],Table2[atemp], ,0,1)</f>
        <v>0.2273</v>
      </c>
      <c r="I104" s="1">
        <f>_xlfn.XLOOKUP(Table3[[#This Row],[instant]],Table2[instant],Table2[hum], ,0,1)</f>
        <v>0.33</v>
      </c>
      <c r="J104" s="1">
        <f>_xlfn.XLOOKUP(Table3[[#This Row],[instant]],Table2[instant],Table2[windspeed], ,0,1)</f>
        <v>0.32840000000000003</v>
      </c>
      <c r="K104" s="1">
        <f>_xlfn.XLOOKUP(Table3[[#This Row],[instant]],Table2[instant],Table2[casual], ,0,1)</f>
        <v>12</v>
      </c>
      <c r="L104" s="1">
        <f>_xlfn.XLOOKUP(Table3[[#This Row],[instant]],Table2[instant],Table2[registered], ,0,1)</f>
        <v>34</v>
      </c>
      <c r="M104" s="6">
        <f>_xlfn.XLOOKUP(Table3[[#This Row],[instant]],Table2[instant],Table2[cnt], ,0,1)</f>
        <v>46</v>
      </c>
      <c r="N104" s="6" t="str">
        <f>IF(OR(Table3[[#This Row],[weekday]]=0,Table3[[#This Row],[weekday]]=6),"Weekend","Weekday")</f>
        <v>Weekday</v>
      </c>
    </row>
    <row r="105" spans="1:14" ht="15" thickBot="1" x14ac:dyDescent="0.35">
      <c r="A105" s="5">
        <v>104</v>
      </c>
      <c r="B105" s="3">
        <f>_xlfn.XLOOKUP(Table3[[#This Row],[instant]],DatSet1!A105:A714,DatSet1!B105:B714,_xlfn.XLOOKUP(Table3[[#This Row],[instant]],'Final Data'!A105:A494,'Final Data'!B105:B494, ,0,1),0,1)</f>
        <v>40548</v>
      </c>
      <c r="C105" s="1">
        <f>_xlfn.XLOOKUP(Table3[[#This Row],[instant]],Table1[instant],Table1[hr], ,0,1)</f>
        <v>12</v>
      </c>
      <c r="D105" s="2" t="b">
        <f>_xlfn.XLOOKUP(Table3[[#This Row],[instant]],Table1[instant],Table1[holiday], ,0,1)</f>
        <v>0</v>
      </c>
      <c r="E105" s="2">
        <f>_xlfn.XLOOKUP(Table3[[#This Row],[instant]],Table1[instant],Table1[weekday], ,0,1)</f>
        <v>3</v>
      </c>
      <c r="F105" s="2">
        <f>_xlfn.XLOOKUP(Table3[[#This Row],[instant]],Table1[instant],Table1[weathersit], ,0,1)</f>
        <v>1</v>
      </c>
      <c r="G105" s="2">
        <f>_xlfn.XLOOKUP(Table3[[#This Row],[instant]],Table1[instant],Table1[temp], ,0,1)</f>
        <v>0.26</v>
      </c>
      <c r="H105" s="24">
        <f>_xlfn.XLOOKUP(Table3[[#This Row],[instant]],Table2[instant],Table2[atemp], ,0,1)</f>
        <v>0.2273</v>
      </c>
      <c r="I105" s="1">
        <f>_xlfn.XLOOKUP(Table3[[#This Row],[instant]],Table2[instant],Table2[hum], ,0,1)</f>
        <v>0.33</v>
      </c>
      <c r="J105" s="1">
        <f>_xlfn.XLOOKUP(Table3[[#This Row],[instant]],Table2[instant],Table2[windspeed], ,0,1)</f>
        <v>0.32840000000000003</v>
      </c>
      <c r="K105" s="1">
        <f>_xlfn.XLOOKUP(Table3[[#This Row],[instant]],Table2[instant],Table2[casual], ,0,1)</f>
        <v>5</v>
      </c>
      <c r="L105" s="1">
        <f>_xlfn.XLOOKUP(Table3[[#This Row],[instant]],Table2[instant],Table2[registered], ,0,1)</f>
        <v>74</v>
      </c>
      <c r="M105" s="6">
        <f>_xlfn.XLOOKUP(Table3[[#This Row],[instant]],Table2[instant],Table2[cnt], ,0,1)</f>
        <v>79</v>
      </c>
      <c r="N105" s="6" t="str">
        <f>IF(OR(Table3[[#This Row],[weekday]]=0,Table3[[#This Row],[weekday]]=6),"Weekend","Weekday")</f>
        <v>Weekday</v>
      </c>
    </row>
    <row r="106" spans="1:14" ht="15" thickBot="1" x14ac:dyDescent="0.35">
      <c r="A106" s="5">
        <v>105</v>
      </c>
      <c r="B106" s="3">
        <f>_xlfn.XLOOKUP(Table3[[#This Row],[instant]],DatSet1!A106:A715,DatSet1!B106:B715,_xlfn.XLOOKUP(Table3[[#This Row],[instant]],'Final Data'!A106:A495,'Final Data'!B106:B495, ,0,1),0,1)</f>
        <v>40548</v>
      </c>
      <c r="C106" s="1">
        <f>_xlfn.XLOOKUP(Table3[[#This Row],[instant]],Table1[instant],Table1[hr], ,0,1)</f>
        <v>13</v>
      </c>
      <c r="D106" s="2" t="b">
        <f>_xlfn.XLOOKUP(Table3[[#This Row],[instant]],Table1[instant],Table1[holiday], ,0,1)</f>
        <v>0</v>
      </c>
      <c r="E106" s="2">
        <f>_xlfn.XLOOKUP(Table3[[#This Row],[instant]],Table1[instant],Table1[weekday], ,0,1)</f>
        <v>3</v>
      </c>
      <c r="F106" s="2">
        <f>_xlfn.XLOOKUP(Table3[[#This Row],[instant]],Table1[instant],Table1[weathersit], ,0,1)</f>
        <v>1</v>
      </c>
      <c r="G106" s="2">
        <f>_xlfn.XLOOKUP(Table3[[#This Row],[instant]],Table1[instant],Table1[temp], ,0,1)</f>
        <v>0.28000000000000003</v>
      </c>
      <c r="H106" s="24">
        <f>_xlfn.XLOOKUP(Table3[[#This Row],[instant]],Table2[instant],Table2[atemp], ,0,1)</f>
        <v>0.2576</v>
      </c>
      <c r="I106" s="1">
        <f>_xlfn.XLOOKUP(Table3[[#This Row],[instant]],Table2[instant],Table2[hum], ,0,1)</f>
        <v>0.3</v>
      </c>
      <c r="J106" s="1">
        <f>_xlfn.XLOOKUP(Table3[[#This Row],[instant]],Table2[instant],Table2[windspeed], ,0,1)</f>
        <v>0.29849999999999999</v>
      </c>
      <c r="K106" s="1">
        <f>_xlfn.XLOOKUP(Table3[[#This Row],[instant]],Table2[instant],Table2[casual], ,0,1)</f>
        <v>6</v>
      </c>
      <c r="L106" s="1">
        <f>_xlfn.XLOOKUP(Table3[[#This Row],[instant]],Table2[instant],Table2[registered], ,0,1)</f>
        <v>65</v>
      </c>
      <c r="M106" s="6">
        <f>_xlfn.XLOOKUP(Table3[[#This Row],[instant]],Table2[instant],Table2[cnt], ,0,1)</f>
        <v>71</v>
      </c>
      <c r="N106" s="6" t="str">
        <f>IF(OR(Table3[[#This Row],[weekday]]=0,Table3[[#This Row],[weekday]]=6),"Weekend","Weekday")</f>
        <v>Weekday</v>
      </c>
    </row>
    <row r="107" spans="1:14" ht="15" thickBot="1" x14ac:dyDescent="0.35">
      <c r="A107" s="5">
        <v>106</v>
      </c>
      <c r="B107" s="3">
        <f>_xlfn.XLOOKUP(Table3[[#This Row],[instant]],DatSet1!A107:A716,DatSet1!B107:B716,_xlfn.XLOOKUP(Table3[[#This Row],[instant]],'Final Data'!A107:A496,'Final Data'!B107:B496, ,0,1),0,1)</f>
        <v>40548</v>
      </c>
      <c r="C107" s="1">
        <f>_xlfn.XLOOKUP(Table3[[#This Row],[instant]],Table1[instant],Table1[hr], ,0,1)</f>
        <v>14</v>
      </c>
      <c r="D107" s="2" t="b">
        <f>_xlfn.XLOOKUP(Table3[[#This Row],[instant]],Table1[instant],Table1[holiday], ,0,1)</f>
        <v>0</v>
      </c>
      <c r="E107" s="2">
        <f>_xlfn.XLOOKUP(Table3[[#This Row],[instant]],Table1[instant],Table1[weekday], ,0,1)</f>
        <v>3</v>
      </c>
      <c r="F107" s="2">
        <f>_xlfn.XLOOKUP(Table3[[#This Row],[instant]],Table1[instant],Table1[weathersit], ,0,1)</f>
        <v>1</v>
      </c>
      <c r="G107" s="2">
        <f>_xlfn.XLOOKUP(Table3[[#This Row],[instant]],Table1[instant],Table1[temp], ,0,1)</f>
        <v>0.3</v>
      </c>
      <c r="H107" s="24">
        <f>_xlfn.XLOOKUP(Table3[[#This Row],[instant]],Table2[instant],Table2[atemp], ,0,1)</f>
        <v>0.28789999999999999</v>
      </c>
      <c r="I107" s="1">
        <f>_xlfn.XLOOKUP(Table3[[#This Row],[instant]],Table2[instant],Table2[hum], ,0,1)</f>
        <v>0.28000000000000003</v>
      </c>
      <c r="J107" s="1">
        <f>_xlfn.XLOOKUP(Table3[[#This Row],[instant]],Table2[instant],Table2[windspeed], ,0,1)</f>
        <v>0.19400000000000001</v>
      </c>
      <c r="K107" s="1">
        <f>_xlfn.XLOOKUP(Table3[[#This Row],[instant]],Table2[instant],Table2[casual], ,0,1)</f>
        <v>10</v>
      </c>
      <c r="L107" s="1">
        <f>_xlfn.XLOOKUP(Table3[[#This Row],[instant]],Table2[instant],Table2[registered], ,0,1)</f>
        <v>52</v>
      </c>
      <c r="M107" s="6">
        <f>_xlfn.XLOOKUP(Table3[[#This Row],[instant]],Table2[instant],Table2[cnt], ,0,1)</f>
        <v>62</v>
      </c>
      <c r="N107" s="6" t="str">
        <f>IF(OR(Table3[[#This Row],[weekday]]=0,Table3[[#This Row],[weekday]]=6),"Weekend","Weekday")</f>
        <v>Weekday</v>
      </c>
    </row>
    <row r="108" spans="1:14" ht="15" thickBot="1" x14ac:dyDescent="0.35">
      <c r="A108" s="5">
        <v>107</v>
      </c>
      <c r="B108" s="3">
        <f>_xlfn.XLOOKUP(Table3[[#This Row],[instant]],DatSet1!A108:A717,DatSet1!B108:B717,_xlfn.XLOOKUP(Table3[[#This Row],[instant]],'Final Data'!A108:A497,'Final Data'!B108:B497, ,0,1),0,1)</f>
        <v>40548</v>
      </c>
      <c r="C108" s="1">
        <f>_xlfn.XLOOKUP(Table3[[#This Row],[instant]],Table1[instant],Table1[hr], ,0,1)</f>
        <v>15</v>
      </c>
      <c r="D108" s="2" t="b">
        <f>_xlfn.XLOOKUP(Table3[[#This Row],[instant]],Table1[instant],Table1[holiday], ,0,1)</f>
        <v>0</v>
      </c>
      <c r="E108" s="2">
        <f>_xlfn.XLOOKUP(Table3[[#This Row],[instant]],Table1[instant],Table1[weekday], ,0,1)</f>
        <v>3</v>
      </c>
      <c r="F108" s="2">
        <f>_xlfn.XLOOKUP(Table3[[#This Row],[instant]],Table1[instant],Table1[weathersit], ,0,1)</f>
        <v>1</v>
      </c>
      <c r="G108" s="2">
        <f>_xlfn.XLOOKUP(Table3[[#This Row],[instant]],Table1[instant],Table1[temp], ,0,1)</f>
        <v>0.3</v>
      </c>
      <c r="H108" s="24">
        <f>_xlfn.XLOOKUP(Table3[[#This Row],[instant]],Table2[instant],Table2[atemp], ,0,1)</f>
        <v>0.28789999999999999</v>
      </c>
      <c r="I108" s="1">
        <f>_xlfn.XLOOKUP(Table3[[#This Row],[instant]],Table2[instant],Table2[hum], ,0,1)</f>
        <v>0.28000000000000003</v>
      </c>
      <c r="J108" s="1">
        <f>_xlfn.XLOOKUP(Table3[[#This Row],[instant]],Table2[instant],Table2[windspeed], ,0,1)</f>
        <v>0.19400000000000001</v>
      </c>
      <c r="K108" s="1">
        <f>_xlfn.XLOOKUP(Table3[[#This Row],[instant]],Table2[instant],Table2[casual], ,0,1)</f>
        <v>7</v>
      </c>
      <c r="L108" s="1">
        <f>_xlfn.XLOOKUP(Table3[[#This Row],[instant]],Table2[instant],Table2[registered], ,0,1)</f>
        <v>55</v>
      </c>
      <c r="M108" s="6">
        <f>_xlfn.XLOOKUP(Table3[[#This Row],[instant]],Table2[instant],Table2[cnt], ,0,1)</f>
        <v>62</v>
      </c>
      <c r="N108" s="6" t="str">
        <f>IF(OR(Table3[[#This Row],[weekday]]=0,Table3[[#This Row],[weekday]]=6),"Weekend","Weekday")</f>
        <v>Weekday</v>
      </c>
    </row>
    <row r="109" spans="1:14" ht="15" thickBot="1" x14ac:dyDescent="0.35">
      <c r="A109" s="5">
        <v>108</v>
      </c>
      <c r="B109" s="3">
        <f>_xlfn.XLOOKUP(Table3[[#This Row],[instant]],DatSet1!A109:A718,DatSet1!B109:B718,_xlfn.XLOOKUP(Table3[[#This Row],[instant]],'Final Data'!A109:A498,'Final Data'!B109:B498, ,0,1),0,1)</f>
        <v>40548</v>
      </c>
      <c r="C109" s="1">
        <f>_xlfn.XLOOKUP(Table3[[#This Row],[instant]],Table1[instant],Table1[hr], ,0,1)</f>
        <v>16</v>
      </c>
      <c r="D109" s="2" t="b">
        <f>_xlfn.XLOOKUP(Table3[[#This Row],[instant]],Table1[instant],Table1[holiday], ,0,1)</f>
        <v>0</v>
      </c>
      <c r="E109" s="2">
        <f>_xlfn.XLOOKUP(Table3[[#This Row],[instant]],Table1[instant],Table1[weekday], ,0,1)</f>
        <v>3</v>
      </c>
      <c r="F109" s="2">
        <f>_xlfn.XLOOKUP(Table3[[#This Row],[instant]],Table1[instant],Table1[weathersit], ,0,1)</f>
        <v>1</v>
      </c>
      <c r="G109" s="2">
        <f>_xlfn.XLOOKUP(Table3[[#This Row],[instant]],Table1[instant],Table1[temp], ,0,1)</f>
        <v>0.3</v>
      </c>
      <c r="H109" s="24">
        <f>_xlfn.XLOOKUP(Table3[[#This Row],[instant]],Table2[instant],Table2[atemp], ,0,1)</f>
        <v>0.31819999999999998</v>
      </c>
      <c r="I109" s="1">
        <f>_xlfn.XLOOKUP(Table3[[#This Row],[instant]],Table2[instant],Table2[hum], ,0,1)</f>
        <v>0.28000000000000003</v>
      </c>
      <c r="J109" s="1">
        <f>_xlfn.XLOOKUP(Table3[[#This Row],[instant]],Table2[instant],Table2[windspeed], ,0,1)</f>
        <v>8.9599999999999999E-2</v>
      </c>
      <c r="K109" s="1">
        <f>_xlfn.XLOOKUP(Table3[[#This Row],[instant]],Table2[instant],Table2[casual], ,0,1)</f>
        <v>4</v>
      </c>
      <c r="L109" s="1">
        <f>_xlfn.XLOOKUP(Table3[[#This Row],[instant]],Table2[instant],Table2[registered], ,0,1)</f>
        <v>85</v>
      </c>
      <c r="M109" s="6">
        <f>_xlfn.XLOOKUP(Table3[[#This Row],[instant]],Table2[instant],Table2[cnt], ,0,1)</f>
        <v>89</v>
      </c>
      <c r="N109" s="6" t="str">
        <f>IF(OR(Table3[[#This Row],[weekday]]=0,Table3[[#This Row],[weekday]]=6),"Weekend","Weekday")</f>
        <v>Weekday</v>
      </c>
    </row>
    <row r="110" spans="1:14" ht="15" thickBot="1" x14ac:dyDescent="0.35">
      <c r="A110" s="5">
        <v>109</v>
      </c>
      <c r="B110" s="3">
        <f>_xlfn.XLOOKUP(Table3[[#This Row],[instant]],DatSet1!A110:A719,DatSet1!B110:B719,_xlfn.XLOOKUP(Table3[[#This Row],[instant]],'Final Data'!A110:A499,'Final Data'!B110:B499, ,0,1),0,1)</f>
        <v>40548</v>
      </c>
      <c r="C110" s="1">
        <f>_xlfn.XLOOKUP(Table3[[#This Row],[instant]],Table1[instant],Table1[hr], ,0,1)</f>
        <v>17</v>
      </c>
      <c r="D110" s="2" t="b">
        <f>_xlfn.XLOOKUP(Table3[[#This Row],[instant]],Table1[instant],Table1[holiday], ,0,1)</f>
        <v>0</v>
      </c>
      <c r="E110" s="2">
        <f>_xlfn.XLOOKUP(Table3[[#This Row],[instant]],Table1[instant],Table1[weekday], ,0,1)</f>
        <v>3</v>
      </c>
      <c r="F110" s="2">
        <f>_xlfn.XLOOKUP(Table3[[#This Row],[instant]],Table1[instant],Table1[weathersit], ,0,1)</f>
        <v>1</v>
      </c>
      <c r="G110" s="2">
        <f>_xlfn.XLOOKUP(Table3[[#This Row],[instant]],Table1[instant],Table1[temp], ,0,1)</f>
        <v>0.24</v>
      </c>
      <c r="H110" s="24">
        <f>_xlfn.XLOOKUP(Table3[[#This Row],[instant]],Table2[instant],Table2[atemp], ,0,1)</f>
        <v>0.2273</v>
      </c>
      <c r="I110" s="1">
        <f>_xlfn.XLOOKUP(Table3[[#This Row],[instant]],Table2[instant],Table2[hum], ,0,1)</f>
        <v>0.38</v>
      </c>
      <c r="J110" s="1">
        <f>_xlfn.XLOOKUP(Table3[[#This Row],[instant]],Table2[instant],Table2[windspeed], ,0,1)</f>
        <v>0.19400000000000001</v>
      </c>
      <c r="K110" s="1">
        <f>_xlfn.XLOOKUP(Table3[[#This Row],[instant]],Table2[instant],Table2[casual], ,0,1)</f>
        <v>4</v>
      </c>
      <c r="L110" s="1">
        <f>_xlfn.XLOOKUP(Table3[[#This Row],[instant]],Table2[instant],Table2[registered], ,0,1)</f>
        <v>186</v>
      </c>
      <c r="M110" s="6">
        <f>_xlfn.XLOOKUP(Table3[[#This Row],[instant]],Table2[instant],Table2[cnt], ,0,1)</f>
        <v>190</v>
      </c>
      <c r="N110" s="6" t="str">
        <f>IF(OR(Table3[[#This Row],[weekday]]=0,Table3[[#This Row],[weekday]]=6),"Weekend","Weekday")</f>
        <v>Weekday</v>
      </c>
    </row>
    <row r="111" spans="1:14" ht="15" thickBot="1" x14ac:dyDescent="0.35">
      <c r="A111" s="5">
        <v>110</v>
      </c>
      <c r="B111" s="3">
        <f>_xlfn.XLOOKUP(Table3[[#This Row],[instant]],DatSet1!A111:A720,DatSet1!B111:B720,_xlfn.XLOOKUP(Table3[[#This Row],[instant]],'Final Data'!A111:A500,'Final Data'!B111:B500, ,0,1),0,1)</f>
        <v>40548</v>
      </c>
      <c r="C111" s="1">
        <f>_xlfn.XLOOKUP(Table3[[#This Row],[instant]],Table1[instant],Table1[hr], ,0,1)</f>
        <v>18</v>
      </c>
      <c r="D111" s="2" t="b">
        <f>_xlfn.XLOOKUP(Table3[[#This Row],[instant]],Table1[instant],Table1[holiday], ,0,1)</f>
        <v>0</v>
      </c>
      <c r="E111" s="2">
        <f>_xlfn.XLOOKUP(Table3[[#This Row],[instant]],Table1[instant],Table1[weekday], ,0,1)</f>
        <v>3</v>
      </c>
      <c r="F111" s="2">
        <f>_xlfn.XLOOKUP(Table3[[#This Row],[instant]],Table1[instant],Table1[weathersit], ,0,1)</f>
        <v>1</v>
      </c>
      <c r="G111" s="2">
        <f>_xlfn.XLOOKUP(Table3[[#This Row],[instant]],Table1[instant],Table1[temp], ,0,1)</f>
        <v>0.24</v>
      </c>
      <c r="H111" s="24">
        <f>_xlfn.XLOOKUP(Table3[[#This Row],[instant]],Table2[instant],Table2[atemp], ,0,1)</f>
        <v>0.2424</v>
      </c>
      <c r="I111" s="1">
        <f>_xlfn.XLOOKUP(Table3[[#This Row],[instant]],Table2[instant],Table2[hum], ,0,1)</f>
        <v>0.38</v>
      </c>
      <c r="J111" s="1">
        <f>_xlfn.XLOOKUP(Table3[[#This Row],[instant]],Table2[instant],Table2[windspeed], ,0,1)</f>
        <v>0.1343</v>
      </c>
      <c r="K111" s="1">
        <f>_xlfn.XLOOKUP(Table3[[#This Row],[instant]],Table2[instant],Table2[casual], ,0,1)</f>
        <v>3</v>
      </c>
      <c r="L111" s="1">
        <f>_xlfn.XLOOKUP(Table3[[#This Row],[instant]],Table2[instant],Table2[registered], ,0,1)</f>
        <v>166</v>
      </c>
      <c r="M111" s="6">
        <f>_xlfn.XLOOKUP(Table3[[#This Row],[instant]],Table2[instant],Table2[cnt], ,0,1)</f>
        <v>169</v>
      </c>
      <c r="N111" s="6" t="str">
        <f>IF(OR(Table3[[#This Row],[weekday]]=0,Table3[[#This Row],[weekday]]=6),"Weekend","Weekday")</f>
        <v>Weekday</v>
      </c>
    </row>
    <row r="112" spans="1:14" ht="15" thickBot="1" x14ac:dyDescent="0.35">
      <c r="A112" s="5">
        <v>111</v>
      </c>
      <c r="B112" s="3">
        <f>_xlfn.XLOOKUP(Table3[[#This Row],[instant]],DatSet1!A112:A721,DatSet1!B112:B721,_xlfn.XLOOKUP(Table3[[#This Row],[instant]],'Final Data'!A112:A501,'Final Data'!B112:B501, ,0,1),0,1)</f>
        <v>40548</v>
      </c>
      <c r="C112" s="1">
        <f>_xlfn.XLOOKUP(Table3[[#This Row],[instant]],Table1[instant],Table1[hr], ,0,1)</f>
        <v>19</v>
      </c>
      <c r="D112" s="2" t="b">
        <f>_xlfn.XLOOKUP(Table3[[#This Row],[instant]],Table1[instant],Table1[holiday], ,0,1)</f>
        <v>0</v>
      </c>
      <c r="E112" s="2">
        <f>_xlfn.XLOOKUP(Table3[[#This Row],[instant]],Table1[instant],Table1[weekday], ,0,1)</f>
        <v>3</v>
      </c>
      <c r="F112" s="2">
        <f>_xlfn.XLOOKUP(Table3[[#This Row],[instant]],Table1[instant],Table1[weathersit], ,0,1)</f>
        <v>1</v>
      </c>
      <c r="G112" s="2">
        <f>_xlfn.XLOOKUP(Table3[[#This Row],[instant]],Table1[instant],Table1[temp], ,0,1)</f>
        <v>0.24</v>
      </c>
      <c r="H112" s="24">
        <f>_xlfn.XLOOKUP(Table3[[#This Row],[instant]],Table2[instant],Table2[atemp], ,0,1)</f>
        <v>0.2576</v>
      </c>
      <c r="I112" s="1">
        <f>_xlfn.XLOOKUP(Table3[[#This Row],[instant]],Table2[instant],Table2[hum], ,0,1)</f>
        <v>0.38</v>
      </c>
      <c r="J112" s="1">
        <f>_xlfn.XLOOKUP(Table3[[#This Row],[instant]],Table2[instant],Table2[windspeed], ,0,1)</f>
        <v>0.1045</v>
      </c>
      <c r="K112" s="1">
        <f>_xlfn.XLOOKUP(Table3[[#This Row],[instant]],Table2[instant],Table2[casual], ,0,1)</f>
        <v>5</v>
      </c>
      <c r="L112" s="1">
        <f>_xlfn.XLOOKUP(Table3[[#This Row],[instant]],Table2[instant],Table2[registered], ,0,1)</f>
        <v>127</v>
      </c>
      <c r="M112" s="6">
        <f>_xlfn.XLOOKUP(Table3[[#This Row],[instant]],Table2[instant],Table2[cnt], ,0,1)</f>
        <v>132</v>
      </c>
      <c r="N112" s="6" t="str">
        <f>IF(OR(Table3[[#This Row],[weekday]]=0,Table3[[#This Row],[weekday]]=6),"Weekend","Weekday")</f>
        <v>Weekday</v>
      </c>
    </row>
    <row r="113" spans="1:14" ht="15" thickBot="1" x14ac:dyDescent="0.35">
      <c r="A113" s="5">
        <v>112</v>
      </c>
      <c r="B113" s="3">
        <f>_xlfn.XLOOKUP(Table3[[#This Row],[instant]],DatSet1!A113:A722,DatSet1!B113:B722,_xlfn.XLOOKUP(Table3[[#This Row],[instant]],'Final Data'!A113:A502,'Final Data'!B113:B502, ,0,1),0,1)</f>
        <v>40548</v>
      </c>
      <c r="C113" s="1">
        <f>_xlfn.XLOOKUP(Table3[[#This Row],[instant]],Table1[instant],Table1[hr], ,0,1)</f>
        <v>20</v>
      </c>
      <c r="D113" s="2" t="b">
        <f>_xlfn.XLOOKUP(Table3[[#This Row],[instant]],Table1[instant],Table1[holiday], ,0,1)</f>
        <v>0</v>
      </c>
      <c r="E113" s="2">
        <f>_xlfn.XLOOKUP(Table3[[#This Row],[instant]],Table1[instant],Table1[weekday], ,0,1)</f>
        <v>3</v>
      </c>
      <c r="F113" s="2">
        <f>_xlfn.XLOOKUP(Table3[[#This Row],[instant]],Table1[instant],Table1[weathersit], ,0,1)</f>
        <v>1</v>
      </c>
      <c r="G113" s="2">
        <f>_xlfn.XLOOKUP(Table3[[#This Row],[instant]],Table1[instant],Table1[temp], ,0,1)</f>
        <v>0.22</v>
      </c>
      <c r="H113" s="24">
        <f>_xlfn.XLOOKUP(Table3[[#This Row],[instant]],Table2[instant],Table2[atemp], ,0,1)</f>
        <v>0.2273</v>
      </c>
      <c r="I113" s="1">
        <f>_xlfn.XLOOKUP(Table3[[#This Row],[instant]],Table2[instant],Table2[hum], ,0,1)</f>
        <v>0.47</v>
      </c>
      <c r="J113" s="1">
        <f>_xlfn.XLOOKUP(Table3[[#This Row],[instant]],Table2[instant],Table2[windspeed], ,0,1)</f>
        <v>0.16420000000000001</v>
      </c>
      <c r="K113" s="1">
        <f>_xlfn.XLOOKUP(Table3[[#This Row],[instant]],Table2[instant],Table2[casual], ,0,1)</f>
        <v>7</v>
      </c>
      <c r="L113" s="1">
        <f>_xlfn.XLOOKUP(Table3[[#This Row],[instant]],Table2[instant],Table2[registered], ,0,1)</f>
        <v>82</v>
      </c>
      <c r="M113" s="6">
        <f>_xlfn.XLOOKUP(Table3[[#This Row],[instant]],Table2[instant],Table2[cnt], ,0,1)</f>
        <v>89</v>
      </c>
      <c r="N113" s="6" t="str">
        <f>IF(OR(Table3[[#This Row],[weekday]]=0,Table3[[#This Row],[weekday]]=6),"Weekend","Weekday")</f>
        <v>Weekday</v>
      </c>
    </row>
    <row r="114" spans="1:14" ht="15" thickBot="1" x14ac:dyDescent="0.35">
      <c r="A114" s="5">
        <v>113</v>
      </c>
      <c r="B114" s="3">
        <f>_xlfn.XLOOKUP(Table3[[#This Row],[instant]],DatSet1!A114:A723,DatSet1!B114:B723,_xlfn.XLOOKUP(Table3[[#This Row],[instant]],'Final Data'!A114:A503,'Final Data'!B114:B503, ,0,1),0,1)</f>
        <v>40548</v>
      </c>
      <c r="C114" s="1">
        <f>_xlfn.XLOOKUP(Table3[[#This Row],[instant]],Table1[instant],Table1[hr], ,0,1)</f>
        <v>21</v>
      </c>
      <c r="D114" s="2" t="b">
        <f>_xlfn.XLOOKUP(Table3[[#This Row],[instant]],Table1[instant],Table1[holiday], ,0,1)</f>
        <v>0</v>
      </c>
      <c r="E114" s="2">
        <f>_xlfn.XLOOKUP(Table3[[#This Row],[instant]],Table1[instant],Table1[weekday], ,0,1)</f>
        <v>3</v>
      </c>
      <c r="F114" s="2">
        <f>_xlfn.XLOOKUP(Table3[[#This Row],[instant]],Table1[instant],Table1[weathersit], ,0,1)</f>
        <v>1</v>
      </c>
      <c r="G114" s="2">
        <f>_xlfn.XLOOKUP(Table3[[#This Row],[instant]],Table1[instant],Table1[temp], ,0,1)</f>
        <v>0.2</v>
      </c>
      <c r="H114" s="24">
        <f>_xlfn.XLOOKUP(Table3[[#This Row],[instant]],Table2[instant],Table2[atemp], ,0,1)</f>
        <v>0.19700000000000001</v>
      </c>
      <c r="I114" s="1">
        <f>_xlfn.XLOOKUP(Table3[[#This Row],[instant]],Table2[instant],Table2[hum], ,0,1)</f>
        <v>0.51</v>
      </c>
      <c r="J114" s="1">
        <f>_xlfn.XLOOKUP(Table3[[#This Row],[instant]],Table2[instant],Table2[windspeed], ,0,1)</f>
        <v>0.19400000000000001</v>
      </c>
      <c r="K114" s="1">
        <f>_xlfn.XLOOKUP(Table3[[#This Row],[instant]],Table2[instant],Table2[casual], ,0,1)</f>
        <v>3</v>
      </c>
      <c r="L114" s="1">
        <f>_xlfn.XLOOKUP(Table3[[#This Row],[instant]],Table2[instant],Table2[registered], ,0,1)</f>
        <v>40</v>
      </c>
      <c r="M114" s="6">
        <f>_xlfn.XLOOKUP(Table3[[#This Row],[instant]],Table2[instant],Table2[cnt], ,0,1)</f>
        <v>43</v>
      </c>
      <c r="N114" s="6" t="str">
        <f>IF(OR(Table3[[#This Row],[weekday]]=0,Table3[[#This Row],[weekday]]=6),"Weekend","Weekday")</f>
        <v>Weekday</v>
      </c>
    </row>
    <row r="115" spans="1:14" ht="15" thickBot="1" x14ac:dyDescent="0.35">
      <c r="A115" s="5">
        <v>114</v>
      </c>
      <c r="B115" s="3">
        <f>_xlfn.XLOOKUP(Table3[[#This Row],[instant]],DatSet1!A115:A724,DatSet1!B115:B724,_xlfn.XLOOKUP(Table3[[#This Row],[instant]],'Final Data'!A115:A504,'Final Data'!B115:B504, ,0,1),0,1)</f>
        <v>40548</v>
      </c>
      <c r="C115" s="1">
        <f>_xlfn.XLOOKUP(Table3[[#This Row],[instant]],Table1[instant],Table1[hr], ,0,1)</f>
        <v>22</v>
      </c>
      <c r="D115" s="2" t="b">
        <f>_xlfn.XLOOKUP(Table3[[#This Row],[instant]],Table1[instant],Table1[holiday], ,0,1)</f>
        <v>0</v>
      </c>
      <c r="E115" s="2">
        <f>_xlfn.XLOOKUP(Table3[[#This Row],[instant]],Table1[instant],Table1[weekday], ,0,1)</f>
        <v>3</v>
      </c>
      <c r="F115" s="2">
        <f>_xlfn.XLOOKUP(Table3[[#This Row],[instant]],Table1[instant],Table1[weathersit], ,0,1)</f>
        <v>1</v>
      </c>
      <c r="G115" s="2">
        <f>_xlfn.XLOOKUP(Table3[[#This Row],[instant]],Table1[instant],Table1[temp], ,0,1)</f>
        <v>0.18</v>
      </c>
      <c r="H115" s="24">
        <f>_xlfn.XLOOKUP(Table3[[#This Row],[instant]],Table2[instant],Table2[atemp], ,0,1)</f>
        <v>0.19700000000000001</v>
      </c>
      <c r="I115" s="1">
        <f>_xlfn.XLOOKUP(Table3[[#This Row],[instant]],Table2[instant],Table2[hum], ,0,1)</f>
        <v>0.55000000000000004</v>
      </c>
      <c r="J115" s="1">
        <f>_xlfn.XLOOKUP(Table3[[#This Row],[instant]],Table2[instant],Table2[windspeed], ,0,1)</f>
        <v>0.1343</v>
      </c>
      <c r="K115" s="1">
        <f>_xlfn.XLOOKUP(Table3[[#This Row],[instant]],Table2[instant],Table2[casual], ,0,1)</f>
        <v>1</v>
      </c>
      <c r="L115" s="1">
        <f>_xlfn.XLOOKUP(Table3[[#This Row],[instant]],Table2[instant],Table2[registered], ,0,1)</f>
        <v>41</v>
      </c>
      <c r="M115" s="6">
        <f>_xlfn.XLOOKUP(Table3[[#This Row],[instant]],Table2[instant],Table2[cnt], ,0,1)</f>
        <v>42</v>
      </c>
      <c r="N115" s="6" t="str">
        <f>IF(OR(Table3[[#This Row],[weekday]]=0,Table3[[#This Row],[weekday]]=6),"Weekend","Weekday")</f>
        <v>Weekday</v>
      </c>
    </row>
    <row r="116" spans="1:14" ht="15" thickBot="1" x14ac:dyDescent="0.35">
      <c r="A116" s="5">
        <v>115</v>
      </c>
      <c r="B116" s="3">
        <f>_xlfn.XLOOKUP(Table3[[#This Row],[instant]],DatSet1!A116:A725,DatSet1!B116:B725,_xlfn.XLOOKUP(Table3[[#This Row],[instant]],'Final Data'!A116:A505,'Final Data'!B116:B505, ,0,1),0,1)</f>
        <v>40548</v>
      </c>
      <c r="C116" s="1">
        <f>_xlfn.XLOOKUP(Table3[[#This Row],[instant]],Table1[instant],Table1[hr], ,0,1)</f>
        <v>23</v>
      </c>
      <c r="D116" s="2" t="b">
        <f>_xlfn.XLOOKUP(Table3[[#This Row],[instant]],Table1[instant],Table1[holiday], ,0,1)</f>
        <v>0</v>
      </c>
      <c r="E116" s="2">
        <f>_xlfn.XLOOKUP(Table3[[#This Row],[instant]],Table1[instant],Table1[weekday], ,0,1)</f>
        <v>3</v>
      </c>
      <c r="F116" s="2">
        <f>_xlfn.XLOOKUP(Table3[[#This Row],[instant]],Table1[instant],Table1[weathersit], ,0,1)</f>
        <v>1</v>
      </c>
      <c r="G116" s="2">
        <f>_xlfn.XLOOKUP(Table3[[#This Row],[instant]],Table1[instant],Table1[temp], ,0,1)</f>
        <v>0.2</v>
      </c>
      <c r="H116" s="24">
        <f>_xlfn.XLOOKUP(Table3[[#This Row],[instant]],Table2[instant],Table2[atemp], ,0,1)</f>
        <v>0.2576</v>
      </c>
      <c r="I116" s="1">
        <f>_xlfn.XLOOKUP(Table3[[#This Row],[instant]],Table2[instant],Table2[hum], ,0,1)</f>
        <v>0.47</v>
      </c>
      <c r="J116" s="1">
        <f>_xlfn.XLOOKUP(Table3[[#This Row],[instant]],Table2[instant],Table2[windspeed], ,0,1)</f>
        <v>0</v>
      </c>
      <c r="K116" s="1">
        <f>_xlfn.XLOOKUP(Table3[[#This Row],[instant]],Table2[instant],Table2[casual], ,0,1)</f>
        <v>1</v>
      </c>
      <c r="L116" s="1">
        <f>_xlfn.XLOOKUP(Table3[[#This Row],[instant]],Table2[instant],Table2[registered], ,0,1)</f>
        <v>18</v>
      </c>
      <c r="M116" s="6">
        <f>_xlfn.XLOOKUP(Table3[[#This Row],[instant]],Table2[instant],Table2[cnt], ,0,1)</f>
        <v>19</v>
      </c>
      <c r="N116" s="6" t="str">
        <f>IF(OR(Table3[[#This Row],[weekday]]=0,Table3[[#This Row],[weekday]]=6),"Weekend","Weekday")</f>
        <v>Weekday</v>
      </c>
    </row>
    <row r="117" spans="1:14" ht="15" thickBot="1" x14ac:dyDescent="0.35">
      <c r="A117" s="5">
        <v>116</v>
      </c>
      <c r="B117" s="3">
        <f>_xlfn.XLOOKUP(Table3[[#This Row],[instant]],DatSet1!A117:A726,DatSet1!B117:B726,_xlfn.XLOOKUP(Table3[[#This Row],[instant]],'Final Data'!A117:A506,'Final Data'!B117:B506, ,0,1),0,1)</f>
        <v>40549</v>
      </c>
      <c r="C117" s="1">
        <f>_xlfn.XLOOKUP(Table3[[#This Row],[instant]],Table1[instant],Table1[hr], ,0,1)</f>
        <v>0</v>
      </c>
      <c r="D117" s="2" t="b">
        <f>_xlfn.XLOOKUP(Table3[[#This Row],[instant]],Table1[instant],Table1[holiday], ,0,1)</f>
        <v>0</v>
      </c>
      <c r="E117" s="2">
        <f>_xlfn.XLOOKUP(Table3[[#This Row],[instant]],Table1[instant],Table1[weekday], ,0,1)</f>
        <v>4</v>
      </c>
      <c r="F117" s="2">
        <f>_xlfn.XLOOKUP(Table3[[#This Row],[instant]],Table1[instant],Table1[weathersit], ,0,1)</f>
        <v>1</v>
      </c>
      <c r="G117" s="2">
        <f>_xlfn.XLOOKUP(Table3[[#This Row],[instant]],Table1[instant],Table1[temp], ,0,1)</f>
        <v>0.18</v>
      </c>
      <c r="H117" s="24">
        <f>_xlfn.XLOOKUP(Table3[[#This Row],[instant]],Table2[instant],Table2[atemp], ,0,1)</f>
        <v>0.2424</v>
      </c>
      <c r="I117" s="1">
        <f>_xlfn.XLOOKUP(Table3[[#This Row],[instant]],Table2[instant],Table2[hum], ,0,1)</f>
        <v>0.55000000000000004</v>
      </c>
      <c r="J117" s="1">
        <f>_xlfn.XLOOKUP(Table3[[#This Row],[instant]],Table2[instant],Table2[windspeed], ,0,1)</f>
        <v>0</v>
      </c>
      <c r="K117" s="1">
        <f>_xlfn.XLOOKUP(Table3[[#This Row],[instant]],Table2[instant],Table2[casual], ,0,1)</f>
        <v>0</v>
      </c>
      <c r="L117" s="1">
        <f>_xlfn.XLOOKUP(Table3[[#This Row],[instant]],Table2[instant],Table2[registered], ,0,1)</f>
        <v>11</v>
      </c>
      <c r="M117" s="6">
        <f>_xlfn.XLOOKUP(Table3[[#This Row],[instant]],Table2[instant],Table2[cnt], ,0,1)</f>
        <v>11</v>
      </c>
      <c r="N117" s="6" t="str">
        <f>IF(OR(Table3[[#This Row],[weekday]]=0,Table3[[#This Row],[weekday]]=6),"Weekend","Weekday")</f>
        <v>Weekday</v>
      </c>
    </row>
    <row r="118" spans="1:14" ht="15" thickBot="1" x14ac:dyDescent="0.35">
      <c r="A118" s="5">
        <v>117</v>
      </c>
      <c r="B118" s="3">
        <f>_xlfn.XLOOKUP(Table3[[#This Row],[instant]],DatSet1!A118:A727,DatSet1!B118:B727,_xlfn.XLOOKUP(Table3[[#This Row],[instant]],'Final Data'!A118:A507,'Final Data'!B118:B507, ,0,1),0,1)</f>
        <v>40549</v>
      </c>
      <c r="C118" s="1">
        <f>_xlfn.XLOOKUP(Table3[[#This Row],[instant]],Table1[instant],Table1[hr], ,0,1)</f>
        <v>1</v>
      </c>
      <c r="D118" s="2" t="b">
        <f>_xlfn.XLOOKUP(Table3[[#This Row],[instant]],Table1[instant],Table1[holiday], ,0,1)</f>
        <v>0</v>
      </c>
      <c r="E118" s="2">
        <f>_xlfn.XLOOKUP(Table3[[#This Row],[instant]],Table1[instant],Table1[weekday], ,0,1)</f>
        <v>4</v>
      </c>
      <c r="F118" s="2">
        <f>_xlfn.XLOOKUP(Table3[[#This Row],[instant]],Table1[instant],Table1[weathersit], ,0,1)</f>
        <v>1</v>
      </c>
      <c r="G118" s="2">
        <f>_xlfn.XLOOKUP(Table3[[#This Row],[instant]],Table1[instant],Table1[temp], ,0,1)</f>
        <v>0.16</v>
      </c>
      <c r="H118" s="24">
        <f>_xlfn.XLOOKUP(Table3[[#This Row],[instant]],Table2[instant],Table2[atemp], ,0,1)</f>
        <v>0.2273</v>
      </c>
      <c r="I118" s="1">
        <f>_xlfn.XLOOKUP(Table3[[#This Row],[instant]],Table2[instant],Table2[hum], ,0,1)</f>
        <v>0.64</v>
      </c>
      <c r="J118" s="1">
        <f>_xlfn.XLOOKUP(Table3[[#This Row],[instant]],Table2[instant],Table2[windspeed], ,0,1)</f>
        <v>0</v>
      </c>
      <c r="K118" s="1">
        <f>_xlfn.XLOOKUP(Table3[[#This Row],[instant]],Table2[instant],Table2[casual], ,0,1)</f>
        <v>0</v>
      </c>
      <c r="L118" s="1">
        <f>_xlfn.XLOOKUP(Table3[[#This Row],[instant]],Table2[instant],Table2[registered], ,0,1)</f>
        <v>4</v>
      </c>
      <c r="M118" s="6">
        <f>_xlfn.XLOOKUP(Table3[[#This Row],[instant]],Table2[instant],Table2[cnt], ,0,1)</f>
        <v>4</v>
      </c>
      <c r="N118" s="6" t="str">
        <f>IF(OR(Table3[[#This Row],[weekday]]=0,Table3[[#This Row],[weekday]]=6),"Weekend","Weekday")</f>
        <v>Weekday</v>
      </c>
    </row>
    <row r="119" spans="1:14" ht="15" thickBot="1" x14ac:dyDescent="0.35">
      <c r="A119" s="5">
        <v>118</v>
      </c>
      <c r="B119" s="3">
        <f>_xlfn.XLOOKUP(Table3[[#This Row],[instant]],DatSet1!A119:A728,DatSet1!B119:B728,_xlfn.XLOOKUP(Table3[[#This Row],[instant]],'Final Data'!A119:A508,'Final Data'!B119:B508, ,0,1),0,1)</f>
        <v>40549</v>
      </c>
      <c r="C119" s="1">
        <f>_xlfn.XLOOKUP(Table3[[#This Row],[instant]],Table1[instant],Table1[hr], ,0,1)</f>
        <v>2</v>
      </c>
      <c r="D119" s="2" t="b">
        <f>_xlfn.XLOOKUP(Table3[[#This Row],[instant]],Table1[instant],Table1[holiday], ,0,1)</f>
        <v>0</v>
      </c>
      <c r="E119" s="2">
        <f>_xlfn.XLOOKUP(Table3[[#This Row],[instant]],Table1[instant],Table1[weekday], ,0,1)</f>
        <v>4</v>
      </c>
      <c r="F119" s="2">
        <f>_xlfn.XLOOKUP(Table3[[#This Row],[instant]],Table1[instant],Table1[weathersit], ,0,1)</f>
        <v>1</v>
      </c>
      <c r="G119" s="2">
        <f>_xlfn.XLOOKUP(Table3[[#This Row],[instant]],Table1[instant],Table1[temp], ,0,1)</f>
        <v>0.16</v>
      </c>
      <c r="H119" s="24">
        <f>_xlfn.XLOOKUP(Table3[[#This Row],[instant]],Table2[instant],Table2[atemp], ,0,1)</f>
        <v>0.2273</v>
      </c>
      <c r="I119" s="1">
        <f>_xlfn.XLOOKUP(Table3[[#This Row],[instant]],Table2[instant],Table2[hum], ,0,1)</f>
        <v>0.64</v>
      </c>
      <c r="J119" s="1">
        <f>_xlfn.XLOOKUP(Table3[[#This Row],[instant]],Table2[instant],Table2[windspeed], ,0,1)</f>
        <v>0</v>
      </c>
      <c r="K119" s="1">
        <f>_xlfn.XLOOKUP(Table3[[#This Row],[instant]],Table2[instant],Table2[casual], ,0,1)</f>
        <v>0</v>
      </c>
      <c r="L119" s="1">
        <f>_xlfn.XLOOKUP(Table3[[#This Row],[instant]],Table2[instant],Table2[registered], ,0,1)</f>
        <v>2</v>
      </c>
      <c r="M119" s="6">
        <f>_xlfn.XLOOKUP(Table3[[#This Row],[instant]],Table2[instant],Table2[cnt], ,0,1)</f>
        <v>2</v>
      </c>
      <c r="N119" s="6" t="str">
        <f>IF(OR(Table3[[#This Row],[weekday]]=0,Table3[[#This Row],[weekday]]=6),"Weekend","Weekday")</f>
        <v>Weekday</v>
      </c>
    </row>
    <row r="120" spans="1:14" ht="15" thickBot="1" x14ac:dyDescent="0.35">
      <c r="A120" s="5">
        <v>119</v>
      </c>
      <c r="B120" s="3">
        <f>_xlfn.XLOOKUP(Table3[[#This Row],[instant]],DatSet1!A120:A729,DatSet1!B120:B729,_xlfn.XLOOKUP(Table3[[#This Row],[instant]],'Final Data'!A120:A509,'Final Data'!B120:B509, ,0,1),0,1)</f>
        <v>40549</v>
      </c>
      <c r="C120" s="1">
        <f>_xlfn.XLOOKUP(Table3[[#This Row],[instant]],Table1[instant],Table1[hr], ,0,1)</f>
        <v>4</v>
      </c>
      <c r="D120" s="2" t="b">
        <f>_xlfn.XLOOKUP(Table3[[#This Row],[instant]],Table1[instant],Table1[holiday], ,0,1)</f>
        <v>0</v>
      </c>
      <c r="E120" s="2">
        <f>_xlfn.XLOOKUP(Table3[[#This Row],[instant]],Table1[instant],Table1[weekday], ,0,1)</f>
        <v>4</v>
      </c>
      <c r="F120" s="2">
        <f>_xlfn.XLOOKUP(Table3[[#This Row],[instant]],Table1[instant],Table1[weathersit], ,0,1)</f>
        <v>2</v>
      </c>
      <c r="G120" s="2">
        <f>_xlfn.XLOOKUP(Table3[[#This Row],[instant]],Table1[instant],Table1[temp], ,0,1)</f>
        <v>0.16</v>
      </c>
      <c r="H120" s="24">
        <f>_xlfn.XLOOKUP(Table3[[#This Row],[instant]],Table2[instant],Table2[atemp], ,0,1)</f>
        <v>0.19700000000000001</v>
      </c>
      <c r="I120" s="1">
        <f>_xlfn.XLOOKUP(Table3[[#This Row],[instant]],Table2[instant],Table2[hum], ,0,1)</f>
        <v>0.64</v>
      </c>
      <c r="J120" s="1">
        <f>_xlfn.XLOOKUP(Table3[[#This Row],[instant]],Table2[instant],Table2[windspeed], ,0,1)</f>
        <v>8.9599999999999999E-2</v>
      </c>
      <c r="K120" s="1">
        <f>_xlfn.XLOOKUP(Table3[[#This Row],[instant]],Table2[instant],Table2[casual], ,0,1)</f>
        <v>0</v>
      </c>
      <c r="L120" s="1">
        <f>_xlfn.XLOOKUP(Table3[[#This Row],[instant]],Table2[instant],Table2[registered], ,0,1)</f>
        <v>1</v>
      </c>
      <c r="M120" s="6">
        <f>_xlfn.XLOOKUP(Table3[[#This Row],[instant]],Table2[instant],Table2[cnt], ,0,1)</f>
        <v>1</v>
      </c>
      <c r="N120" s="6" t="str">
        <f>IF(OR(Table3[[#This Row],[weekday]]=0,Table3[[#This Row],[weekday]]=6),"Weekend","Weekday")</f>
        <v>Weekday</v>
      </c>
    </row>
    <row r="121" spans="1:14" ht="15" thickBot="1" x14ac:dyDescent="0.35">
      <c r="A121" s="5">
        <v>120</v>
      </c>
      <c r="B121" s="3">
        <f>_xlfn.XLOOKUP(Table3[[#This Row],[instant]],DatSet1!A121:A730,DatSet1!B121:B730,_xlfn.XLOOKUP(Table3[[#This Row],[instant]],'Final Data'!A121:A510,'Final Data'!B121:B510, ,0,1),0,1)</f>
        <v>40549</v>
      </c>
      <c r="C121" s="1">
        <f>_xlfn.XLOOKUP(Table3[[#This Row],[instant]],Table1[instant],Table1[hr], ,0,1)</f>
        <v>5</v>
      </c>
      <c r="D121" s="2" t="b">
        <f>_xlfn.XLOOKUP(Table3[[#This Row],[instant]],Table1[instant],Table1[holiday], ,0,1)</f>
        <v>0</v>
      </c>
      <c r="E121" s="2">
        <f>_xlfn.XLOOKUP(Table3[[#This Row],[instant]],Table1[instant],Table1[weekday], ,0,1)</f>
        <v>4</v>
      </c>
      <c r="F121" s="2">
        <f>_xlfn.XLOOKUP(Table3[[#This Row],[instant]],Table1[instant],Table1[weathersit], ,0,1)</f>
        <v>2</v>
      </c>
      <c r="G121" s="2">
        <f>_xlfn.XLOOKUP(Table3[[#This Row],[instant]],Table1[instant],Table1[temp], ,0,1)</f>
        <v>0.14000000000000001</v>
      </c>
      <c r="H121" s="24">
        <f>_xlfn.XLOOKUP(Table3[[#This Row],[instant]],Table2[instant],Table2[atemp], ,0,1)</f>
        <v>0.18179999999999999</v>
      </c>
      <c r="I121" s="1">
        <f>_xlfn.XLOOKUP(Table3[[#This Row],[instant]],Table2[instant],Table2[hum], ,0,1)</f>
        <v>0.69</v>
      </c>
      <c r="J121" s="1">
        <f>_xlfn.XLOOKUP(Table3[[#This Row],[instant]],Table2[instant],Table2[windspeed], ,0,1)</f>
        <v>8.9599999999999999E-2</v>
      </c>
      <c r="K121" s="1">
        <f>_xlfn.XLOOKUP(Table3[[#This Row],[instant]],Table2[instant],Table2[casual], ,0,1)</f>
        <v>0</v>
      </c>
      <c r="L121" s="1">
        <f>_xlfn.XLOOKUP(Table3[[#This Row],[instant]],Table2[instant],Table2[registered], ,0,1)</f>
        <v>4</v>
      </c>
      <c r="M121" s="6">
        <f>_xlfn.XLOOKUP(Table3[[#This Row],[instant]],Table2[instant],Table2[cnt], ,0,1)</f>
        <v>4</v>
      </c>
      <c r="N121" s="6" t="str">
        <f>IF(OR(Table3[[#This Row],[weekday]]=0,Table3[[#This Row],[weekday]]=6),"Weekend","Weekday")</f>
        <v>Weekday</v>
      </c>
    </row>
    <row r="122" spans="1:14" ht="15" thickBot="1" x14ac:dyDescent="0.35">
      <c r="A122" s="5">
        <v>121</v>
      </c>
      <c r="B122" s="3">
        <f>_xlfn.XLOOKUP(Table3[[#This Row],[instant]],DatSet1!A122:A731,DatSet1!B122:B731,_xlfn.XLOOKUP(Table3[[#This Row],[instant]],'Final Data'!A122:A511,'Final Data'!B122:B511, ,0,1),0,1)</f>
        <v>40549</v>
      </c>
      <c r="C122" s="1">
        <f>_xlfn.XLOOKUP(Table3[[#This Row],[instant]],Table1[instant],Table1[hr], ,0,1)</f>
        <v>6</v>
      </c>
      <c r="D122" s="2" t="b">
        <f>_xlfn.XLOOKUP(Table3[[#This Row],[instant]],Table1[instant],Table1[holiday], ,0,1)</f>
        <v>0</v>
      </c>
      <c r="E122" s="2">
        <f>_xlfn.XLOOKUP(Table3[[#This Row],[instant]],Table1[instant],Table1[weekday], ,0,1)</f>
        <v>4</v>
      </c>
      <c r="F122" s="2">
        <f>_xlfn.XLOOKUP(Table3[[#This Row],[instant]],Table1[instant],Table1[weathersit], ,0,1)</f>
        <v>2</v>
      </c>
      <c r="G122" s="2">
        <f>_xlfn.XLOOKUP(Table3[[#This Row],[instant]],Table1[instant],Table1[temp], ,0,1)</f>
        <v>0.14000000000000001</v>
      </c>
      <c r="H122" s="24">
        <f>_xlfn.XLOOKUP(Table3[[#This Row],[instant]],Table2[instant],Table2[atemp], ,0,1)</f>
        <v>0.16669999999999999</v>
      </c>
      <c r="I122" s="1">
        <f>_xlfn.XLOOKUP(Table3[[#This Row],[instant]],Table2[instant],Table2[hum], ,0,1)</f>
        <v>0.63</v>
      </c>
      <c r="J122" s="1">
        <f>_xlfn.XLOOKUP(Table3[[#This Row],[instant]],Table2[instant],Table2[windspeed], ,0,1)</f>
        <v>0.1045</v>
      </c>
      <c r="K122" s="1">
        <f>_xlfn.XLOOKUP(Table3[[#This Row],[instant]],Table2[instant],Table2[casual], ,0,1)</f>
        <v>0</v>
      </c>
      <c r="L122" s="1">
        <f>_xlfn.XLOOKUP(Table3[[#This Row],[instant]],Table2[instant],Table2[registered], ,0,1)</f>
        <v>36</v>
      </c>
      <c r="M122" s="6">
        <f>_xlfn.XLOOKUP(Table3[[#This Row],[instant]],Table2[instant],Table2[cnt], ,0,1)</f>
        <v>36</v>
      </c>
      <c r="N122" s="6" t="str">
        <f>IF(OR(Table3[[#This Row],[weekday]]=0,Table3[[#This Row],[weekday]]=6),"Weekend","Weekday")</f>
        <v>Weekday</v>
      </c>
    </row>
    <row r="123" spans="1:14" ht="15" thickBot="1" x14ac:dyDescent="0.35">
      <c r="A123" s="5">
        <v>122</v>
      </c>
      <c r="B123" s="3">
        <f>_xlfn.XLOOKUP(Table3[[#This Row],[instant]],DatSet1!A123:A732,DatSet1!B123:B732,_xlfn.XLOOKUP(Table3[[#This Row],[instant]],'Final Data'!A123:A512,'Final Data'!B123:B512, ,0,1),0,1)</f>
        <v>40549</v>
      </c>
      <c r="C123" s="1">
        <f>_xlfn.XLOOKUP(Table3[[#This Row],[instant]],Table1[instant],Table1[hr], ,0,1)</f>
        <v>7</v>
      </c>
      <c r="D123" s="2" t="b">
        <f>_xlfn.XLOOKUP(Table3[[#This Row],[instant]],Table1[instant],Table1[holiday], ,0,1)</f>
        <v>0</v>
      </c>
      <c r="E123" s="2">
        <f>_xlfn.XLOOKUP(Table3[[#This Row],[instant]],Table1[instant],Table1[weekday], ,0,1)</f>
        <v>4</v>
      </c>
      <c r="F123" s="2">
        <f>_xlfn.XLOOKUP(Table3[[#This Row],[instant]],Table1[instant],Table1[weathersit], ,0,1)</f>
        <v>2</v>
      </c>
      <c r="G123" s="2">
        <f>_xlfn.XLOOKUP(Table3[[#This Row],[instant]],Table1[instant],Table1[temp], ,0,1)</f>
        <v>0.16</v>
      </c>
      <c r="H123" s="24">
        <f>_xlfn.XLOOKUP(Table3[[#This Row],[instant]],Table2[instant],Table2[atemp], ,0,1)</f>
        <v>0.2273</v>
      </c>
      <c r="I123" s="1">
        <f>_xlfn.XLOOKUP(Table3[[#This Row],[instant]],Table2[instant],Table2[hum], ,0,1)</f>
        <v>0.59</v>
      </c>
      <c r="J123" s="1">
        <f>_xlfn.XLOOKUP(Table3[[#This Row],[instant]],Table2[instant],Table2[windspeed], ,0,1)</f>
        <v>0</v>
      </c>
      <c r="K123" s="1">
        <f>_xlfn.XLOOKUP(Table3[[#This Row],[instant]],Table2[instant],Table2[casual], ,0,1)</f>
        <v>0</v>
      </c>
      <c r="L123" s="1">
        <f>_xlfn.XLOOKUP(Table3[[#This Row],[instant]],Table2[instant],Table2[registered], ,0,1)</f>
        <v>95</v>
      </c>
      <c r="M123" s="6">
        <f>_xlfn.XLOOKUP(Table3[[#This Row],[instant]],Table2[instant],Table2[cnt], ,0,1)</f>
        <v>95</v>
      </c>
      <c r="N123" s="6" t="str">
        <f>IF(OR(Table3[[#This Row],[weekday]]=0,Table3[[#This Row],[weekday]]=6),"Weekend","Weekday")</f>
        <v>Weekday</v>
      </c>
    </row>
    <row r="124" spans="1:14" ht="15" thickBot="1" x14ac:dyDescent="0.35">
      <c r="A124" s="5">
        <v>123</v>
      </c>
      <c r="B124" s="3">
        <f>_xlfn.XLOOKUP(Table3[[#This Row],[instant]],DatSet1!A124:A733,DatSet1!B124:B733,_xlfn.XLOOKUP(Table3[[#This Row],[instant]],'Final Data'!A124:A513,'Final Data'!B124:B513, ,0,1),0,1)</f>
        <v>40549</v>
      </c>
      <c r="C124" s="1">
        <f>_xlfn.XLOOKUP(Table3[[#This Row],[instant]],Table1[instant],Table1[hr], ,0,1)</f>
        <v>8</v>
      </c>
      <c r="D124" s="2" t="b">
        <f>_xlfn.XLOOKUP(Table3[[#This Row],[instant]],Table1[instant],Table1[holiday], ,0,1)</f>
        <v>0</v>
      </c>
      <c r="E124" s="2">
        <f>_xlfn.XLOOKUP(Table3[[#This Row],[instant]],Table1[instant],Table1[weekday], ,0,1)</f>
        <v>4</v>
      </c>
      <c r="F124" s="2">
        <f>_xlfn.XLOOKUP(Table3[[#This Row],[instant]],Table1[instant],Table1[weathersit], ,0,1)</f>
        <v>1</v>
      </c>
      <c r="G124" s="2">
        <f>_xlfn.XLOOKUP(Table3[[#This Row],[instant]],Table1[instant],Table1[temp], ,0,1)</f>
        <v>0.16</v>
      </c>
      <c r="H124" s="24">
        <f>_xlfn.XLOOKUP(Table3[[#This Row],[instant]],Table2[instant],Table2[atemp], ,0,1)</f>
        <v>0.2273</v>
      </c>
      <c r="I124" s="1">
        <f>_xlfn.XLOOKUP(Table3[[#This Row],[instant]],Table2[instant],Table2[hum], ,0,1)</f>
        <v>0.59</v>
      </c>
      <c r="J124" s="1">
        <f>_xlfn.XLOOKUP(Table3[[#This Row],[instant]],Table2[instant],Table2[windspeed], ,0,1)</f>
        <v>0</v>
      </c>
      <c r="K124" s="1">
        <f>_xlfn.XLOOKUP(Table3[[#This Row],[instant]],Table2[instant],Table2[casual], ,0,1)</f>
        <v>3</v>
      </c>
      <c r="L124" s="1">
        <f>_xlfn.XLOOKUP(Table3[[#This Row],[instant]],Table2[instant],Table2[registered], ,0,1)</f>
        <v>216</v>
      </c>
      <c r="M124" s="6">
        <f>_xlfn.XLOOKUP(Table3[[#This Row],[instant]],Table2[instant],Table2[cnt], ,0,1)</f>
        <v>219</v>
      </c>
      <c r="N124" s="6" t="str">
        <f>IF(OR(Table3[[#This Row],[weekday]]=0,Table3[[#This Row],[weekday]]=6),"Weekend","Weekday")</f>
        <v>Weekday</v>
      </c>
    </row>
    <row r="125" spans="1:14" ht="15" thickBot="1" x14ac:dyDescent="0.35">
      <c r="A125" s="5">
        <v>124</v>
      </c>
      <c r="B125" s="3">
        <f>_xlfn.XLOOKUP(Table3[[#This Row],[instant]],DatSet1!A125:A734,DatSet1!B125:B734,_xlfn.XLOOKUP(Table3[[#This Row],[instant]],'Final Data'!A125:A514,'Final Data'!B125:B514, ,0,1),0,1)</f>
        <v>40549</v>
      </c>
      <c r="C125" s="1">
        <f>_xlfn.XLOOKUP(Table3[[#This Row],[instant]],Table1[instant],Table1[hr], ,0,1)</f>
        <v>9</v>
      </c>
      <c r="D125" s="2" t="b">
        <f>_xlfn.XLOOKUP(Table3[[#This Row],[instant]],Table1[instant],Table1[holiday], ,0,1)</f>
        <v>0</v>
      </c>
      <c r="E125" s="2">
        <f>_xlfn.XLOOKUP(Table3[[#This Row],[instant]],Table1[instant],Table1[weekday], ,0,1)</f>
        <v>4</v>
      </c>
      <c r="F125" s="2">
        <f>_xlfn.XLOOKUP(Table3[[#This Row],[instant]],Table1[instant],Table1[weathersit], ,0,1)</f>
        <v>2</v>
      </c>
      <c r="G125" s="2">
        <f>_xlfn.XLOOKUP(Table3[[#This Row],[instant]],Table1[instant],Table1[temp], ,0,1)</f>
        <v>0.18</v>
      </c>
      <c r="H125" s="24">
        <f>_xlfn.XLOOKUP(Table3[[#This Row],[instant]],Table2[instant],Table2[atemp], ,0,1)</f>
        <v>0.2424</v>
      </c>
      <c r="I125" s="1">
        <f>_xlfn.XLOOKUP(Table3[[#This Row],[instant]],Table2[instant],Table2[hum], ,0,1)</f>
        <v>0.51</v>
      </c>
      <c r="J125" s="1">
        <f>_xlfn.XLOOKUP(Table3[[#This Row],[instant]],Table2[instant],Table2[windspeed], ,0,1)</f>
        <v>0</v>
      </c>
      <c r="K125" s="1">
        <f>_xlfn.XLOOKUP(Table3[[#This Row],[instant]],Table2[instant],Table2[casual], ,0,1)</f>
        <v>6</v>
      </c>
      <c r="L125" s="1">
        <f>_xlfn.XLOOKUP(Table3[[#This Row],[instant]],Table2[instant],Table2[registered], ,0,1)</f>
        <v>116</v>
      </c>
      <c r="M125" s="6">
        <f>_xlfn.XLOOKUP(Table3[[#This Row],[instant]],Table2[instant],Table2[cnt], ,0,1)</f>
        <v>122</v>
      </c>
      <c r="N125" s="6" t="str">
        <f>IF(OR(Table3[[#This Row],[weekday]]=0,Table3[[#This Row],[weekday]]=6),"Weekend","Weekday")</f>
        <v>Weekday</v>
      </c>
    </row>
    <row r="126" spans="1:14" ht="15" thickBot="1" x14ac:dyDescent="0.35">
      <c r="A126" s="5">
        <v>125</v>
      </c>
      <c r="B126" s="3">
        <f>_xlfn.XLOOKUP(Table3[[#This Row],[instant]],DatSet1!A126:A735,DatSet1!B126:B735,_xlfn.XLOOKUP(Table3[[#This Row],[instant]],'Final Data'!A126:A515,'Final Data'!B126:B515, ,0,1),0,1)</f>
        <v>40549</v>
      </c>
      <c r="C126" s="1">
        <f>_xlfn.XLOOKUP(Table3[[#This Row],[instant]],Table1[instant],Table1[hr], ,0,1)</f>
        <v>10</v>
      </c>
      <c r="D126" s="2" t="b">
        <f>_xlfn.XLOOKUP(Table3[[#This Row],[instant]],Table1[instant],Table1[holiday], ,0,1)</f>
        <v>0</v>
      </c>
      <c r="E126" s="2">
        <f>_xlfn.XLOOKUP(Table3[[#This Row],[instant]],Table1[instant],Table1[weekday], ,0,1)</f>
        <v>4</v>
      </c>
      <c r="F126" s="2">
        <f>_xlfn.XLOOKUP(Table3[[#This Row],[instant]],Table1[instant],Table1[weathersit], ,0,1)</f>
        <v>1</v>
      </c>
      <c r="G126" s="2">
        <f>_xlfn.XLOOKUP(Table3[[#This Row],[instant]],Table1[instant],Table1[temp], ,0,1)</f>
        <v>0.2</v>
      </c>
      <c r="H126" s="24">
        <f>_xlfn.XLOOKUP(Table3[[#This Row],[instant]],Table2[instant],Table2[atemp], ,0,1)</f>
        <v>0.2576</v>
      </c>
      <c r="I126" s="1">
        <f>_xlfn.XLOOKUP(Table3[[#This Row],[instant]],Table2[instant],Table2[hum], ,0,1)</f>
        <v>0.47</v>
      </c>
      <c r="J126" s="1">
        <f>_xlfn.XLOOKUP(Table3[[#This Row],[instant]],Table2[instant],Table2[windspeed], ,0,1)</f>
        <v>0</v>
      </c>
      <c r="K126" s="1">
        <f>_xlfn.XLOOKUP(Table3[[#This Row],[instant]],Table2[instant],Table2[casual], ,0,1)</f>
        <v>3</v>
      </c>
      <c r="L126" s="1">
        <f>_xlfn.XLOOKUP(Table3[[#This Row],[instant]],Table2[instant],Table2[registered], ,0,1)</f>
        <v>42</v>
      </c>
      <c r="M126" s="6">
        <f>_xlfn.XLOOKUP(Table3[[#This Row],[instant]],Table2[instant],Table2[cnt], ,0,1)</f>
        <v>45</v>
      </c>
      <c r="N126" s="6" t="str">
        <f>IF(OR(Table3[[#This Row],[weekday]]=0,Table3[[#This Row],[weekday]]=6),"Weekend","Weekday")</f>
        <v>Weekday</v>
      </c>
    </row>
    <row r="127" spans="1:14" ht="15" thickBot="1" x14ac:dyDescent="0.35">
      <c r="A127" s="5">
        <v>126</v>
      </c>
      <c r="B127" s="3">
        <f>_xlfn.XLOOKUP(Table3[[#This Row],[instant]],DatSet1!A127:A736,DatSet1!B127:B736,_xlfn.XLOOKUP(Table3[[#This Row],[instant]],'Final Data'!A127:A516,'Final Data'!B127:B516, ,0,1),0,1)</f>
        <v>40549</v>
      </c>
      <c r="C127" s="1">
        <f>_xlfn.XLOOKUP(Table3[[#This Row],[instant]],Table1[instant],Table1[hr], ,0,1)</f>
        <v>11</v>
      </c>
      <c r="D127" s="2" t="b">
        <f>_xlfn.XLOOKUP(Table3[[#This Row],[instant]],Table1[instant],Table1[holiday], ,0,1)</f>
        <v>0</v>
      </c>
      <c r="E127" s="2">
        <f>_xlfn.XLOOKUP(Table3[[#This Row],[instant]],Table1[instant],Table1[weekday], ,0,1)</f>
        <v>4</v>
      </c>
      <c r="F127" s="2">
        <f>_xlfn.XLOOKUP(Table3[[#This Row],[instant]],Table1[instant],Table1[weathersit], ,0,1)</f>
        <v>1</v>
      </c>
      <c r="G127" s="2">
        <f>_xlfn.XLOOKUP(Table3[[#This Row],[instant]],Table1[instant],Table1[temp], ,0,1)</f>
        <v>0.22</v>
      </c>
      <c r="H127" s="24">
        <f>_xlfn.XLOOKUP(Table3[[#This Row],[instant]],Table2[instant],Table2[atemp], ,0,1)</f>
        <v>0.2576</v>
      </c>
      <c r="I127" s="1">
        <f>_xlfn.XLOOKUP(Table3[[#This Row],[instant]],Table2[instant],Table2[hum], ,0,1)</f>
        <v>0.44</v>
      </c>
      <c r="J127" s="1">
        <f>_xlfn.XLOOKUP(Table3[[#This Row],[instant]],Table2[instant],Table2[windspeed], ,0,1)</f>
        <v>8.9599999999999999E-2</v>
      </c>
      <c r="K127" s="1">
        <f>_xlfn.XLOOKUP(Table3[[#This Row],[instant]],Table2[instant],Table2[casual], ,0,1)</f>
        <v>2</v>
      </c>
      <c r="L127" s="1">
        <f>_xlfn.XLOOKUP(Table3[[#This Row],[instant]],Table2[instant],Table2[registered], ,0,1)</f>
        <v>57</v>
      </c>
      <c r="M127" s="6">
        <f>_xlfn.XLOOKUP(Table3[[#This Row],[instant]],Table2[instant],Table2[cnt], ,0,1)</f>
        <v>59</v>
      </c>
      <c r="N127" s="6" t="str">
        <f>IF(OR(Table3[[#This Row],[weekday]]=0,Table3[[#This Row],[weekday]]=6),"Weekend","Weekday")</f>
        <v>Weekday</v>
      </c>
    </row>
    <row r="128" spans="1:14" ht="15" thickBot="1" x14ac:dyDescent="0.35">
      <c r="A128" s="5">
        <v>127</v>
      </c>
      <c r="B128" s="3">
        <f>_xlfn.XLOOKUP(Table3[[#This Row],[instant]],DatSet1!A128:A737,DatSet1!B128:B737,_xlfn.XLOOKUP(Table3[[#This Row],[instant]],'Final Data'!A128:A517,'Final Data'!B128:B517, ,0,1),0,1)</f>
        <v>40549</v>
      </c>
      <c r="C128" s="1">
        <f>_xlfn.XLOOKUP(Table3[[#This Row],[instant]],Table1[instant],Table1[hr], ,0,1)</f>
        <v>12</v>
      </c>
      <c r="D128" s="2" t="b">
        <f>_xlfn.XLOOKUP(Table3[[#This Row],[instant]],Table1[instant],Table1[holiday], ,0,1)</f>
        <v>0</v>
      </c>
      <c r="E128" s="2">
        <f>_xlfn.XLOOKUP(Table3[[#This Row],[instant]],Table1[instant],Table1[weekday], ,0,1)</f>
        <v>4</v>
      </c>
      <c r="F128" s="2">
        <f>_xlfn.XLOOKUP(Table3[[#This Row],[instant]],Table1[instant],Table1[weathersit], ,0,1)</f>
        <v>1</v>
      </c>
      <c r="G128" s="2">
        <f>_xlfn.XLOOKUP(Table3[[#This Row],[instant]],Table1[instant],Table1[temp], ,0,1)</f>
        <v>0.26</v>
      </c>
      <c r="H128" s="24">
        <f>_xlfn.XLOOKUP(Table3[[#This Row],[instant]],Table2[instant],Table2[atemp], ,0,1)</f>
        <v>0.28789999999999999</v>
      </c>
      <c r="I128" s="1">
        <f>_xlfn.XLOOKUP(Table3[[#This Row],[instant]],Table2[instant],Table2[hum], ,0,1)</f>
        <v>0.35</v>
      </c>
      <c r="J128" s="1">
        <f>_xlfn.XLOOKUP(Table3[[#This Row],[instant]],Table2[instant],Table2[windspeed], ,0,1)</f>
        <v>0</v>
      </c>
      <c r="K128" s="1">
        <f>_xlfn.XLOOKUP(Table3[[#This Row],[instant]],Table2[instant],Table2[casual], ,0,1)</f>
        <v>6</v>
      </c>
      <c r="L128" s="1">
        <f>_xlfn.XLOOKUP(Table3[[#This Row],[instant]],Table2[instant],Table2[registered], ,0,1)</f>
        <v>78</v>
      </c>
      <c r="M128" s="6">
        <f>_xlfn.XLOOKUP(Table3[[#This Row],[instant]],Table2[instant],Table2[cnt], ,0,1)</f>
        <v>84</v>
      </c>
      <c r="N128" s="6" t="str">
        <f>IF(OR(Table3[[#This Row],[weekday]]=0,Table3[[#This Row],[weekday]]=6),"Weekend","Weekday")</f>
        <v>Weekday</v>
      </c>
    </row>
    <row r="129" spans="1:14" ht="15" thickBot="1" x14ac:dyDescent="0.35">
      <c r="A129" s="5">
        <v>128</v>
      </c>
      <c r="B129" s="3">
        <f>_xlfn.XLOOKUP(Table3[[#This Row],[instant]],DatSet1!A129:A738,DatSet1!B129:B738,_xlfn.XLOOKUP(Table3[[#This Row],[instant]],'Final Data'!A129:A518,'Final Data'!B129:B518, ,0,1),0,1)</f>
        <v>40549</v>
      </c>
      <c r="C129" s="1">
        <f>_xlfn.XLOOKUP(Table3[[#This Row],[instant]],Table1[instant],Table1[hr], ,0,1)</f>
        <v>13</v>
      </c>
      <c r="D129" s="2" t="b">
        <f>_xlfn.XLOOKUP(Table3[[#This Row],[instant]],Table1[instant],Table1[holiday], ,0,1)</f>
        <v>0</v>
      </c>
      <c r="E129" s="2">
        <f>_xlfn.XLOOKUP(Table3[[#This Row],[instant]],Table1[instant],Table1[weekday], ,0,1)</f>
        <v>4</v>
      </c>
      <c r="F129" s="2">
        <f>_xlfn.XLOOKUP(Table3[[#This Row],[instant]],Table1[instant],Table1[weathersit], ,0,1)</f>
        <v>1</v>
      </c>
      <c r="G129" s="2">
        <f>_xlfn.XLOOKUP(Table3[[#This Row],[instant]],Table1[instant],Table1[temp], ,0,1)</f>
        <v>0.26</v>
      </c>
      <c r="H129" s="24">
        <f>_xlfn.XLOOKUP(Table3[[#This Row],[instant]],Table2[instant],Table2[atemp], ,0,1)</f>
        <v>0.2727</v>
      </c>
      <c r="I129" s="1">
        <f>_xlfn.XLOOKUP(Table3[[#This Row],[instant]],Table2[instant],Table2[hum], ,0,1)</f>
        <v>0.35</v>
      </c>
      <c r="J129" s="1">
        <f>_xlfn.XLOOKUP(Table3[[#This Row],[instant]],Table2[instant],Table2[windspeed], ,0,1)</f>
        <v>0.1045</v>
      </c>
      <c r="K129" s="1">
        <f>_xlfn.XLOOKUP(Table3[[#This Row],[instant]],Table2[instant],Table2[casual], ,0,1)</f>
        <v>12</v>
      </c>
      <c r="L129" s="1">
        <f>_xlfn.XLOOKUP(Table3[[#This Row],[instant]],Table2[instant],Table2[registered], ,0,1)</f>
        <v>55</v>
      </c>
      <c r="M129" s="6">
        <f>_xlfn.XLOOKUP(Table3[[#This Row],[instant]],Table2[instant],Table2[cnt], ,0,1)</f>
        <v>67</v>
      </c>
      <c r="N129" s="6" t="str">
        <f>IF(OR(Table3[[#This Row],[weekday]]=0,Table3[[#This Row],[weekday]]=6),"Weekend","Weekday")</f>
        <v>Weekday</v>
      </c>
    </row>
    <row r="130" spans="1:14" ht="15" thickBot="1" x14ac:dyDescent="0.35">
      <c r="A130" s="5">
        <v>129</v>
      </c>
      <c r="B130" s="3">
        <f>_xlfn.XLOOKUP(Table3[[#This Row],[instant]],DatSet1!A130:A739,DatSet1!B130:B739,_xlfn.XLOOKUP(Table3[[#This Row],[instant]],'Final Data'!A130:A519,'Final Data'!B130:B519, ,0,1),0,1)</f>
        <v>40549</v>
      </c>
      <c r="C130" s="1">
        <f>_xlfn.XLOOKUP(Table3[[#This Row],[instant]],Table1[instant],Table1[hr], ,0,1)</f>
        <v>14</v>
      </c>
      <c r="D130" s="2" t="b">
        <f>_xlfn.XLOOKUP(Table3[[#This Row],[instant]],Table1[instant],Table1[holiday], ,0,1)</f>
        <v>0</v>
      </c>
      <c r="E130" s="2">
        <f>_xlfn.XLOOKUP(Table3[[#This Row],[instant]],Table1[instant],Table1[weekday], ,0,1)</f>
        <v>4</v>
      </c>
      <c r="F130" s="2">
        <f>_xlfn.XLOOKUP(Table3[[#This Row],[instant]],Table1[instant],Table1[weathersit], ,0,1)</f>
        <v>1</v>
      </c>
      <c r="G130" s="2">
        <f>_xlfn.XLOOKUP(Table3[[#This Row],[instant]],Table1[instant],Table1[temp], ,0,1)</f>
        <v>0.28000000000000003</v>
      </c>
      <c r="H130" s="24">
        <f>_xlfn.XLOOKUP(Table3[[#This Row],[instant]],Table2[instant],Table2[atemp], ,0,1)</f>
        <v>0.2727</v>
      </c>
      <c r="I130" s="1">
        <f>_xlfn.XLOOKUP(Table3[[#This Row],[instant]],Table2[instant],Table2[hum], ,0,1)</f>
        <v>0.36</v>
      </c>
      <c r="J130" s="1">
        <f>_xlfn.XLOOKUP(Table3[[#This Row],[instant]],Table2[instant],Table2[windspeed], ,0,1)</f>
        <v>0.16420000000000001</v>
      </c>
      <c r="K130" s="1">
        <f>_xlfn.XLOOKUP(Table3[[#This Row],[instant]],Table2[instant],Table2[casual], ,0,1)</f>
        <v>11</v>
      </c>
      <c r="L130" s="1">
        <f>_xlfn.XLOOKUP(Table3[[#This Row],[instant]],Table2[instant],Table2[registered], ,0,1)</f>
        <v>59</v>
      </c>
      <c r="M130" s="6">
        <f>_xlfn.XLOOKUP(Table3[[#This Row],[instant]],Table2[instant],Table2[cnt], ,0,1)</f>
        <v>70</v>
      </c>
      <c r="N130" s="6" t="str">
        <f>IF(OR(Table3[[#This Row],[weekday]]=0,Table3[[#This Row],[weekday]]=6),"Weekend","Weekday")</f>
        <v>Weekday</v>
      </c>
    </row>
    <row r="131" spans="1:14" ht="15" thickBot="1" x14ac:dyDescent="0.35">
      <c r="A131" s="5">
        <v>130</v>
      </c>
      <c r="B131" s="3">
        <f>_xlfn.XLOOKUP(Table3[[#This Row],[instant]],DatSet1!A131:A740,DatSet1!B131:B740,_xlfn.XLOOKUP(Table3[[#This Row],[instant]],'Final Data'!A131:A520,'Final Data'!B131:B520, ,0,1),0,1)</f>
        <v>40549</v>
      </c>
      <c r="C131" s="1">
        <f>_xlfn.XLOOKUP(Table3[[#This Row],[instant]],Table1[instant],Table1[hr], ,0,1)</f>
        <v>15</v>
      </c>
      <c r="D131" s="2" t="b">
        <f>_xlfn.XLOOKUP(Table3[[#This Row],[instant]],Table1[instant],Table1[holiday], ,0,1)</f>
        <v>0</v>
      </c>
      <c r="E131" s="2">
        <f>_xlfn.XLOOKUP(Table3[[#This Row],[instant]],Table1[instant],Table1[weekday], ,0,1)</f>
        <v>4</v>
      </c>
      <c r="F131" s="2">
        <f>_xlfn.XLOOKUP(Table3[[#This Row],[instant]],Table1[instant],Table1[weathersit], ,0,1)</f>
        <v>1</v>
      </c>
      <c r="G131" s="2">
        <f>_xlfn.XLOOKUP(Table3[[#This Row],[instant]],Table1[instant],Table1[temp], ,0,1)</f>
        <v>0.28000000000000003</v>
      </c>
      <c r="H131" s="24">
        <f>_xlfn.XLOOKUP(Table3[[#This Row],[instant]],Table2[instant],Table2[atemp], ,0,1)</f>
        <v>0.2727</v>
      </c>
      <c r="I131" s="1">
        <f>_xlfn.XLOOKUP(Table3[[#This Row],[instant]],Table2[instant],Table2[hum], ,0,1)</f>
        <v>0.36</v>
      </c>
      <c r="J131" s="1">
        <f>_xlfn.XLOOKUP(Table3[[#This Row],[instant]],Table2[instant],Table2[windspeed], ,0,1)</f>
        <v>0</v>
      </c>
      <c r="K131" s="1">
        <f>_xlfn.XLOOKUP(Table3[[#This Row],[instant]],Table2[instant],Table2[casual], ,0,1)</f>
        <v>8</v>
      </c>
      <c r="L131" s="1">
        <f>_xlfn.XLOOKUP(Table3[[#This Row],[instant]],Table2[instant],Table2[registered], ,0,1)</f>
        <v>54</v>
      </c>
      <c r="M131" s="6">
        <f>_xlfn.XLOOKUP(Table3[[#This Row],[instant]],Table2[instant],Table2[cnt], ,0,1)</f>
        <v>62</v>
      </c>
      <c r="N131" s="6" t="str">
        <f>IF(OR(Table3[[#This Row],[weekday]]=0,Table3[[#This Row],[weekday]]=6),"Weekend","Weekday")</f>
        <v>Weekday</v>
      </c>
    </row>
    <row r="132" spans="1:14" ht="15" thickBot="1" x14ac:dyDescent="0.35">
      <c r="A132" s="5">
        <v>131</v>
      </c>
      <c r="B132" s="3">
        <f>_xlfn.XLOOKUP(Table3[[#This Row],[instant]],DatSet1!A132:A741,DatSet1!B132:B741,_xlfn.XLOOKUP(Table3[[#This Row],[instant]],'Final Data'!A132:A521,'Final Data'!B132:B521, ,0,1),0,1)</f>
        <v>40549</v>
      </c>
      <c r="C132" s="1">
        <f>_xlfn.XLOOKUP(Table3[[#This Row],[instant]],Table1[instant],Table1[hr], ,0,1)</f>
        <v>16</v>
      </c>
      <c r="D132" s="2" t="b">
        <f>_xlfn.XLOOKUP(Table3[[#This Row],[instant]],Table1[instant],Table1[holiday], ,0,1)</f>
        <v>0</v>
      </c>
      <c r="E132" s="2">
        <f>_xlfn.XLOOKUP(Table3[[#This Row],[instant]],Table1[instant],Table1[weekday], ,0,1)</f>
        <v>4</v>
      </c>
      <c r="F132" s="2">
        <f>_xlfn.XLOOKUP(Table3[[#This Row],[instant]],Table1[instant],Table1[weathersit], ,0,1)</f>
        <v>1</v>
      </c>
      <c r="G132" s="2">
        <f>_xlfn.XLOOKUP(Table3[[#This Row],[instant]],Table1[instant],Table1[temp], ,0,1)</f>
        <v>0.26</v>
      </c>
      <c r="H132" s="24">
        <f>_xlfn.XLOOKUP(Table3[[#This Row],[instant]],Table2[instant],Table2[atemp], ,0,1)</f>
        <v>0.2576</v>
      </c>
      <c r="I132" s="1">
        <f>_xlfn.XLOOKUP(Table3[[#This Row],[instant]],Table2[instant],Table2[hum], ,0,1)</f>
        <v>0.38</v>
      </c>
      <c r="J132" s="1">
        <f>_xlfn.XLOOKUP(Table3[[#This Row],[instant]],Table2[instant],Table2[windspeed], ,0,1)</f>
        <v>0.16420000000000001</v>
      </c>
      <c r="K132" s="1">
        <f>_xlfn.XLOOKUP(Table3[[#This Row],[instant]],Table2[instant],Table2[casual], ,0,1)</f>
        <v>12</v>
      </c>
      <c r="L132" s="1">
        <f>_xlfn.XLOOKUP(Table3[[#This Row],[instant]],Table2[instant],Table2[registered], ,0,1)</f>
        <v>74</v>
      </c>
      <c r="M132" s="6">
        <f>_xlfn.XLOOKUP(Table3[[#This Row],[instant]],Table2[instant],Table2[cnt], ,0,1)</f>
        <v>86</v>
      </c>
      <c r="N132" s="6" t="str">
        <f>IF(OR(Table3[[#This Row],[weekday]]=0,Table3[[#This Row],[weekday]]=6),"Weekend","Weekday")</f>
        <v>Weekday</v>
      </c>
    </row>
    <row r="133" spans="1:14" ht="15" thickBot="1" x14ac:dyDescent="0.35">
      <c r="A133" s="5">
        <v>132</v>
      </c>
      <c r="B133" s="3">
        <f>_xlfn.XLOOKUP(Table3[[#This Row],[instant]],DatSet1!A133:A742,DatSet1!B133:B742,_xlfn.XLOOKUP(Table3[[#This Row],[instant]],'Final Data'!A133:A522,'Final Data'!B133:B522, ,0,1),0,1)</f>
        <v>40549</v>
      </c>
      <c r="C133" s="1">
        <f>_xlfn.XLOOKUP(Table3[[#This Row],[instant]],Table1[instant],Table1[hr], ,0,1)</f>
        <v>17</v>
      </c>
      <c r="D133" s="2" t="b">
        <f>_xlfn.XLOOKUP(Table3[[#This Row],[instant]],Table1[instant],Table1[holiday], ,0,1)</f>
        <v>0</v>
      </c>
      <c r="E133" s="2">
        <f>_xlfn.XLOOKUP(Table3[[#This Row],[instant]],Table1[instant],Table1[weekday], ,0,1)</f>
        <v>4</v>
      </c>
      <c r="F133" s="2">
        <f>_xlfn.XLOOKUP(Table3[[#This Row],[instant]],Table1[instant],Table1[weathersit], ,0,1)</f>
        <v>1</v>
      </c>
      <c r="G133" s="2">
        <f>_xlfn.XLOOKUP(Table3[[#This Row],[instant]],Table1[instant],Table1[temp], ,0,1)</f>
        <v>0.22</v>
      </c>
      <c r="H133" s="24">
        <f>_xlfn.XLOOKUP(Table3[[#This Row],[instant]],Table2[instant],Table2[atemp], ,0,1)</f>
        <v>0.2273</v>
      </c>
      <c r="I133" s="1">
        <f>_xlfn.XLOOKUP(Table3[[#This Row],[instant]],Table2[instant],Table2[hum], ,0,1)</f>
        <v>0.51</v>
      </c>
      <c r="J133" s="1">
        <f>_xlfn.XLOOKUP(Table3[[#This Row],[instant]],Table2[instant],Table2[windspeed], ,0,1)</f>
        <v>0.16420000000000001</v>
      </c>
      <c r="K133" s="1">
        <f>_xlfn.XLOOKUP(Table3[[#This Row],[instant]],Table2[instant],Table2[casual], ,0,1)</f>
        <v>9</v>
      </c>
      <c r="L133" s="1">
        <f>_xlfn.XLOOKUP(Table3[[#This Row],[instant]],Table2[instant],Table2[registered], ,0,1)</f>
        <v>163</v>
      </c>
      <c r="M133" s="6">
        <f>_xlfn.XLOOKUP(Table3[[#This Row],[instant]],Table2[instant],Table2[cnt], ,0,1)</f>
        <v>172</v>
      </c>
      <c r="N133" s="6" t="str">
        <f>IF(OR(Table3[[#This Row],[weekday]]=0,Table3[[#This Row],[weekday]]=6),"Weekend","Weekday")</f>
        <v>Weekday</v>
      </c>
    </row>
    <row r="134" spans="1:14" ht="15" thickBot="1" x14ac:dyDescent="0.35">
      <c r="A134" s="5">
        <v>133</v>
      </c>
      <c r="B134" s="3">
        <f>_xlfn.XLOOKUP(Table3[[#This Row],[instant]],DatSet1!A134:A743,DatSet1!B134:B743,_xlfn.XLOOKUP(Table3[[#This Row],[instant]],'Final Data'!A134:A523,'Final Data'!B134:B523, ,0,1),0,1)</f>
        <v>40549</v>
      </c>
      <c r="C134" s="1">
        <f>_xlfn.XLOOKUP(Table3[[#This Row],[instant]],Table1[instant],Table1[hr], ,0,1)</f>
        <v>18</v>
      </c>
      <c r="D134" s="2" t="b">
        <f>_xlfn.XLOOKUP(Table3[[#This Row],[instant]],Table1[instant],Table1[holiday], ,0,1)</f>
        <v>0</v>
      </c>
      <c r="E134" s="2">
        <f>_xlfn.XLOOKUP(Table3[[#This Row],[instant]],Table1[instant],Table1[weekday], ,0,1)</f>
        <v>4</v>
      </c>
      <c r="F134" s="2">
        <f>_xlfn.XLOOKUP(Table3[[#This Row],[instant]],Table1[instant],Table1[weathersit], ,0,1)</f>
        <v>1</v>
      </c>
      <c r="G134" s="2">
        <f>_xlfn.XLOOKUP(Table3[[#This Row],[instant]],Table1[instant],Table1[temp], ,0,1)</f>
        <v>0.22</v>
      </c>
      <c r="H134" s="24">
        <f>_xlfn.XLOOKUP(Table3[[#This Row],[instant]],Table2[instant],Table2[atemp], ,0,1)</f>
        <v>0.2273</v>
      </c>
      <c r="I134" s="1">
        <f>_xlfn.XLOOKUP(Table3[[#This Row],[instant]],Table2[instant],Table2[hum], ,0,1)</f>
        <v>0.51</v>
      </c>
      <c r="J134" s="1">
        <f>_xlfn.XLOOKUP(Table3[[#This Row],[instant]],Table2[instant],Table2[windspeed], ,0,1)</f>
        <v>0.1343</v>
      </c>
      <c r="K134" s="1">
        <f>_xlfn.XLOOKUP(Table3[[#This Row],[instant]],Table2[instant],Table2[casual], ,0,1)</f>
        <v>5</v>
      </c>
      <c r="L134" s="1">
        <f>_xlfn.XLOOKUP(Table3[[#This Row],[instant]],Table2[instant],Table2[registered], ,0,1)</f>
        <v>158</v>
      </c>
      <c r="M134" s="6">
        <f>_xlfn.XLOOKUP(Table3[[#This Row],[instant]],Table2[instant],Table2[cnt], ,0,1)</f>
        <v>163</v>
      </c>
      <c r="N134" s="6" t="str">
        <f>IF(OR(Table3[[#This Row],[weekday]]=0,Table3[[#This Row],[weekday]]=6),"Weekend","Weekday")</f>
        <v>Weekday</v>
      </c>
    </row>
    <row r="135" spans="1:14" ht="15" thickBot="1" x14ac:dyDescent="0.35">
      <c r="A135" s="5">
        <v>134</v>
      </c>
      <c r="B135" s="3">
        <f>_xlfn.XLOOKUP(Table3[[#This Row],[instant]],DatSet1!A135:A744,DatSet1!B135:B744,_xlfn.XLOOKUP(Table3[[#This Row],[instant]],'Final Data'!A135:A524,'Final Data'!B135:B524, ,0,1),0,1)</f>
        <v>40549</v>
      </c>
      <c r="C135" s="1">
        <f>_xlfn.XLOOKUP(Table3[[#This Row],[instant]],Table1[instant],Table1[hr], ,0,1)</f>
        <v>19</v>
      </c>
      <c r="D135" s="2" t="b">
        <f>_xlfn.XLOOKUP(Table3[[#This Row],[instant]],Table1[instant],Table1[holiday], ,0,1)</f>
        <v>0</v>
      </c>
      <c r="E135" s="2">
        <f>_xlfn.XLOOKUP(Table3[[#This Row],[instant]],Table1[instant],Table1[weekday], ,0,1)</f>
        <v>4</v>
      </c>
      <c r="F135" s="2">
        <f>_xlfn.XLOOKUP(Table3[[#This Row],[instant]],Table1[instant],Table1[weathersit], ,0,1)</f>
        <v>1</v>
      </c>
      <c r="G135" s="2">
        <f>_xlfn.XLOOKUP(Table3[[#This Row],[instant]],Table1[instant],Table1[temp], ,0,1)</f>
        <v>0.22</v>
      </c>
      <c r="H135" s="24">
        <f>_xlfn.XLOOKUP(Table3[[#This Row],[instant]],Table2[instant],Table2[atemp], ,0,1)</f>
        <v>0.2576</v>
      </c>
      <c r="I135" s="1">
        <f>_xlfn.XLOOKUP(Table3[[#This Row],[instant]],Table2[instant],Table2[hum], ,0,1)</f>
        <v>0.55000000000000004</v>
      </c>
      <c r="J135" s="1">
        <f>_xlfn.XLOOKUP(Table3[[#This Row],[instant]],Table2[instant],Table2[windspeed], ,0,1)</f>
        <v>8.9599999999999999E-2</v>
      </c>
      <c r="K135" s="1">
        <f>_xlfn.XLOOKUP(Table3[[#This Row],[instant]],Table2[instant],Table2[casual], ,0,1)</f>
        <v>3</v>
      </c>
      <c r="L135" s="1">
        <f>_xlfn.XLOOKUP(Table3[[#This Row],[instant]],Table2[instant],Table2[registered], ,0,1)</f>
        <v>109</v>
      </c>
      <c r="M135" s="6">
        <f>_xlfn.XLOOKUP(Table3[[#This Row],[instant]],Table2[instant],Table2[cnt], ,0,1)</f>
        <v>112</v>
      </c>
      <c r="N135" s="6" t="str">
        <f>IF(OR(Table3[[#This Row],[weekday]]=0,Table3[[#This Row],[weekday]]=6),"Weekend","Weekday")</f>
        <v>Weekday</v>
      </c>
    </row>
    <row r="136" spans="1:14" ht="15" thickBot="1" x14ac:dyDescent="0.35">
      <c r="A136" s="5">
        <v>135</v>
      </c>
      <c r="B136" s="3">
        <f>_xlfn.XLOOKUP(Table3[[#This Row],[instant]],DatSet1!A136:A745,DatSet1!B136:B745,_xlfn.XLOOKUP(Table3[[#This Row],[instant]],'Final Data'!A136:A525,'Final Data'!B136:B525, ,0,1),0,1)</f>
        <v>40549</v>
      </c>
      <c r="C136" s="1">
        <f>_xlfn.XLOOKUP(Table3[[#This Row],[instant]],Table1[instant],Table1[hr], ,0,1)</f>
        <v>20</v>
      </c>
      <c r="D136" s="2" t="b">
        <f>_xlfn.XLOOKUP(Table3[[#This Row],[instant]],Table1[instant],Table1[holiday], ,0,1)</f>
        <v>0</v>
      </c>
      <c r="E136" s="2">
        <f>_xlfn.XLOOKUP(Table3[[#This Row],[instant]],Table1[instant],Table1[weekday], ,0,1)</f>
        <v>4</v>
      </c>
      <c r="F136" s="2">
        <f>_xlfn.XLOOKUP(Table3[[#This Row],[instant]],Table1[instant],Table1[weathersit], ,0,1)</f>
        <v>1</v>
      </c>
      <c r="G136" s="2">
        <f>_xlfn.XLOOKUP(Table3[[#This Row],[instant]],Table1[instant],Table1[temp], ,0,1)</f>
        <v>0.2</v>
      </c>
      <c r="H136" s="24">
        <f>_xlfn.XLOOKUP(Table3[[#This Row],[instant]],Table2[instant],Table2[atemp], ,0,1)</f>
        <v>0.21210000000000001</v>
      </c>
      <c r="I136" s="1">
        <f>_xlfn.XLOOKUP(Table3[[#This Row],[instant]],Table2[instant],Table2[hum], ,0,1)</f>
        <v>0.51</v>
      </c>
      <c r="J136" s="1">
        <f>_xlfn.XLOOKUP(Table3[[#This Row],[instant]],Table2[instant],Table2[windspeed], ,0,1)</f>
        <v>0.16420000000000001</v>
      </c>
      <c r="K136" s="1">
        <f>_xlfn.XLOOKUP(Table3[[#This Row],[instant]],Table2[instant],Table2[casual], ,0,1)</f>
        <v>3</v>
      </c>
      <c r="L136" s="1">
        <f>_xlfn.XLOOKUP(Table3[[#This Row],[instant]],Table2[instant],Table2[registered], ,0,1)</f>
        <v>66</v>
      </c>
      <c r="M136" s="6">
        <f>_xlfn.XLOOKUP(Table3[[#This Row],[instant]],Table2[instant],Table2[cnt], ,0,1)</f>
        <v>69</v>
      </c>
      <c r="N136" s="6" t="str">
        <f>IF(OR(Table3[[#This Row],[weekday]]=0,Table3[[#This Row],[weekday]]=6),"Weekend","Weekday")</f>
        <v>Weekday</v>
      </c>
    </row>
    <row r="137" spans="1:14" ht="15" thickBot="1" x14ac:dyDescent="0.35">
      <c r="A137" s="5">
        <v>136</v>
      </c>
      <c r="B137" s="3">
        <f>_xlfn.XLOOKUP(Table3[[#This Row],[instant]],DatSet1!A137:A746,DatSet1!B137:B746,_xlfn.XLOOKUP(Table3[[#This Row],[instant]],'Final Data'!A137:A526,'Final Data'!B137:B526, ,0,1),0,1)</f>
        <v>40549</v>
      </c>
      <c r="C137" s="1">
        <f>_xlfn.XLOOKUP(Table3[[#This Row],[instant]],Table1[instant],Table1[hr], ,0,1)</f>
        <v>21</v>
      </c>
      <c r="D137" s="2" t="b">
        <f>_xlfn.XLOOKUP(Table3[[#This Row],[instant]],Table1[instant],Table1[holiday], ,0,1)</f>
        <v>0</v>
      </c>
      <c r="E137" s="2">
        <f>_xlfn.XLOOKUP(Table3[[#This Row],[instant]],Table1[instant],Table1[weekday], ,0,1)</f>
        <v>4</v>
      </c>
      <c r="F137" s="2">
        <f>_xlfn.XLOOKUP(Table3[[#This Row],[instant]],Table1[instant],Table1[weathersit], ,0,1)</f>
        <v>2</v>
      </c>
      <c r="G137" s="2">
        <f>_xlfn.XLOOKUP(Table3[[#This Row],[instant]],Table1[instant],Table1[temp], ,0,1)</f>
        <v>0.22</v>
      </c>
      <c r="H137" s="24">
        <f>_xlfn.XLOOKUP(Table3[[#This Row],[instant]],Table2[instant],Table2[atemp], ,0,1)</f>
        <v>0.21210000000000001</v>
      </c>
      <c r="I137" s="1">
        <f>_xlfn.XLOOKUP(Table3[[#This Row],[instant]],Table2[instant],Table2[hum], ,0,1)</f>
        <v>0.55000000000000004</v>
      </c>
      <c r="J137" s="1">
        <f>_xlfn.XLOOKUP(Table3[[#This Row],[instant]],Table2[instant],Table2[windspeed], ,0,1)</f>
        <v>0.22389999999999999</v>
      </c>
      <c r="K137" s="1">
        <f>_xlfn.XLOOKUP(Table3[[#This Row],[instant]],Table2[instant],Table2[casual], ,0,1)</f>
        <v>0</v>
      </c>
      <c r="L137" s="1">
        <f>_xlfn.XLOOKUP(Table3[[#This Row],[instant]],Table2[instant],Table2[registered], ,0,1)</f>
        <v>48</v>
      </c>
      <c r="M137" s="6">
        <f>_xlfn.XLOOKUP(Table3[[#This Row],[instant]],Table2[instant],Table2[cnt], ,0,1)</f>
        <v>48</v>
      </c>
      <c r="N137" s="6" t="str">
        <f>IF(OR(Table3[[#This Row],[weekday]]=0,Table3[[#This Row],[weekday]]=6),"Weekend","Weekday")</f>
        <v>Weekday</v>
      </c>
    </row>
    <row r="138" spans="1:14" ht="15" thickBot="1" x14ac:dyDescent="0.35">
      <c r="A138" s="5">
        <v>137</v>
      </c>
      <c r="B138" s="3">
        <f>_xlfn.XLOOKUP(Table3[[#This Row],[instant]],DatSet1!A138:A747,DatSet1!B138:B747,_xlfn.XLOOKUP(Table3[[#This Row],[instant]],'Final Data'!A138:A527,'Final Data'!B138:B527, ,0,1),0,1)</f>
        <v>40549</v>
      </c>
      <c r="C138" s="1">
        <f>_xlfn.XLOOKUP(Table3[[#This Row],[instant]],Table1[instant],Table1[hr], ,0,1)</f>
        <v>22</v>
      </c>
      <c r="D138" s="2" t="b">
        <f>_xlfn.XLOOKUP(Table3[[#This Row],[instant]],Table1[instant],Table1[holiday], ,0,1)</f>
        <v>0</v>
      </c>
      <c r="E138" s="2">
        <f>_xlfn.XLOOKUP(Table3[[#This Row],[instant]],Table1[instant],Table1[weekday], ,0,1)</f>
        <v>4</v>
      </c>
      <c r="F138" s="2">
        <f>_xlfn.XLOOKUP(Table3[[#This Row],[instant]],Table1[instant],Table1[weathersit], ,0,1)</f>
        <v>2</v>
      </c>
      <c r="G138" s="2">
        <f>_xlfn.XLOOKUP(Table3[[#This Row],[instant]],Table1[instant],Table1[temp], ,0,1)</f>
        <v>0.22</v>
      </c>
      <c r="H138" s="24">
        <f>_xlfn.XLOOKUP(Table3[[#This Row],[instant]],Table2[instant],Table2[atemp], ,0,1)</f>
        <v>0.21210000000000001</v>
      </c>
      <c r="I138" s="1">
        <f>_xlfn.XLOOKUP(Table3[[#This Row],[instant]],Table2[instant],Table2[hum], ,0,1)</f>
        <v>0.51</v>
      </c>
      <c r="J138" s="1">
        <f>_xlfn.XLOOKUP(Table3[[#This Row],[instant]],Table2[instant],Table2[windspeed], ,0,1)</f>
        <v>0.28360000000000002</v>
      </c>
      <c r="K138" s="1">
        <f>_xlfn.XLOOKUP(Table3[[#This Row],[instant]],Table2[instant],Table2[casual], ,0,1)</f>
        <v>1</v>
      </c>
      <c r="L138" s="1">
        <f>_xlfn.XLOOKUP(Table3[[#This Row],[instant]],Table2[instant],Table2[registered], ,0,1)</f>
        <v>51</v>
      </c>
      <c r="M138" s="6">
        <f>_xlfn.XLOOKUP(Table3[[#This Row],[instant]],Table2[instant],Table2[cnt], ,0,1)</f>
        <v>52</v>
      </c>
      <c r="N138" s="6" t="str">
        <f>IF(OR(Table3[[#This Row],[weekday]]=0,Table3[[#This Row],[weekday]]=6),"Weekend","Weekday")</f>
        <v>Weekday</v>
      </c>
    </row>
    <row r="139" spans="1:14" ht="15" thickBot="1" x14ac:dyDescent="0.35">
      <c r="A139" s="5">
        <v>138</v>
      </c>
      <c r="B139" s="3">
        <f>_xlfn.XLOOKUP(Table3[[#This Row],[instant]],DatSet1!A139:A748,DatSet1!B139:B748,_xlfn.XLOOKUP(Table3[[#This Row],[instant]],'Final Data'!A139:A528,'Final Data'!B139:B528, ,0,1),0,1)</f>
        <v>40549</v>
      </c>
      <c r="C139" s="1">
        <f>_xlfn.XLOOKUP(Table3[[#This Row],[instant]],Table1[instant],Table1[hr], ,0,1)</f>
        <v>23</v>
      </c>
      <c r="D139" s="2" t="b">
        <f>_xlfn.XLOOKUP(Table3[[#This Row],[instant]],Table1[instant],Table1[holiday], ,0,1)</f>
        <v>0</v>
      </c>
      <c r="E139" s="2">
        <f>_xlfn.XLOOKUP(Table3[[#This Row],[instant]],Table1[instant],Table1[weekday], ,0,1)</f>
        <v>4</v>
      </c>
      <c r="F139" s="2">
        <f>_xlfn.XLOOKUP(Table3[[#This Row],[instant]],Table1[instant],Table1[weathersit], ,0,1)</f>
        <v>2</v>
      </c>
      <c r="G139" s="2">
        <f>_xlfn.XLOOKUP(Table3[[#This Row],[instant]],Table1[instant],Table1[temp], ,0,1)</f>
        <v>0.2</v>
      </c>
      <c r="H139" s="24">
        <f>_xlfn.XLOOKUP(Table3[[#This Row],[instant]],Table2[instant],Table2[atemp], ,0,1)</f>
        <v>0.19700000000000001</v>
      </c>
      <c r="I139" s="1">
        <f>_xlfn.XLOOKUP(Table3[[#This Row],[instant]],Table2[instant],Table2[hum], ,0,1)</f>
        <v>0.59</v>
      </c>
      <c r="J139" s="1">
        <f>_xlfn.XLOOKUP(Table3[[#This Row],[instant]],Table2[instant],Table2[windspeed], ,0,1)</f>
        <v>0.19400000000000001</v>
      </c>
      <c r="K139" s="1">
        <f>_xlfn.XLOOKUP(Table3[[#This Row],[instant]],Table2[instant],Table2[casual], ,0,1)</f>
        <v>4</v>
      </c>
      <c r="L139" s="1">
        <f>_xlfn.XLOOKUP(Table3[[#This Row],[instant]],Table2[instant],Table2[registered], ,0,1)</f>
        <v>19</v>
      </c>
      <c r="M139" s="6">
        <f>_xlfn.XLOOKUP(Table3[[#This Row],[instant]],Table2[instant],Table2[cnt], ,0,1)</f>
        <v>23</v>
      </c>
      <c r="N139" s="6" t="str">
        <f>IF(OR(Table3[[#This Row],[weekday]]=0,Table3[[#This Row],[weekday]]=6),"Weekend","Weekday")</f>
        <v>Weekday</v>
      </c>
    </row>
    <row r="140" spans="1:14" ht="15" thickBot="1" x14ac:dyDescent="0.35">
      <c r="A140" s="5">
        <v>139</v>
      </c>
      <c r="B140" s="3">
        <f>_xlfn.XLOOKUP(Table3[[#This Row],[instant]],DatSet1!A140:A749,DatSet1!B140:B749,_xlfn.XLOOKUP(Table3[[#This Row],[instant]],'Final Data'!A140:A529,'Final Data'!B140:B529, ,0,1),0,1)</f>
        <v>40550</v>
      </c>
      <c r="C140" s="1">
        <f>_xlfn.XLOOKUP(Table3[[#This Row],[instant]],Table1[instant],Table1[hr], ,0,1)</f>
        <v>0</v>
      </c>
      <c r="D140" s="2" t="b">
        <f>_xlfn.XLOOKUP(Table3[[#This Row],[instant]],Table1[instant],Table1[holiday], ,0,1)</f>
        <v>0</v>
      </c>
      <c r="E140" s="2">
        <f>_xlfn.XLOOKUP(Table3[[#This Row],[instant]],Table1[instant],Table1[weekday], ,0,1)</f>
        <v>5</v>
      </c>
      <c r="F140" s="2">
        <f>_xlfn.XLOOKUP(Table3[[#This Row],[instant]],Table1[instant],Table1[weathersit], ,0,1)</f>
        <v>2</v>
      </c>
      <c r="G140" s="2">
        <f>_xlfn.XLOOKUP(Table3[[#This Row],[instant]],Table1[instant],Table1[temp], ,0,1)</f>
        <v>0.2</v>
      </c>
      <c r="H140" s="24">
        <f>_xlfn.XLOOKUP(Table3[[#This Row],[instant]],Table2[instant],Table2[atemp], ,0,1)</f>
        <v>0.19700000000000001</v>
      </c>
      <c r="I140" s="1">
        <f>_xlfn.XLOOKUP(Table3[[#This Row],[instant]],Table2[instant],Table2[hum], ,0,1)</f>
        <v>0.64</v>
      </c>
      <c r="J140" s="1">
        <f>_xlfn.XLOOKUP(Table3[[#This Row],[instant]],Table2[instant],Table2[windspeed], ,0,1)</f>
        <v>0.19400000000000001</v>
      </c>
      <c r="K140" s="1">
        <f>_xlfn.XLOOKUP(Table3[[#This Row],[instant]],Table2[instant],Table2[casual], ,0,1)</f>
        <v>4</v>
      </c>
      <c r="L140" s="1">
        <f>_xlfn.XLOOKUP(Table3[[#This Row],[instant]],Table2[instant],Table2[registered], ,0,1)</f>
        <v>13</v>
      </c>
      <c r="M140" s="6">
        <f>_xlfn.XLOOKUP(Table3[[#This Row],[instant]],Table2[instant],Table2[cnt], ,0,1)</f>
        <v>17</v>
      </c>
      <c r="N140" s="6" t="str">
        <f>IF(OR(Table3[[#This Row],[weekday]]=0,Table3[[#This Row],[weekday]]=6),"Weekend","Weekday")</f>
        <v>Weekday</v>
      </c>
    </row>
    <row r="141" spans="1:14" ht="15" thickBot="1" x14ac:dyDescent="0.35">
      <c r="A141" s="5">
        <v>140</v>
      </c>
      <c r="B141" s="3">
        <f>_xlfn.XLOOKUP(Table3[[#This Row],[instant]],DatSet1!A141:A750,DatSet1!B141:B750,_xlfn.XLOOKUP(Table3[[#This Row],[instant]],'Final Data'!A141:A530,'Final Data'!B141:B530, ,0,1),0,1)</f>
        <v>40550</v>
      </c>
      <c r="C141" s="1">
        <f>_xlfn.XLOOKUP(Table3[[#This Row],[instant]],Table1[instant],Table1[hr], ,0,1)</f>
        <v>1</v>
      </c>
      <c r="D141" s="2" t="b">
        <f>_xlfn.XLOOKUP(Table3[[#This Row],[instant]],Table1[instant],Table1[holiday], ,0,1)</f>
        <v>0</v>
      </c>
      <c r="E141" s="2">
        <f>_xlfn.XLOOKUP(Table3[[#This Row],[instant]],Table1[instant],Table1[weekday], ,0,1)</f>
        <v>5</v>
      </c>
      <c r="F141" s="2">
        <f>_xlfn.XLOOKUP(Table3[[#This Row],[instant]],Table1[instant],Table1[weathersit], ,0,1)</f>
        <v>2</v>
      </c>
      <c r="G141" s="2">
        <f>_xlfn.XLOOKUP(Table3[[#This Row],[instant]],Table1[instant],Table1[temp], ,0,1)</f>
        <v>0.2</v>
      </c>
      <c r="H141" s="24">
        <f>_xlfn.XLOOKUP(Table3[[#This Row],[instant]],Table2[instant],Table2[atemp], ,0,1)</f>
        <v>0.19700000000000001</v>
      </c>
      <c r="I141" s="1">
        <f>_xlfn.XLOOKUP(Table3[[#This Row],[instant]],Table2[instant],Table2[hum], ,0,1)</f>
        <v>0.69</v>
      </c>
      <c r="J141" s="1">
        <f>_xlfn.XLOOKUP(Table3[[#This Row],[instant]],Table2[instant],Table2[windspeed], ,0,1)</f>
        <v>0.22389999999999999</v>
      </c>
      <c r="K141" s="1">
        <f>_xlfn.XLOOKUP(Table3[[#This Row],[instant]],Table2[instant],Table2[casual], ,0,1)</f>
        <v>2</v>
      </c>
      <c r="L141" s="1">
        <f>_xlfn.XLOOKUP(Table3[[#This Row],[instant]],Table2[instant],Table2[registered], ,0,1)</f>
        <v>5</v>
      </c>
      <c r="M141" s="6">
        <f>_xlfn.XLOOKUP(Table3[[#This Row],[instant]],Table2[instant],Table2[cnt], ,0,1)</f>
        <v>7</v>
      </c>
      <c r="N141" s="6" t="str">
        <f>IF(OR(Table3[[#This Row],[weekday]]=0,Table3[[#This Row],[weekday]]=6),"Weekend","Weekday")</f>
        <v>Weekday</v>
      </c>
    </row>
    <row r="142" spans="1:14" ht="15" thickBot="1" x14ac:dyDescent="0.35">
      <c r="A142" s="5">
        <v>141</v>
      </c>
      <c r="B142" s="3">
        <f>_xlfn.XLOOKUP(Table3[[#This Row],[instant]],DatSet1!A142:A751,DatSet1!B142:B751,_xlfn.XLOOKUP(Table3[[#This Row],[instant]],'Final Data'!A142:A531,'Final Data'!B142:B531, ,0,1),0,1)</f>
        <v>40550</v>
      </c>
      <c r="C142" s="1">
        <f>_xlfn.XLOOKUP(Table3[[#This Row],[instant]],Table1[instant],Table1[hr], ,0,1)</f>
        <v>2</v>
      </c>
      <c r="D142" s="2" t="b">
        <f>_xlfn.XLOOKUP(Table3[[#This Row],[instant]],Table1[instant],Table1[holiday], ,0,1)</f>
        <v>0</v>
      </c>
      <c r="E142" s="2">
        <f>_xlfn.XLOOKUP(Table3[[#This Row],[instant]],Table1[instant],Table1[weekday], ,0,1)</f>
        <v>5</v>
      </c>
      <c r="F142" s="2">
        <f>_xlfn.XLOOKUP(Table3[[#This Row],[instant]],Table1[instant],Table1[weathersit], ,0,1)</f>
        <v>2</v>
      </c>
      <c r="G142" s="2">
        <f>_xlfn.XLOOKUP(Table3[[#This Row],[instant]],Table1[instant],Table1[temp], ,0,1)</f>
        <v>0.2</v>
      </c>
      <c r="H142" s="24">
        <f>_xlfn.XLOOKUP(Table3[[#This Row],[instant]],Table2[instant],Table2[atemp], ,0,1)</f>
        <v>0.19700000000000001</v>
      </c>
      <c r="I142" s="1">
        <f>_xlfn.XLOOKUP(Table3[[#This Row],[instant]],Table2[instant],Table2[hum], ,0,1)</f>
        <v>0.69</v>
      </c>
      <c r="J142" s="1">
        <f>_xlfn.XLOOKUP(Table3[[#This Row],[instant]],Table2[instant],Table2[windspeed], ,0,1)</f>
        <v>0.22389999999999999</v>
      </c>
      <c r="K142" s="1">
        <f>_xlfn.XLOOKUP(Table3[[#This Row],[instant]],Table2[instant],Table2[casual], ,0,1)</f>
        <v>0</v>
      </c>
      <c r="L142" s="1">
        <f>_xlfn.XLOOKUP(Table3[[#This Row],[instant]],Table2[instant],Table2[registered], ,0,1)</f>
        <v>1</v>
      </c>
      <c r="M142" s="6">
        <f>_xlfn.XLOOKUP(Table3[[#This Row],[instant]],Table2[instant],Table2[cnt], ,0,1)</f>
        <v>1</v>
      </c>
      <c r="N142" s="6" t="str">
        <f>IF(OR(Table3[[#This Row],[weekday]]=0,Table3[[#This Row],[weekday]]=6),"Weekend","Weekday")</f>
        <v>Weekday</v>
      </c>
    </row>
    <row r="143" spans="1:14" ht="15" thickBot="1" x14ac:dyDescent="0.35">
      <c r="A143" s="5">
        <v>142</v>
      </c>
      <c r="B143" s="3">
        <f>_xlfn.XLOOKUP(Table3[[#This Row],[instant]],DatSet1!A143:A752,DatSet1!B143:B752,_xlfn.XLOOKUP(Table3[[#This Row],[instant]],'Final Data'!A143:A532,'Final Data'!B143:B532, ,0,1),0,1)</f>
        <v>40550</v>
      </c>
      <c r="C143" s="1">
        <f>_xlfn.XLOOKUP(Table3[[#This Row],[instant]],Table1[instant],Table1[hr], ,0,1)</f>
        <v>4</v>
      </c>
      <c r="D143" s="2" t="b">
        <f>_xlfn.XLOOKUP(Table3[[#This Row],[instant]],Table1[instant],Table1[holiday], ,0,1)</f>
        <v>0</v>
      </c>
      <c r="E143" s="2">
        <f>_xlfn.XLOOKUP(Table3[[#This Row],[instant]],Table1[instant],Table1[weekday], ,0,1)</f>
        <v>5</v>
      </c>
      <c r="F143" s="2">
        <f>_xlfn.XLOOKUP(Table3[[#This Row],[instant]],Table1[instant],Table1[weathersit], ,0,1)</f>
        <v>2</v>
      </c>
      <c r="G143" s="2">
        <f>_xlfn.XLOOKUP(Table3[[#This Row],[instant]],Table1[instant],Table1[temp], ,0,1)</f>
        <v>0.2</v>
      </c>
      <c r="H143" s="24">
        <f>_xlfn.XLOOKUP(Table3[[#This Row],[instant]],Table2[instant],Table2[atemp], ,0,1)</f>
        <v>0.21210000000000001</v>
      </c>
      <c r="I143" s="1">
        <f>_xlfn.XLOOKUP(Table3[[#This Row],[instant]],Table2[instant],Table2[hum], ,0,1)</f>
        <v>0.69</v>
      </c>
      <c r="J143" s="1">
        <f>_xlfn.XLOOKUP(Table3[[#This Row],[instant]],Table2[instant],Table2[windspeed], ,0,1)</f>
        <v>0.1343</v>
      </c>
      <c r="K143" s="1">
        <f>_xlfn.XLOOKUP(Table3[[#This Row],[instant]],Table2[instant],Table2[casual], ,0,1)</f>
        <v>0</v>
      </c>
      <c r="L143" s="1">
        <f>_xlfn.XLOOKUP(Table3[[#This Row],[instant]],Table2[instant],Table2[registered], ,0,1)</f>
        <v>1</v>
      </c>
      <c r="M143" s="6">
        <f>_xlfn.XLOOKUP(Table3[[#This Row],[instant]],Table2[instant],Table2[cnt], ,0,1)</f>
        <v>1</v>
      </c>
      <c r="N143" s="6" t="str">
        <f>IF(OR(Table3[[#This Row],[weekday]]=0,Table3[[#This Row],[weekday]]=6),"Weekend","Weekday")</f>
        <v>Weekday</v>
      </c>
    </row>
    <row r="144" spans="1:14" ht="15" thickBot="1" x14ac:dyDescent="0.35">
      <c r="A144" s="5">
        <v>143</v>
      </c>
      <c r="B144" s="3">
        <f>_xlfn.XLOOKUP(Table3[[#This Row],[instant]],DatSet1!A144:A753,DatSet1!B144:B753,_xlfn.XLOOKUP(Table3[[#This Row],[instant]],'Final Data'!A144:A533,'Final Data'!B144:B533, ,0,1),0,1)</f>
        <v>40550</v>
      </c>
      <c r="C144" s="1">
        <f>_xlfn.XLOOKUP(Table3[[#This Row],[instant]],Table1[instant],Table1[hr], ,0,1)</f>
        <v>5</v>
      </c>
      <c r="D144" s="2" t="b">
        <f>_xlfn.XLOOKUP(Table3[[#This Row],[instant]],Table1[instant],Table1[holiday], ,0,1)</f>
        <v>0</v>
      </c>
      <c r="E144" s="2">
        <f>_xlfn.XLOOKUP(Table3[[#This Row],[instant]],Table1[instant],Table1[weekday], ,0,1)</f>
        <v>5</v>
      </c>
      <c r="F144" s="2">
        <f>_xlfn.XLOOKUP(Table3[[#This Row],[instant]],Table1[instant],Table1[weathersit], ,0,1)</f>
        <v>3</v>
      </c>
      <c r="G144" s="2">
        <f>_xlfn.XLOOKUP(Table3[[#This Row],[instant]],Table1[instant],Table1[temp], ,0,1)</f>
        <v>0.22</v>
      </c>
      <c r="H144" s="24">
        <f>_xlfn.XLOOKUP(Table3[[#This Row],[instant]],Table2[instant],Table2[atemp], ,0,1)</f>
        <v>0.2727</v>
      </c>
      <c r="I144" s="1">
        <f>_xlfn.XLOOKUP(Table3[[#This Row],[instant]],Table2[instant],Table2[hum], ,0,1)</f>
        <v>0.55000000000000004</v>
      </c>
      <c r="J144" s="1">
        <f>_xlfn.XLOOKUP(Table3[[#This Row],[instant]],Table2[instant],Table2[windspeed], ,0,1)</f>
        <v>0</v>
      </c>
      <c r="K144" s="1">
        <f>_xlfn.XLOOKUP(Table3[[#This Row],[instant]],Table2[instant],Table2[casual], ,0,1)</f>
        <v>0</v>
      </c>
      <c r="L144" s="1">
        <f>_xlfn.XLOOKUP(Table3[[#This Row],[instant]],Table2[instant],Table2[registered], ,0,1)</f>
        <v>5</v>
      </c>
      <c r="M144" s="6">
        <f>_xlfn.XLOOKUP(Table3[[#This Row],[instant]],Table2[instant],Table2[cnt], ,0,1)</f>
        <v>5</v>
      </c>
      <c r="N144" s="6" t="str">
        <f>IF(OR(Table3[[#This Row],[weekday]]=0,Table3[[#This Row],[weekday]]=6),"Weekend","Weekday")</f>
        <v>Weekday</v>
      </c>
    </row>
    <row r="145" spans="1:14" ht="15" thickBot="1" x14ac:dyDescent="0.35">
      <c r="A145" s="5">
        <v>144</v>
      </c>
      <c r="B145" s="3">
        <f>_xlfn.XLOOKUP(Table3[[#This Row],[instant]],DatSet1!A145:A754,DatSet1!B145:B754,_xlfn.XLOOKUP(Table3[[#This Row],[instant]],'Final Data'!A145:A534,'Final Data'!B145:B534, ,0,1),0,1)</f>
        <v>40550</v>
      </c>
      <c r="C145" s="1">
        <f>_xlfn.XLOOKUP(Table3[[#This Row],[instant]],Table1[instant],Table1[hr], ,0,1)</f>
        <v>6</v>
      </c>
      <c r="D145" s="2" t="b">
        <f>_xlfn.XLOOKUP(Table3[[#This Row],[instant]],Table1[instant],Table1[holiday], ,0,1)</f>
        <v>0</v>
      </c>
      <c r="E145" s="2">
        <f>_xlfn.XLOOKUP(Table3[[#This Row],[instant]],Table1[instant],Table1[weekday], ,0,1)</f>
        <v>5</v>
      </c>
      <c r="F145" s="2">
        <f>_xlfn.XLOOKUP(Table3[[#This Row],[instant]],Table1[instant],Table1[weathersit], ,0,1)</f>
        <v>2</v>
      </c>
      <c r="G145" s="2">
        <f>_xlfn.XLOOKUP(Table3[[#This Row],[instant]],Table1[instant],Table1[temp], ,0,1)</f>
        <v>0.2</v>
      </c>
      <c r="H145" s="24">
        <f>_xlfn.XLOOKUP(Table3[[#This Row],[instant]],Table2[instant],Table2[atemp], ,0,1)</f>
        <v>0.2576</v>
      </c>
      <c r="I145" s="1">
        <f>_xlfn.XLOOKUP(Table3[[#This Row],[instant]],Table2[instant],Table2[hum], ,0,1)</f>
        <v>0.69</v>
      </c>
      <c r="J145" s="1">
        <f>_xlfn.XLOOKUP(Table3[[#This Row],[instant]],Table2[instant],Table2[windspeed], ,0,1)</f>
        <v>0</v>
      </c>
      <c r="K145" s="1">
        <f>_xlfn.XLOOKUP(Table3[[#This Row],[instant]],Table2[instant],Table2[casual], ,0,1)</f>
        <v>8</v>
      </c>
      <c r="L145" s="1">
        <f>_xlfn.XLOOKUP(Table3[[#This Row],[instant]],Table2[instant],Table2[registered], ,0,1)</f>
        <v>26</v>
      </c>
      <c r="M145" s="6">
        <f>_xlfn.XLOOKUP(Table3[[#This Row],[instant]],Table2[instant],Table2[cnt], ,0,1)</f>
        <v>34</v>
      </c>
      <c r="N145" s="6" t="str">
        <f>IF(OR(Table3[[#This Row],[weekday]]=0,Table3[[#This Row],[weekday]]=6),"Weekend","Weekday")</f>
        <v>Weekday</v>
      </c>
    </row>
    <row r="146" spans="1:14" ht="15" thickBot="1" x14ac:dyDescent="0.35">
      <c r="A146" s="5">
        <v>145</v>
      </c>
      <c r="B146" s="3">
        <f>_xlfn.XLOOKUP(Table3[[#This Row],[instant]],DatSet1!A146:A755,DatSet1!B146:B755,_xlfn.XLOOKUP(Table3[[#This Row],[instant]],'Final Data'!A146:A535,'Final Data'!B146:B535, ,0,1),0,1)</f>
        <v>40550</v>
      </c>
      <c r="C146" s="1">
        <f>_xlfn.XLOOKUP(Table3[[#This Row],[instant]],Table1[instant],Table1[hr], ,0,1)</f>
        <v>7</v>
      </c>
      <c r="D146" s="2" t="b">
        <f>_xlfn.XLOOKUP(Table3[[#This Row],[instant]],Table1[instant],Table1[holiday], ,0,1)</f>
        <v>0</v>
      </c>
      <c r="E146" s="2">
        <f>_xlfn.XLOOKUP(Table3[[#This Row],[instant]],Table1[instant],Table1[weekday], ,0,1)</f>
        <v>5</v>
      </c>
      <c r="F146" s="2">
        <f>_xlfn.XLOOKUP(Table3[[#This Row],[instant]],Table1[instant],Table1[weathersit], ,0,1)</f>
        <v>1</v>
      </c>
      <c r="G146" s="2">
        <f>_xlfn.XLOOKUP(Table3[[#This Row],[instant]],Table1[instant],Table1[temp], ,0,1)</f>
        <v>0.2</v>
      </c>
      <c r="H146" s="24">
        <f>_xlfn.XLOOKUP(Table3[[#This Row],[instant]],Table2[instant],Table2[atemp], ,0,1)</f>
        <v>0.21210000000000001</v>
      </c>
      <c r="I146" s="1">
        <f>_xlfn.XLOOKUP(Table3[[#This Row],[instant]],Table2[instant],Table2[hum], ,0,1)</f>
        <v>0.69</v>
      </c>
      <c r="J146" s="1">
        <f>_xlfn.XLOOKUP(Table3[[#This Row],[instant]],Table2[instant],Table2[windspeed], ,0,1)</f>
        <v>0.1343</v>
      </c>
      <c r="K146" s="1">
        <f>_xlfn.XLOOKUP(Table3[[#This Row],[instant]],Table2[instant],Table2[casual], ,0,1)</f>
        <v>8</v>
      </c>
      <c r="L146" s="1">
        <f>_xlfn.XLOOKUP(Table3[[#This Row],[instant]],Table2[instant],Table2[registered], ,0,1)</f>
        <v>76</v>
      </c>
      <c r="M146" s="6">
        <f>_xlfn.XLOOKUP(Table3[[#This Row],[instant]],Table2[instant],Table2[cnt], ,0,1)</f>
        <v>84</v>
      </c>
      <c r="N146" s="6" t="str">
        <f>IF(OR(Table3[[#This Row],[weekday]]=0,Table3[[#This Row],[weekday]]=6),"Weekend","Weekday")</f>
        <v>Weekday</v>
      </c>
    </row>
    <row r="147" spans="1:14" ht="15" thickBot="1" x14ac:dyDescent="0.35">
      <c r="A147" s="5">
        <v>146</v>
      </c>
      <c r="B147" s="3">
        <f>_xlfn.XLOOKUP(Table3[[#This Row],[instant]],DatSet1!A147:A756,DatSet1!B147:B756,_xlfn.XLOOKUP(Table3[[#This Row],[instant]],'Final Data'!A147:A536,'Final Data'!B147:B536, ,0,1),0,1)</f>
        <v>40550</v>
      </c>
      <c r="C147" s="1">
        <f>_xlfn.XLOOKUP(Table3[[#This Row],[instant]],Table1[instant],Table1[hr], ,0,1)</f>
        <v>8</v>
      </c>
      <c r="D147" s="2" t="b">
        <f>_xlfn.XLOOKUP(Table3[[#This Row],[instant]],Table1[instant],Table1[holiday], ,0,1)</f>
        <v>0</v>
      </c>
      <c r="E147" s="2">
        <f>_xlfn.XLOOKUP(Table3[[#This Row],[instant]],Table1[instant],Table1[weekday], ,0,1)</f>
        <v>5</v>
      </c>
      <c r="F147" s="2">
        <f>_xlfn.XLOOKUP(Table3[[#This Row],[instant]],Table1[instant],Table1[weathersit], ,0,1)</f>
        <v>1</v>
      </c>
      <c r="G147" s="2">
        <f>_xlfn.XLOOKUP(Table3[[#This Row],[instant]],Table1[instant],Table1[temp], ,0,1)</f>
        <v>0.2</v>
      </c>
      <c r="H147" s="24">
        <f>_xlfn.XLOOKUP(Table3[[#This Row],[instant]],Table2[instant],Table2[atemp], ,0,1)</f>
        <v>0.19700000000000001</v>
      </c>
      <c r="I147" s="1">
        <f>_xlfn.XLOOKUP(Table3[[#This Row],[instant]],Table2[instant],Table2[hum], ,0,1)</f>
        <v>0.51</v>
      </c>
      <c r="J147" s="1">
        <f>_xlfn.XLOOKUP(Table3[[#This Row],[instant]],Table2[instant],Table2[windspeed], ,0,1)</f>
        <v>0.25369999999999998</v>
      </c>
      <c r="K147" s="1">
        <f>_xlfn.XLOOKUP(Table3[[#This Row],[instant]],Table2[instant],Table2[casual], ,0,1)</f>
        <v>20</v>
      </c>
      <c r="L147" s="1">
        <f>_xlfn.XLOOKUP(Table3[[#This Row],[instant]],Table2[instant],Table2[registered], ,0,1)</f>
        <v>190</v>
      </c>
      <c r="M147" s="6">
        <f>_xlfn.XLOOKUP(Table3[[#This Row],[instant]],Table2[instant],Table2[cnt], ,0,1)</f>
        <v>210</v>
      </c>
      <c r="N147" s="6" t="str">
        <f>IF(OR(Table3[[#This Row],[weekday]]=0,Table3[[#This Row],[weekday]]=6),"Weekend","Weekday")</f>
        <v>Weekday</v>
      </c>
    </row>
    <row r="148" spans="1:14" ht="15" thickBot="1" x14ac:dyDescent="0.35">
      <c r="A148" s="5">
        <v>147</v>
      </c>
      <c r="B148" s="3">
        <f>_xlfn.XLOOKUP(Table3[[#This Row],[instant]],DatSet1!A148:A757,DatSet1!B148:B757,_xlfn.XLOOKUP(Table3[[#This Row],[instant]],'Final Data'!A148:A537,'Final Data'!B148:B537, ,0,1),0,1)</f>
        <v>40550</v>
      </c>
      <c r="C148" s="1">
        <f>_xlfn.XLOOKUP(Table3[[#This Row],[instant]],Table1[instant],Table1[hr], ,0,1)</f>
        <v>9</v>
      </c>
      <c r="D148" s="2" t="b">
        <f>_xlfn.XLOOKUP(Table3[[#This Row],[instant]],Table1[instant],Table1[holiday], ,0,1)</f>
        <v>0</v>
      </c>
      <c r="E148" s="2">
        <f>_xlfn.XLOOKUP(Table3[[#This Row],[instant]],Table1[instant],Table1[weekday], ,0,1)</f>
        <v>5</v>
      </c>
      <c r="F148" s="2">
        <f>_xlfn.XLOOKUP(Table3[[#This Row],[instant]],Table1[instant],Table1[weathersit], ,0,1)</f>
        <v>1</v>
      </c>
      <c r="G148" s="2">
        <f>_xlfn.XLOOKUP(Table3[[#This Row],[instant]],Table1[instant],Table1[temp], ,0,1)</f>
        <v>0.2</v>
      </c>
      <c r="H148" s="24">
        <f>_xlfn.XLOOKUP(Table3[[#This Row],[instant]],Table2[instant],Table2[atemp], ,0,1)</f>
        <v>0.18179999999999999</v>
      </c>
      <c r="I148" s="1">
        <f>_xlfn.XLOOKUP(Table3[[#This Row],[instant]],Table2[instant],Table2[hum], ,0,1)</f>
        <v>0.47</v>
      </c>
      <c r="J148" s="1">
        <f>_xlfn.XLOOKUP(Table3[[#This Row],[instant]],Table2[instant],Table2[windspeed], ,0,1)</f>
        <v>0.29849999999999999</v>
      </c>
      <c r="K148" s="1">
        <f>_xlfn.XLOOKUP(Table3[[#This Row],[instant]],Table2[instant],Table2[casual], ,0,1)</f>
        <v>9</v>
      </c>
      <c r="L148" s="1">
        <f>_xlfn.XLOOKUP(Table3[[#This Row],[instant]],Table2[instant],Table2[registered], ,0,1)</f>
        <v>125</v>
      </c>
      <c r="M148" s="6">
        <f>_xlfn.XLOOKUP(Table3[[#This Row],[instant]],Table2[instant],Table2[cnt], ,0,1)</f>
        <v>134</v>
      </c>
      <c r="N148" s="6" t="str">
        <f>IF(OR(Table3[[#This Row],[weekday]]=0,Table3[[#This Row],[weekday]]=6),"Weekend","Weekday")</f>
        <v>Weekday</v>
      </c>
    </row>
    <row r="149" spans="1:14" ht="15" thickBot="1" x14ac:dyDescent="0.35">
      <c r="A149" s="5">
        <v>148</v>
      </c>
      <c r="B149" s="3">
        <f>_xlfn.XLOOKUP(Table3[[#This Row],[instant]],DatSet1!A149:A758,DatSet1!B149:B758,_xlfn.XLOOKUP(Table3[[#This Row],[instant]],'Final Data'!A149:A538,'Final Data'!B149:B538, ,0,1),0,1)</f>
        <v>40550</v>
      </c>
      <c r="C149" s="1">
        <f>_xlfn.XLOOKUP(Table3[[#This Row],[instant]],Table1[instant],Table1[hr], ,0,1)</f>
        <v>10</v>
      </c>
      <c r="D149" s="2" t="b">
        <f>_xlfn.XLOOKUP(Table3[[#This Row],[instant]],Table1[instant],Table1[holiday], ,0,1)</f>
        <v>0</v>
      </c>
      <c r="E149" s="2">
        <f>_xlfn.XLOOKUP(Table3[[#This Row],[instant]],Table1[instant],Table1[weekday], ,0,1)</f>
        <v>5</v>
      </c>
      <c r="F149" s="2">
        <f>_xlfn.XLOOKUP(Table3[[#This Row],[instant]],Table1[instant],Table1[weathersit], ,0,1)</f>
        <v>1</v>
      </c>
      <c r="G149" s="2">
        <f>_xlfn.XLOOKUP(Table3[[#This Row],[instant]],Table1[instant],Table1[temp], ,0,1)</f>
        <v>0.22</v>
      </c>
      <c r="H149" s="24">
        <f>_xlfn.XLOOKUP(Table3[[#This Row],[instant]],Table2[instant],Table2[atemp], ,0,1)</f>
        <v>0.19700000000000001</v>
      </c>
      <c r="I149" s="1">
        <f>_xlfn.XLOOKUP(Table3[[#This Row],[instant]],Table2[instant],Table2[hum], ,0,1)</f>
        <v>0.37</v>
      </c>
      <c r="J149" s="1">
        <f>_xlfn.XLOOKUP(Table3[[#This Row],[instant]],Table2[instant],Table2[windspeed], ,0,1)</f>
        <v>0.32840000000000003</v>
      </c>
      <c r="K149" s="1">
        <f>_xlfn.XLOOKUP(Table3[[#This Row],[instant]],Table2[instant],Table2[casual], ,0,1)</f>
        <v>16</v>
      </c>
      <c r="L149" s="1">
        <f>_xlfn.XLOOKUP(Table3[[#This Row],[instant]],Table2[instant],Table2[registered], ,0,1)</f>
        <v>47</v>
      </c>
      <c r="M149" s="6">
        <f>_xlfn.XLOOKUP(Table3[[#This Row],[instant]],Table2[instant],Table2[cnt], ,0,1)</f>
        <v>63</v>
      </c>
      <c r="N149" s="6" t="str">
        <f>IF(OR(Table3[[#This Row],[weekday]]=0,Table3[[#This Row],[weekday]]=6),"Weekend","Weekday")</f>
        <v>Weekday</v>
      </c>
    </row>
    <row r="150" spans="1:14" ht="15" thickBot="1" x14ac:dyDescent="0.35">
      <c r="A150" s="5">
        <v>149</v>
      </c>
      <c r="B150" s="3">
        <f>_xlfn.XLOOKUP(Table3[[#This Row],[instant]],DatSet1!A150:A759,DatSet1!B150:B759,_xlfn.XLOOKUP(Table3[[#This Row],[instant]],'Final Data'!A150:A539,'Final Data'!B150:B539, ,0,1),0,1)</f>
        <v>40550</v>
      </c>
      <c r="C150" s="1">
        <f>_xlfn.XLOOKUP(Table3[[#This Row],[instant]],Table1[instant],Table1[hr], ,0,1)</f>
        <v>11</v>
      </c>
      <c r="D150" s="2" t="b">
        <f>_xlfn.XLOOKUP(Table3[[#This Row],[instant]],Table1[instant],Table1[holiday], ,0,1)</f>
        <v>0</v>
      </c>
      <c r="E150" s="2">
        <f>_xlfn.XLOOKUP(Table3[[#This Row],[instant]],Table1[instant],Table1[weekday], ,0,1)</f>
        <v>5</v>
      </c>
      <c r="F150" s="2">
        <f>_xlfn.XLOOKUP(Table3[[#This Row],[instant]],Table1[instant],Table1[weathersit], ,0,1)</f>
        <v>2</v>
      </c>
      <c r="G150" s="2">
        <f>_xlfn.XLOOKUP(Table3[[#This Row],[instant]],Table1[instant],Table1[temp], ,0,1)</f>
        <v>0.2</v>
      </c>
      <c r="H150" s="24">
        <f>_xlfn.XLOOKUP(Table3[[#This Row],[instant]],Table2[instant],Table2[atemp], ,0,1)</f>
        <v>0.19700000000000001</v>
      </c>
      <c r="I150" s="1">
        <f>_xlfn.XLOOKUP(Table3[[#This Row],[instant]],Table2[instant],Table2[hum], ,0,1)</f>
        <v>0.4</v>
      </c>
      <c r="J150" s="1">
        <f>_xlfn.XLOOKUP(Table3[[#This Row],[instant]],Table2[instant],Table2[windspeed], ,0,1)</f>
        <v>0.22389999999999999</v>
      </c>
      <c r="K150" s="1">
        <f>_xlfn.XLOOKUP(Table3[[#This Row],[instant]],Table2[instant],Table2[casual], ,0,1)</f>
        <v>19</v>
      </c>
      <c r="L150" s="1">
        <f>_xlfn.XLOOKUP(Table3[[#This Row],[instant]],Table2[instant],Table2[registered], ,0,1)</f>
        <v>48</v>
      </c>
      <c r="M150" s="6">
        <f>_xlfn.XLOOKUP(Table3[[#This Row],[instant]],Table2[instant],Table2[cnt], ,0,1)</f>
        <v>67</v>
      </c>
      <c r="N150" s="6" t="str">
        <f>IF(OR(Table3[[#This Row],[weekday]]=0,Table3[[#This Row],[weekday]]=6),"Weekend","Weekday")</f>
        <v>Weekday</v>
      </c>
    </row>
    <row r="151" spans="1:14" ht="15" thickBot="1" x14ac:dyDescent="0.35">
      <c r="A151" s="5">
        <v>150</v>
      </c>
      <c r="B151" s="3">
        <f>_xlfn.XLOOKUP(Table3[[#This Row],[instant]],DatSet1!A151:A760,DatSet1!B151:B760,_xlfn.XLOOKUP(Table3[[#This Row],[instant]],'Final Data'!A151:A540,'Final Data'!B151:B540, ,0,1),0,1)</f>
        <v>40550</v>
      </c>
      <c r="C151" s="1">
        <f>_xlfn.XLOOKUP(Table3[[#This Row],[instant]],Table1[instant],Table1[hr], ,0,1)</f>
        <v>12</v>
      </c>
      <c r="D151" s="2" t="b">
        <f>_xlfn.XLOOKUP(Table3[[#This Row],[instant]],Table1[instant],Table1[holiday], ,0,1)</f>
        <v>0</v>
      </c>
      <c r="E151" s="2">
        <f>_xlfn.XLOOKUP(Table3[[#This Row],[instant]],Table1[instant],Table1[weekday], ,0,1)</f>
        <v>5</v>
      </c>
      <c r="F151" s="2">
        <f>_xlfn.XLOOKUP(Table3[[#This Row],[instant]],Table1[instant],Table1[weathersit], ,0,1)</f>
        <v>2</v>
      </c>
      <c r="G151" s="2">
        <f>_xlfn.XLOOKUP(Table3[[#This Row],[instant]],Table1[instant],Table1[temp], ,0,1)</f>
        <v>0.2</v>
      </c>
      <c r="H151" s="24">
        <f>_xlfn.XLOOKUP(Table3[[#This Row],[instant]],Table2[instant],Table2[atemp], ,0,1)</f>
        <v>0.19700000000000001</v>
      </c>
      <c r="I151" s="1">
        <f>_xlfn.XLOOKUP(Table3[[#This Row],[instant]],Table2[instant],Table2[hum], ,0,1)</f>
        <v>0.37</v>
      </c>
      <c r="J151" s="1">
        <f>_xlfn.XLOOKUP(Table3[[#This Row],[instant]],Table2[instant],Table2[windspeed], ,0,1)</f>
        <v>0.25369999999999998</v>
      </c>
      <c r="K151" s="1">
        <f>_xlfn.XLOOKUP(Table3[[#This Row],[instant]],Table2[instant],Table2[casual], ,0,1)</f>
        <v>9</v>
      </c>
      <c r="L151" s="1">
        <f>_xlfn.XLOOKUP(Table3[[#This Row],[instant]],Table2[instant],Table2[registered], ,0,1)</f>
        <v>50</v>
      </c>
      <c r="M151" s="6">
        <f>_xlfn.XLOOKUP(Table3[[#This Row],[instant]],Table2[instant],Table2[cnt], ,0,1)</f>
        <v>59</v>
      </c>
      <c r="N151" s="6" t="str">
        <f>IF(OR(Table3[[#This Row],[weekday]]=0,Table3[[#This Row],[weekday]]=6),"Weekend","Weekday")</f>
        <v>Weekday</v>
      </c>
    </row>
    <row r="152" spans="1:14" ht="15" thickBot="1" x14ac:dyDescent="0.35">
      <c r="A152" s="5">
        <v>151</v>
      </c>
      <c r="B152" s="3">
        <f>_xlfn.XLOOKUP(Table3[[#This Row],[instant]],DatSet1!A152:A761,DatSet1!B152:B761,_xlfn.XLOOKUP(Table3[[#This Row],[instant]],'Final Data'!A152:A541,'Final Data'!B152:B541, ,0,1),0,1)</f>
        <v>40550</v>
      </c>
      <c r="C152" s="1">
        <f>_xlfn.XLOOKUP(Table3[[#This Row],[instant]],Table1[instant],Table1[hr], ,0,1)</f>
        <v>13</v>
      </c>
      <c r="D152" s="2" t="b">
        <f>_xlfn.XLOOKUP(Table3[[#This Row],[instant]],Table1[instant],Table1[holiday], ,0,1)</f>
        <v>0</v>
      </c>
      <c r="E152" s="2">
        <f>_xlfn.XLOOKUP(Table3[[#This Row],[instant]],Table1[instant],Table1[weekday], ,0,1)</f>
        <v>5</v>
      </c>
      <c r="F152" s="2">
        <f>_xlfn.XLOOKUP(Table3[[#This Row],[instant]],Table1[instant],Table1[weathersit], ,0,1)</f>
        <v>2</v>
      </c>
      <c r="G152" s="2">
        <f>_xlfn.XLOOKUP(Table3[[#This Row],[instant]],Table1[instant],Table1[temp], ,0,1)</f>
        <v>0.2</v>
      </c>
      <c r="H152" s="24">
        <f>_xlfn.XLOOKUP(Table3[[#This Row],[instant]],Table2[instant],Table2[atemp], ,0,1)</f>
        <v>0.18179999999999999</v>
      </c>
      <c r="I152" s="1">
        <f>_xlfn.XLOOKUP(Table3[[#This Row],[instant]],Table2[instant],Table2[hum], ,0,1)</f>
        <v>0.37</v>
      </c>
      <c r="J152" s="1">
        <f>_xlfn.XLOOKUP(Table3[[#This Row],[instant]],Table2[instant],Table2[windspeed], ,0,1)</f>
        <v>0.28360000000000002</v>
      </c>
      <c r="K152" s="1">
        <f>_xlfn.XLOOKUP(Table3[[#This Row],[instant]],Table2[instant],Table2[casual], ,0,1)</f>
        <v>9</v>
      </c>
      <c r="L152" s="1">
        <f>_xlfn.XLOOKUP(Table3[[#This Row],[instant]],Table2[instant],Table2[registered], ,0,1)</f>
        <v>64</v>
      </c>
      <c r="M152" s="6">
        <f>_xlfn.XLOOKUP(Table3[[#This Row],[instant]],Table2[instant],Table2[cnt], ,0,1)</f>
        <v>73</v>
      </c>
      <c r="N152" s="6" t="str">
        <f>IF(OR(Table3[[#This Row],[weekday]]=0,Table3[[#This Row],[weekday]]=6),"Weekend","Weekday")</f>
        <v>Weekday</v>
      </c>
    </row>
    <row r="153" spans="1:14" ht="15" thickBot="1" x14ac:dyDescent="0.35">
      <c r="A153" s="5">
        <v>152</v>
      </c>
      <c r="B153" s="3">
        <f>_xlfn.XLOOKUP(Table3[[#This Row],[instant]],DatSet1!A153:A762,DatSet1!B153:B762,_xlfn.XLOOKUP(Table3[[#This Row],[instant]],'Final Data'!A153:A542,'Final Data'!B153:B542, ,0,1),0,1)</f>
        <v>40550</v>
      </c>
      <c r="C153" s="1">
        <f>_xlfn.XLOOKUP(Table3[[#This Row],[instant]],Table1[instant],Table1[hr], ,0,1)</f>
        <v>14</v>
      </c>
      <c r="D153" s="2" t="b">
        <f>_xlfn.XLOOKUP(Table3[[#This Row],[instant]],Table1[instant],Table1[holiday], ,0,1)</f>
        <v>0</v>
      </c>
      <c r="E153" s="2">
        <f>_xlfn.XLOOKUP(Table3[[#This Row],[instant]],Table1[instant],Table1[weekday], ,0,1)</f>
        <v>5</v>
      </c>
      <c r="F153" s="2">
        <f>_xlfn.XLOOKUP(Table3[[#This Row],[instant]],Table1[instant],Table1[weathersit], ,0,1)</f>
        <v>2</v>
      </c>
      <c r="G153" s="2">
        <f>_xlfn.XLOOKUP(Table3[[#This Row],[instant]],Table1[instant],Table1[temp], ,0,1)</f>
        <v>0.2</v>
      </c>
      <c r="H153" s="24">
        <f>_xlfn.XLOOKUP(Table3[[#This Row],[instant]],Table2[instant],Table2[atemp], ,0,1)</f>
        <v>0.19700000000000001</v>
      </c>
      <c r="I153" s="1">
        <f>_xlfn.XLOOKUP(Table3[[#This Row],[instant]],Table2[instant],Table2[hum], ,0,1)</f>
        <v>0.4</v>
      </c>
      <c r="J153" s="1">
        <f>_xlfn.XLOOKUP(Table3[[#This Row],[instant]],Table2[instant],Table2[windspeed], ,0,1)</f>
        <v>0.25369999999999998</v>
      </c>
      <c r="K153" s="1">
        <f>_xlfn.XLOOKUP(Table3[[#This Row],[instant]],Table2[instant],Table2[casual], ,0,1)</f>
        <v>7</v>
      </c>
      <c r="L153" s="1">
        <f>_xlfn.XLOOKUP(Table3[[#This Row],[instant]],Table2[instant],Table2[registered], ,0,1)</f>
        <v>43</v>
      </c>
      <c r="M153" s="6">
        <f>_xlfn.XLOOKUP(Table3[[#This Row],[instant]],Table2[instant],Table2[cnt], ,0,1)</f>
        <v>50</v>
      </c>
      <c r="N153" s="6" t="str">
        <f>IF(OR(Table3[[#This Row],[weekday]]=0,Table3[[#This Row],[weekday]]=6),"Weekend","Weekday")</f>
        <v>Weekday</v>
      </c>
    </row>
    <row r="154" spans="1:14" ht="15" thickBot="1" x14ac:dyDescent="0.35">
      <c r="A154" s="5">
        <v>153</v>
      </c>
      <c r="B154" s="3">
        <f>_xlfn.XLOOKUP(Table3[[#This Row],[instant]],DatSet1!A154:A763,DatSet1!B154:B763,_xlfn.XLOOKUP(Table3[[#This Row],[instant]],'Final Data'!A154:A543,'Final Data'!B154:B543, ,0,1),0,1)</f>
        <v>40550</v>
      </c>
      <c r="C154" s="1">
        <f>_xlfn.XLOOKUP(Table3[[#This Row],[instant]],Table1[instant],Table1[hr], ,0,1)</f>
        <v>15</v>
      </c>
      <c r="D154" s="2" t="b">
        <f>_xlfn.XLOOKUP(Table3[[#This Row],[instant]],Table1[instant],Table1[holiday], ,0,1)</f>
        <v>0</v>
      </c>
      <c r="E154" s="2">
        <f>_xlfn.XLOOKUP(Table3[[#This Row],[instant]],Table1[instant],Table1[weekday], ,0,1)</f>
        <v>5</v>
      </c>
      <c r="F154" s="2">
        <f>_xlfn.XLOOKUP(Table3[[#This Row],[instant]],Table1[instant],Table1[weathersit], ,0,1)</f>
        <v>2</v>
      </c>
      <c r="G154" s="2">
        <f>_xlfn.XLOOKUP(Table3[[#This Row],[instant]],Table1[instant],Table1[temp], ,0,1)</f>
        <v>0.2</v>
      </c>
      <c r="H154" s="24">
        <f>_xlfn.XLOOKUP(Table3[[#This Row],[instant]],Table2[instant],Table2[atemp], ,0,1)</f>
        <v>0.21210000000000001</v>
      </c>
      <c r="I154" s="1">
        <f>_xlfn.XLOOKUP(Table3[[#This Row],[instant]],Table2[instant],Table2[hum], ,0,1)</f>
        <v>0.37</v>
      </c>
      <c r="J154" s="1">
        <f>_xlfn.XLOOKUP(Table3[[#This Row],[instant]],Table2[instant],Table2[windspeed], ,0,1)</f>
        <v>0.16420000000000001</v>
      </c>
      <c r="K154" s="1">
        <f>_xlfn.XLOOKUP(Table3[[#This Row],[instant]],Table2[instant],Table2[casual], ,0,1)</f>
        <v>9</v>
      </c>
      <c r="L154" s="1">
        <f>_xlfn.XLOOKUP(Table3[[#This Row],[instant]],Table2[instant],Table2[registered], ,0,1)</f>
        <v>63</v>
      </c>
      <c r="M154" s="6">
        <f>_xlfn.XLOOKUP(Table3[[#This Row],[instant]],Table2[instant],Table2[cnt], ,0,1)</f>
        <v>72</v>
      </c>
      <c r="N154" s="6" t="str">
        <f>IF(OR(Table3[[#This Row],[weekday]]=0,Table3[[#This Row],[weekday]]=6),"Weekend","Weekday")</f>
        <v>Weekday</v>
      </c>
    </row>
    <row r="155" spans="1:14" ht="15" thickBot="1" x14ac:dyDescent="0.35">
      <c r="A155" s="5">
        <v>154</v>
      </c>
      <c r="B155" s="3">
        <f>_xlfn.XLOOKUP(Table3[[#This Row],[instant]],DatSet1!A155:A764,DatSet1!B155:B764,_xlfn.XLOOKUP(Table3[[#This Row],[instant]],'Final Data'!A155:A544,'Final Data'!B155:B544, ,0,1),0,1)</f>
        <v>40550</v>
      </c>
      <c r="C155" s="1">
        <f>_xlfn.XLOOKUP(Table3[[#This Row],[instant]],Table1[instant],Table1[hr], ,0,1)</f>
        <v>16</v>
      </c>
      <c r="D155" s="2" t="b">
        <f>_xlfn.XLOOKUP(Table3[[#This Row],[instant]],Table1[instant],Table1[holiday], ,0,1)</f>
        <v>0</v>
      </c>
      <c r="E155" s="2">
        <f>_xlfn.XLOOKUP(Table3[[#This Row],[instant]],Table1[instant],Table1[weekday], ,0,1)</f>
        <v>5</v>
      </c>
      <c r="F155" s="2">
        <f>_xlfn.XLOOKUP(Table3[[#This Row],[instant]],Table1[instant],Table1[weathersit], ,0,1)</f>
        <v>2</v>
      </c>
      <c r="G155" s="2">
        <f>_xlfn.XLOOKUP(Table3[[#This Row],[instant]],Table1[instant],Table1[temp], ,0,1)</f>
        <v>0.2</v>
      </c>
      <c r="H155" s="24">
        <f>_xlfn.XLOOKUP(Table3[[#This Row],[instant]],Table2[instant],Table2[atemp], ,0,1)</f>
        <v>0.21210000000000001</v>
      </c>
      <c r="I155" s="1">
        <f>_xlfn.XLOOKUP(Table3[[#This Row],[instant]],Table2[instant],Table2[hum], ,0,1)</f>
        <v>0.37</v>
      </c>
      <c r="J155" s="1">
        <f>_xlfn.XLOOKUP(Table3[[#This Row],[instant]],Table2[instant],Table2[windspeed], ,0,1)</f>
        <v>0.16420000000000001</v>
      </c>
      <c r="K155" s="1">
        <f>_xlfn.XLOOKUP(Table3[[#This Row],[instant]],Table2[instant],Table2[casual], ,0,1)</f>
        <v>5</v>
      </c>
      <c r="L155" s="1">
        <f>_xlfn.XLOOKUP(Table3[[#This Row],[instant]],Table2[instant],Table2[registered], ,0,1)</f>
        <v>82</v>
      </c>
      <c r="M155" s="6">
        <f>_xlfn.XLOOKUP(Table3[[#This Row],[instant]],Table2[instant],Table2[cnt], ,0,1)</f>
        <v>87</v>
      </c>
      <c r="N155" s="6" t="str">
        <f>IF(OR(Table3[[#This Row],[weekday]]=0,Table3[[#This Row],[weekday]]=6),"Weekend","Weekday")</f>
        <v>Weekday</v>
      </c>
    </row>
    <row r="156" spans="1:14" ht="15" thickBot="1" x14ac:dyDescent="0.35">
      <c r="A156" s="5">
        <v>155</v>
      </c>
      <c r="B156" s="3">
        <f>_xlfn.XLOOKUP(Table3[[#This Row],[instant]],DatSet1!A156:A765,DatSet1!B156:B765,_xlfn.XLOOKUP(Table3[[#This Row],[instant]],'Final Data'!A156:A545,'Final Data'!B156:B545, ,0,1),0,1)</f>
        <v>40550</v>
      </c>
      <c r="C156" s="1">
        <f>_xlfn.XLOOKUP(Table3[[#This Row],[instant]],Table1[instant],Table1[hr], ,0,1)</f>
        <v>17</v>
      </c>
      <c r="D156" s="2" t="b">
        <f>_xlfn.XLOOKUP(Table3[[#This Row],[instant]],Table1[instant],Table1[holiday], ,0,1)</f>
        <v>0</v>
      </c>
      <c r="E156" s="2">
        <f>_xlfn.XLOOKUP(Table3[[#This Row],[instant]],Table1[instant],Table1[weekday], ,0,1)</f>
        <v>5</v>
      </c>
      <c r="F156" s="2">
        <f>_xlfn.XLOOKUP(Table3[[#This Row],[instant]],Table1[instant],Table1[weathersit], ,0,1)</f>
        <v>2</v>
      </c>
      <c r="G156" s="2">
        <f>_xlfn.XLOOKUP(Table3[[#This Row],[instant]],Table1[instant],Table1[temp], ,0,1)</f>
        <v>0.2</v>
      </c>
      <c r="H156" s="24">
        <f>_xlfn.XLOOKUP(Table3[[#This Row],[instant]],Table2[instant],Table2[atemp], ,0,1)</f>
        <v>0.2576</v>
      </c>
      <c r="I156" s="1">
        <f>_xlfn.XLOOKUP(Table3[[#This Row],[instant]],Table2[instant],Table2[hum], ,0,1)</f>
        <v>0.37</v>
      </c>
      <c r="J156" s="1">
        <f>_xlfn.XLOOKUP(Table3[[#This Row],[instant]],Table2[instant],Table2[windspeed], ,0,1)</f>
        <v>0</v>
      </c>
      <c r="K156" s="1">
        <f>_xlfn.XLOOKUP(Table3[[#This Row],[instant]],Table2[instant],Table2[casual], ,0,1)</f>
        <v>9</v>
      </c>
      <c r="L156" s="1">
        <f>_xlfn.XLOOKUP(Table3[[#This Row],[instant]],Table2[instant],Table2[registered], ,0,1)</f>
        <v>178</v>
      </c>
      <c r="M156" s="6">
        <f>_xlfn.XLOOKUP(Table3[[#This Row],[instant]],Table2[instant],Table2[cnt], ,0,1)</f>
        <v>187</v>
      </c>
      <c r="N156" s="6" t="str">
        <f>IF(OR(Table3[[#This Row],[weekday]]=0,Table3[[#This Row],[weekday]]=6),"Weekend","Weekday")</f>
        <v>Weekday</v>
      </c>
    </row>
    <row r="157" spans="1:14" ht="15" thickBot="1" x14ac:dyDescent="0.35">
      <c r="A157" s="5">
        <v>156</v>
      </c>
      <c r="B157" s="3">
        <f>_xlfn.XLOOKUP(Table3[[#This Row],[instant]],DatSet1!A157:A766,DatSet1!B157:B766,_xlfn.XLOOKUP(Table3[[#This Row],[instant]],'Final Data'!A157:A546,'Final Data'!B157:B546, ,0,1),0,1)</f>
        <v>40550</v>
      </c>
      <c r="C157" s="1">
        <f>_xlfn.XLOOKUP(Table3[[#This Row],[instant]],Table1[instant],Table1[hr], ,0,1)</f>
        <v>18</v>
      </c>
      <c r="D157" s="2" t="b">
        <f>_xlfn.XLOOKUP(Table3[[#This Row],[instant]],Table1[instant],Table1[holiday], ,0,1)</f>
        <v>0</v>
      </c>
      <c r="E157" s="2">
        <f>_xlfn.XLOOKUP(Table3[[#This Row],[instant]],Table1[instant],Table1[weekday], ,0,1)</f>
        <v>5</v>
      </c>
      <c r="F157" s="2">
        <f>_xlfn.XLOOKUP(Table3[[#This Row],[instant]],Table1[instant],Table1[weathersit], ,0,1)</f>
        <v>1</v>
      </c>
      <c r="G157" s="2">
        <f>_xlfn.XLOOKUP(Table3[[#This Row],[instant]],Table1[instant],Table1[temp], ,0,1)</f>
        <v>0.2</v>
      </c>
      <c r="H157" s="24">
        <f>_xlfn.XLOOKUP(Table3[[#This Row],[instant]],Table2[instant],Table2[atemp], ,0,1)</f>
        <v>0.2273</v>
      </c>
      <c r="I157" s="1">
        <f>_xlfn.XLOOKUP(Table3[[#This Row],[instant]],Table2[instant],Table2[hum], ,0,1)</f>
        <v>0.4</v>
      </c>
      <c r="J157" s="1">
        <f>_xlfn.XLOOKUP(Table3[[#This Row],[instant]],Table2[instant],Table2[windspeed], ,0,1)</f>
        <v>8.9599999999999999E-2</v>
      </c>
      <c r="K157" s="1">
        <f>_xlfn.XLOOKUP(Table3[[#This Row],[instant]],Table2[instant],Table2[casual], ,0,1)</f>
        <v>7</v>
      </c>
      <c r="L157" s="1">
        <f>_xlfn.XLOOKUP(Table3[[#This Row],[instant]],Table2[instant],Table2[registered], ,0,1)</f>
        <v>116</v>
      </c>
      <c r="M157" s="6">
        <f>_xlfn.XLOOKUP(Table3[[#This Row],[instant]],Table2[instant],Table2[cnt], ,0,1)</f>
        <v>123</v>
      </c>
      <c r="N157" s="6" t="str">
        <f>IF(OR(Table3[[#This Row],[weekday]]=0,Table3[[#This Row],[weekday]]=6),"Weekend","Weekday")</f>
        <v>Weekday</v>
      </c>
    </row>
    <row r="158" spans="1:14" ht="15" thickBot="1" x14ac:dyDescent="0.35">
      <c r="A158" s="5">
        <v>157</v>
      </c>
      <c r="B158" s="3">
        <f>_xlfn.XLOOKUP(Table3[[#This Row],[instant]],DatSet1!A158:A767,DatSet1!B158:B767,_xlfn.XLOOKUP(Table3[[#This Row],[instant]],'Final Data'!A158:A547,'Final Data'!B158:B547, ,0,1),0,1)</f>
        <v>40550</v>
      </c>
      <c r="C158" s="1">
        <f>_xlfn.XLOOKUP(Table3[[#This Row],[instant]],Table1[instant],Table1[hr], ,0,1)</f>
        <v>19</v>
      </c>
      <c r="D158" s="2" t="b">
        <f>_xlfn.XLOOKUP(Table3[[#This Row],[instant]],Table1[instant],Table1[holiday], ,0,1)</f>
        <v>0</v>
      </c>
      <c r="E158" s="2">
        <f>_xlfn.XLOOKUP(Table3[[#This Row],[instant]],Table1[instant],Table1[weekday], ,0,1)</f>
        <v>5</v>
      </c>
      <c r="F158" s="2">
        <f>_xlfn.XLOOKUP(Table3[[#This Row],[instant]],Table1[instant],Table1[weathersit], ,0,1)</f>
        <v>1</v>
      </c>
      <c r="G158" s="2">
        <f>_xlfn.XLOOKUP(Table3[[#This Row],[instant]],Table1[instant],Table1[temp], ,0,1)</f>
        <v>0.16</v>
      </c>
      <c r="H158" s="24">
        <f>_xlfn.XLOOKUP(Table3[[#This Row],[instant]],Table2[instant],Table2[atemp], ,0,1)</f>
        <v>0.19700000000000001</v>
      </c>
      <c r="I158" s="1">
        <f>_xlfn.XLOOKUP(Table3[[#This Row],[instant]],Table2[instant],Table2[hum], ,0,1)</f>
        <v>0.55000000000000004</v>
      </c>
      <c r="J158" s="1">
        <f>_xlfn.XLOOKUP(Table3[[#This Row],[instant]],Table2[instant],Table2[windspeed], ,0,1)</f>
        <v>8.9599999999999999E-2</v>
      </c>
      <c r="K158" s="1">
        <f>_xlfn.XLOOKUP(Table3[[#This Row],[instant]],Table2[instant],Table2[casual], ,0,1)</f>
        <v>3</v>
      </c>
      <c r="L158" s="1">
        <f>_xlfn.XLOOKUP(Table3[[#This Row],[instant]],Table2[instant],Table2[registered], ,0,1)</f>
        <v>92</v>
      </c>
      <c r="M158" s="6">
        <f>_xlfn.XLOOKUP(Table3[[#This Row],[instant]],Table2[instant],Table2[cnt], ,0,1)</f>
        <v>95</v>
      </c>
      <c r="N158" s="6" t="str">
        <f>IF(OR(Table3[[#This Row],[weekday]]=0,Table3[[#This Row],[weekday]]=6),"Weekend","Weekday")</f>
        <v>Weekday</v>
      </c>
    </row>
    <row r="159" spans="1:14" ht="15" thickBot="1" x14ac:dyDescent="0.35">
      <c r="A159" s="5">
        <v>158</v>
      </c>
      <c r="B159" s="3">
        <f>_xlfn.XLOOKUP(Table3[[#This Row],[instant]],DatSet1!A159:A768,DatSet1!B159:B768,_xlfn.XLOOKUP(Table3[[#This Row],[instant]],'Final Data'!A159:A548,'Final Data'!B159:B548, ,0,1),0,1)</f>
        <v>40550</v>
      </c>
      <c r="C159" s="1">
        <f>_xlfn.XLOOKUP(Table3[[#This Row],[instant]],Table1[instant],Table1[hr], ,0,1)</f>
        <v>20</v>
      </c>
      <c r="D159" s="2" t="b">
        <f>_xlfn.XLOOKUP(Table3[[#This Row],[instant]],Table1[instant],Table1[holiday], ,0,1)</f>
        <v>0</v>
      </c>
      <c r="E159" s="2">
        <f>_xlfn.XLOOKUP(Table3[[#This Row],[instant]],Table1[instant],Table1[weekday], ,0,1)</f>
        <v>5</v>
      </c>
      <c r="F159" s="2">
        <f>_xlfn.XLOOKUP(Table3[[#This Row],[instant]],Table1[instant],Table1[weathersit], ,0,1)</f>
        <v>1</v>
      </c>
      <c r="G159" s="2">
        <f>_xlfn.XLOOKUP(Table3[[#This Row],[instant]],Table1[instant],Table1[temp], ,0,1)</f>
        <v>0.18</v>
      </c>
      <c r="H159" s="24">
        <f>_xlfn.XLOOKUP(Table3[[#This Row],[instant]],Table2[instant],Table2[atemp], ,0,1)</f>
        <v>0.21210000000000001</v>
      </c>
      <c r="I159" s="1">
        <f>_xlfn.XLOOKUP(Table3[[#This Row],[instant]],Table2[instant],Table2[hum], ,0,1)</f>
        <v>0.47</v>
      </c>
      <c r="J159" s="1">
        <f>_xlfn.XLOOKUP(Table3[[#This Row],[instant]],Table2[instant],Table2[windspeed], ,0,1)</f>
        <v>0.1045</v>
      </c>
      <c r="K159" s="1">
        <f>_xlfn.XLOOKUP(Table3[[#This Row],[instant]],Table2[instant],Table2[casual], ,0,1)</f>
        <v>1</v>
      </c>
      <c r="L159" s="1">
        <f>_xlfn.XLOOKUP(Table3[[#This Row],[instant]],Table2[instant],Table2[registered], ,0,1)</f>
        <v>50</v>
      </c>
      <c r="M159" s="6">
        <f>_xlfn.XLOOKUP(Table3[[#This Row],[instant]],Table2[instant],Table2[cnt], ,0,1)</f>
        <v>51</v>
      </c>
      <c r="N159" s="6" t="str">
        <f>IF(OR(Table3[[#This Row],[weekday]]=0,Table3[[#This Row],[weekday]]=6),"Weekend","Weekday")</f>
        <v>Weekday</v>
      </c>
    </row>
    <row r="160" spans="1:14" ht="15" thickBot="1" x14ac:dyDescent="0.35">
      <c r="A160" s="5">
        <v>159</v>
      </c>
      <c r="B160" s="3">
        <f>_xlfn.XLOOKUP(Table3[[#This Row],[instant]],DatSet1!A160:A769,DatSet1!B160:B769,_xlfn.XLOOKUP(Table3[[#This Row],[instant]],'Final Data'!A160:A549,'Final Data'!B160:B549, ,0,1),0,1)</f>
        <v>40550</v>
      </c>
      <c r="C160" s="1">
        <f>_xlfn.XLOOKUP(Table3[[#This Row],[instant]],Table1[instant],Table1[hr], ,0,1)</f>
        <v>21</v>
      </c>
      <c r="D160" s="2" t="b">
        <f>_xlfn.XLOOKUP(Table3[[#This Row],[instant]],Table1[instant],Table1[holiday], ,0,1)</f>
        <v>0</v>
      </c>
      <c r="E160" s="2">
        <f>_xlfn.XLOOKUP(Table3[[#This Row],[instant]],Table1[instant],Table1[weekday], ,0,1)</f>
        <v>5</v>
      </c>
      <c r="F160" s="2">
        <f>_xlfn.XLOOKUP(Table3[[#This Row],[instant]],Table1[instant],Table1[weathersit], ,0,1)</f>
        <v>1</v>
      </c>
      <c r="G160" s="2">
        <f>_xlfn.XLOOKUP(Table3[[#This Row],[instant]],Table1[instant],Table1[temp], ,0,1)</f>
        <v>0.18</v>
      </c>
      <c r="H160" s="24">
        <f>_xlfn.XLOOKUP(Table3[[#This Row],[instant]],Table2[instant],Table2[atemp], ,0,1)</f>
        <v>0.19700000000000001</v>
      </c>
      <c r="I160" s="1">
        <f>_xlfn.XLOOKUP(Table3[[#This Row],[instant]],Table2[instant],Table2[hum], ,0,1)</f>
        <v>0.47</v>
      </c>
      <c r="J160" s="1">
        <f>_xlfn.XLOOKUP(Table3[[#This Row],[instant]],Table2[instant],Table2[windspeed], ,0,1)</f>
        <v>0.1343</v>
      </c>
      <c r="K160" s="1">
        <f>_xlfn.XLOOKUP(Table3[[#This Row],[instant]],Table2[instant],Table2[casual], ,0,1)</f>
        <v>0</v>
      </c>
      <c r="L160" s="1">
        <f>_xlfn.XLOOKUP(Table3[[#This Row],[instant]],Table2[instant],Table2[registered], ,0,1)</f>
        <v>39</v>
      </c>
      <c r="M160" s="6">
        <f>_xlfn.XLOOKUP(Table3[[#This Row],[instant]],Table2[instant],Table2[cnt], ,0,1)</f>
        <v>39</v>
      </c>
      <c r="N160" s="6" t="str">
        <f>IF(OR(Table3[[#This Row],[weekday]]=0,Table3[[#This Row],[weekday]]=6),"Weekend","Weekday")</f>
        <v>Weekday</v>
      </c>
    </row>
    <row r="161" spans="1:14" ht="15" thickBot="1" x14ac:dyDescent="0.35">
      <c r="A161" s="5">
        <v>160</v>
      </c>
      <c r="B161" s="3">
        <f>_xlfn.XLOOKUP(Table3[[#This Row],[instant]],DatSet1!A161:A770,DatSet1!B161:B770,_xlfn.XLOOKUP(Table3[[#This Row],[instant]],'Final Data'!A161:A550,'Final Data'!B161:B550, ,0,1),0,1)</f>
        <v>40550</v>
      </c>
      <c r="C161" s="1">
        <f>_xlfn.XLOOKUP(Table3[[#This Row],[instant]],Table1[instant],Table1[hr], ,0,1)</f>
        <v>22</v>
      </c>
      <c r="D161" s="2" t="b">
        <f>_xlfn.XLOOKUP(Table3[[#This Row],[instant]],Table1[instant],Table1[holiday], ,0,1)</f>
        <v>0</v>
      </c>
      <c r="E161" s="2">
        <f>_xlfn.XLOOKUP(Table3[[#This Row],[instant]],Table1[instant],Table1[weekday], ,0,1)</f>
        <v>5</v>
      </c>
      <c r="F161" s="2">
        <f>_xlfn.XLOOKUP(Table3[[#This Row],[instant]],Table1[instant],Table1[weathersit], ,0,1)</f>
        <v>2</v>
      </c>
      <c r="G161" s="2">
        <f>_xlfn.XLOOKUP(Table3[[#This Row],[instant]],Table1[instant],Table1[temp], ,0,1)</f>
        <v>0.18</v>
      </c>
      <c r="H161" s="24">
        <f>_xlfn.XLOOKUP(Table3[[#This Row],[instant]],Table2[instant],Table2[atemp], ,0,1)</f>
        <v>0.19700000000000001</v>
      </c>
      <c r="I161" s="1">
        <f>_xlfn.XLOOKUP(Table3[[#This Row],[instant]],Table2[instant],Table2[hum], ,0,1)</f>
        <v>0.43</v>
      </c>
      <c r="J161" s="1">
        <f>_xlfn.XLOOKUP(Table3[[#This Row],[instant]],Table2[instant],Table2[windspeed], ,0,1)</f>
        <v>0.16420000000000001</v>
      </c>
      <c r="K161" s="1">
        <f>_xlfn.XLOOKUP(Table3[[#This Row],[instant]],Table2[instant],Table2[casual], ,0,1)</f>
        <v>2</v>
      </c>
      <c r="L161" s="1">
        <f>_xlfn.XLOOKUP(Table3[[#This Row],[instant]],Table2[instant],Table2[registered], ,0,1)</f>
        <v>34</v>
      </c>
      <c r="M161" s="6">
        <f>_xlfn.XLOOKUP(Table3[[#This Row],[instant]],Table2[instant],Table2[cnt], ,0,1)</f>
        <v>36</v>
      </c>
      <c r="N161" s="6" t="str">
        <f>IF(OR(Table3[[#This Row],[weekday]]=0,Table3[[#This Row],[weekday]]=6),"Weekend","Weekday")</f>
        <v>Weekday</v>
      </c>
    </row>
    <row r="162" spans="1:14" ht="15" thickBot="1" x14ac:dyDescent="0.35">
      <c r="A162" s="5">
        <v>161</v>
      </c>
      <c r="B162" s="3">
        <f>_xlfn.XLOOKUP(Table3[[#This Row],[instant]],DatSet1!A162:A771,DatSet1!B162:B771,_xlfn.XLOOKUP(Table3[[#This Row],[instant]],'Final Data'!A162:A551,'Final Data'!B162:B551, ,0,1),0,1)</f>
        <v>40550</v>
      </c>
      <c r="C162" s="1">
        <f>_xlfn.XLOOKUP(Table3[[#This Row],[instant]],Table1[instant],Table1[hr], ,0,1)</f>
        <v>23</v>
      </c>
      <c r="D162" s="2" t="b">
        <f>_xlfn.XLOOKUP(Table3[[#This Row],[instant]],Table1[instant],Table1[holiday], ,0,1)</f>
        <v>0</v>
      </c>
      <c r="E162" s="2">
        <f>_xlfn.XLOOKUP(Table3[[#This Row],[instant]],Table1[instant],Table1[weekday], ,0,1)</f>
        <v>5</v>
      </c>
      <c r="F162" s="2">
        <f>_xlfn.XLOOKUP(Table3[[#This Row],[instant]],Table1[instant],Table1[weathersit], ,0,1)</f>
        <v>2</v>
      </c>
      <c r="G162" s="2">
        <f>_xlfn.XLOOKUP(Table3[[#This Row],[instant]],Table1[instant],Table1[temp], ,0,1)</f>
        <v>0.18</v>
      </c>
      <c r="H162" s="24">
        <f>_xlfn.XLOOKUP(Table3[[#This Row],[instant]],Table2[instant],Table2[atemp], ,0,1)</f>
        <v>0.19700000000000001</v>
      </c>
      <c r="I162" s="1">
        <f>_xlfn.XLOOKUP(Table3[[#This Row],[instant]],Table2[instant],Table2[hum], ,0,1)</f>
        <v>0.51</v>
      </c>
      <c r="J162" s="1">
        <f>_xlfn.XLOOKUP(Table3[[#This Row],[instant]],Table2[instant],Table2[windspeed], ,0,1)</f>
        <v>0.16420000000000001</v>
      </c>
      <c r="K162" s="1">
        <f>_xlfn.XLOOKUP(Table3[[#This Row],[instant]],Table2[instant],Table2[casual], ,0,1)</f>
        <v>1</v>
      </c>
      <c r="L162" s="1">
        <f>_xlfn.XLOOKUP(Table3[[#This Row],[instant]],Table2[instant],Table2[registered], ,0,1)</f>
        <v>14</v>
      </c>
      <c r="M162" s="6">
        <f>_xlfn.XLOOKUP(Table3[[#This Row],[instant]],Table2[instant],Table2[cnt], ,0,1)</f>
        <v>15</v>
      </c>
      <c r="N162" s="6" t="str">
        <f>IF(OR(Table3[[#This Row],[weekday]]=0,Table3[[#This Row],[weekday]]=6),"Weekend","Weekday")</f>
        <v>Weekday</v>
      </c>
    </row>
    <row r="163" spans="1:14" ht="15" thickBot="1" x14ac:dyDescent="0.35">
      <c r="A163" s="5">
        <v>162</v>
      </c>
      <c r="B163" s="3">
        <f>_xlfn.XLOOKUP(Table3[[#This Row],[instant]],DatSet1!A163:A772,DatSet1!B163:B772,_xlfn.XLOOKUP(Table3[[#This Row],[instant]],'Final Data'!A163:A552,'Final Data'!B163:B552, ,0,1),0,1)</f>
        <v>40551</v>
      </c>
      <c r="C163" s="1">
        <f>_xlfn.XLOOKUP(Table3[[#This Row],[instant]],Table1[instant],Table1[hr], ,0,1)</f>
        <v>0</v>
      </c>
      <c r="D163" s="2" t="b">
        <f>_xlfn.XLOOKUP(Table3[[#This Row],[instant]],Table1[instant],Table1[holiday], ,0,1)</f>
        <v>0</v>
      </c>
      <c r="E163" s="2">
        <f>_xlfn.XLOOKUP(Table3[[#This Row],[instant]],Table1[instant],Table1[weekday], ,0,1)</f>
        <v>6</v>
      </c>
      <c r="F163" s="2">
        <f>_xlfn.XLOOKUP(Table3[[#This Row],[instant]],Table1[instant],Table1[weathersit], ,0,1)</f>
        <v>2</v>
      </c>
      <c r="G163" s="2">
        <f>_xlfn.XLOOKUP(Table3[[#This Row],[instant]],Table1[instant],Table1[temp], ,0,1)</f>
        <v>0.18</v>
      </c>
      <c r="H163" s="24">
        <f>_xlfn.XLOOKUP(Table3[[#This Row],[instant]],Table2[instant],Table2[atemp], ,0,1)</f>
        <v>0.19700000000000001</v>
      </c>
      <c r="I163" s="1">
        <f>_xlfn.XLOOKUP(Table3[[#This Row],[instant]],Table2[instant],Table2[hum], ,0,1)</f>
        <v>0.51</v>
      </c>
      <c r="J163" s="1">
        <f>_xlfn.XLOOKUP(Table3[[#This Row],[instant]],Table2[instant],Table2[windspeed], ,0,1)</f>
        <v>0.16420000000000001</v>
      </c>
      <c r="K163" s="1">
        <f>_xlfn.XLOOKUP(Table3[[#This Row],[instant]],Table2[instant],Table2[casual], ,0,1)</f>
        <v>1</v>
      </c>
      <c r="L163" s="1">
        <f>_xlfn.XLOOKUP(Table3[[#This Row],[instant]],Table2[instant],Table2[registered], ,0,1)</f>
        <v>24</v>
      </c>
      <c r="M163" s="6">
        <f>_xlfn.XLOOKUP(Table3[[#This Row],[instant]],Table2[instant],Table2[cnt], ,0,1)</f>
        <v>25</v>
      </c>
      <c r="N163" s="6" t="str">
        <f>IF(OR(Table3[[#This Row],[weekday]]=0,Table3[[#This Row],[weekday]]=6),"Weekend","Weekday")</f>
        <v>Weekend</v>
      </c>
    </row>
    <row r="164" spans="1:14" ht="15" thickBot="1" x14ac:dyDescent="0.35">
      <c r="A164" s="5">
        <v>163</v>
      </c>
      <c r="B164" s="3">
        <f>_xlfn.XLOOKUP(Table3[[#This Row],[instant]],DatSet1!A164:A773,DatSet1!B164:B773,_xlfn.XLOOKUP(Table3[[#This Row],[instant]],'Final Data'!A164:A553,'Final Data'!B164:B553, ,0,1),0,1)</f>
        <v>40551</v>
      </c>
      <c r="C164" s="1">
        <f>_xlfn.XLOOKUP(Table3[[#This Row],[instant]],Table1[instant],Table1[hr], ,0,1)</f>
        <v>1</v>
      </c>
      <c r="D164" s="2" t="b">
        <f>_xlfn.XLOOKUP(Table3[[#This Row],[instant]],Table1[instant],Table1[holiday], ,0,1)</f>
        <v>0</v>
      </c>
      <c r="E164" s="2">
        <f>_xlfn.XLOOKUP(Table3[[#This Row],[instant]],Table1[instant],Table1[weekday], ,0,1)</f>
        <v>6</v>
      </c>
      <c r="F164" s="2">
        <f>_xlfn.XLOOKUP(Table3[[#This Row],[instant]],Table1[instant],Table1[weathersit], ,0,1)</f>
        <v>2</v>
      </c>
      <c r="G164" s="2">
        <f>_xlfn.XLOOKUP(Table3[[#This Row],[instant]],Table1[instant],Table1[temp], ,0,1)</f>
        <v>0.18</v>
      </c>
      <c r="H164" s="24">
        <f>_xlfn.XLOOKUP(Table3[[#This Row],[instant]],Table2[instant],Table2[atemp], ,0,1)</f>
        <v>0.21210000000000001</v>
      </c>
      <c r="I164" s="1">
        <f>_xlfn.XLOOKUP(Table3[[#This Row],[instant]],Table2[instant],Table2[hum], ,0,1)</f>
        <v>0.55000000000000004</v>
      </c>
      <c r="J164" s="1">
        <f>_xlfn.XLOOKUP(Table3[[#This Row],[instant]],Table2[instant],Table2[windspeed], ,0,1)</f>
        <v>8.9599999999999999E-2</v>
      </c>
      <c r="K164" s="1">
        <f>_xlfn.XLOOKUP(Table3[[#This Row],[instant]],Table2[instant],Table2[casual], ,0,1)</f>
        <v>1</v>
      </c>
      <c r="L164" s="1">
        <f>_xlfn.XLOOKUP(Table3[[#This Row],[instant]],Table2[instant],Table2[registered], ,0,1)</f>
        <v>15</v>
      </c>
      <c r="M164" s="6">
        <f>_xlfn.XLOOKUP(Table3[[#This Row],[instant]],Table2[instant],Table2[cnt], ,0,1)</f>
        <v>16</v>
      </c>
      <c r="N164" s="6" t="str">
        <f>IF(OR(Table3[[#This Row],[weekday]]=0,Table3[[#This Row],[weekday]]=6),"Weekend","Weekday")</f>
        <v>Weekend</v>
      </c>
    </row>
    <row r="165" spans="1:14" ht="15" thickBot="1" x14ac:dyDescent="0.35">
      <c r="A165" s="5">
        <v>164</v>
      </c>
      <c r="B165" s="3">
        <f>_xlfn.XLOOKUP(Table3[[#This Row],[instant]],DatSet1!A165:A774,DatSet1!B165:B774,_xlfn.XLOOKUP(Table3[[#This Row],[instant]],'Final Data'!A165:A554,'Final Data'!B165:B554, ,0,1),0,1)</f>
        <v>40551</v>
      </c>
      <c r="C165" s="1">
        <f>_xlfn.XLOOKUP(Table3[[#This Row],[instant]],Table1[instant],Table1[hr], ,0,1)</f>
        <v>2</v>
      </c>
      <c r="D165" s="2" t="b">
        <f>_xlfn.XLOOKUP(Table3[[#This Row],[instant]],Table1[instant],Table1[holiday], ,0,1)</f>
        <v>0</v>
      </c>
      <c r="E165" s="2">
        <f>_xlfn.XLOOKUP(Table3[[#This Row],[instant]],Table1[instant],Table1[weekday], ,0,1)</f>
        <v>6</v>
      </c>
      <c r="F165" s="2">
        <f>_xlfn.XLOOKUP(Table3[[#This Row],[instant]],Table1[instant],Table1[weathersit], ,0,1)</f>
        <v>2</v>
      </c>
      <c r="G165" s="2">
        <f>_xlfn.XLOOKUP(Table3[[#This Row],[instant]],Table1[instant],Table1[temp], ,0,1)</f>
        <v>0.18</v>
      </c>
      <c r="H165" s="24">
        <f>_xlfn.XLOOKUP(Table3[[#This Row],[instant]],Table2[instant],Table2[atemp], ,0,1)</f>
        <v>0.2424</v>
      </c>
      <c r="I165" s="1">
        <f>_xlfn.XLOOKUP(Table3[[#This Row],[instant]],Table2[instant],Table2[hum], ,0,1)</f>
        <v>0.55000000000000004</v>
      </c>
      <c r="J165" s="1">
        <f>_xlfn.XLOOKUP(Table3[[#This Row],[instant]],Table2[instant],Table2[windspeed], ,0,1)</f>
        <v>0</v>
      </c>
      <c r="K165" s="1">
        <f>_xlfn.XLOOKUP(Table3[[#This Row],[instant]],Table2[instant],Table2[casual], ,0,1)</f>
        <v>3</v>
      </c>
      <c r="L165" s="1">
        <f>_xlfn.XLOOKUP(Table3[[#This Row],[instant]],Table2[instant],Table2[registered], ,0,1)</f>
        <v>13</v>
      </c>
      <c r="M165" s="6">
        <f>_xlfn.XLOOKUP(Table3[[#This Row],[instant]],Table2[instant],Table2[cnt], ,0,1)</f>
        <v>16</v>
      </c>
      <c r="N165" s="6" t="str">
        <f>IF(OR(Table3[[#This Row],[weekday]]=0,Table3[[#This Row],[weekday]]=6),"Weekend","Weekday")</f>
        <v>Weekend</v>
      </c>
    </row>
    <row r="166" spans="1:14" ht="15" thickBot="1" x14ac:dyDescent="0.35">
      <c r="A166" s="5">
        <v>165</v>
      </c>
      <c r="B166" s="3">
        <f>_xlfn.XLOOKUP(Table3[[#This Row],[instant]],DatSet1!A166:A775,DatSet1!B166:B775,_xlfn.XLOOKUP(Table3[[#This Row],[instant]],'Final Data'!A166:A555,'Final Data'!B166:B555, ,0,1),0,1)</f>
        <v>40551</v>
      </c>
      <c r="C166" s="1">
        <f>_xlfn.XLOOKUP(Table3[[#This Row],[instant]],Table1[instant],Table1[hr], ,0,1)</f>
        <v>3</v>
      </c>
      <c r="D166" s="2" t="b">
        <f>_xlfn.XLOOKUP(Table3[[#This Row],[instant]],Table1[instant],Table1[holiday], ,0,1)</f>
        <v>0</v>
      </c>
      <c r="E166" s="2">
        <f>_xlfn.XLOOKUP(Table3[[#This Row],[instant]],Table1[instant],Table1[weekday], ,0,1)</f>
        <v>6</v>
      </c>
      <c r="F166" s="2">
        <f>_xlfn.XLOOKUP(Table3[[#This Row],[instant]],Table1[instant],Table1[weathersit], ,0,1)</f>
        <v>3</v>
      </c>
      <c r="G166" s="2">
        <f>_xlfn.XLOOKUP(Table3[[#This Row],[instant]],Table1[instant],Table1[temp], ,0,1)</f>
        <v>0.18</v>
      </c>
      <c r="H166" s="24">
        <f>_xlfn.XLOOKUP(Table3[[#This Row],[instant]],Table2[instant],Table2[atemp], ,0,1)</f>
        <v>0.19700000000000001</v>
      </c>
      <c r="I166" s="1">
        <f>_xlfn.XLOOKUP(Table3[[#This Row],[instant]],Table2[instant],Table2[hum], ,0,1)</f>
        <v>0.55000000000000004</v>
      </c>
      <c r="J166" s="1">
        <f>_xlfn.XLOOKUP(Table3[[#This Row],[instant]],Table2[instant],Table2[windspeed], ,0,1)</f>
        <v>0.16420000000000001</v>
      </c>
      <c r="K166" s="1">
        <f>_xlfn.XLOOKUP(Table3[[#This Row],[instant]],Table2[instant],Table2[casual], ,0,1)</f>
        <v>0</v>
      </c>
      <c r="L166" s="1">
        <f>_xlfn.XLOOKUP(Table3[[#This Row],[instant]],Table2[instant],Table2[registered], ,0,1)</f>
        <v>7</v>
      </c>
      <c r="M166" s="6">
        <f>_xlfn.XLOOKUP(Table3[[#This Row],[instant]],Table2[instant],Table2[cnt], ,0,1)</f>
        <v>7</v>
      </c>
      <c r="N166" s="6" t="str">
        <f>IF(OR(Table3[[#This Row],[weekday]]=0,Table3[[#This Row],[weekday]]=6),"Weekend","Weekday")</f>
        <v>Weekend</v>
      </c>
    </row>
    <row r="167" spans="1:14" ht="15" thickBot="1" x14ac:dyDescent="0.35">
      <c r="A167" s="5">
        <v>166</v>
      </c>
      <c r="B167" s="3">
        <f>_xlfn.XLOOKUP(Table3[[#This Row],[instant]],DatSet1!A167:A776,DatSet1!B167:B776,_xlfn.XLOOKUP(Table3[[#This Row],[instant]],'Final Data'!A167:A556,'Final Data'!B167:B556, ,0,1),0,1)</f>
        <v>40551</v>
      </c>
      <c r="C167" s="1">
        <f>_xlfn.XLOOKUP(Table3[[#This Row],[instant]],Table1[instant],Table1[hr], ,0,1)</f>
        <v>4</v>
      </c>
      <c r="D167" s="2" t="b">
        <f>_xlfn.XLOOKUP(Table3[[#This Row],[instant]],Table1[instant],Table1[holiday], ,0,1)</f>
        <v>0</v>
      </c>
      <c r="E167" s="2">
        <f>_xlfn.XLOOKUP(Table3[[#This Row],[instant]],Table1[instant],Table1[weekday], ,0,1)</f>
        <v>6</v>
      </c>
      <c r="F167" s="2">
        <f>_xlfn.XLOOKUP(Table3[[#This Row],[instant]],Table1[instant],Table1[weathersit], ,0,1)</f>
        <v>3</v>
      </c>
      <c r="G167" s="2">
        <f>_xlfn.XLOOKUP(Table3[[#This Row],[instant]],Table1[instant],Table1[temp], ,0,1)</f>
        <v>0.18</v>
      </c>
      <c r="H167" s="24">
        <f>_xlfn.XLOOKUP(Table3[[#This Row],[instant]],Table2[instant],Table2[atemp], ,0,1)</f>
        <v>0.19700000000000001</v>
      </c>
      <c r="I167" s="1">
        <f>_xlfn.XLOOKUP(Table3[[#This Row],[instant]],Table2[instant],Table2[hum], ,0,1)</f>
        <v>0.55000000000000004</v>
      </c>
      <c r="J167" s="1">
        <f>_xlfn.XLOOKUP(Table3[[#This Row],[instant]],Table2[instant],Table2[windspeed], ,0,1)</f>
        <v>0.16420000000000001</v>
      </c>
      <c r="K167" s="1">
        <f>_xlfn.XLOOKUP(Table3[[#This Row],[instant]],Table2[instant],Table2[casual], ,0,1)</f>
        <v>0</v>
      </c>
      <c r="L167" s="1">
        <f>_xlfn.XLOOKUP(Table3[[#This Row],[instant]],Table2[instant],Table2[registered], ,0,1)</f>
        <v>1</v>
      </c>
      <c r="M167" s="6">
        <f>_xlfn.XLOOKUP(Table3[[#This Row],[instant]],Table2[instant],Table2[cnt], ,0,1)</f>
        <v>1</v>
      </c>
      <c r="N167" s="6" t="str">
        <f>IF(OR(Table3[[#This Row],[weekday]]=0,Table3[[#This Row],[weekday]]=6),"Weekend","Weekday")</f>
        <v>Weekend</v>
      </c>
    </row>
    <row r="168" spans="1:14" ht="15" thickBot="1" x14ac:dyDescent="0.35">
      <c r="A168" s="5">
        <v>167</v>
      </c>
      <c r="B168" s="3">
        <f>_xlfn.XLOOKUP(Table3[[#This Row],[instant]],DatSet1!A168:A777,DatSet1!B168:B777,_xlfn.XLOOKUP(Table3[[#This Row],[instant]],'Final Data'!A168:A557,'Final Data'!B168:B557, ,0,1),0,1)</f>
        <v>40551</v>
      </c>
      <c r="C168" s="1">
        <f>_xlfn.XLOOKUP(Table3[[#This Row],[instant]],Table1[instant],Table1[hr], ,0,1)</f>
        <v>5</v>
      </c>
      <c r="D168" s="2" t="b">
        <f>_xlfn.XLOOKUP(Table3[[#This Row],[instant]],Table1[instant],Table1[holiday], ,0,1)</f>
        <v>0</v>
      </c>
      <c r="E168" s="2">
        <f>_xlfn.XLOOKUP(Table3[[#This Row],[instant]],Table1[instant],Table1[weekday], ,0,1)</f>
        <v>6</v>
      </c>
      <c r="F168" s="2">
        <f>_xlfn.XLOOKUP(Table3[[#This Row],[instant]],Table1[instant],Table1[weathersit], ,0,1)</f>
        <v>2</v>
      </c>
      <c r="G168" s="2">
        <f>_xlfn.XLOOKUP(Table3[[#This Row],[instant]],Table1[instant],Table1[temp], ,0,1)</f>
        <v>0.16</v>
      </c>
      <c r="H168" s="24">
        <f>_xlfn.XLOOKUP(Table3[[#This Row],[instant]],Table2[instant],Table2[atemp], ,0,1)</f>
        <v>0.16669999999999999</v>
      </c>
      <c r="I168" s="1">
        <f>_xlfn.XLOOKUP(Table3[[#This Row],[instant]],Table2[instant],Table2[hum], ,0,1)</f>
        <v>0.74</v>
      </c>
      <c r="J168" s="1">
        <f>_xlfn.XLOOKUP(Table3[[#This Row],[instant]],Table2[instant],Table2[windspeed], ,0,1)</f>
        <v>0.16420000000000001</v>
      </c>
      <c r="K168" s="1">
        <f>_xlfn.XLOOKUP(Table3[[#This Row],[instant]],Table2[instant],Table2[casual], ,0,1)</f>
        <v>0</v>
      </c>
      <c r="L168" s="1">
        <f>_xlfn.XLOOKUP(Table3[[#This Row],[instant]],Table2[instant],Table2[registered], ,0,1)</f>
        <v>5</v>
      </c>
      <c r="M168" s="6">
        <f>_xlfn.XLOOKUP(Table3[[#This Row],[instant]],Table2[instant],Table2[cnt], ,0,1)</f>
        <v>5</v>
      </c>
      <c r="N168" s="6" t="str">
        <f>IF(OR(Table3[[#This Row],[weekday]]=0,Table3[[#This Row],[weekday]]=6),"Weekend","Weekday")</f>
        <v>Weekend</v>
      </c>
    </row>
    <row r="169" spans="1:14" ht="15" thickBot="1" x14ac:dyDescent="0.35">
      <c r="A169" s="5">
        <v>168</v>
      </c>
      <c r="B169" s="3">
        <f>_xlfn.XLOOKUP(Table3[[#This Row],[instant]],DatSet1!A169:A778,DatSet1!B169:B778,_xlfn.XLOOKUP(Table3[[#This Row],[instant]],'Final Data'!A169:A558,'Final Data'!B169:B558, ,0,1),0,1)</f>
        <v>40551</v>
      </c>
      <c r="C169" s="1">
        <f>_xlfn.XLOOKUP(Table3[[#This Row],[instant]],Table1[instant],Table1[hr], ,0,1)</f>
        <v>6</v>
      </c>
      <c r="D169" s="2" t="b">
        <f>_xlfn.XLOOKUP(Table3[[#This Row],[instant]],Table1[instant],Table1[holiday], ,0,1)</f>
        <v>0</v>
      </c>
      <c r="E169" s="2">
        <f>_xlfn.XLOOKUP(Table3[[#This Row],[instant]],Table1[instant],Table1[weekday], ,0,1)</f>
        <v>6</v>
      </c>
      <c r="F169" s="2">
        <f>_xlfn.XLOOKUP(Table3[[#This Row],[instant]],Table1[instant],Table1[weathersit], ,0,1)</f>
        <v>2</v>
      </c>
      <c r="G169" s="2">
        <f>_xlfn.XLOOKUP(Table3[[#This Row],[instant]],Table1[instant],Table1[temp], ,0,1)</f>
        <v>0.16</v>
      </c>
      <c r="H169" s="24">
        <f>_xlfn.XLOOKUP(Table3[[#This Row],[instant]],Table2[instant],Table2[atemp], ,0,1)</f>
        <v>0.16669999999999999</v>
      </c>
      <c r="I169" s="1">
        <f>_xlfn.XLOOKUP(Table3[[#This Row],[instant]],Table2[instant],Table2[hum], ,0,1)</f>
        <v>0.74</v>
      </c>
      <c r="J169" s="1">
        <f>_xlfn.XLOOKUP(Table3[[#This Row],[instant]],Table2[instant],Table2[windspeed], ,0,1)</f>
        <v>0.16420000000000001</v>
      </c>
      <c r="K169" s="1">
        <f>_xlfn.XLOOKUP(Table3[[#This Row],[instant]],Table2[instant],Table2[casual], ,0,1)</f>
        <v>0</v>
      </c>
      <c r="L169" s="1">
        <f>_xlfn.XLOOKUP(Table3[[#This Row],[instant]],Table2[instant],Table2[registered], ,0,1)</f>
        <v>2</v>
      </c>
      <c r="M169" s="6">
        <f>_xlfn.XLOOKUP(Table3[[#This Row],[instant]],Table2[instant],Table2[cnt], ,0,1)</f>
        <v>2</v>
      </c>
      <c r="N169" s="6" t="str">
        <f>IF(OR(Table3[[#This Row],[weekday]]=0,Table3[[#This Row],[weekday]]=6),"Weekend","Weekday")</f>
        <v>Weekend</v>
      </c>
    </row>
    <row r="170" spans="1:14" ht="15" thickBot="1" x14ac:dyDescent="0.35">
      <c r="A170" s="5">
        <v>169</v>
      </c>
      <c r="B170" s="3">
        <f>_xlfn.XLOOKUP(Table3[[#This Row],[instant]],DatSet1!A170:A779,DatSet1!B170:B779,_xlfn.XLOOKUP(Table3[[#This Row],[instant]],'Final Data'!A170:A559,'Final Data'!B170:B559, ,0,1),0,1)</f>
        <v>40551</v>
      </c>
      <c r="C170" s="1">
        <f>_xlfn.XLOOKUP(Table3[[#This Row],[instant]],Table1[instant],Table1[hr], ,0,1)</f>
        <v>7</v>
      </c>
      <c r="D170" s="2" t="b">
        <f>_xlfn.XLOOKUP(Table3[[#This Row],[instant]],Table1[instant],Table1[holiday], ,0,1)</f>
        <v>0</v>
      </c>
      <c r="E170" s="2">
        <f>_xlfn.XLOOKUP(Table3[[#This Row],[instant]],Table1[instant],Table1[weekday], ,0,1)</f>
        <v>6</v>
      </c>
      <c r="F170" s="2">
        <f>_xlfn.XLOOKUP(Table3[[#This Row],[instant]],Table1[instant],Table1[weathersit], ,0,1)</f>
        <v>2</v>
      </c>
      <c r="G170" s="2">
        <f>_xlfn.XLOOKUP(Table3[[#This Row],[instant]],Table1[instant],Table1[temp], ,0,1)</f>
        <v>0.16</v>
      </c>
      <c r="H170" s="24">
        <f>_xlfn.XLOOKUP(Table3[[#This Row],[instant]],Table2[instant],Table2[atemp], ,0,1)</f>
        <v>0.18179999999999999</v>
      </c>
      <c r="I170" s="1">
        <f>_xlfn.XLOOKUP(Table3[[#This Row],[instant]],Table2[instant],Table2[hum], ,0,1)</f>
        <v>0.74</v>
      </c>
      <c r="J170" s="1">
        <f>_xlfn.XLOOKUP(Table3[[#This Row],[instant]],Table2[instant],Table2[windspeed], ,0,1)</f>
        <v>0.1045</v>
      </c>
      <c r="K170" s="1">
        <f>_xlfn.XLOOKUP(Table3[[#This Row],[instant]],Table2[instant],Table2[casual], ,0,1)</f>
        <v>1</v>
      </c>
      <c r="L170" s="1">
        <f>_xlfn.XLOOKUP(Table3[[#This Row],[instant]],Table2[instant],Table2[registered], ,0,1)</f>
        <v>8</v>
      </c>
      <c r="M170" s="6">
        <f>_xlfn.XLOOKUP(Table3[[#This Row],[instant]],Table2[instant],Table2[cnt], ,0,1)</f>
        <v>9</v>
      </c>
      <c r="N170" s="6" t="str">
        <f>IF(OR(Table3[[#This Row],[weekday]]=0,Table3[[#This Row],[weekday]]=6),"Weekend","Weekday")</f>
        <v>Weekend</v>
      </c>
    </row>
    <row r="171" spans="1:14" ht="15" thickBot="1" x14ac:dyDescent="0.35">
      <c r="A171" s="5">
        <v>170</v>
      </c>
      <c r="B171" s="3">
        <f>_xlfn.XLOOKUP(Table3[[#This Row],[instant]],DatSet1!A171:A780,DatSet1!B171:B780,_xlfn.XLOOKUP(Table3[[#This Row],[instant]],'Final Data'!A171:A560,'Final Data'!B171:B560, ,0,1),0,1)</f>
        <v>40551</v>
      </c>
      <c r="C171" s="1">
        <f>_xlfn.XLOOKUP(Table3[[#This Row],[instant]],Table1[instant],Table1[hr], ,0,1)</f>
        <v>8</v>
      </c>
      <c r="D171" s="2" t="b">
        <f>_xlfn.XLOOKUP(Table3[[#This Row],[instant]],Table1[instant],Table1[holiday], ,0,1)</f>
        <v>0</v>
      </c>
      <c r="E171" s="2">
        <f>_xlfn.XLOOKUP(Table3[[#This Row],[instant]],Table1[instant],Table1[weekday], ,0,1)</f>
        <v>6</v>
      </c>
      <c r="F171" s="2">
        <f>_xlfn.XLOOKUP(Table3[[#This Row],[instant]],Table1[instant],Table1[weathersit], ,0,1)</f>
        <v>3</v>
      </c>
      <c r="G171" s="2">
        <f>_xlfn.XLOOKUP(Table3[[#This Row],[instant]],Table1[instant],Table1[temp], ,0,1)</f>
        <v>0.16</v>
      </c>
      <c r="H171" s="24">
        <f>_xlfn.XLOOKUP(Table3[[#This Row],[instant]],Table2[instant],Table2[atemp], ,0,1)</f>
        <v>0.18179999999999999</v>
      </c>
      <c r="I171" s="1">
        <f>_xlfn.XLOOKUP(Table3[[#This Row],[instant]],Table2[instant],Table2[hum], ,0,1)</f>
        <v>0.93</v>
      </c>
      <c r="J171" s="1">
        <f>_xlfn.XLOOKUP(Table3[[#This Row],[instant]],Table2[instant],Table2[windspeed], ,0,1)</f>
        <v>0.1045</v>
      </c>
      <c r="K171" s="1">
        <f>_xlfn.XLOOKUP(Table3[[#This Row],[instant]],Table2[instant],Table2[casual], ,0,1)</f>
        <v>0</v>
      </c>
      <c r="L171" s="1">
        <f>_xlfn.XLOOKUP(Table3[[#This Row],[instant]],Table2[instant],Table2[registered], ,0,1)</f>
        <v>15</v>
      </c>
      <c r="M171" s="6">
        <f>_xlfn.XLOOKUP(Table3[[#This Row],[instant]],Table2[instant],Table2[cnt], ,0,1)</f>
        <v>15</v>
      </c>
      <c r="N171" s="6" t="str">
        <f>IF(OR(Table3[[#This Row],[weekday]]=0,Table3[[#This Row],[weekday]]=6),"Weekend","Weekday")</f>
        <v>Weekend</v>
      </c>
    </row>
    <row r="172" spans="1:14" ht="15" thickBot="1" x14ac:dyDescent="0.35">
      <c r="A172" s="5">
        <v>171</v>
      </c>
      <c r="B172" s="3">
        <f>_xlfn.XLOOKUP(Table3[[#This Row],[instant]],DatSet1!A172:A781,DatSet1!B172:B781,_xlfn.XLOOKUP(Table3[[#This Row],[instant]],'Final Data'!A172:A561,'Final Data'!B172:B561, ,0,1),0,1)</f>
        <v>40551</v>
      </c>
      <c r="C172" s="1">
        <f>_xlfn.XLOOKUP(Table3[[#This Row],[instant]],Table1[instant],Table1[hr], ,0,1)</f>
        <v>9</v>
      </c>
      <c r="D172" s="2" t="b">
        <f>_xlfn.XLOOKUP(Table3[[#This Row],[instant]],Table1[instant],Table1[holiday], ,0,1)</f>
        <v>0</v>
      </c>
      <c r="E172" s="2">
        <f>_xlfn.XLOOKUP(Table3[[#This Row],[instant]],Table1[instant],Table1[weekday], ,0,1)</f>
        <v>6</v>
      </c>
      <c r="F172" s="2">
        <f>_xlfn.XLOOKUP(Table3[[#This Row],[instant]],Table1[instant],Table1[weathersit], ,0,1)</f>
        <v>3</v>
      </c>
      <c r="G172" s="2">
        <f>_xlfn.XLOOKUP(Table3[[#This Row],[instant]],Table1[instant],Table1[temp], ,0,1)</f>
        <v>0.16</v>
      </c>
      <c r="H172" s="24">
        <f>_xlfn.XLOOKUP(Table3[[#This Row],[instant]],Table2[instant],Table2[atemp], ,0,1)</f>
        <v>0.18179999999999999</v>
      </c>
      <c r="I172" s="1">
        <f>_xlfn.XLOOKUP(Table3[[#This Row],[instant]],Table2[instant],Table2[hum], ,0,1)</f>
        <v>0.93</v>
      </c>
      <c r="J172" s="1">
        <f>_xlfn.XLOOKUP(Table3[[#This Row],[instant]],Table2[instant],Table2[windspeed], ,0,1)</f>
        <v>0.1045</v>
      </c>
      <c r="K172" s="1">
        <f>_xlfn.XLOOKUP(Table3[[#This Row],[instant]],Table2[instant],Table2[casual], ,0,1)</f>
        <v>0</v>
      </c>
      <c r="L172" s="1">
        <f>_xlfn.XLOOKUP(Table3[[#This Row],[instant]],Table2[instant],Table2[registered], ,0,1)</f>
        <v>20</v>
      </c>
      <c r="M172" s="6">
        <f>_xlfn.XLOOKUP(Table3[[#This Row],[instant]],Table2[instant],Table2[cnt], ,0,1)</f>
        <v>20</v>
      </c>
      <c r="N172" s="6" t="str">
        <f>IF(OR(Table3[[#This Row],[weekday]]=0,Table3[[#This Row],[weekday]]=6),"Weekend","Weekday")</f>
        <v>Weekend</v>
      </c>
    </row>
    <row r="173" spans="1:14" ht="15" thickBot="1" x14ac:dyDescent="0.35">
      <c r="A173" s="5">
        <v>172</v>
      </c>
      <c r="B173" s="3">
        <f>_xlfn.XLOOKUP(Table3[[#This Row],[instant]],DatSet1!A173:A782,DatSet1!B173:B782,_xlfn.XLOOKUP(Table3[[#This Row],[instant]],'Final Data'!A173:A562,'Final Data'!B173:B562, ,0,1),0,1)</f>
        <v>40551</v>
      </c>
      <c r="C173" s="1">
        <f>_xlfn.XLOOKUP(Table3[[#This Row],[instant]],Table1[instant],Table1[hr], ,0,1)</f>
        <v>10</v>
      </c>
      <c r="D173" s="2" t="b">
        <f>_xlfn.XLOOKUP(Table3[[#This Row],[instant]],Table1[instant],Table1[holiday], ,0,1)</f>
        <v>0</v>
      </c>
      <c r="E173" s="2">
        <f>_xlfn.XLOOKUP(Table3[[#This Row],[instant]],Table1[instant],Table1[weekday], ,0,1)</f>
        <v>6</v>
      </c>
      <c r="F173" s="2">
        <f>_xlfn.XLOOKUP(Table3[[#This Row],[instant]],Table1[instant],Table1[weathersit], ,0,1)</f>
        <v>2</v>
      </c>
      <c r="G173" s="2">
        <f>_xlfn.XLOOKUP(Table3[[#This Row],[instant]],Table1[instant],Table1[temp], ,0,1)</f>
        <v>0.18</v>
      </c>
      <c r="H173" s="24">
        <f>_xlfn.XLOOKUP(Table3[[#This Row],[instant]],Table2[instant],Table2[atemp], ,0,1)</f>
        <v>0.19700000000000001</v>
      </c>
      <c r="I173" s="1">
        <f>_xlfn.XLOOKUP(Table3[[#This Row],[instant]],Table2[instant],Table2[hum], ,0,1)</f>
        <v>0.8</v>
      </c>
      <c r="J173" s="1">
        <f>_xlfn.XLOOKUP(Table3[[#This Row],[instant]],Table2[instant],Table2[windspeed], ,0,1)</f>
        <v>0.16420000000000001</v>
      </c>
      <c r="K173" s="1">
        <f>_xlfn.XLOOKUP(Table3[[#This Row],[instant]],Table2[instant],Table2[casual], ,0,1)</f>
        <v>5</v>
      </c>
      <c r="L173" s="1">
        <f>_xlfn.XLOOKUP(Table3[[#This Row],[instant]],Table2[instant],Table2[registered], ,0,1)</f>
        <v>56</v>
      </c>
      <c r="M173" s="6">
        <f>_xlfn.XLOOKUP(Table3[[#This Row],[instant]],Table2[instant],Table2[cnt], ,0,1)</f>
        <v>61</v>
      </c>
      <c r="N173" s="6" t="str">
        <f>IF(OR(Table3[[#This Row],[weekday]]=0,Table3[[#This Row],[weekday]]=6),"Weekend","Weekday")</f>
        <v>Weekend</v>
      </c>
    </row>
    <row r="174" spans="1:14" ht="15" thickBot="1" x14ac:dyDescent="0.35">
      <c r="A174" s="5">
        <v>173</v>
      </c>
      <c r="B174" s="3">
        <f>_xlfn.XLOOKUP(Table3[[#This Row],[instant]],DatSet1!A174:A783,DatSet1!B174:B783,_xlfn.XLOOKUP(Table3[[#This Row],[instant]],'Final Data'!A174:A563,'Final Data'!B174:B563, ,0,1),0,1)</f>
        <v>40551</v>
      </c>
      <c r="C174" s="1">
        <f>_xlfn.XLOOKUP(Table3[[#This Row],[instant]],Table1[instant],Table1[hr], ,0,1)</f>
        <v>11</v>
      </c>
      <c r="D174" s="2" t="b">
        <f>_xlfn.XLOOKUP(Table3[[#This Row],[instant]],Table1[instant],Table1[holiday], ,0,1)</f>
        <v>0</v>
      </c>
      <c r="E174" s="2">
        <f>_xlfn.XLOOKUP(Table3[[#This Row],[instant]],Table1[instant],Table1[weekday], ,0,1)</f>
        <v>6</v>
      </c>
      <c r="F174" s="2">
        <f>_xlfn.XLOOKUP(Table3[[#This Row],[instant]],Table1[instant],Table1[weathersit], ,0,1)</f>
        <v>2</v>
      </c>
      <c r="G174" s="2">
        <f>_xlfn.XLOOKUP(Table3[[#This Row],[instant]],Table1[instant],Table1[temp], ,0,1)</f>
        <v>0.2</v>
      </c>
      <c r="H174" s="24">
        <f>_xlfn.XLOOKUP(Table3[[#This Row],[instant]],Table2[instant],Table2[atemp], ,0,1)</f>
        <v>0.18179999999999999</v>
      </c>
      <c r="I174" s="1">
        <f>_xlfn.XLOOKUP(Table3[[#This Row],[instant]],Table2[instant],Table2[hum], ,0,1)</f>
        <v>0.69</v>
      </c>
      <c r="J174" s="1">
        <f>_xlfn.XLOOKUP(Table3[[#This Row],[instant]],Table2[instant],Table2[windspeed], ,0,1)</f>
        <v>0.3881</v>
      </c>
      <c r="K174" s="1">
        <f>_xlfn.XLOOKUP(Table3[[#This Row],[instant]],Table2[instant],Table2[casual], ,0,1)</f>
        <v>2</v>
      </c>
      <c r="L174" s="1">
        <f>_xlfn.XLOOKUP(Table3[[#This Row],[instant]],Table2[instant],Table2[registered], ,0,1)</f>
        <v>60</v>
      </c>
      <c r="M174" s="6">
        <f>_xlfn.XLOOKUP(Table3[[#This Row],[instant]],Table2[instant],Table2[cnt], ,0,1)</f>
        <v>62</v>
      </c>
      <c r="N174" s="6" t="str">
        <f>IF(OR(Table3[[#This Row],[weekday]]=0,Table3[[#This Row],[weekday]]=6),"Weekend","Weekday")</f>
        <v>Weekend</v>
      </c>
    </row>
    <row r="175" spans="1:14" ht="15" thickBot="1" x14ac:dyDescent="0.35">
      <c r="A175" s="5">
        <v>174</v>
      </c>
      <c r="B175" s="3">
        <f>_xlfn.XLOOKUP(Table3[[#This Row],[instant]],DatSet1!A175:A784,DatSet1!B175:B784,_xlfn.XLOOKUP(Table3[[#This Row],[instant]],'Final Data'!A175:A564,'Final Data'!B175:B564, ,0,1),0,1)</f>
        <v>40551</v>
      </c>
      <c r="C175" s="1">
        <f>_xlfn.XLOOKUP(Table3[[#This Row],[instant]],Table1[instant],Table1[hr], ,0,1)</f>
        <v>12</v>
      </c>
      <c r="D175" s="2" t="b">
        <f>_xlfn.XLOOKUP(Table3[[#This Row],[instant]],Table1[instant],Table1[holiday], ,0,1)</f>
        <v>0</v>
      </c>
      <c r="E175" s="2">
        <f>_xlfn.XLOOKUP(Table3[[#This Row],[instant]],Table1[instant],Table1[weekday], ,0,1)</f>
        <v>6</v>
      </c>
      <c r="F175" s="2">
        <f>_xlfn.XLOOKUP(Table3[[#This Row],[instant]],Table1[instant],Table1[weathersit], ,0,1)</f>
        <v>2</v>
      </c>
      <c r="G175" s="2">
        <f>_xlfn.XLOOKUP(Table3[[#This Row],[instant]],Table1[instant],Table1[temp], ,0,1)</f>
        <v>0.2</v>
      </c>
      <c r="H175" s="24">
        <f>_xlfn.XLOOKUP(Table3[[#This Row],[instant]],Table2[instant],Table2[atemp], ,0,1)</f>
        <v>0.18179999999999999</v>
      </c>
      <c r="I175" s="1">
        <f>_xlfn.XLOOKUP(Table3[[#This Row],[instant]],Table2[instant],Table2[hum], ,0,1)</f>
        <v>0.59</v>
      </c>
      <c r="J175" s="1">
        <f>_xlfn.XLOOKUP(Table3[[#This Row],[instant]],Table2[instant],Table2[windspeed], ,0,1)</f>
        <v>0.35820000000000002</v>
      </c>
      <c r="K175" s="1">
        <f>_xlfn.XLOOKUP(Table3[[#This Row],[instant]],Table2[instant],Table2[casual], ,0,1)</f>
        <v>8</v>
      </c>
      <c r="L175" s="1">
        <f>_xlfn.XLOOKUP(Table3[[#This Row],[instant]],Table2[instant],Table2[registered], ,0,1)</f>
        <v>90</v>
      </c>
      <c r="M175" s="6">
        <f>_xlfn.XLOOKUP(Table3[[#This Row],[instant]],Table2[instant],Table2[cnt], ,0,1)</f>
        <v>98</v>
      </c>
      <c r="N175" s="6" t="str">
        <f>IF(OR(Table3[[#This Row],[weekday]]=0,Table3[[#This Row],[weekday]]=6),"Weekend","Weekday")</f>
        <v>Weekend</v>
      </c>
    </row>
    <row r="176" spans="1:14" ht="15" thickBot="1" x14ac:dyDescent="0.35">
      <c r="A176" s="5">
        <v>175</v>
      </c>
      <c r="B176" s="3">
        <f>_xlfn.XLOOKUP(Table3[[#This Row],[instant]],DatSet1!A176:A785,DatSet1!B176:B785,_xlfn.XLOOKUP(Table3[[#This Row],[instant]],'Final Data'!A176:A565,'Final Data'!B176:B565, ,0,1),0,1)</f>
        <v>40551</v>
      </c>
      <c r="C176" s="1">
        <f>_xlfn.XLOOKUP(Table3[[#This Row],[instant]],Table1[instant],Table1[hr], ,0,1)</f>
        <v>13</v>
      </c>
      <c r="D176" s="2" t="b">
        <f>_xlfn.XLOOKUP(Table3[[#This Row],[instant]],Table1[instant],Table1[holiday], ,0,1)</f>
        <v>0</v>
      </c>
      <c r="E176" s="2">
        <f>_xlfn.XLOOKUP(Table3[[#This Row],[instant]],Table1[instant],Table1[weekday], ,0,1)</f>
        <v>6</v>
      </c>
      <c r="F176" s="2">
        <f>_xlfn.XLOOKUP(Table3[[#This Row],[instant]],Table1[instant],Table1[weathersit], ,0,1)</f>
        <v>1</v>
      </c>
      <c r="G176" s="2">
        <f>_xlfn.XLOOKUP(Table3[[#This Row],[instant]],Table1[instant],Table1[temp], ,0,1)</f>
        <v>0.2</v>
      </c>
      <c r="H176" s="24">
        <f>_xlfn.XLOOKUP(Table3[[#This Row],[instant]],Table2[instant],Table2[atemp], ,0,1)</f>
        <v>0.18179999999999999</v>
      </c>
      <c r="I176" s="1">
        <f>_xlfn.XLOOKUP(Table3[[#This Row],[instant]],Table2[instant],Table2[hum], ,0,1)</f>
        <v>0.44</v>
      </c>
      <c r="J176" s="1">
        <f>_xlfn.XLOOKUP(Table3[[#This Row],[instant]],Table2[instant],Table2[windspeed], ,0,1)</f>
        <v>0.32840000000000003</v>
      </c>
      <c r="K176" s="1">
        <f>_xlfn.XLOOKUP(Table3[[#This Row],[instant]],Table2[instant],Table2[casual], ,0,1)</f>
        <v>7</v>
      </c>
      <c r="L176" s="1">
        <f>_xlfn.XLOOKUP(Table3[[#This Row],[instant]],Table2[instant],Table2[registered], ,0,1)</f>
        <v>95</v>
      </c>
      <c r="M176" s="6">
        <f>_xlfn.XLOOKUP(Table3[[#This Row],[instant]],Table2[instant],Table2[cnt], ,0,1)</f>
        <v>102</v>
      </c>
      <c r="N176" s="6" t="str">
        <f>IF(OR(Table3[[#This Row],[weekday]]=0,Table3[[#This Row],[weekday]]=6),"Weekend","Weekday")</f>
        <v>Weekend</v>
      </c>
    </row>
    <row r="177" spans="1:14" ht="15" thickBot="1" x14ac:dyDescent="0.35">
      <c r="A177" s="5">
        <v>176</v>
      </c>
      <c r="B177" s="3">
        <f>_xlfn.XLOOKUP(Table3[[#This Row],[instant]],DatSet1!A177:A786,DatSet1!B177:B786,_xlfn.XLOOKUP(Table3[[#This Row],[instant]],'Final Data'!A177:A566,'Final Data'!B177:B566, ,0,1),0,1)</f>
        <v>40551</v>
      </c>
      <c r="C177" s="1">
        <f>_xlfn.XLOOKUP(Table3[[#This Row],[instant]],Table1[instant],Table1[hr], ,0,1)</f>
        <v>14</v>
      </c>
      <c r="D177" s="2" t="b">
        <f>_xlfn.XLOOKUP(Table3[[#This Row],[instant]],Table1[instant],Table1[holiday], ,0,1)</f>
        <v>0</v>
      </c>
      <c r="E177" s="2">
        <f>_xlfn.XLOOKUP(Table3[[#This Row],[instant]],Table1[instant],Table1[weekday], ,0,1)</f>
        <v>6</v>
      </c>
      <c r="F177" s="2">
        <f>_xlfn.XLOOKUP(Table3[[#This Row],[instant]],Table1[instant],Table1[weathersit], ,0,1)</f>
        <v>1</v>
      </c>
      <c r="G177" s="2">
        <f>_xlfn.XLOOKUP(Table3[[#This Row],[instant]],Table1[instant],Table1[temp], ,0,1)</f>
        <v>0.2</v>
      </c>
      <c r="H177" s="24">
        <f>_xlfn.XLOOKUP(Table3[[#This Row],[instant]],Table2[instant],Table2[atemp], ,0,1)</f>
        <v>0.16669999999999999</v>
      </c>
      <c r="I177" s="1">
        <f>_xlfn.XLOOKUP(Table3[[#This Row],[instant]],Table2[instant],Table2[hum], ,0,1)</f>
        <v>0.32</v>
      </c>
      <c r="J177" s="1">
        <f>_xlfn.XLOOKUP(Table3[[#This Row],[instant]],Table2[instant],Table2[windspeed], ,0,1)</f>
        <v>0.49249999999999999</v>
      </c>
      <c r="K177" s="1">
        <f>_xlfn.XLOOKUP(Table3[[#This Row],[instant]],Table2[instant],Table2[casual], ,0,1)</f>
        <v>12</v>
      </c>
      <c r="L177" s="1">
        <f>_xlfn.XLOOKUP(Table3[[#This Row],[instant]],Table2[instant],Table2[registered], ,0,1)</f>
        <v>83</v>
      </c>
      <c r="M177" s="6">
        <f>_xlfn.XLOOKUP(Table3[[#This Row],[instant]],Table2[instant],Table2[cnt], ,0,1)</f>
        <v>95</v>
      </c>
      <c r="N177" s="6" t="str">
        <f>IF(OR(Table3[[#This Row],[weekday]]=0,Table3[[#This Row],[weekday]]=6),"Weekend","Weekday")</f>
        <v>Weekend</v>
      </c>
    </row>
    <row r="178" spans="1:14" ht="15" thickBot="1" x14ac:dyDescent="0.35">
      <c r="A178" s="5">
        <v>177</v>
      </c>
      <c r="B178" s="3">
        <f>_xlfn.XLOOKUP(Table3[[#This Row],[instant]],DatSet1!A178:A787,DatSet1!B178:B787,_xlfn.XLOOKUP(Table3[[#This Row],[instant]],'Final Data'!A178:A567,'Final Data'!B178:B567, ,0,1),0,1)</f>
        <v>40551</v>
      </c>
      <c r="C178" s="1">
        <f>_xlfn.XLOOKUP(Table3[[#This Row],[instant]],Table1[instant],Table1[hr], ,0,1)</f>
        <v>15</v>
      </c>
      <c r="D178" s="2" t="b">
        <f>_xlfn.XLOOKUP(Table3[[#This Row],[instant]],Table1[instant],Table1[holiday], ,0,1)</f>
        <v>0</v>
      </c>
      <c r="E178" s="2">
        <f>_xlfn.XLOOKUP(Table3[[#This Row],[instant]],Table1[instant],Table1[weekday], ,0,1)</f>
        <v>6</v>
      </c>
      <c r="F178" s="2">
        <f>_xlfn.XLOOKUP(Table3[[#This Row],[instant]],Table1[instant],Table1[weathersit], ,0,1)</f>
        <v>1</v>
      </c>
      <c r="G178" s="2">
        <f>_xlfn.XLOOKUP(Table3[[#This Row],[instant]],Table1[instant],Table1[temp], ,0,1)</f>
        <v>0.2</v>
      </c>
      <c r="H178" s="24">
        <f>_xlfn.XLOOKUP(Table3[[#This Row],[instant]],Table2[instant],Table2[atemp], ,0,1)</f>
        <v>0.16669999999999999</v>
      </c>
      <c r="I178" s="1">
        <f>_xlfn.XLOOKUP(Table3[[#This Row],[instant]],Table2[instant],Table2[hum], ,0,1)</f>
        <v>0.32</v>
      </c>
      <c r="J178" s="1">
        <f>_xlfn.XLOOKUP(Table3[[#This Row],[instant]],Table2[instant],Table2[windspeed], ,0,1)</f>
        <v>0.44779999999999998</v>
      </c>
      <c r="K178" s="1">
        <f>_xlfn.XLOOKUP(Table3[[#This Row],[instant]],Table2[instant],Table2[casual], ,0,1)</f>
        <v>5</v>
      </c>
      <c r="L178" s="1">
        <f>_xlfn.XLOOKUP(Table3[[#This Row],[instant]],Table2[instant],Table2[registered], ,0,1)</f>
        <v>69</v>
      </c>
      <c r="M178" s="6">
        <f>_xlfn.XLOOKUP(Table3[[#This Row],[instant]],Table2[instant],Table2[cnt], ,0,1)</f>
        <v>74</v>
      </c>
      <c r="N178" s="6" t="str">
        <f>IF(OR(Table3[[#This Row],[weekday]]=0,Table3[[#This Row],[weekday]]=6),"Weekend","Weekday")</f>
        <v>Weekend</v>
      </c>
    </row>
    <row r="179" spans="1:14" ht="15" thickBot="1" x14ac:dyDescent="0.35">
      <c r="A179" s="5">
        <v>178</v>
      </c>
      <c r="B179" s="3">
        <f>_xlfn.XLOOKUP(Table3[[#This Row],[instant]],DatSet1!A179:A788,DatSet1!B179:B788,_xlfn.XLOOKUP(Table3[[#This Row],[instant]],'Final Data'!A179:A568,'Final Data'!B179:B568, ,0,1),0,1)</f>
        <v>40551</v>
      </c>
      <c r="C179" s="1">
        <f>_xlfn.XLOOKUP(Table3[[#This Row],[instant]],Table1[instant],Table1[hr], ,0,1)</f>
        <v>16</v>
      </c>
      <c r="D179" s="2" t="b">
        <f>_xlfn.XLOOKUP(Table3[[#This Row],[instant]],Table1[instant],Table1[holiday], ,0,1)</f>
        <v>0</v>
      </c>
      <c r="E179" s="2">
        <f>_xlfn.XLOOKUP(Table3[[#This Row],[instant]],Table1[instant],Table1[weekday], ,0,1)</f>
        <v>6</v>
      </c>
      <c r="F179" s="2">
        <f>_xlfn.XLOOKUP(Table3[[#This Row],[instant]],Table1[instant],Table1[weathersit], ,0,1)</f>
        <v>1</v>
      </c>
      <c r="G179" s="2">
        <f>_xlfn.XLOOKUP(Table3[[#This Row],[instant]],Table1[instant],Table1[temp], ,0,1)</f>
        <v>0.18</v>
      </c>
      <c r="H179" s="24">
        <f>_xlfn.XLOOKUP(Table3[[#This Row],[instant]],Table2[instant],Table2[atemp], ,0,1)</f>
        <v>0.13639999999999999</v>
      </c>
      <c r="I179" s="1">
        <f>_xlfn.XLOOKUP(Table3[[#This Row],[instant]],Table2[instant],Table2[hum], ,0,1)</f>
        <v>0.28999999999999998</v>
      </c>
      <c r="J179" s="1">
        <f>_xlfn.XLOOKUP(Table3[[#This Row],[instant]],Table2[instant],Table2[windspeed], ,0,1)</f>
        <v>0.44779999999999998</v>
      </c>
      <c r="K179" s="1">
        <f>_xlfn.XLOOKUP(Table3[[#This Row],[instant]],Table2[instant],Table2[casual], ,0,1)</f>
        <v>8</v>
      </c>
      <c r="L179" s="1">
        <f>_xlfn.XLOOKUP(Table3[[#This Row],[instant]],Table2[instant],Table2[registered], ,0,1)</f>
        <v>68</v>
      </c>
      <c r="M179" s="6">
        <f>_xlfn.XLOOKUP(Table3[[#This Row],[instant]],Table2[instant],Table2[cnt], ,0,1)</f>
        <v>76</v>
      </c>
      <c r="N179" s="6" t="str">
        <f>IF(OR(Table3[[#This Row],[weekday]]=0,Table3[[#This Row],[weekday]]=6),"Weekend","Weekday")</f>
        <v>Weekend</v>
      </c>
    </row>
    <row r="180" spans="1:14" ht="15" thickBot="1" x14ac:dyDescent="0.35">
      <c r="A180" s="5">
        <v>179</v>
      </c>
      <c r="B180" s="3">
        <f>_xlfn.XLOOKUP(Table3[[#This Row],[instant]],DatSet1!A180:A789,DatSet1!B180:B789,_xlfn.XLOOKUP(Table3[[#This Row],[instant]],'Final Data'!A180:A569,'Final Data'!B180:B569, ,0,1),0,1)</f>
        <v>40551</v>
      </c>
      <c r="C180" s="1">
        <f>_xlfn.XLOOKUP(Table3[[#This Row],[instant]],Table1[instant],Table1[hr], ,0,1)</f>
        <v>17</v>
      </c>
      <c r="D180" s="2" t="b">
        <f>_xlfn.XLOOKUP(Table3[[#This Row],[instant]],Table1[instant],Table1[holiday], ,0,1)</f>
        <v>0</v>
      </c>
      <c r="E180" s="2">
        <f>_xlfn.XLOOKUP(Table3[[#This Row],[instant]],Table1[instant],Table1[weekday], ,0,1)</f>
        <v>6</v>
      </c>
      <c r="F180" s="2">
        <f>_xlfn.XLOOKUP(Table3[[#This Row],[instant]],Table1[instant],Table1[weathersit], ,0,1)</f>
        <v>1</v>
      </c>
      <c r="G180" s="2">
        <f>_xlfn.XLOOKUP(Table3[[#This Row],[instant]],Table1[instant],Table1[temp], ,0,1)</f>
        <v>0.16</v>
      </c>
      <c r="H180" s="24">
        <f>_xlfn.XLOOKUP(Table3[[#This Row],[instant]],Table2[instant],Table2[atemp], ,0,1)</f>
        <v>0.1212</v>
      </c>
      <c r="I180" s="1">
        <f>_xlfn.XLOOKUP(Table3[[#This Row],[instant]],Table2[instant],Table2[hum], ,0,1)</f>
        <v>0.37</v>
      </c>
      <c r="J180" s="1">
        <f>_xlfn.XLOOKUP(Table3[[#This Row],[instant]],Table2[instant],Table2[windspeed], ,0,1)</f>
        <v>0.55220000000000002</v>
      </c>
      <c r="K180" s="1">
        <f>_xlfn.XLOOKUP(Table3[[#This Row],[instant]],Table2[instant],Table2[casual], ,0,1)</f>
        <v>5</v>
      </c>
      <c r="L180" s="1">
        <f>_xlfn.XLOOKUP(Table3[[#This Row],[instant]],Table2[instant],Table2[registered], ,0,1)</f>
        <v>64</v>
      </c>
      <c r="M180" s="6">
        <f>_xlfn.XLOOKUP(Table3[[#This Row],[instant]],Table2[instant],Table2[cnt], ,0,1)</f>
        <v>69</v>
      </c>
      <c r="N180" s="6" t="str">
        <f>IF(OR(Table3[[#This Row],[weekday]]=0,Table3[[#This Row],[weekday]]=6),"Weekend","Weekday")</f>
        <v>Weekend</v>
      </c>
    </row>
    <row r="181" spans="1:14" ht="15" thickBot="1" x14ac:dyDescent="0.35">
      <c r="A181" s="5">
        <v>180</v>
      </c>
      <c r="B181" s="3">
        <f>_xlfn.XLOOKUP(Table3[[#This Row],[instant]],DatSet1!A181:A790,DatSet1!B181:B790,_xlfn.XLOOKUP(Table3[[#This Row],[instant]],'Final Data'!A181:A570,'Final Data'!B181:B570, ,0,1),0,1)</f>
        <v>40551</v>
      </c>
      <c r="C181" s="1">
        <f>_xlfn.XLOOKUP(Table3[[#This Row],[instant]],Table1[instant],Table1[hr], ,0,1)</f>
        <v>18</v>
      </c>
      <c r="D181" s="2" t="b">
        <f>_xlfn.XLOOKUP(Table3[[#This Row],[instant]],Table1[instant],Table1[holiday], ,0,1)</f>
        <v>0</v>
      </c>
      <c r="E181" s="2">
        <f>_xlfn.XLOOKUP(Table3[[#This Row],[instant]],Table1[instant],Table1[weekday], ,0,1)</f>
        <v>6</v>
      </c>
      <c r="F181" s="2">
        <f>_xlfn.XLOOKUP(Table3[[#This Row],[instant]],Table1[instant],Table1[weathersit], ,0,1)</f>
        <v>1</v>
      </c>
      <c r="G181" s="2">
        <f>_xlfn.XLOOKUP(Table3[[#This Row],[instant]],Table1[instant],Table1[temp], ,0,1)</f>
        <v>0.14000000000000001</v>
      </c>
      <c r="H181" s="24">
        <f>_xlfn.XLOOKUP(Table3[[#This Row],[instant]],Table2[instant],Table2[atemp], ,0,1)</f>
        <v>0.1212</v>
      </c>
      <c r="I181" s="1">
        <f>_xlfn.XLOOKUP(Table3[[#This Row],[instant]],Table2[instant],Table2[hum], ,0,1)</f>
        <v>0.39</v>
      </c>
      <c r="J181" s="1">
        <f>_xlfn.XLOOKUP(Table3[[#This Row],[instant]],Table2[instant],Table2[windspeed], ,0,1)</f>
        <v>0.29849999999999999</v>
      </c>
      <c r="K181" s="1">
        <f>_xlfn.XLOOKUP(Table3[[#This Row],[instant]],Table2[instant],Table2[casual], ,0,1)</f>
        <v>3</v>
      </c>
      <c r="L181" s="1">
        <f>_xlfn.XLOOKUP(Table3[[#This Row],[instant]],Table2[instant],Table2[registered], ,0,1)</f>
        <v>52</v>
      </c>
      <c r="M181" s="6">
        <f>_xlfn.XLOOKUP(Table3[[#This Row],[instant]],Table2[instant],Table2[cnt], ,0,1)</f>
        <v>55</v>
      </c>
      <c r="N181" s="6" t="str">
        <f>IF(OR(Table3[[#This Row],[weekday]]=0,Table3[[#This Row],[weekday]]=6),"Weekend","Weekday")</f>
        <v>Weekend</v>
      </c>
    </row>
    <row r="182" spans="1:14" ht="15" thickBot="1" x14ac:dyDescent="0.35">
      <c r="A182" s="5">
        <v>181</v>
      </c>
      <c r="B182" s="3">
        <f>_xlfn.XLOOKUP(Table3[[#This Row],[instant]],DatSet1!A182:A791,DatSet1!B182:B791,_xlfn.XLOOKUP(Table3[[#This Row],[instant]],'Final Data'!A182:A571,'Final Data'!B182:B571, ,0,1),0,1)</f>
        <v>40551</v>
      </c>
      <c r="C182" s="1">
        <f>_xlfn.XLOOKUP(Table3[[#This Row],[instant]],Table1[instant],Table1[hr], ,0,1)</f>
        <v>19</v>
      </c>
      <c r="D182" s="2" t="b">
        <f>_xlfn.XLOOKUP(Table3[[#This Row],[instant]],Table1[instant],Table1[holiday], ,0,1)</f>
        <v>0</v>
      </c>
      <c r="E182" s="2">
        <f>_xlfn.XLOOKUP(Table3[[#This Row],[instant]],Table1[instant],Table1[weekday], ,0,1)</f>
        <v>6</v>
      </c>
      <c r="F182" s="2">
        <f>_xlfn.XLOOKUP(Table3[[#This Row],[instant]],Table1[instant],Table1[weathersit], ,0,1)</f>
        <v>1</v>
      </c>
      <c r="G182" s="2">
        <f>_xlfn.XLOOKUP(Table3[[#This Row],[instant]],Table1[instant],Table1[temp], ,0,1)</f>
        <v>0.14000000000000001</v>
      </c>
      <c r="H182" s="24">
        <f>_xlfn.XLOOKUP(Table3[[#This Row],[instant]],Table2[instant],Table2[atemp], ,0,1)</f>
        <v>0.1212</v>
      </c>
      <c r="I182" s="1">
        <f>_xlfn.XLOOKUP(Table3[[#This Row],[instant]],Table2[instant],Table2[hum], ,0,1)</f>
        <v>0.36</v>
      </c>
      <c r="J182" s="1">
        <f>_xlfn.XLOOKUP(Table3[[#This Row],[instant]],Table2[instant],Table2[windspeed], ,0,1)</f>
        <v>0.25369999999999998</v>
      </c>
      <c r="K182" s="1">
        <f>_xlfn.XLOOKUP(Table3[[#This Row],[instant]],Table2[instant],Table2[casual], ,0,1)</f>
        <v>4</v>
      </c>
      <c r="L182" s="1">
        <f>_xlfn.XLOOKUP(Table3[[#This Row],[instant]],Table2[instant],Table2[registered], ,0,1)</f>
        <v>26</v>
      </c>
      <c r="M182" s="6">
        <f>_xlfn.XLOOKUP(Table3[[#This Row],[instant]],Table2[instant],Table2[cnt], ,0,1)</f>
        <v>30</v>
      </c>
      <c r="N182" s="6" t="str">
        <f>IF(OR(Table3[[#This Row],[weekday]]=0,Table3[[#This Row],[weekday]]=6),"Weekend","Weekday")</f>
        <v>Weekend</v>
      </c>
    </row>
    <row r="183" spans="1:14" ht="15" thickBot="1" x14ac:dyDescent="0.35">
      <c r="A183" s="5">
        <v>182</v>
      </c>
      <c r="B183" s="3">
        <f>_xlfn.XLOOKUP(Table3[[#This Row],[instant]],DatSet1!A183:A792,DatSet1!B183:B792,_xlfn.XLOOKUP(Table3[[#This Row],[instant]],'Final Data'!A183:A572,'Final Data'!B183:B572, ,0,1),0,1)</f>
        <v>40551</v>
      </c>
      <c r="C183" s="1">
        <f>_xlfn.XLOOKUP(Table3[[#This Row],[instant]],Table1[instant],Table1[hr], ,0,1)</f>
        <v>20</v>
      </c>
      <c r="D183" s="2" t="b">
        <f>_xlfn.XLOOKUP(Table3[[#This Row],[instant]],Table1[instant],Table1[holiday], ,0,1)</f>
        <v>0</v>
      </c>
      <c r="E183" s="2">
        <f>_xlfn.XLOOKUP(Table3[[#This Row],[instant]],Table1[instant],Table1[weekday], ,0,1)</f>
        <v>6</v>
      </c>
      <c r="F183" s="2">
        <f>_xlfn.XLOOKUP(Table3[[#This Row],[instant]],Table1[instant],Table1[weathersit], ,0,1)</f>
        <v>1</v>
      </c>
      <c r="G183" s="2">
        <f>_xlfn.XLOOKUP(Table3[[#This Row],[instant]],Table1[instant],Table1[temp], ,0,1)</f>
        <v>0.12</v>
      </c>
      <c r="H183" s="24">
        <f>_xlfn.XLOOKUP(Table3[[#This Row],[instant]],Table2[instant],Table2[atemp], ,0,1)</f>
        <v>0.1212</v>
      </c>
      <c r="I183" s="1">
        <f>_xlfn.XLOOKUP(Table3[[#This Row],[instant]],Table2[instant],Table2[hum], ,0,1)</f>
        <v>0.36</v>
      </c>
      <c r="J183" s="1">
        <f>_xlfn.XLOOKUP(Table3[[#This Row],[instant]],Table2[instant],Table2[windspeed], ,0,1)</f>
        <v>0.25369999999999998</v>
      </c>
      <c r="K183" s="1">
        <f>_xlfn.XLOOKUP(Table3[[#This Row],[instant]],Table2[instant],Table2[casual], ,0,1)</f>
        <v>0</v>
      </c>
      <c r="L183" s="1">
        <f>_xlfn.XLOOKUP(Table3[[#This Row],[instant]],Table2[instant],Table2[registered], ,0,1)</f>
        <v>28</v>
      </c>
      <c r="M183" s="6">
        <f>_xlfn.XLOOKUP(Table3[[#This Row],[instant]],Table2[instant],Table2[cnt], ,0,1)</f>
        <v>28</v>
      </c>
      <c r="N183" s="6" t="str">
        <f>IF(OR(Table3[[#This Row],[weekday]]=0,Table3[[#This Row],[weekday]]=6),"Weekend","Weekday")</f>
        <v>Weekend</v>
      </c>
    </row>
    <row r="184" spans="1:14" ht="15" thickBot="1" x14ac:dyDescent="0.35">
      <c r="A184" s="5">
        <v>183</v>
      </c>
      <c r="B184" s="3">
        <f>_xlfn.XLOOKUP(Table3[[#This Row],[instant]],DatSet1!A184:A793,DatSet1!B184:B793,_xlfn.XLOOKUP(Table3[[#This Row],[instant]],'Final Data'!A184:A573,'Final Data'!B184:B573, ,0,1),0,1)</f>
        <v>40551</v>
      </c>
      <c r="C184" s="1">
        <f>_xlfn.XLOOKUP(Table3[[#This Row],[instant]],Table1[instant],Table1[hr], ,0,1)</f>
        <v>21</v>
      </c>
      <c r="D184" s="2" t="b">
        <f>_xlfn.XLOOKUP(Table3[[#This Row],[instant]],Table1[instant],Table1[holiday], ,0,1)</f>
        <v>0</v>
      </c>
      <c r="E184" s="2">
        <f>_xlfn.XLOOKUP(Table3[[#This Row],[instant]],Table1[instant],Table1[weekday], ,0,1)</f>
        <v>6</v>
      </c>
      <c r="F184" s="2">
        <f>_xlfn.XLOOKUP(Table3[[#This Row],[instant]],Table1[instant],Table1[weathersit], ,0,1)</f>
        <v>1</v>
      </c>
      <c r="G184" s="2">
        <f>_xlfn.XLOOKUP(Table3[[#This Row],[instant]],Table1[instant],Table1[temp], ,0,1)</f>
        <v>0.12</v>
      </c>
      <c r="H184" s="24">
        <f>_xlfn.XLOOKUP(Table3[[#This Row],[instant]],Table2[instant],Table2[atemp], ,0,1)</f>
        <v>0.1061</v>
      </c>
      <c r="I184" s="1">
        <f>_xlfn.XLOOKUP(Table3[[#This Row],[instant]],Table2[instant],Table2[hum], ,0,1)</f>
        <v>0.39</v>
      </c>
      <c r="J184" s="1">
        <f>_xlfn.XLOOKUP(Table3[[#This Row],[instant]],Table2[instant],Table2[windspeed], ,0,1)</f>
        <v>0.35820000000000002</v>
      </c>
      <c r="K184" s="1">
        <f>_xlfn.XLOOKUP(Table3[[#This Row],[instant]],Table2[instant],Table2[casual], ,0,1)</f>
        <v>2</v>
      </c>
      <c r="L184" s="1">
        <f>_xlfn.XLOOKUP(Table3[[#This Row],[instant]],Table2[instant],Table2[registered], ,0,1)</f>
        <v>35</v>
      </c>
      <c r="M184" s="6">
        <f>_xlfn.XLOOKUP(Table3[[#This Row],[instant]],Table2[instant],Table2[cnt], ,0,1)</f>
        <v>37</v>
      </c>
      <c r="N184" s="6" t="str">
        <f>IF(OR(Table3[[#This Row],[weekday]]=0,Table3[[#This Row],[weekday]]=6),"Weekend","Weekday")</f>
        <v>Weekend</v>
      </c>
    </row>
    <row r="185" spans="1:14" ht="15" thickBot="1" x14ac:dyDescent="0.35">
      <c r="A185" s="5">
        <v>184</v>
      </c>
      <c r="B185" s="3">
        <f>_xlfn.XLOOKUP(Table3[[#This Row],[instant]],DatSet1!A185:A794,DatSet1!B185:B794,_xlfn.XLOOKUP(Table3[[#This Row],[instant]],'Final Data'!A185:A574,'Final Data'!B185:B574, ,0,1),0,1)</f>
        <v>40551</v>
      </c>
      <c r="C185" s="1">
        <f>_xlfn.XLOOKUP(Table3[[#This Row],[instant]],Table1[instant],Table1[hr], ,0,1)</f>
        <v>22</v>
      </c>
      <c r="D185" s="2" t="b">
        <f>_xlfn.XLOOKUP(Table3[[#This Row],[instant]],Table1[instant],Table1[holiday], ,0,1)</f>
        <v>0</v>
      </c>
      <c r="E185" s="2">
        <f>_xlfn.XLOOKUP(Table3[[#This Row],[instant]],Table1[instant],Table1[weekday], ,0,1)</f>
        <v>6</v>
      </c>
      <c r="F185" s="2">
        <f>_xlfn.XLOOKUP(Table3[[#This Row],[instant]],Table1[instant],Table1[weathersit], ,0,1)</f>
        <v>1</v>
      </c>
      <c r="G185" s="2">
        <f>_xlfn.XLOOKUP(Table3[[#This Row],[instant]],Table1[instant],Table1[temp], ,0,1)</f>
        <v>0.12</v>
      </c>
      <c r="H185" s="24">
        <f>_xlfn.XLOOKUP(Table3[[#This Row],[instant]],Table2[instant],Table2[atemp], ,0,1)</f>
        <v>0.1061</v>
      </c>
      <c r="I185" s="1">
        <f>_xlfn.XLOOKUP(Table3[[#This Row],[instant]],Table2[instant],Table2[hum], ,0,1)</f>
        <v>0.36</v>
      </c>
      <c r="J185" s="1">
        <f>_xlfn.XLOOKUP(Table3[[#This Row],[instant]],Table2[instant],Table2[windspeed], ,0,1)</f>
        <v>0.3881</v>
      </c>
      <c r="K185" s="1">
        <f>_xlfn.XLOOKUP(Table3[[#This Row],[instant]],Table2[instant],Table2[casual], ,0,1)</f>
        <v>1</v>
      </c>
      <c r="L185" s="1">
        <f>_xlfn.XLOOKUP(Table3[[#This Row],[instant]],Table2[instant],Table2[registered], ,0,1)</f>
        <v>33</v>
      </c>
      <c r="M185" s="6">
        <f>_xlfn.XLOOKUP(Table3[[#This Row],[instant]],Table2[instant],Table2[cnt], ,0,1)</f>
        <v>34</v>
      </c>
      <c r="N185" s="6" t="str">
        <f>IF(OR(Table3[[#This Row],[weekday]]=0,Table3[[#This Row],[weekday]]=6),"Weekend","Weekday")</f>
        <v>Weekend</v>
      </c>
    </row>
    <row r="186" spans="1:14" ht="15" thickBot="1" x14ac:dyDescent="0.35">
      <c r="A186" s="5">
        <v>185</v>
      </c>
      <c r="B186" s="3">
        <f>_xlfn.XLOOKUP(Table3[[#This Row],[instant]],DatSet1!A186:A795,DatSet1!B186:B795,_xlfn.XLOOKUP(Table3[[#This Row],[instant]],'Final Data'!A186:A575,'Final Data'!B186:B575, ,0,1),0,1)</f>
        <v>40551</v>
      </c>
      <c r="C186" s="1">
        <f>_xlfn.XLOOKUP(Table3[[#This Row],[instant]],Table1[instant],Table1[hr], ,0,1)</f>
        <v>23</v>
      </c>
      <c r="D186" s="2" t="b">
        <f>_xlfn.XLOOKUP(Table3[[#This Row],[instant]],Table1[instant],Table1[holiday], ,0,1)</f>
        <v>0</v>
      </c>
      <c r="E186" s="2">
        <f>_xlfn.XLOOKUP(Table3[[#This Row],[instant]],Table1[instant],Table1[weekday], ,0,1)</f>
        <v>6</v>
      </c>
      <c r="F186" s="2">
        <f>_xlfn.XLOOKUP(Table3[[#This Row],[instant]],Table1[instant],Table1[weathersit], ,0,1)</f>
        <v>1</v>
      </c>
      <c r="G186" s="2">
        <f>_xlfn.XLOOKUP(Table3[[#This Row],[instant]],Table1[instant],Table1[temp], ,0,1)</f>
        <v>0.1</v>
      </c>
      <c r="H186" s="24">
        <f>_xlfn.XLOOKUP(Table3[[#This Row],[instant]],Table2[instant],Table2[atemp], ,0,1)</f>
        <v>6.0600000000000001E-2</v>
      </c>
      <c r="I186" s="1">
        <f>_xlfn.XLOOKUP(Table3[[#This Row],[instant]],Table2[instant],Table2[hum], ,0,1)</f>
        <v>0.39</v>
      </c>
      <c r="J186" s="1">
        <f>_xlfn.XLOOKUP(Table3[[#This Row],[instant]],Table2[instant],Table2[windspeed], ,0,1)</f>
        <v>0.44779999999999998</v>
      </c>
      <c r="K186" s="1">
        <f>_xlfn.XLOOKUP(Table3[[#This Row],[instant]],Table2[instant],Table2[casual], ,0,1)</f>
        <v>0</v>
      </c>
      <c r="L186" s="1">
        <f>_xlfn.XLOOKUP(Table3[[#This Row],[instant]],Table2[instant],Table2[registered], ,0,1)</f>
        <v>22</v>
      </c>
      <c r="M186" s="6">
        <f>_xlfn.XLOOKUP(Table3[[#This Row],[instant]],Table2[instant],Table2[cnt], ,0,1)</f>
        <v>22</v>
      </c>
      <c r="N186" s="6" t="str">
        <f>IF(OR(Table3[[#This Row],[weekday]]=0,Table3[[#This Row],[weekday]]=6),"Weekend","Weekday")</f>
        <v>Weekend</v>
      </c>
    </row>
    <row r="187" spans="1:14" ht="15" thickBot="1" x14ac:dyDescent="0.35">
      <c r="A187" s="5">
        <v>186</v>
      </c>
      <c r="B187" s="3">
        <f>_xlfn.XLOOKUP(Table3[[#This Row],[instant]],DatSet1!A187:A796,DatSet1!B187:B796,_xlfn.XLOOKUP(Table3[[#This Row],[instant]],'Final Data'!A187:A576,'Final Data'!B187:B576, ,0,1),0,1)</f>
        <v>40552</v>
      </c>
      <c r="C187" s="1">
        <f>_xlfn.XLOOKUP(Table3[[#This Row],[instant]],Table1[instant],Table1[hr], ,0,1)</f>
        <v>0</v>
      </c>
      <c r="D187" s="2" t="b">
        <f>_xlfn.XLOOKUP(Table3[[#This Row],[instant]],Table1[instant],Table1[holiday], ,0,1)</f>
        <v>0</v>
      </c>
      <c r="E187" s="2">
        <f>_xlfn.XLOOKUP(Table3[[#This Row],[instant]],Table1[instant],Table1[weekday], ,0,1)</f>
        <v>0</v>
      </c>
      <c r="F187" s="2">
        <f>_xlfn.XLOOKUP(Table3[[#This Row],[instant]],Table1[instant],Table1[weathersit], ,0,1)</f>
        <v>1</v>
      </c>
      <c r="G187" s="2">
        <f>_xlfn.XLOOKUP(Table3[[#This Row],[instant]],Table1[instant],Table1[temp], ,0,1)</f>
        <v>0.1</v>
      </c>
      <c r="H187" s="24">
        <f>_xlfn.XLOOKUP(Table3[[#This Row],[instant]],Table2[instant],Table2[atemp], ,0,1)</f>
        <v>7.5800000000000006E-2</v>
      </c>
      <c r="I187" s="1">
        <f>_xlfn.XLOOKUP(Table3[[#This Row],[instant]],Table2[instant],Table2[hum], ,0,1)</f>
        <v>0.42</v>
      </c>
      <c r="J187" s="1">
        <f>_xlfn.XLOOKUP(Table3[[#This Row],[instant]],Table2[instant],Table2[windspeed], ,0,1)</f>
        <v>0.3881</v>
      </c>
      <c r="K187" s="1">
        <f>_xlfn.XLOOKUP(Table3[[#This Row],[instant]],Table2[instant],Table2[casual], ,0,1)</f>
        <v>1</v>
      </c>
      <c r="L187" s="1">
        <f>_xlfn.XLOOKUP(Table3[[#This Row],[instant]],Table2[instant],Table2[registered], ,0,1)</f>
        <v>24</v>
      </c>
      <c r="M187" s="6">
        <f>_xlfn.XLOOKUP(Table3[[#This Row],[instant]],Table2[instant],Table2[cnt], ,0,1)</f>
        <v>25</v>
      </c>
      <c r="N187" s="6" t="str">
        <f>IF(OR(Table3[[#This Row],[weekday]]=0,Table3[[#This Row],[weekday]]=6),"Weekend","Weekday")</f>
        <v>Weekend</v>
      </c>
    </row>
    <row r="188" spans="1:14" ht="15" thickBot="1" x14ac:dyDescent="0.35">
      <c r="A188" s="5">
        <v>187</v>
      </c>
      <c r="B188" s="3">
        <f>_xlfn.XLOOKUP(Table3[[#This Row],[instant]],DatSet1!A188:A797,DatSet1!B188:B797,_xlfn.XLOOKUP(Table3[[#This Row],[instant]],'Final Data'!A188:A577,'Final Data'!B188:B577, ,0,1),0,1)</f>
        <v>40552</v>
      </c>
      <c r="C188" s="1">
        <f>_xlfn.XLOOKUP(Table3[[#This Row],[instant]],Table1[instant],Table1[hr], ,0,1)</f>
        <v>1</v>
      </c>
      <c r="D188" s="2" t="b">
        <f>_xlfn.XLOOKUP(Table3[[#This Row],[instant]],Table1[instant],Table1[holiday], ,0,1)</f>
        <v>0</v>
      </c>
      <c r="E188" s="2">
        <f>_xlfn.XLOOKUP(Table3[[#This Row],[instant]],Table1[instant],Table1[weekday], ,0,1)</f>
        <v>0</v>
      </c>
      <c r="F188" s="2">
        <f>_xlfn.XLOOKUP(Table3[[#This Row],[instant]],Table1[instant],Table1[weathersit], ,0,1)</f>
        <v>1</v>
      </c>
      <c r="G188" s="2">
        <f>_xlfn.XLOOKUP(Table3[[#This Row],[instant]],Table1[instant],Table1[temp], ,0,1)</f>
        <v>0.1</v>
      </c>
      <c r="H188" s="24">
        <f>_xlfn.XLOOKUP(Table3[[#This Row],[instant]],Table2[instant],Table2[atemp], ,0,1)</f>
        <v>6.0600000000000001E-2</v>
      </c>
      <c r="I188" s="1">
        <f>_xlfn.XLOOKUP(Table3[[#This Row],[instant]],Table2[instant],Table2[hum], ,0,1)</f>
        <v>0.42</v>
      </c>
      <c r="J188" s="1">
        <f>_xlfn.XLOOKUP(Table3[[#This Row],[instant]],Table2[instant],Table2[windspeed], ,0,1)</f>
        <v>0.4627</v>
      </c>
      <c r="K188" s="1">
        <f>_xlfn.XLOOKUP(Table3[[#This Row],[instant]],Table2[instant],Table2[casual], ,0,1)</f>
        <v>0</v>
      </c>
      <c r="L188" s="1">
        <f>_xlfn.XLOOKUP(Table3[[#This Row],[instant]],Table2[instant],Table2[registered], ,0,1)</f>
        <v>12</v>
      </c>
      <c r="M188" s="6">
        <f>_xlfn.XLOOKUP(Table3[[#This Row],[instant]],Table2[instant],Table2[cnt], ,0,1)</f>
        <v>12</v>
      </c>
      <c r="N188" s="6" t="str">
        <f>IF(OR(Table3[[#This Row],[weekday]]=0,Table3[[#This Row],[weekday]]=6),"Weekend","Weekday")</f>
        <v>Weekend</v>
      </c>
    </row>
    <row r="189" spans="1:14" ht="15" thickBot="1" x14ac:dyDescent="0.35">
      <c r="A189" s="5">
        <v>188</v>
      </c>
      <c r="B189" s="3">
        <f>_xlfn.XLOOKUP(Table3[[#This Row],[instant]],DatSet1!A189:A798,DatSet1!B189:B798,_xlfn.XLOOKUP(Table3[[#This Row],[instant]],'Final Data'!A189:A578,'Final Data'!B189:B578, ,0,1),0,1)</f>
        <v>40552</v>
      </c>
      <c r="C189" s="1">
        <f>_xlfn.XLOOKUP(Table3[[#This Row],[instant]],Table1[instant],Table1[hr], ,0,1)</f>
        <v>2</v>
      </c>
      <c r="D189" s="2" t="b">
        <f>_xlfn.XLOOKUP(Table3[[#This Row],[instant]],Table1[instant],Table1[holiday], ,0,1)</f>
        <v>0</v>
      </c>
      <c r="E189" s="2">
        <f>_xlfn.XLOOKUP(Table3[[#This Row],[instant]],Table1[instant],Table1[weekday], ,0,1)</f>
        <v>0</v>
      </c>
      <c r="F189" s="2">
        <f>_xlfn.XLOOKUP(Table3[[#This Row],[instant]],Table1[instant],Table1[weathersit], ,0,1)</f>
        <v>1</v>
      </c>
      <c r="G189" s="2">
        <f>_xlfn.XLOOKUP(Table3[[#This Row],[instant]],Table1[instant],Table1[temp], ,0,1)</f>
        <v>0.1</v>
      </c>
      <c r="H189" s="24">
        <f>_xlfn.XLOOKUP(Table3[[#This Row],[instant]],Table2[instant],Table2[atemp], ,0,1)</f>
        <v>6.0600000000000001E-2</v>
      </c>
      <c r="I189" s="1">
        <f>_xlfn.XLOOKUP(Table3[[#This Row],[instant]],Table2[instant],Table2[hum], ,0,1)</f>
        <v>0.46</v>
      </c>
      <c r="J189" s="1">
        <f>_xlfn.XLOOKUP(Table3[[#This Row],[instant]],Table2[instant],Table2[windspeed], ,0,1)</f>
        <v>0.4627</v>
      </c>
      <c r="K189" s="1">
        <f>_xlfn.XLOOKUP(Table3[[#This Row],[instant]],Table2[instant],Table2[casual], ,0,1)</f>
        <v>0</v>
      </c>
      <c r="L189" s="1">
        <f>_xlfn.XLOOKUP(Table3[[#This Row],[instant]],Table2[instant],Table2[registered], ,0,1)</f>
        <v>11</v>
      </c>
      <c r="M189" s="6">
        <f>_xlfn.XLOOKUP(Table3[[#This Row],[instant]],Table2[instant],Table2[cnt], ,0,1)</f>
        <v>11</v>
      </c>
      <c r="N189" s="6" t="str">
        <f>IF(OR(Table3[[#This Row],[weekday]]=0,Table3[[#This Row],[weekday]]=6),"Weekend","Weekday")</f>
        <v>Weekend</v>
      </c>
    </row>
    <row r="190" spans="1:14" ht="15" thickBot="1" x14ac:dyDescent="0.35">
      <c r="A190" s="5">
        <v>189</v>
      </c>
      <c r="B190" s="3">
        <f>_xlfn.XLOOKUP(Table3[[#This Row],[instant]],DatSet1!A190:A799,DatSet1!B190:B799,_xlfn.XLOOKUP(Table3[[#This Row],[instant]],'Final Data'!A190:A579,'Final Data'!B190:B579, ,0,1),0,1)</f>
        <v>40552</v>
      </c>
      <c r="C190" s="1">
        <f>_xlfn.XLOOKUP(Table3[[#This Row],[instant]],Table1[instant],Table1[hr], ,0,1)</f>
        <v>3</v>
      </c>
      <c r="D190" s="2" t="b">
        <f>_xlfn.XLOOKUP(Table3[[#This Row],[instant]],Table1[instant],Table1[holiday], ,0,1)</f>
        <v>0</v>
      </c>
      <c r="E190" s="2">
        <f>_xlfn.XLOOKUP(Table3[[#This Row],[instant]],Table1[instant],Table1[weekday], ,0,1)</f>
        <v>0</v>
      </c>
      <c r="F190" s="2">
        <f>_xlfn.XLOOKUP(Table3[[#This Row],[instant]],Table1[instant],Table1[weathersit], ,0,1)</f>
        <v>1</v>
      </c>
      <c r="G190" s="2">
        <f>_xlfn.XLOOKUP(Table3[[#This Row],[instant]],Table1[instant],Table1[temp], ,0,1)</f>
        <v>0.1</v>
      </c>
      <c r="H190" s="24">
        <f>_xlfn.XLOOKUP(Table3[[#This Row],[instant]],Table2[instant],Table2[atemp], ,0,1)</f>
        <v>7.5800000000000006E-2</v>
      </c>
      <c r="I190" s="1">
        <f>_xlfn.XLOOKUP(Table3[[#This Row],[instant]],Table2[instant],Table2[hum], ,0,1)</f>
        <v>0.46</v>
      </c>
      <c r="J190" s="1">
        <f>_xlfn.XLOOKUP(Table3[[#This Row],[instant]],Table2[instant],Table2[windspeed], ,0,1)</f>
        <v>0.41789999999999999</v>
      </c>
      <c r="K190" s="1">
        <f>_xlfn.XLOOKUP(Table3[[#This Row],[instant]],Table2[instant],Table2[casual], ,0,1)</f>
        <v>0</v>
      </c>
      <c r="L190" s="1">
        <f>_xlfn.XLOOKUP(Table3[[#This Row],[instant]],Table2[instant],Table2[registered], ,0,1)</f>
        <v>4</v>
      </c>
      <c r="M190" s="6">
        <f>_xlfn.XLOOKUP(Table3[[#This Row],[instant]],Table2[instant],Table2[cnt], ,0,1)</f>
        <v>4</v>
      </c>
      <c r="N190" s="6" t="str">
        <f>IF(OR(Table3[[#This Row],[weekday]]=0,Table3[[#This Row],[weekday]]=6),"Weekend","Weekday")</f>
        <v>Weekend</v>
      </c>
    </row>
    <row r="191" spans="1:14" ht="15" thickBot="1" x14ac:dyDescent="0.35">
      <c r="A191" s="5">
        <v>190</v>
      </c>
      <c r="B191" s="3">
        <f>_xlfn.XLOOKUP(Table3[[#This Row],[instant]],DatSet1!A191:A800,DatSet1!B191:B800,_xlfn.XLOOKUP(Table3[[#This Row],[instant]],'Final Data'!A191:A580,'Final Data'!B191:B580, ,0,1),0,1)</f>
        <v>40552</v>
      </c>
      <c r="C191" s="1">
        <f>_xlfn.XLOOKUP(Table3[[#This Row],[instant]],Table1[instant],Table1[hr], ,0,1)</f>
        <v>4</v>
      </c>
      <c r="D191" s="2" t="b">
        <f>_xlfn.XLOOKUP(Table3[[#This Row],[instant]],Table1[instant],Table1[holiday], ,0,1)</f>
        <v>0</v>
      </c>
      <c r="E191" s="2">
        <f>_xlfn.XLOOKUP(Table3[[#This Row],[instant]],Table1[instant],Table1[weekday], ,0,1)</f>
        <v>0</v>
      </c>
      <c r="F191" s="2">
        <f>_xlfn.XLOOKUP(Table3[[#This Row],[instant]],Table1[instant],Table1[weathersit], ,0,1)</f>
        <v>1</v>
      </c>
      <c r="G191" s="2">
        <f>_xlfn.XLOOKUP(Table3[[#This Row],[instant]],Table1[instant],Table1[temp], ,0,1)</f>
        <v>0.08</v>
      </c>
      <c r="H191" s="24">
        <f>_xlfn.XLOOKUP(Table3[[#This Row],[instant]],Table2[instant],Table2[atemp], ,0,1)</f>
        <v>9.0899999999999995E-2</v>
      </c>
      <c r="I191" s="1">
        <f>_xlfn.XLOOKUP(Table3[[#This Row],[instant]],Table2[instant],Table2[hum], ,0,1)</f>
        <v>0.53</v>
      </c>
      <c r="J191" s="1">
        <f>_xlfn.XLOOKUP(Table3[[#This Row],[instant]],Table2[instant],Table2[windspeed], ,0,1)</f>
        <v>0.19400000000000001</v>
      </c>
      <c r="K191" s="1">
        <f>_xlfn.XLOOKUP(Table3[[#This Row],[instant]],Table2[instant],Table2[casual], ,0,1)</f>
        <v>0</v>
      </c>
      <c r="L191" s="1">
        <f>_xlfn.XLOOKUP(Table3[[#This Row],[instant]],Table2[instant],Table2[registered], ,0,1)</f>
        <v>1</v>
      </c>
      <c r="M191" s="6">
        <f>_xlfn.XLOOKUP(Table3[[#This Row],[instant]],Table2[instant],Table2[cnt], ,0,1)</f>
        <v>1</v>
      </c>
      <c r="N191" s="6" t="str">
        <f>IF(OR(Table3[[#This Row],[weekday]]=0,Table3[[#This Row],[weekday]]=6),"Weekend","Weekday")</f>
        <v>Weekend</v>
      </c>
    </row>
    <row r="192" spans="1:14" ht="15" thickBot="1" x14ac:dyDescent="0.35">
      <c r="A192" s="5">
        <v>191</v>
      </c>
      <c r="B192" s="3">
        <f>_xlfn.XLOOKUP(Table3[[#This Row],[instant]],DatSet1!A192:A801,DatSet1!B192:B801,_xlfn.XLOOKUP(Table3[[#This Row],[instant]],'Final Data'!A192:A581,'Final Data'!B192:B581, ,0,1),0,1)</f>
        <v>40552</v>
      </c>
      <c r="C192" s="1">
        <f>_xlfn.XLOOKUP(Table3[[#This Row],[instant]],Table1[instant],Table1[hr], ,0,1)</f>
        <v>5</v>
      </c>
      <c r="D192" s="2" t="b">
        <f>_xlfn.XLOOKUP(Table3[[#This Row],[instant]],Table1[instant],Table1[holiday], ,0,1)</f>
        <v>0</v>
      </c>
      <c r="E192" s="2">
        <f>_xlfn.XLOOKUP(Table3[[#This Row],[instant]],Table1[instant],Table1[weekday], ,0,1)</f>
        <v>0</v>
      </c>
      <c r="F192" s="2">
        <f>_xlfn.XLOOKUP(Table3[[#This Row],[instant]],Table1[instant],Table1[weathersit], ,0,1)</f>
        <v>1</v>
      </c>
      <c r="G192" s="2">
        <f>_xlfn.XLOOKUP(Table3[[#This Row],[instant]],Table1[instant],Table1[temp], ,0,1)</f>
        <v>0.08</v>
      </c>
      <c r="H192" s="24">
        <f>_xlfn.XLOOKUP(Table3[[#This Row],[instant]],Table2[instant],Table2[atemp], ,0,1)</f>
        <v>9.0899999999999995E-2</v>
      </c>
      <c r="I192" s="1">
        <f>_xlfn.XLOOKUP(Table3[[#This Row],[instant]],Table2[instant],Table2[hum], ,0,1)</f>
        <v>0.53</v>
      </c>
      <c r="J192" s="1">
        <f>_xlfn.XLOOKUP(Table3[[#This Row],[instant]],Table2[instant],Table2[windspeed], ,0,1)</f>
        <v>0.19400000000000001</v>
      </c>
      <c r="K192" s="1">
        <f>_xlfn.XLOOKUP(Table3[[#This Row],[instant]],Table2[instant],Table2[casual], ,0,1)</f>
        <v>0</v>
      </c>
      <c r="L192" s="1">
        <f>_xlfn.XLOOKUP(Table3[[#This Row],[instant]],Table2[instant],Table2[registered], ,0,1)</f>
        <v>1</v>
      </c>
      <c r="M192" s="6">
        <f>_xlfn.XLOOKUP(Table3[[#This Row],[instant]],Table2[instant],Table2[cnt], ,0,1)</f>
        <v>1</v>
      </c>
      <c r="N192" s="6" t="str">
        <f>IF(OR(Table3[[#This Row],[weekday]]=0,Table3[[#This Row],[weekday]]=6),"Weekend","Weekday")</f>
        <v>Weekend</v>
      </c>
    </row>
    <row r="193" spans="1:14" ht="15" thickBot="1" x14ac:dyDescent="0.35">
      <c r="A193" s="5">
        <v>192</v>
      </c>
      <c r="B193" s="3">
        <f>_xlfn.XLOOKUP(Table3[[#This Row],[instant]],DatSet1!A193:A802,DatSet1!B193:B802,_xlfn.XLOOKUP(Table3[[#This Row],[instant]],'Final Data'!A193:A582,'Final Data'!B193:B582, ,0,1),0,1)</f>
        <v>40552</v>
      </c>
      <c r="C193" s="1">
        <f>_xlfn.XLOOKUP(Table3[[#This Row],[instant]],Table1[instant],Table1[hr], ,0,1)</f>
        <v>6</v>
      </c>
      <c r="D193" s="2" t="b">
        <f>_xlfn.XLOOKUP(Table3[[#This Row],[instant]],Table1[instant],Table1[holiday], ,0,1)</f>
        <v>0</v>
      </c>
      <c r="E193" s="2">
        <f>_xlfn.XLOOKUP(Table3[[#This Row],[instant]],Table1[instant],Table1[weekday], ,0,1)</f>
        <v>0</v>
      </c>
      <c r="F193" s="2">
        <f>_xlfn.XLOOKUP(Table3[[#This Row],[instant]],Table1[instant],Table1[weathersit], ,0,1)</f>
        <v>1</v>
      </c>
      <c r="G193" s="2">
        <f>_xlfn.XLOOKUP(Table3[[#This Row],[instant]],Table1[instant],Table1[temp], ,0,1)</f>
        <v>0.1</v>
      </c>
      <c r="H193" s="24">
        <f>_xlfn.XLOOKUP(Table3[[#This Row],[instant]],Table2[instant],Table2[atemp], ,0,1)</f>
        <v>9.0899999999999995E-2</v>
      </c>
      <c r="I193" s="1">
        <f>_xlfn.XLOOKUP(Table3[[#This Row],[instant]],Table2[instant],Table2[hum], ,0,1)</f>
        <v>0.49</v>
      </c>
      <c r="J193" s="1">
        <f>_xlfn.XLOOKUP(Table3[[#This Row],[instant]],Table2[instant],Table2[windspeed], ,0,1)</f>
        <v>0.28360000000000002</v>
      </c>
      <c r="K193" s="1">
        <f>_xlfn.XLOOKUP(Table3[[#This Row],[instant]],Table2[instant],Table2[casual], ,0,1)</f>
        <v>0</v>
      </c>
      <c r="L193" s="1">
        <f>_xlfn.XLOOKUP(Table3[[#This Row],[instant]],Table2[instant],Table2[registered], ,0,1)</f>
        <v>1</v>
      </c>
      <c r="M193" s="6">
        <f>_xlfn.XLOOKUP(Table3[[#This Row],[instant]],Table2[instant],Table2[cnt], ,0,1)</f>
        <v>1</v>
      </c>
      <c r="N193" s="6" t="str">
        <f>IF(OR(Table3[[#This Row],[weekday]]=0,Table3[[#This Row],[weekday]]=6),"Weekend","Weekday")</f>
        <v>Weekend</v>
      </c>
    </row>
    <row r="194" spans="1:14" ht="15" thickBot="1" x14ac:dyDescent="0.35">
      <c r="A194" s="5">
        <v>193</v>
      </c>
      <c r="B194" s="3">
        <f>_xlfn.XLOOKUP(Table3[[#This Row],[instant]],DatSet1!A194:A803,DatSet1!B194:B803,_xlfn.XLOOKUP(Table3[[#This Row],[instant]],'Final Data'!A194:A583,'Final Data'!B194:B583, ,0,1),0,1)</f>
        <v>40552</v>
      </c>
      <c r="C194" s="1">
        <f>_xlfn.XLOOKUP(Table3[[#This Row],[instant]],Table1[instant],Table1[hr], ,0,1)</f>
        <v>7</v>
      </c>
      <c r="D194" s="2" t="b">
        <f>_xlfn.XLOOKUP(Table3[[#This Row],[instant]],Table1[instant],Table1[holiday], ,0,1)</f>
        <v>0</v>
      </c>
      <c r="E194" s="2">
        <f>_xlfn.XLOOKUP(Table3[[#This Row],[instant]],Table1[instant],Table1[weekday], ,0,1)</f>
        <v>0</v>
      </c>
      <c r="F194" s="2">
        <f>_xlfn.XLOOKUP(Table3[[#This Row],[instant]],Table1[instant],Table1[weathersit], ,0,1)</f>
        <v>1</v>
      </c>
      <c r="G194" s="2">
        <f>_xlfn.XLOOKUP(Table3[[#This Row],[instant]],Table1[instant],Table1[temp], ,0,1)</f>
        <v>0.08</v>
      </c>
      <c r="H194" s="24">
        <f>_xlfn.XLOOKUP(Table3[[#This Row],[instant]],Table2[instant],Table2[atemp], ,0,1)</f>
        <v>9.0899999999999995E-2</v>
      </c>
      <c r="I194" s="1">
        <f>_xlfn.XLOOKUP(Table3[[#This Row],[instant]],Table2[instant],Table2[hum], ,0,1)</f>
        <v>0.53</v>
      </c>
      <c r="J194" s="1">
        <f>_xlfn.XLOOKUP(Table3[[#This Row],[instant]],Table2[instant],Table2[windspeed], ,0,1)</f>
        <v>0.19400000000000001</v>
      </c>
      <c r="K194" s="1">
        <f>_xlfn.XLOOKUP(Table3[[#This Row],[instant]],Table2[instant],Table2[casual], ,0,1)</f>
        <v>1</v>
      </c>
      <c r="L194" s="1">
        <f>_xlfn.XLOOKUP(Table3[[#This Row],[instant]],Table2[instant],Table2[registered], ,0,1)</f>
        <v>5</v>
      </c>
      <c r="M194" s="6">
        <f>_xlfn.XLOOKUP(Table3[[#This Row],[instant]],Table2[instant],Table2[cnt], ,0,1)</f>
        <v>6</v>
      </c>
      <c r="N194" s="6" t="str">
        <f>IF(OR(Table3[[#This Row],[weekday]]=0,Table3[[#This Row],[weekday]]=6),"Weekend","Weekday")</f>
        <v>Weekend</v>
      </c>
    </row>
    <row r="195" spans="1:14" ht="15" thickBot="1" x14ac:dyDescent="0.35">
      <c r="A195" s="5">
        <v>194</v>
      </c>
      <c r="B195" s="3">
        <f>_xlfn.XLOOKUP(Table3[[#This Row],[instant]],DatSet1!A195:A804,DatSet1!B195:B804,_xlfn.XLOOKUP(Table3[[#This Row],[instant]],'Final Data'!A195:A584,'Final Data'!B195:B584, ,0,1),0,1)</f>
        <v>40552</v>
      </c>
      <c r="C195" s="1">
        <f>_xlfn.XLOOKUP(Table3[[#This Row],[instant]],Table1[instant],Table1[hr], ,0,1)</f>
        <v>8</v>
      </c>
      <c r="D195" s="2" t="b">
        <f>_xlfn.XLOOKUP(Table3[[#This Row],[instant]],Table1[instant],Table1[holiday], ,0,1)</f>
        <v>0</v>
      </c>
      <c r="E195" s="2">
        <f>_xlfn.XLOOKUP(Table3[[#This Row],[instant]],Table1[instant],Table1[weekday], ,0,1)</f>
        <v>0</v>
      </c>
      <c r="F195" s="2">
        <f>_xlfn.XLOOKUP(Table3[[#This Row],[instant]],Table1[instant],Table1[weathersit], ,0,1)</f>
        <v>1</v>
      </c>
      <c r="G195" s="2">
        <f>_xlfn.XLOOKUP(Table3[[#This Row],[instant]],Table1[instant],Table1[temp], ,0,1)</f>
        <v>0.1</v>
      </c>
      <c r="H195" s="24">
        <f>_xlfn.XLOOKUP(Table3[[#This Row],[instant]],Table2[instant],Table2[atemp], ,0,1)</f>
        <v>9.0899999999999995E-2</v>
      </c>
      <c r="I195" s="1">
        <f>_xlfn.XLOOKUP(Table3[[#This Row],[instant]],Table2[instant],Table2[hum], ,0,1)</f>
        <v>0.49</v>
      </c>
      <c r="J195" s="1">
        <f>_xlfn.XLOOKUP(Table3[[#This Row],[instant]],Table2[instant],Table2[windspeed], ,0,1)</f>
        <v>0.28360000000000002</v>
      </c>
      <c r="K195" s="1">
        <f>_xlfn.XLOOKUP(Table3[[#This Row],[instant]],Table2[instant],Table2[casual], ,0,1)</f>
        <v>0</v>
      </c>
      <c r="L195" s="1">
        <f>_xlfn.XLOOKUP(Table3[[#This Row],[instant]],Table2[instant],Table2[registered], ,0,1)</f>
        <v>10</v>
      </c>
      <c r="M195" s="6">
        <f>_xlfn.XLOOKUP(Table3[[#This Row],[instant]],Table2[instant],Table2[cnt], ,0,1)</f>
        <v>10</v>
      </c>
      <c r="N195" s="6" t="str">
        <f>IF(OR(Table3[[#This Row],[weekday]]=0,Table3[[#This Row],[weekday]]=6),"Weekend","Weekday")</f>
        <v>Weekend</v>
      </c>
    </row>
    <row r="196" spans="1:14" ht="15" thickBot="1" x14ac:dyDescent="0.35">
      <c r="A196" s="5">
        <v>195</v>
      </c>
      <c r="B196" s="3">
        <f>_xlfn.XLOOKUP(Table3[[#This Row],[instant]],DatSet1!A196:A805,DatSet1!B196:B805,_xlfn.XLOOKUP(Table3[[#This Row],[instant]],'Final Data'!A196:A585,'Final Data'!B196:B585, ,0,1),0,1)</f>
        <v>40552</v>
      </c>
      <c r="C196" s="1">
        <f>_xlfn.XLOOKUP(Table3[[#This Row],[instant]],Table1[instant],Table1[hr], ,0,1)</f>
        <v>9</v>
      </c>
      <c r="D196" s="2" t="b">
        <f>_xlfn.XLOOKUP(Table3[[#This Row],[instant]],Table1[instant],Table1[holiday], ,0,1)</f>
        <v>0</v>
      </c>
      <c r="E196" s="2">
        <f>_xlfn.XLOOKUP(Table3[[#This Row],[instant]],Table1[instant],Table1[weekday], ,0,1)</f>
        <v>0</v>
      </c>
      <c r="F196" s="2">
        <f>_xlfn.XLOOKUP(Table3[[#This Row],[instant]],Table1[instant],Table1[weathersit], ,0,1)</f>
        <v>1</v>
      </c>
      <c r="G196" s="2">
        <f>_xlfn.XLOOKUP(Table3[[#This Row],[instant]],Table1[instant],Table1[temp], ,0,1)</f>
        <v>0.12</v>
      </c>
      <c r="H196" s="24">
        <f>_xlfn.XLOOKUP(Table3[[#This Row],[instant]],Table2[instant],Table2[atemp], ,0,1)</f>
        <v>7.5800000000000006E-2</v>
      </c>
      <c r="I196" s="1">
        <f>_xlfn.XLOOKUP(Table3[[#This Row],[instant]],Table2[instant],Table2[hum], ,0,1)</f>
        <v>0.46</v>
      </c>
      <c r="J196" s="1">
        <f>_xlfn.XLOOKUP(Table3[[#This Row],[instant]],Table2[instant],Table2[windspeed], ,0,1)</f>
        <v>0.52239999999999998</v>
      </c>
      <c r="K196" s="1">
        <f>_xlfn.XLOOKUP(Table3[[#This Row],[instant]],Table2[instant],Table2[casual], ,0,1)</f>
        <v>0</v>
      </c>
      <c r="L196" s="1">
        <f>_xlfn.XLOOKUP(Table3[[#This Row],[instant]],Table2[instant],Table2[registered], ,0,1)</f>
        <v>19</v>
      </c>
      <c r="M196" s="6">
        <f>_xlfn.XLOOKUP(Table3[[#This Row],[instant]],Table2[instant],Table2[cnt], ,0,1)</f>
        <v>19</v>
      </c>
      <c r="N196" s="6" t="str">
        <f>IF(OR(Table3[[#This Row],[weekday]]=0,Table3[[#This Row],[weekday]]=6),"Weekend","Weekday")</f>
        <v>Weekend</v>
      </c>
    </row>
    <row r="197" spans="1:14" ht="15" thickBot="1" x14ac:dyDescent="0.35">
      <c r="A197" s="5">
        <v>196</v>
      </c>
      <c r="B197" s="3">
        <f>_xlfn.XLOOKUP(Table3[[#This Row],[instant]],DatSet1!A197:A806,DatSet1!B197:B806,_xlfn.XLOOKUP(Table3[[#This Row],[instant]],'Final Data'!A197:A586,'Final Data'!B197:B586, ,0,1),0,1)</f>
        <v>40552</v>
      </c>
      <c r="C197" s="1">
        <f>_xlfn.XLOOKUP(Table3[[#This Row],[instant]],Table1[instant],Table1[hr], ,0,1)</f>
        <v>10</v>
      </c>
      <c r="D197" s="2" t="b">
        <f>_xlfn.XLOOKUP(Table3[[#This Row],[instant]],Table1[instant],Table1[holiday], ,0,1)</f>
        <v>0</v>
      </c>
      <c r="E197" s="2">
        <f>_xlfn.XLOOKUP(Table3[[#This Row],[instant]],Table1[instant],Table1[weekday], ,0,1)</f>
        <v>0</v>
      </c>
      <c r="F197" s="2">
        <f>_xlfn.XLOOKUP(Table3[[#This Row],[instant]],Table1[instant],Table1[weathersit], ,0,1)</f>
        <v>1</v>
      </c>
      <c r="G197" s="2">
        <f>_xlfn.XLOOKUP(Table3[[#This Row],[instant]],Table1[instant],Table1[temp], ,0,1)</f>
        <v>0.14000000000000001</v>
      </c>
      <c r="H197" s="24">
        <f>_xlfn.XLOOKUP(Table3[[#This Row],[instant]],Table2[instant],Table2[atemp], ,0,1)</f>
        <v>0.1061</v>
      </c>
      <c r="I197" s="1">
        <f>_xlfn.XLOOKUP(Table3[[#This Row],[instant]],Table2[instant],Table2[hum], ,0,1)</f>
        <v>0.43</v>
      </c>
      <c r="J197" s="1">
        <f>_xlfn.XLOOKUP(Table3[[#This Row],[instant]],Table2[instant],Table2[windspeed], ,0,1)</f>
        <v>0.3881</v>
      </c>
      <c r="K197" s="1">
        <f>_xlfn.XLOOKUP(Table3[[#This Row],[instant]],Table2[instant],Table2[casual], ,0,1)</f>
        <v>0</v>
      </c>
      <c r="L197" s="1">
        <f>_xlfn.XLOOKUP(Table3[[#This Row],[instant]],Table2[instant],Table2[registered], ,0,1)</f>
        <v>49</v>
      </c>
      <c r="M197" s="6">
        <f>_xlfn.XLOOKUP(Table3[[#This Row],[instant]],Table2[instant],Table2[cnt], ,0,1)</f>
        <v>49</v>
      </c>
      <c r="N197" s="6" t="str">
        <f>IF(OR(Table3[[#This Row],[weekday]]=0,Table3[[#This Row],[weekday]]=6),"Weekend","Weekday")</f>
        <v>Weekend</v>
      </c>
    </row>
    <row r="198" spans="1:14" ht="15" thickBot="1" x14ac:dyDescent="0.35">
      <c r="A198" s="5">
        <v>197</v>
      </c>
      <c r="B198" s="3">
        <f>_xlfn.XLOOKUP(Table3[[#This Row],[instant]],DatSet1!A198:A807,DatSet1!B198:B807,_xlfn.XLOOKUP(Table3[[#This Row],[instant]],'Final Data'!A198:A587,'Final Data'!B198:B587, ,0,1),0,1)</f>
        <v>40552</v>
      </c>
      <c r="C198" s="1">
        <f>_xlfn.XLOOKUP(Table3[[#This Row],[instant]],Table1[instant],Table1[hr], ,0,1)</f>
        <v>11</v>
      </c>
      <c r="D198" s="2" t="b">
        <f>_xlfn.XLOOKUP(Table3[[#This Row],[instant]],Table1[instant],Table1[holiday], ,0,1)</f>
        <v>0</v>
      </c>
      <c r="E198" s="2">
        <f>_xlfn.XLOOKUP(Table3[[#This Row],[instant]],Table1[instant],Table1[weekday], ,0,1)</f>
        <v>0</v>
      </c>
      <c r="F198" s="2">
        <f>_xlfn.XLOOKUP(Table3[[#This Row],[instant]],Table1[instant],Table1[weathersit], ,0,1)</f>
        <v>1</v>
      </c>
      <c r="G198" s="2">
        <f>_xlfn.XLOOKUP(Table3[[#This Row],[instant]],Table1[instant],Table1[temp], ,0,1)</f>
        <v>0.16</v>
      </c>
      <c r="H198" s="24">
        <f>_xlfn.XLOOKUP(Table3[[#This Row],[instant]],Table2[instant],Table2[atemp], ,0,1)</f>
        <v>0.1212</v>
      </c>
      <c r="I198" s="1">
        <f>_xlfn.XLOOKUP(Table3[[#This Row],[instant]],Table2[instant],Table2[hum], ,0,1)</f>
        <v>0.4</v>
      </c>
      <c r="J198" s="1">
        <f>_xlfn.XLOOKUP(Table3[[#This Row],[instant]],Table2[instant],Table2[windspeed], ,0,1)</f>
        <v>0.52239999999999998</v>
      </c>
      <c r="K198" s="1">
        <f>_xlfn.XLOOKUP(Table3[[#This Row],[instant]],Table2[instant],Table2[casual], ,0,1)</f>
        <v>2</v>
      </c>
      <c r="L198" s="1">
        <f>_xlfn.XLOOKUP(Table3[[#This Row],[instant]],Table2[instant],Table2[registered], ,0,1)</f>
        <v>47</v>
      </c>
      <c r="M198" s="6">
        <f>_xlfn.XLOOKUP(Table3[[#This Row],[instant]],Table2[instant],Table2[cnt], ,0,1)</f>
        <v>49</v>
      </c>
      <c r="N198" s="6" t="str">
        <f>IF(OR(Table3[[#This Row],[weekday]]=0,Table3[[#This Row],[weekday]]=6),"Weekend","Weekday")</f>
        <v>Weekend</v>
      </c>
    </row>
    <row r="199" spans="1:14" ht="15" thickBot="1" x14ac:dyDescent="0.35">
      <c r="A199" s="5">
        <v>198</v>
      </c>
      <c r="B199" s="3">
        <f>_xlfn.XLOOKUP(Table3[[#This Row],[instant]],DatSet1!A199:A808,DatSet1!B199:B808,_xlfn.XLOOKUP(Table3[[#This Row],[instant]],'Final Data'!A199:A588,'Final Data'!B199:B588, ,0,1),0,1)</f>
        <v>40552</v>
      </c>
      <c r="C199" s="1">
        <f>_xlfn.XLOOKUP(Table3[[#This Row],[instant]],Table1[instant],Table1[hr], ,0,1)</f>
        <v>12</v>
      </c>
      <c r="D199" s="2" t="b">
        <f>_xlfn.XLOOKUP(Table3[[#This Row],[instant]],Table1[instant],Table1[holiday], ,0,1)</f>
        <v>0</v>
      </c>
      <c r="E199" s="2">
        <f>_xlfn.XLOOKUP(Table3[[#This Row],[instant]],Table1[instant],Table1[weekday], ,0,1)</f>
        <v>0</v>
      </c>
      <c r="F199" s="2">
        <f>_xlfn.XLOOKUP(Table3[[#This Row],[instant]],Table1[instant],Table1[weathersit], ,0,1)</f>
        <v>1</v>
      </c>
      <c r="G199" s="2">
        <f>_xlfn.XLOOKUP(Table3[[#This Row],[instant]],Table1[instant],Table1[temp], ,0,1)</f>
        <v>0.18</v>
      </c>
      <c r="H199" s="24">
        <f>_xlfn.XLOOKUP(Table3[[#This Row],[instant]],Table2[instant],Table2[atemp], ,0,1)</f>
        <v>0.13639999999999999</v>
      </c>
      <c r="I199" s="1">
        <f>_xlfn.XLOOKUP(Table3[[#This Row],[instant]],Table2[instant],Table2[hum], ,0,1)</f>
        <v>0.37</v>
      </c>
      <c r="J199" s="1">
        <f>_xlfn.XLOOKUP(Table3[[#This Row],[instant]],Table2[instant],Table2[windspeed], ,0,1)</f>
        <v>0.44779999999999998</v>
      </c>
      <c r="K199" s="1">
        <f>_xlfn.XLOOKUP(Table3[[#This Row],[instant]],Table2[instant],Table2[casual], ,0,1)</f>
        <v>4</v>
      </c>
      <c r="L199" s="1">
        <f>_xlfn.XLOOKUP(Table3[[#This Row],[instant]],Table2[instant],Table2[registered], ,0,1)</f>
        <v>79</v>
      </c>
      <c r="M199" s="6">
        <f>_xlfn.XLOOKUP(Table3[[#This Row],[instant]],Table2[instant],Table2[cnt], ,0,1)</f>
        <v>83</v>
      </c>
      <c r="N199" s="6" t="str">
        <f>IF(OR(Table3[[#This Row],[weekday]]=0,Table3[[#This Row],[weekday]]=6),"Weekend","Weekday")</f>
        <v>Weekend</v>
      </c>
    </row>
    <row r="200" spans="1:14" ht="15" thickBot="1" x14ac:dyDescent="0.35">
      <c r="A200" s="5">
        <v>199</v>
      </c>
      <c r="B200" s="3">
        <f>_xlfn.XLOOKUP(Table3[[#This Row],[instant]],DatSet1!A200:A809,DatSet1!B200:B809,_xlfn.XLOOKUP(Table3[[#This Row],[instant]],'Final Data'!A200:A589,'Final Data'!B200:B589, ,0,1),0,1)</f>
        <v>40552</v>
      </c>
      <c r="C200" s="1">
        <f>_xlfn.XLOOKUP(Table3[[#This Row],[instant]],Table1[instant],Table1[hr], ,0,1)</f>
        <v>13</v>
      </c>
      <c r="D200" s="2" t="b">
        <f>_xlfn.XLOOKUP(Table3[[#This Row],[instant]],Table1[instant],Table1[holiday], ,0,1)</f>
        <v>0</v>
      </c>
      <c r="E200" s="2">
        <f>_xlfn.XLOOKUP(Table3[[#This Row],[instant]],Table1[instant],Table1[weekday], ,0,1)</f>
        <v>0</v>
      </c>
      <c r="F200" s="2">
        <f>_xlfn.XLOOKUP(Table3[[#This Row],[instant]],Table1[instant],Table1[weathersit], ,0,1)</f>
        <v>1</v>
      </c>
      <c r="G200" s="2">
        <f>_xlfn.XLOOKUP(Table3[[#This Row],[instant]],Table1[instant],Table1[temp], ,0,1)</f>
        <v>0.2</v>
      </c>
      <c r="H200" s="24">
        <f>_xlfn.XLOOKUP(Table3[[#This Row],[instant]],Table2[instant],Table2[atemp], ,0,1)</f>
        <v>0.16669999999999999</v>
      </c>
      <c r="I200" s="1">
        <f>_xlfn.XLOOKUP(Table3[[#This Row],[instant]],Table2[instant],Table2[hum], ,0,1)</f>
        <v>0.34</v>
      </c>
      <c r="J200" s="1">
        <f>_xlfn.XLOOKUP(Table3[[#This Row],[instant]],Table2[instant],Table2[windspeed], ,0,1)</f>
        <v>0.44779999999999998</v>
      </c>
      <c r="K200" s="1">
        <f>_xlfn.XLOOKUP(Table3[[#This Row],[instant]],Table2[instant],Table2[casual], ,0,1)</f>
        <v>6</v>
      </c>
      <c r="L200" s="1">
        <f>_xlfn.XLOOKUP(Table3[[#This Row],[instant]],Table2[instant],Table2[registered], ,0,1)</f>
        <v>69</v>
      </c>
      <c r="M200" s="6">
        <f>_xlfn.XLOOKUP(Table3[[#This Row],[instant]],Table2[instant],Table2[cnt], ,0,1)</f>
        <v>75</v>
      </c>
      <c r="N200" s="6" t="str">
        <f>IF(OR(Table3[[#This Row],[weekday]]=0,Table3[[#This Row],[weekday]]=6),"Weekend","Weekday")</f>
        <v>Weekend</v>
      </c>
    </row>
    <row r="201" spans="1:14" ht="15" thickBot="1" x14ac:dyDescent="0.35">
      <c r="A201" s="5">
        <v>200</v>
      </c>
      <c r="B201" s="3">
        <f>_xlfn.XLOOKUP(Table3[[#This Row],[instant]],DatSet1!A201:A810,DatSet1!B201:B810,_xlfn.XLOOKUP(Table3[[#This Row],[instant]],'Final Data'!A201:A590,'Final Data'!B201:B590, ,0,1),0,1)</f>
        <v>40552</v>
      </c>
      <c r="C201" s="1">
        <f>_xlfn.XLOOKUP(Table3[[#This Row],[instant]],Table1[instant],Table1[hr], ,0,1)</f>
        <v>14</v>
      </c>
      <c r="D201" s="2" t="b">
        <f>_xlfn.XLOOKUP(Table3[[#This Row],[instant]],Table1[instant],Table1[holiday], ,0,1)</f>
        <v>0</v>
      </c>
      <c r="E201" s="2">
        <f>_xlfn.XLOOKUP(Table3[[#This Row],[instant]],Table1[instant],Table1[weekday], ,0,1)</f>
        <v>0</v>
      </c>
      <c r="F201" s="2">
        <f>_xlfn.XLOOKUP(Table3[[#This Row],[instant]],Table1[instant],Table1[weathersit], ,0,1)</f>
        <v>1</v>
      </c>
      <c r="G201" s="2">
        <f>_xlfn.XLOOKUP(Table3[[#This Row],[instant]],Table1[instant],Table1[temp], ,0,1)</f>
        <v>0.22</v>
      </c>
      <c r="H201" s="24">
        <f>_xlfn.XLOOKUP(Table3[[#This Row],[instant]],Table2[instant],Table2[atemp], ,0,1)</f>
        <v>0.18179999999999999</v>
      </c>
      <c r="I201" s="1">
        <f>_xlfn.XLOOKUP(Table3[[#This Row],[instant]],Table2[instant],Table2[hum], ,0,1)</f>
        <v>0.32</v>
      </c>
      <c r="J201" s="1">
        <f>_xlfn.XLOOKUP(Table3[[#This Row],[instant]],Table2[instant],Table2[windspeed], ,0,1)</f>
        <v>0.4627</v>
      </c>
      <c r="K201" s="1">
        <f>_xlfn.XLOOKUP(Table3[[#This Row],[instant]],Table2[instant],Table2[casual], ,0,1)</f>
        <v>8</v>
      </c>
      <c r="L201" s="1">
        <f>_xlfn.XLOOKUP(Table3[[#This Row],[instant]],Table2[instant],Table2[registered], ,0,1)</f>
        <v>64</v>
      </c>
      <c r="M201" s="6">
        <f>_xlfn.XLOOKUP(Table3[[#This Row],[instant]],Table2[instant],Table2[cnt], ,0,1)</f>
        <v>72</v>
      </c>
      <c r="N201" s="6" t="str">
        <f>IF(OR(Table3[[#This Row],[weekday]]=0,Table3[[#This Row],[weekday]]=6),"Weekend","Weekday")</f>
        <v>Weekend</v>
      </c>
    </row>
    <row r="202" spans="1:14" ht="15" thickBot="1" x14ac:dyDescent="0.35">
      <c r="A202" s="5">
        <v>201</v>
      </c>
      <c r="B202" s="3">
        <f>_xlfn.XLOOKUP(Table3[[#This Row],[instant]],DatSet1!A202:A811,DatSet1!B202:B811,_xlfn.XLOOKUP(Table3[[#This Row],[instant]],'Final Data'!A202:A591,'Final Data'!B202:B591, ,0,1),0,1)</f>
        <v>40552</v>
      </c>
      <c r="C202" s="1">
        <f>_xlfn.XLOOKUP(Table3[[#This Row],[instant]],Table1[instant],Table1[hr], ,0,1)</f>
        <v>15</v>
      </c>
      <c r="D202" s="2" t="b">
        <f>_xlfn.XLOOKUP(Table3[[#This Row],[instant]],Table1[instant],Table1[holiday], ,0,1)</f>
        <v>0</v>
      </c>
      <c r="E202" s="2">
        <f>_xlfn.XLOOKUP(Table3[[#This Row],[instant]],Table1[instant],Table1[weekday], ,0,1)</f>
        <v>0</v>
      </c>
      <c r="F202" s="2">
        <f>_xlfn.XLOOKUP(Table3[[#This Row],[instant]],Table1[instant],Table1[weathersit], ,0,1)</f>
        <v>1</v>
      </c>
      <c r="G202" s="2">
        <f>_xlfn.XLOOKUP(Table3[[#This Row],[instant]],Table1[instant],Table1[temp], ,0,1)</f>
        <v>0.22</v>
      </c>
      <c r="H202" s="24">
        <f>_xlfn.XLOOKUP(Table3[[#This Row],[instant]],Table2[instant],Table2[atemp], ,0,1)</f>
        <v>0.19700000000000001</v>
      </c>
      <c r="I202" s="1">
        <f>_xlfn.XLOOKUP(Table3[[#This Row],[instant]],Table2[instant],Table2[hum], ,0,1)</f>
        <v>0.35</v>
      </c>
      <c r="J202" s="1">
        <f>_xlfn.XLOOKUP(Table3[[#This Row],[instant]],Table2[instant],Table2[windspeed], ,0,1)</f>
        <v>0.35820000000000002</v>
      </c>
      <c r="K202" s="1">
        <f>_xlfn.XLOOKUP(Table3[[#This Row],[instant]],Table2[instant],Table2[casual], ,0,1)</f>
        <v>5</v>
      </c>
      <c r="L202" s="1">
        <f>_xlfn.XLOOKUP(Table3[[#This Row],[instant]],Table2[instant],Table2[registered], ,0,1)</f>
        <v>77</v>
      </c>
      <c r="M202" s="6">
        <f>_xlfn.XLOOKUP(Table3[[#This Row],[instant]],Table2[instant],Table2[cnt], ,0,1)</f>
        <v>82</v>
      </c>
      <c r="N202" s="6" t="str">
        <f>IF(OR(Table3[[#This Row],[weekday]]=0,Table3[[#This Row],[weekday]]=6),"Weekend","Weekday")</f>
        <v>Weekend</v>
      </c>
    </row>
    <row r="203" spans="1:14" ht="15" thickBot="1" x14ac:dyDescent="0.35">
      <c r="A203" s="5">
        <v>202</v>
      </c>
      <c r="B203" s="3">
        <f>_xlfn.XLOOKUP(Table3[[#This Row],[instant]],DatSet1!A203:A812,DatSet1!B203:B812,_xlfn.XLOOKUP(Table3[[#This Row],[instant]],'Final Data'!A203:A592,'Final Data'!B203:B592, ,0,1),0,1)</f>
        <v>40552</v>
      </c>
      <c r="C203" s="1">
        <f>_xlfn.XLOOKUP(Table3[[#This Row],[instant]],Table1[instant],Table1[hr], ,0,1)</f>
        <v>16</v>
      </c>
      <c r="D203" s="2" t="b">
        <f>_xlfn.XLOOKUP(Table3[[#This Row],[instant]],Table1[instant],Table1[holiday], ,0,1)</f>
        <v>0</v>
      </c>
      <c r="E203" s="2">
        <f>_xlfn.XLOOKUP(Table3[[#This Row],[instant]],Table1[instant],Table1[weekday], ,0,1)</f>
        <v>0</v>
      </c>
      <c r="F203" s="2">
        <f>_xlfn.XLOOKUP(Table3[[#This Row],[instant]],Table1[instant],Table1[weathersit], ,0,1)</f>
        <v>1</v>
      </c>
      <c r="G203" s="2">
        <f>_xlfn.XLOOKUP(Table3[[#This Row],[instant]],Table1[instant],Table1[temp], ,0,1)</f>
        <v>0.2</v>
      </c>
      <c r="H203" s="24">
        <f>_xlfn.XLOOKUP(Table3[[#This Row],[instant]],Table2[instant],Table2[atemp], ,0,1)</f>
        <v>0.16669999999999999</v>
      </c>
      <c r="I203" s="1">
        <f>_xlfn.XLOOKUP(Table3[[#This Row],[instant]],Table2[instant],Table2[hum], ,0,1)</f>
        <v>0.34</v>
      </c>
      <c r="J203" s="1">
        <f>_xlfn.XLOOKUP(Table3[[#This Row],[instant]],Table2[instant],Table2[windspeed], ,0,1)</f>
        <v>0.44779999999999998</v>
      </c>
      <c r="K203" s="1">
        <f>_xlfn.XLOOKUP(Table3[[#This Row],[instant]],Table2[instant],Table2[casual], ,0,1)</f>
        <v>13</v>
      </c>
      <c r="L203" s="1">
        <f>_xlfn.XLOOKUP(Table3[[#This Row],[instant]],Table2[instant],Table2[registered], ,0,1)</f>
        <v>79</v>
      </c>
      <c r="M203" s="6">
        <f>_xlfn.XLOOKUP(Table3[[#This Row],[instant]],Table2[instant],Table2[cnt], ,0,1)</f>
        <v>92</v>
      </c>
      <c r="N203" s="6" t="str">
        <f>IF(OR(Table3[[#This Row],[weekday]]=0,Table3[[#This Row],[weekday]]=6),"Weekend","Weekday")</f>
        <v>Weekend</v>
      </c>
    </row>
    <row r="204" spans="1:14" ht="15" thickBot="1" x14ac:dyDescent="0.35">
      <c r="A204" s="5">
        <v>203</v>
      </c>
      <c r="B204" s="3">
        <f>_xlfn.XLOOKUP(Table3[[#This Row],[instant]],DatSet1!A204:A813,DatSet1!B204:B813,_xlfn.XLOOKUP(Table3[[#This Row],[instant]],'Final Data'!A204:A593,'Final Data'!B204:B593, ,0,1),0,1)</f>
        <v>40552</v>
      </c>
      <c r="C204" s="1">
        <f>_xlfn.XLOOKUP(Table3[[#This Row],[instant]],Table1[instant],Table1[hr], ,0,1)</f>
        <v>17</v>
      </c>
      <c r="D204" s="2" t="b">
        <f>_xlfn.XLOOKUP(Table3[[#This Row],[instant]],Table1[instant],Table1[holiday], ,0,1)</f>
        <v>0</v>
      </c>
      <c r="E204" s="2">
        <f>_xlfn.XLOOKUP(Table3[[#This Row],[instant]],Table1[instant],Table1[weekday], ,0,1)</f>
        <v>0</v>
      </c>
      <c r="F204" s="2">
        <f>_xlfn.XLOOKUP(Table3[[#This Row],[instant]],Table1[instant],Table1[weathersit], ,0,1)</f>
        <v>1</v>
      </c>
      <c r="G204" s="2">
        <f>_xlfn.XLOOKUP(Table3[[#This Row],[instant]],Table1[instant],Table1[temp], ,0,1)</f>
        <v>0.18</v>
      </c>
      <c r="H204" s="24">
        <f>_xlfn.XLOOKUP(Table3[[#This Row],[instant]],Table2[instant],Table2[atemp], ,0,1)</f>
        <v>0.1515</v>
      </c>
      <c r="I204" s="1">
        <f>_xlfn.XLOOKUP(Table3[[#This Row],[instant]],Table2[instant],Table2[hum], ,0,1)</f>
        <v>0.37</v>
      </c>
      <c r="J204" s="1">
        <f>_xlfn.XLOOKUP(Table3[[#This Row],[instant]],Table2[instant],Table2[windspeed], ,0,1)</f>
        <v>0.3881</v>
      </c>
      <c r="K204" s="1">
        <f>_xlfn.XLOOKUP(Table3[[#This Row],[instant]],Table2[instant],Table2[casual], ,0,1)</f>
        <v>3</v>
      </c>
      <c r="L204" s="1">
        <f>_xlfn.XLOOKUP(Table3[[#This Row],[instant]],Table2[instant],Table2[registered], ,0,1)</f>
        <v>59</v>
      </c>
      <c r="M204" s="6">
        <f>_xlfn.XLOOKUP(Table3[[#This Row],[instant]],Table2[instant],Table2[cnt], ,0,1)</f>
        <v>62</v>
      </c>
      <c r="N204" s="6" t="str">
        <f>IF(OR(Table3[[#This Row],[weekday]]=0,Table3[[#This Row],[weekday]]=6),"Weekend","Weekday")</f>
        <v>Weekend</v>
      </c>
    </row>
    <row r="205" spans="1:14" ht="15" thickBot="1" x14ac:dyDescent="0.35">
      <c r="A205" s="5">
        <v>204</v>
      </c>
      <c r="B205" s="3">
        <f>_xlfn.XLOOKUP(Table3[[#This Row],[instant]],DatSet1!A205:A814,DatSet1!B205:B814,_xlfn.XLOOKUP(Table3[[#This Row],[instant]],'Final Data'!A205:A594,'Final Data'!B205:B594, ,0,1),0,1)</f>
        <v>40552</v>
      </c>
      <c r="C205" s="1">
        <f>_xlfn.XLOOKUP(Table3[[#This Row],[instant]],Table1[instant],Table1[hr], ,0,1)</f>
        <v>18</v>
      </c>
      <c r="D205" s="2" t="b">
        <f>_xlfn.XLOOKUP(Table3[[#This Row],[instant]],Table1[instant],Table1[holiday], ,0,1)</f>
        <v>0</v>
      </c>
      <c r="E205" s="2">
        <f>_xlfn.XLOOKUP(Table3[[#This Row],[instant]],Table1[instant],Table1[weekday], ,0,1)</f>
        <v>0</v>
      </c>
      <c r="F205" s="2">
        <f>_xlfn.XLOOKUP(Table3[[#This Row],[instant]],Table1[instant],Table1[weathersit], ,0,1)</f>
        <v>1</v>
      </c>
      <c r="G205" s="2">
        <f>_xlfn.XLOOKUP(Table3[[#This Row],[instant]],Table1[instant],Table1[temp], ,0,1)</f>
        <v>0.16</v>
      </c>
      <c r="H205" s="24">
        <f>_xlfn.XLOOKUP(Table3[[#This Row],[instant]],Table2[instant],Table2[atemp], ,0,1)</f>
        <v>0.13639999999999999</v>
      </c>
      <c r="I205" s="1">
        <f>_xlfn.XLOOKUP(Table3[[#This Row],[instant]],Table2[instant],Table2[hum], ,0,1)</f>
        <v>0.4</v>
      </c>
      <c r="J205" s="1">
        <f>_xlfn.XLOOKUP(Table3[[#This Row],[instant]],Table2[instant],Table2[windspeed], ,0,1)</f>
        <v>0.32840000000000003</v>
      </c>
      <c r="K205" s="1">
        <f>_xlfn.XLOOKUP(Table3[[#This Row],[instant]],Table2[instant],Table2[casual], ,0,1)</f>
        <v>4</v>
      </c>
      <c r="L205" s="1">
        <f>_xlfn.XLOOKUP(Table3[[#This Row],[instant]],Table2[instant],Table2[registered], ,0,1)</f>
        <v>44</v>
      </c>
      <c r="M205" s="6">
        <f>_xlfn.XLOOKUP(Table3[[#This Row],[instant]],Table2[instant],Table2[cnt], ,0,1)</f>
        <v>48</v>
      </c>
      <c r="N205" s="6" t="str">
        <f>IF(OR(Table3[[#This Row],[weekday]]=0,Table3[[#This Row],[weekday]]=6),"Weekend","Weekday")</f>
        <v>Weekend</v>
      </c>
    </row>
    <row r="206" spans="1:14" ht="15" thickBot="1" x14ac:dyDescent="0.35">
      <c r="A206" s="5">
        <v>205</v>
      </c>
      <c r="B206" s="3">
        <f>_xlfn.XLOOKUP(Table3[[#This Row],[instant]],DatSet1!A206:A815,DatSet1!B206:B815,_xlfn.XLOOKUP(Table3[[#This Row],[instant]],'Final Data'!A206:A595,'Final Data'!B206:B595, ,0,1),0,1)</f>
        <v>40552</v>
      </c>
      <c r="C206" s="1">
        <f>_xlfn.XLOOKUP(Table3[[#This Row],[instant]],Table1[instant],Table1[hr], ,0,1)</f>
        <v>19</v>
      </c>
      <c r="D206" s="2" t="b">
        <f>_xlfn.XLOOKUP(Table3[[#This Row],[instant]],Table1[instant],Table1[holiday], ,0,1)</f>
        <v>0</v>
      </c>
      <c r="E206" s="2">
        <f>_xlfn.XLOOKUP(Table3[[#This Row],[instant]],Table1[instant],Table1[weekday], ,0,1)</f>
        <v>0</v>
      </c>
      <c r="F206" s="2">
        <f>_xlfn.XLOOKUP(Table3[[#This Row],[instant]],Table1[instant],Table1[weathersit], ,0,1)</f>
        <v>1</v>
      </c>
      <c r="G206" s="2">
        <f>_xlfn.XLOOKUP(Table3[[#This Row],[instant]],Table1[instant],Table1[temp], ,0,1)</f>
        <v>0.16</v>
      </c>
      <c r="H206" s="24">
        <f>_xlfn.XLOOKUP(Table3[[#This Row],[instant]],Table2[instant],Table2[atemp], ,0,1)</f>
        <v>0.13639999999999999</v>
      </c>
      <c r="I206" s="1">
        <f>_xlfn.XLOOKUP(Table3[[#This Row],[instant]],Table2[instant],Table2[hum], ,0,1)</f>
        <v>0.43</v>
      </c>
      <c r="J206" s="1">
        <f>_xlfn.XLOOKUP(Table3[[#This Row],[instant]],Table2[instant],Table2[windspeed], ,0,1)</f>
        <v>0.32840000000000003</v>
      </c>
      <c r="K206" s="1">
        <f>_xlfn.XLOOKUP(Table3[[#This Row],[instant]],Table2[instant],Table2[casual], ,0,1)</f>
        <v>1</v>
      </c>
      <c r="L206" s="1">
        <f>_xlfn.XLOOKUP(Table3[[#This Row],[instant]],Table2[instant],Table2[registered], ,0,1)</f>
        <v>40</v>
      </c>
      <c r="M206" s="6">
        <f>_xlfn.XLOOKUP(Table3[[#This Row],[instant]],Table2[instant],Table2[cnt], ,0,1)</f>
        <v>41</v>
      </c>
      <c r="N206" s="6" t="str">
        <f>IF(OR(Table3[[#This Row],[weekday]]=0,Table3[[#This Row],[weekday]]=6),"Weekend","Weekday")</f>
        <v>Weekend</v>
      </c>
    </row>
    <row r="207" spans="1:14" ht="15" thickBot="1" x14ac:dyDescent="0.35">
      <c r="A207" s="5">
        <v>206</v>
      </c>
      <c r="B207" s="3">
        <f>_xlfn.XLOOKUP(Table3[[#This Row],[instant]],DatSet1!A207:A816,DatSet1!B207:B816,_xlfn.XLOOKUP(Table3[[#This Row],[instant]],'Final Data'!A207:A596,'Final Data'!B207:B596, ,0,1),0,1)</f>
        <v>40552</v>
      </c>
      <c r="C207" s="1">
        <f>_xlfn.XLOOKUP(Table3[[#This Row],[instant]],Table1[instant],Table1[hr], ,0,1)</f>
        <v>20</v>
      </c>
      <c r="D207" s="2" t="b">
        <f>_xlfn.XLOOKUP(Table3[[#This Row],[instant]],Table1[instant],Table1[holiday], ,0,1)</f>
        <v>0</v>
      </c>
      <c r="E207" s="2">
        <f>_xlfn.XLOOKUP(Table3[[#This Row],[instant]],Table1[instant],Table1[weekday], ,0,1)</f>
        <v>0</v>
      </c>
      <c r="F207" s="2">
        <f>_xlfn.XLOOKUP(Table3[[#This Row],[instant]],Table1[instant],Table1[weathersit], ,0,1)</f>
        <v>1</v>
      </c>
      <c r="G207" s="2">
        <f>_xlfn.XLOOKUP(Table3[[#This Row],[instant]],Table1[instant],Table1[temp], ,0,1)</f>
        <v>0.14000000000000001</v>
      </c>
      <c r="H207" s="24">
        <f>_xlfn.XLOOKUP(Table3[[#This Row],[instant]],Table2[instant],Table2[atemp], ,0,1)</f>
        <v>0.1212</v>
      </c>
      <c r="I207" s="1">
        <f>_xlfn.XLOOKUP(Table3[[#This Row],[instant]],Table2[instant],Table2[hum], ,0,1)</f>
        <v>0.46</v>
      </c>
      <c r="J207" s="1">
        <f>_xlfn.XLOOKUP(Table3[[#This Row],[instant]],Table2[instant],Table2[windspeed], ,0,1)</f>
        <v>0.25369999999999998</v>
      </c>
      <c r="K207" s="1">
        <f>_xlfn.XLOOKUP(Table3[[#This Row],[instant]],Table2[instant],Table2[casual], ,0,1)</f>
        <v>0</v>
      </c>
      <c r="L207" s="1">
        <f>_xlfn.XLOOKUP(Table3[[#This Row],[instant]],Table2[instant],Table2[registered], ,0,1)</f>
        <v>38</v>
      </c>
      <c r="M207" s="6">
        <f>_xlfn.XLOOKUP(Table3[[#This Row],[instant]],Table2[instant],Table2[cnt], ,0,1)</f>
        <v>38</v>
      </c>
      <c r="N207" s="6" t="str">
        <f>IF(OR(Table3[[#This Row],[weekday]]=0,Table3[[#This Row],[weekday]]=6),"Weekend","Weekday")</f>
        <v>Weekend</v>
      </c>
    </row>
    <row r="208" spans="1:14" ht="15" thickBot="1" x14ac:dyDescent="0.35">
      <c r="A208" s="5">
        <v>207</v>
      </c>
      <c r="B208" s="3">
        <f>_xlfn.XLOOKUP(Table3[[#This Row],[instant]],DatSet1!A208:A817,DatSet1!B208:B817,_xlfn.XLOOKUP(Table3[[#This Row],[instant]],'Final Data'!A208:A597,'Final Data'!B208:B597, ,0,1),0,1)</f>
        <v>40552</v>
      </c>
      <c r="C208" s="1">
        <f>_xlfn.XLOOKUP(Table3[[#This Row],[instant]],Table1[instant],Table1[hr], ,0,1)</f>
        <v>21</v>
      </c>
      <c r="D208" s="2" t="b">
        <f>_xlfn.XLOOKUP(Table3[[#This Row],[instant]],Table1[instant],Table1[holiday], ,0,1)</f>
        <v>0</v>
      </c>
      <c r="E208" s="2">
        <f>_xlfn.XLOOKUP(Table3[[#This Row],[instant]],Table1[instant],Table1[weekday], ,0,1)</f>
        <v>0</v>
      </c>
      <c r="F208" s="2">
        <f>_xlfn.XLOOKUP(Table3[[#This Row],[instant]],Table1[instant],Table1[weathersit], ,0,1)</f>
        <v>1</v>
      </c>
      <c r="G208" s="2">
        <f>_xlfn.XLOOKUP(Table3[[#This Row],[instant]],Table1[instant],Table1[temp], ,0,1)</f>
        <v>0.14000000000000001</v>
      </c>
      <c r="H208" s="24">
        <f>_xlfn.XLOOKUP(Table3[[#This Row],[instant]],Table2[instant],Table2[atemp], ,0,1)</f>
        <v>0.1061</v>
      </c>
      <c r="I208" s="1">
        <f>_xlfn.XLOOKUP(Table3[[#This Row],[instant]],Table2[instant],Table2[hum], ,0,1)</f>
        <v>0.46</v>
      </c>
      <c r="J208" s="1">
        <f>_xlfn.XLOOKUP(Table3[[#This Row],[instant]],Table2[instant],Table2[windspeed], ,0,1)</f>
        <v>0.41789999999999999</v>
      </c>
      <c r="K208" s="1">
        <f>_xlfn.XLOOKUP(Table3[[#This Row],[instant]],Table2[instant],Table2[casual], ,0,1)</f>
        <v>1</v>
      </c>
      <c r="L208" s="1">
        <f>_xlfn.XLOOKUP(Table3[[#This Row],[instant]],Table2[instant],Table2[registered], ,0,1)</f>
        <v>19</v>
      </c>
      <c r="M208" s="6">
        <f>_xlfn.XLOOKUP(Table3[[#This Row],[instant]],Table2[instant],Table2[cnt], ,0,1)</f>
        <v>20</v>
      </c>
      <c r="N208" s="6" t="str">
        <f>IF(OR(Table3[[#This Row],[weekday]]=0,Table3[[#This Row],[weekday]]=6),"Weekend","Weekday")</f>
        <v>Weekend</v>
      </c>
    </row>
    <row r="209" spans="1:14" ht="15" thickBot="1" x14ac:dyDescent="0.35">
      <c r="A209" s="5">
        <v>208</v>
      </c>
      <c r="B209" s="3">
        <f>_xlfn.XLOOKUP(Table3[[#This Row],[instant]],DatSet1!A209:A818,DatSet1!B209:B818,_xlfn.XLOOKUP(Table3[[#This Row],[instant]],'Final Data'!A209:A598,'Final Data'!B209:B598, ,0,1),0,1)</f>
        <v>40552</v>
      </c>
      <c r="C209" s="1">
        <f>_xlfn.XLOOKUP(Table3[[#This Row],[instant]],Table1[instant],Table1[hr], ,0,1)</f>
        <v>22</v>
      </c>
      <c r="D209" s="2" t="b">
        <f>_xlfn.XLOOKUP(Table3[[#This Row],[instant]],Table1[instant],Table1[holiday], ,0,1)</f>
        <v>0</v>
      </c>
      <c r="E209" s="2">
        <f>_xlfn.XLOOKUP(Table3[[#This Row],[instant]],Table1[instant],Table1[weekday], ,0,1)</f>
        <v>0</v>
      </c>
      <c r="F209" s="2">
        <f>_xlfn.XLOOKUP(Table3[[#This Row],[instant]],Table1[instant],Table1[weathersit], ,0,1)</f>
        <v>1</v>
      </c>
      <c r="G209" s="2">
        <f>_xlfn.XLOOKUP(Table3[[#This Row],[instant]],Table1[instant],Table1[temp], ,0,1)</f>
        <v>0.14000000000000001</v>
      </c>
      <c r="H209" s="24">
        <f>_xlfn.XLOOKUP(Table3[[#This Row],[instant]],Table2[instant],Table2[atemp], ,0,1)</f>
        <v>0.1212</v>
      </c>
      <c r="I209" s="1">
        <f>_xlfn.XLOOKUP(Table3[[#This Row],[instant]],Table2[instant],Table2[hum], ,0,1)</f>
        <v>0.46</v>
      </c>
      <c r="J209" s="1">
        <f>_xlfn.XLOOKUP(Table3[[#This Row],[instant]],Table2[instant],Table2[windspeed], ,0,1)</f>
        <v>0.29849999999999999</v>
      </c>
      <c r="K209" s="1">
        <f>_xlfn.XLOOKUP(Table3[[#This Row],[instant]],Table2[instant],Table2[casual], ,0,1)</f>
        <v>5</v>
      </c>
      <c r="L209" s="1">
        <f>_xlfn.XLOOKUP(Table3[[#This Row],[instant]],Table2[instant],Table2[registered], ,0,1)</f>
        <v>10</v>
      </c>
      <c r="M209" s="6">
        <f>_xlfn.XLOOKUP(Table3[[#This Row],[instant]],Table2[instant],Table2[cnt], ,0,1)</f>
        <v>15</v>
      </c>
      <c r="N209" s="6" t="str">
        <f>IF(OR(Table3[[#This Row],[weekday]]=0,Table3[[#This Row],[weekday]]=6),"Weekend","Weekday")</f>
        <v>Weekend</v>
      </c>
    </row>
    <row r="210" spans="1:14" ht="15" thickBot="1" x14ac:dyDescent="0.35">
      <c r="A210" s="5">
        <v>209</v>
      </c>
      <c r="B210" s="3">
        <f>_xlfn.XLOOKUP(Table3[[#This Row],[instant]],DatSet1!A210:A819,DatSet1!B210:B819,_xlfn.XLOOKUP(Table3[[#This Row],[instant]],'Final Data'!A210:A599,'Final Data'!B210:B599, ,0,1),0,1)</f>
        <v>40552</v>
      </c>
      <c r="C210" s="1">
        <f>_xlfn.XLOOKUP(Table3[[#This Row],[instant]],Table1[instant],Table1[hr], ,0,1)</f>
        <v>23</v>
      </c>
      <c r="D210" s="2" t="b">
        <f>_xlfn.XLOOKUP(Table3[[#This Row],[instant]],Table1[instant],Table1[holiday], ,0,1)</f>
        <v>0</v>
      </c>
      <c r="E210" s="2">
        <f>_xlfn.XLOOKUP(Table3[[#This Row],[instant]],Table1[instant],Table1[weekday], ,0,1)</f>
        <v>0</v>
      </c>
      <c r="F210" s="2">
        <f>_xlfn.XLOOKUP(Table3[[#This Row],[instant]],Table1[instant],Table1[weathersit], ,0,1)</f>
        <v>1</v>
      </c>
      <c r="G210" s="2">
        <f>_xlfn.XLOOKUP(Table3[[#This Row],[instant]],Table1[instant],Table1[temp], ,0,1)</f>
        <v>0.12</v>
      </c>
      <c r="H210" s="24">
        <f>_xlfn.XLOOKUP(Table3[[#This Row],[instant]],Table2[instant],Table2[atemp], ,0,1)</f>
        <v>0.13639999999999999</v>
      </c>
      <c r="I210" s="1">
        <f>_xlfn.XLOOKUP(Table3[[#This Row],[instant]],Table2[instant],Table2[hum], ,0,1)</f>
        <v>0.5</v>
      </c>
      <c r="J210" s="1">
        <f>_xlfn.XLOOKUP(Table3[[#This Row],[instant]],Table2[instant],Table2[windspeed], ,0,1)</f>
        <v>0.19400000000000001</v>
      </c>
      <c r="K210" s="1">
        <f>_xlfn.XLOOKUP(Table3[[#This Row],[instant]],Table2[instant],Table2[casual], ,0,1)</f>
        <v>0</v>
      </c>
      <c r="L210" s="1">
        <f>_xlfn.XLOOKUP(Table3[[#This Row],[instant]],Table2[instant],Table2[registered], ,0,1)</f>
        <v>6</v>
      </c>
      <c r="M210" s="6">
        <f>_xlfn.XLOOKUP(Table3[[#This Row],[instant]],Table2[instant],Table2[cnt], ,0,1)</f>
        <v>6</v>
      </c>
      <c r="N210" s="6" t="str">
        <f>IF(OR(Table3[[#This Row],[weekday]]=0,Table3[[#This Row],[weekday]]=6),"Weekend","Weekday")</f>
        <v>Weekend</v>
      </c>
    </row>
    <row r="211" spans="1:14" ht="15" thickBot="1" x14ac:dyDescent="0.35">
      <c r="A211" s="5">
        <v>210</v>
      </c>
      <c r="B211" s="3">
        <f>_xlfn.XLOOKUP(Table3[[#This Row],[instant]],DatSet1!A211:A820,DatSet1!B211:B820,_xlfn.XLOOKUP(Table3[[#This Row],[instant]],'Final Data'!A211:A600,'Final Data'!B211:B600, ,0,1),0,1)</f>
        <v>40553</v>
      </c>
      <c r="C211" s="1">
        <f>_xlfn.XLOOKUP(Table3[[#This Row],[instant]],Table1[instant],Table1[hr], ,0,1)</f>
        <v>0</v>
      </c>
      <c r="D211" s="2" t="b">
        <f>_xlfn.XLOOKUP(Table3[[#This Row],[instant]],Table1[instant],Table1[holiday], ,0,1)</f>
        <v>0</v>
      </c>
      <c r="E211" s="2">
        <f>_xlfn.XLOOKUP(Table3[[#This Row],[instant]],Table1[instant],Table1[weekday], ,0,1)</f>
        <v>1</v>
      </c>
      <c r="F211" s="2">
        <f>_xlfn.XLOOKUP(Table3[[#This Row],[instant]],Table1[instant],Table1[weathersit], ,0,1)</f>
        <v>1</v>
      </c>
      <c r="G211" s="2">
        <f>_xlfn.XLOOKUP(Table3[[#This Row],[instant]],Table1[instant],Table1[temp], ,0,1)</f>
        <v>0.12</v>
      </c>
      <c r="H211" s="24">
        <f>_xlfn.XLOOKUP(Table3[[#This Row],[instant]],Table2[instant],Table2[atemp], ,0,1)</f>
        <v>0.1212</v>
      </c>
      <c r="I211" s="1">
        <f>_xlfn.XLOOKUP(Table3[[#This Row],[instant]],Table2[instant],Table2[hum], ,0,1)</f>
        <v>0.5</v>
      </c>
      <c r="J211" s="1">
        <f>_xlfn.XLOOKUP(Table3[[#This Row],[instant]],Table2[instant],Table2[windspeed], ,0,1)</f>
        <v>0.28360000000000002</v>
      </c>
      <c r="K211" s="1">
        <f>_xlfn.XLOOKUP(Table3[[#This Row],[instant]],Table2[instant],Table2[casual], ,0,1)</f>
        <v>2</v>
      </c>
      <c r="L211" s="1">
        <f>_xlfn.XLOOKUP(Table3[[#This Row],[instant]],Table2[instant],Table2[registered], ,0,1)</f>
        <v>3</v>
      </c>
      <c r="M211" s="6">
        <f>_xlfn.XLOOKUP(Table3[[#This Row],[instant]],Table2[instant],Table2[cnt], ,0,1)</f>
        <v>5</v>
      </c>
      <c r="N211" s="6" t="str">
        <f>IF(OR(Table3[[#This Row],[weekday]]=0,Table3[[#This Row],[weekday]]=6),"Weekend","Weekday")</f>
        <v>Weekday</v>
      </c>
    </row>
    <row r="212" spans="1:14" ht="15" thickBot="1" x14ac:dyDescent="0.35">
      <c r="A212" s="5">
        <v>211</v>
      </c>
      <c r="B212" s="3">
        <f>_xlfn.XLOOKUP(Table3[[#This Row],[instant]],DatSet1!A212:A821,DatSet1!B212:B821,_xlfn.XLOOKUP(Table3[[#This Row],[instant]],'Final Data'!A212:A601,'Final Data'!B212:B601, ,0,1),0,1)</f>
        <v>40553</v>
      </c>
      <c r="C212" s="1">
        <f>_xlfn.XLOOKUP(Table3[[#This Row],[instant]],Table1[instant],Table1[hr], ,0,1)</f>
        <v>1</v>
      </c>
      <c r="D212" s="2" t="b">
        <f>_xlfn.XLOOKUP(Table3[[#This Row],[instant]],Table1[instant],Table1[holiday], ,0,1)</f>
        <v>0</v>
      </c>
      <c r="E212" s="2">
        <f>_xlfn.XLOOKUP(Table3[[#This Row],[instant]],Table1[instant],Table1[weekday], ,0,1)</f>
        <v>1</v>
      </c>
      <c r="F212" s="2">
        <f>_xlfn.XLOOKUP(Table3[[#This Row],[instant]],Table1[instant],Table1[weathersit], ,0,1)</f>
        <v>1</v>
      </c>
      <c r="G212" s="2">
        <f>_xlfn.XLOOKUP(Table3[[#This Row],[instant]],Table1[instant],Table1[temp], ,0,1)</f>
        <v>0.12</v>
      </c>
      <c r="H212" s="24">
        <f>_xlfn.XLOOKUP(Table3[[#This Row],[instant]],Table2[instant],Table2[atemp], ,0,1)</f>
        <v>0.1212</v>
      </c>
      <c r="I212" s="1">
        <f>_xlfn.XLOOKUP(Table3[[#This Row],[instant]],Table2[instant],Table2[hum], ,0,1)</f>
        <v>0.5</v>
      </c>
      <c r="J212" s="1">
        <f>_xlfn.XLOOKUP(Table3[[#This Row],[instant]],Table2[instant],Table2[windspeed], ,0,1)</f>
        <v>0.28360000000000002</v>
      </c>
      <c r="K212" s="1">
        <f>_xlfn.XLOOKUP(Table3[[#This Row],[instant]],Table2[instant],Table2[casual], ,0,1)</f>
        <v>1</v>
      </c>
      <c r="L212" s="1">
        <f>_xlfn.XLOOKUP(Table3[[#This Row],[instant]],Table2[instant],Table2[registered], ,0,1)</f>
        <v>0</v>
      </c>
      <c r="M212" s="6">
        <f>_xlfn.XLOOKUP(Table3[[#This Row],[instant]],Table2[instant],Table2[cnt], ,0,1)</f>
        <v>1</v>
      </c>
      <c r="N212" s="6" t="str">
        <f>IF(OR(Table3[[#This Row],[weekday]]=0,Table3[[#This Row],[weekday]]=6),"Weekend","Weekday")</f>
        <v>Weekday</v>
      </c>
    </row>
    <row r="213" spans="1:14" ht="15" thickBot="1" x14ac:dyDescent="0.35">
      <c r="A213" s="5">
        <v>212</v>
      </c>
      <c r="B213" s="3">
        <f>_xlfn.XLOOKUP(Table3[[#This Row],[instant]],DatSet1!A213:A822,DatSet1!B213:B822,_xlfn.XLOOKUP(Table3[[#This Row],[instant]],'Final Data'!A213:A602,'Final Data'!B213:B602, ,0,1),0,1)</f>
        <v>40553</v>
      </c>
      <c r="C213" s="1">
        <f>_xlfn.XLOOKUP(Table3[[#This Row],[instant]],Table1[instant],Table1[hr], ,0,1)</f>
        <v>2</v>
      </c>
      <c r="D213" s="2" t="b">
        <f>_xlfn.XLOOKUP(Table3[[#This Row],[instant]],Table1[instant],Table1[holiday], ,0,1)</f>
        <v>0</v>
      </c>
      <c r="E213" s="2">
        <f>_xlfn.XLOOKUP(Table3[[#This Row],[instant]],Table1[instant],Table1[weekday], ,0,1)</f>
        <v>1</v>
      </c>
      <c r="F213" s="2">
        <f>_xlfn.XLOOKUP(Table3[[#This Row],[instant]],Table1[instant],Table1[weathersit], ,0,1)</f>
        <v>1</v>
      </c>
      <c r="G213" s="2">
        <f>_xlfn.XLOOKUP(Table3[[#This Row],[instant]],Table1[instant],Table1[temp], ,0,1)</f>
        <v>0.12</v>
      </c>
      <c r="H213" s="24">
        <f>_xlfn.XLOOKUP(Table3[[#This Row],[instant]],Table2[instant],Table2[atemp], ,0,1)</f>
        <v>0.1212</v>
      </c>
      <c r="I213" s="1">
        <f>_xlfn.XLOOKUP(Table3[[#This Row],[instant]],Table2[instant],Table2[hum], ,0,1)</f>
        <v>0.5</v>
      </c>
      <c r="J213" s="1">
        <f>_xlfn.XLOOKUP(Table3[[#This Row],[instant]],Table2[instant],Table2[windspeed], ,0,1)</f>
        <v>0.22389999999999999</v>
      </c>
      <c r="K213" s="1">
        <f>_xlfn.XLOOKUP(Table3[[#This Row],[instant]],Table2[instant],Table2[casual], ,0,1)</f>
        <v>0</v>
      </c>
      <c r="L213" s="1">
        <f>_xlfn.XLOOKUP(Table3[[#This Row],[instant]],Table2[instant],Table2[registered], ,0,1)</f>
        <v>3</v>
      </c>
      <c r="M213" s="6">
        <f>_xlfn.XLOOKUP(Table3[[#This Row],[instant]],Table2[instant],Table2[cnt], ,0,1)</f>
        <v>3</v>
      </c>
      <c r="N213" s="6" t="str">
        <f>IF(OR(Table3[[#This Row],[weekday]]=0,Table3[[#This Row],[weekday]]=6),"Weekend","Weekday")</f>
        <v>Weekday</v>
      </c>
    </row>
    <row r="214" spans="1:14" ht="15" thickBot="1" x14ac:dyDescent="0.35">
      <c r="A214" s="5">
        <v>213</v>
      </c>
      <c r="B214" s="3">
        <f>_xlfn.XLOOKUP(Table3[[#This Row],[instant]],DatSet1!A214:A823,DatSet1!B214:B823,_xlfn.XLOOKUP(Table3[[#This Row],[instant]],'Final Data'!A214:A603,'Final Data'!B214:B603, ,0,1),0,1)</f>
        <v>40553</v>
      </c>
      <c r="C214" s="1">
        <f>_xlfn.XLOOKUP(Table3[[#This Row],[instant]],Table1[instant],Table1[hr], ,0,1)</f>
        <v>3</v>
      </c>
      <c r="D214" s="2" t="b">
        <f>_xlfn.XLOOKUP(Table3[[#This Row],[instant]],Table1[instant],Table1[holiday], ,0,1)</f>
        <v>0</v>
      </c>
      <c r="E214" s="2">
        <f>_xlfn.XLOOKUP(Table3[[#This Row],[instant]],Table1[instant],Table1[weekday], ,0,1)</f>
        <v>1</v>
      </c>
      <c r="F214" s="2">
        <f>_xlfn.XLOOKUP(Table3[[#This Row],[instant]],Table1[instant],Table1[weathersit], ,0,1)</f>
        <v>1</v>
      </c>
      <c r="G214" s="2">
        <f>_xlfn.XLOOKUP(Table3[[#This Row],[instant]],Table1[instant],Table1[temp], ,0,1)</f>
        <v>0.12</v>
      </c>
      <c r="H214" s="24">
        <f>_xlfn.XLOOKUP(Table3[[#This Row],[instant]],Table2[instant],Table2[atemp], ,0,1)</f>
        <v>0.1212</v>
      </c>
      <c r="I214" s="1">
        <f>_xlfn.XLOOKUP(Table3[[#This Row],[instant]],Table2[instant],Table2[hum], ,0,1)</f>
        <v>0.5</v>
      </c>
      <c r="J214" s="1">
        <f>_xlfn.XLOOKUP(Table3[[#This Row],[instant]],Table2[instant],Table2[windspeed], ,0,1)</f>
        <v>0.22389999999999999</v>
      </c>
      <c r="K214" s="1">
        <f>_xlfn.XLOOKUP(Table3[[#This Row],[instant]],Table2[instant],Table2[casual], ,0,1)</f>
        <v>0</v>
      </c>
      <c r="L214" s="1">
        <f>_xlfn.XLOOKUP(Table3[[#This Row],[instant]],Table2[instant],Table2[registered], ,0,1)</f>
        <v>1</v>
      </c>
      <c r="M214" s="6">
        <f>_xlfn.XLOOKUP(Table3[[#This Row],[instant]],Table2[instant],Table2[cnt], ,0,1)</f>
        <v>1</v>
      </c>
      <c r="N214" s="6" t="str">
        <f>IF(OR(Table3[[#This Row],[weekday]]=0,Table3[[#This Row],[weekday]]=6),"Weekend","Weekday")</f>
        <v>Weekday</v>
      </c>
    </row>
    <row r="215" spans="1:14" ht="15" thickBot="1" x14ac:dyDescent="0.35">
      <c r="A215" s="5">
        <v>214</v>
      </c>
      <c r="B215" s="3">
        <f>_xlfn.XLOOKUP(Table3[[#This Row],[instant]],DatSet1!A215:A824,DatSet1!B215:B824,_xlfn.XLOOKUP(Table3[[#This Row],[instant]],'Final Data'!A215:A604,'Final Data'!B215:B604, ,0,1),0,1)</f>
        <v>40553</v>
      </c>
      <c r="C215" s="1">
        <f>_xlfn.XLOOKUP(Table3[[#This Row],[instant]],Table1[instant],Table1[hr], ,0,1)</f>
        <v>4</v>
      </c>
      <c r="D215" s="2" t="b">
        <f>_xlfn.XLOOKUP(Table3[[#This Row],[instant]],Table1[instant],Table1[holiday], ,0,1)</f>
        <v>0</v>
      </c>
      <c r="E215" s="2">
        <f>_xlfn.XLOOKUP(Table3[[#This Row],[instant]],Table1[instant],Table1[weekday], ,0,1)</f>
        <v>1</v>
      </c>
      <c r="F215" s="2">
        <f>_xlfn.XLOOKUP(Table3[[#This Row],[instant]],Table1[instant],Table1[weathersit], ,0,1)</f>
        <v>1</v>
      </c>
      <c r="G215" s="2">
        <f>_xlfn.XLOOKUP(Table3[[#This Row],[instant]],Table1[instant],Table1[temp], ,0,1)</f>
        <v>0.1</v>
      </c>
      <c r="H215" s="24">
        <f>_xlfn.XLOOKUP(Table3[[#This Row],[instant]],Table2[instant],Table2[atemp], ,0,1)</f>
        <v>0.1212</v>
      </c>
      <c r="I215" s="1">
        <f>_xlfn.XLOOKUP(Table3[[#This Row],[instant]],Table2[instant],Table2[hum], ,0,1)</f>
        <v>0.54</v>
      </c>
      <c r="J215" s="1">
        <f>_xlfn.XLOOKUP(Table3[[#This Row],[instant]],Table2[instant],Table2[windspeed], ,0,1)</f>
        <v>0.1343</v>
      </c>
      <c r="K215" s="1">
        <f>_xlfn.XLOOKUP(Table3[[#This Row],[instant]],Table2[instant],Table2[casual], ,0,1)</f>
        <v>1</v>
      </c>
      <c r="L215" s="1">
        <f>_xlfn.XLOOKUP(Table3[[#This Row],[instant]],Table2[instant],Table2[registered], ,0,1)</f>
        <v>2</v>
      </c>
      <c r="M215" s="6">
        <f>_xlfn.XLOOKUP(Table3[[#This Row],[instant]],Table2[instant],Table2[cnt], ,0,1)</f>
        <v>3</v>
      </c>
      <c r="N215" s="6" t="str">
        <f>IF(OR(Table3[[#This Row],[weekday]]=0,Table3[[#This Row],[weekday]]=6),"Weekend","Weekday")</f>
        <v>Weekday</v>
      </c>
    </row>
    <row r="216" spans="1:14" ht="15" thickBot="1" x14ac:dyDescent="0.35">
      <c r="A216" s="5">
        <v>215</v>
      </c>
      <c r="B216" s="3">
        <f>_xlfn.XLOOKUP(Table3[[#This Row],[instant]],DatSet1!A216:A825,DatSet1!B216:B825,_xlfn.XLOOKUP(Table3[[#This Row],[instant]],'Final Data'!A216:A605,'Final Data'!B216:B605, ,0,1),0,1)</f>
        <v>40553</v>
      </c>
      <c r="C216" s="1">
        <f>_xlfn.XLOOKUP(Table3[[#This Row],[instant]],Table1[instant],Table1[hr], ,0,1)</f>
        <v>5</v>
      </c>
      <c r="D216" s="2" t="b">
        <f>_xlfn.XLOOKUP(Table3[[#This Row],[instant]],Table1[instant],Table1[holiday], ,0,1)</f>
        <v>0</v>
      </c>
      <c r="E216" s="2">
        <f>_xlfn.XLOOKUP(Table3[[#This Row],[instant]],Table1[instant],Table1[weekday], ,0,1)</f>
        <v>1</v>
      </c>
      <c r="F216" s="2">
        <f>_xlfn.XLOOKUP(Table3[[#This Row],[instant]],Table1[instant],Table1[weathersit], ,0,1)</f>
        <v>1</v>
      </c>
      <c r="G216" s="2">
        <f>_xlfn.XLOOKUP(Table3[[#This Row],[instant]],Table1[instant],Table1[temp], ,0,1)</f>
        <v>0.1</v>
      </c>
      <c r="H216" s="24">
        <f>_xlfn.XLOOKUP(Table3[[#This Row],[instant]],Table2[instant],Table2[atemp], ,0,1)</f>
        <v>0.1061</v>
      </c>
      <c r="I216" s="1">
        <f>_xlfn.XLOOKUP(Table3[[#This Row],[instant]],Table2[instant],Table2[hum], ,0,1)</f>
        <v>0.54</v>
      </c>
      <c r="J216" s="1">
        <f>_xlfn.XLOOKUP(Table3[[#This Row],[instant]],Table2[instant],Table2[windspeed], ,0,1)</f>
        <v>0.25369999999999998</v>
      </c>
      <c r="K216" s="1">
        <f>_xlfn.XLOOKUP(Table3[[#This Row],[instant]],Table2[instant],Table2[casual], ,0,1)</f>
        <v>0</v>
      </c>
      <c r="L216" s="1">
        <f>_xlfn.XLOOKUP(Table3[[#This Row],[instant]],Table2[instant],Table2[registered], ,0,1)</f>
        <v>3</v>
      </c>
      <c r="M216" s="6">
        <f>_xlfn.XLOOKUP(Table3[[#This Row],[instant]],Table2[instant],Table2[cnt], ,0,1)</f>
        <v>3</v>
      </c>
      <c r="N216" s="6" t="str">
        <f>IF(OR(Table3[[#This Row],[weekday]]=0,Table3[[#This Row],[weekday]]=6),"Weekend","Weekday")</f>
        <v>Weekday</v>
      </c>
    </row>
    <row r="217" spans="1:14" ht="15" thickBot="1" x14ac:dyDescent="0.35">
      <c r="A217" s="5">
        <v>216</v>
      </c>
      <c r="B217" s="3">
        <f>_xlfn.XLOOKUP(Table3[[#This Row],[instant]],DatSet1!A217:A826,DatSet1!B217:B826,_xlfn.XLOOKUP(Table3[[#This Row],[instant]],'Final Data'!A217:A606,'Final Data'!B217:B606, ,0,1),0,1)</f>
        <v>40553</v>
      </c>
      <c r="C217" s="1">
        <f>_xlfn.XLOOKUP(Table3[[#This Row],[instant]],Table1[instant],Table1[hr], ,0,1)</f>
        <v>6</v>
      </c>
      <c r="D217" s="2" t="b">
        <f>_xlfn.XLOOKUP(Table3[[#This Row],[instant]],Table1[instant],Table1[holiday], ,0,1)</f>
        <v>0</v>
      </c>
      <c r="E217" s="2">
        <f>_xlfn.XLOOKUP(Table3[[#This Row],[instant]],Table1[instant],Table1[weekday], ,0,1)</f>
        <v>1</v>
      </c>
      <c r="F217" s="2">
        <f>_xlfn.XLOOKUP(Table3[[#This Row],[instant]],Table1[instant],Table1[weathersit], ,0,1)</f>
        <v>1</v>
      </c>
      <c r="G217" s="2">
        <f>_xlfn.XLOOKUP(Table3[[#This Row],[instant]],Table1[instant],Table1[temp], ,0,1)</f>
        <v>0.12</v>
      </c>
      <c r="H217" s="24">
        <f>_xlfn.XLOOKUP(Table3[[#This Row],[instant]],Table2[instant],Table2[atemp], ,0,1)</f>
        <v>0.1212</v>
      </c>
      <c r="I217" s="1">
        <f>_xlfn.XLOOKUP(Table3[[#This Row],[instant]],Table2[instant],Table2[hum], ,0,1)</f>
        <v>0.5</v>
      </c>
      <c r="J217" s="1">
        <f>_xlfn.XLOOKUP(Table3[[#This Row],[instant]],Table2[instant],Table2[windspeed], ,0,1)</f>
        <v>0.28360000000000002</v>
      </c>
      <c r="K217" s="1">
        <f>_xlfn.XLOOKUP(Table3[[#This Row],[instant]],Table2[instant],Table2[casual], ,0,1)</f>
        <v>0</v>
      </c>
      <c r="L217" s="1">
        <f>_xlfn.XLOOKUP(Table3[[#This Row],[instant]],Table2[instant],Table2[registered], ,0,1)</f>
        <v>31</v>
      </c>
      <c r="M217" s="6">
        <f>_xlfn.XLOOKUP(Table3[[#This Row],[instant]],Table2[instant],Table2[cnt], ,0,1)</f>
        <v>31</v>
      </c>
      <c r="N217" s="6" t="str">
        <f>IF(OR(Table3[[#This Row],[weekday]]=0,Table3[[#This Row],[weekday]]=6),"Weekend","Weekday")</f>
        <v>Weekday</v>
      </c>
    </row>
    <row r="218" spans="1:14" ht="15" thickBot="1" x14ac:dyDescent="0.35">
      <c r="A218" s="5">
        <v>217</v>
      </c>
      <c r="B218" s="3">
        <f>_xlfn.XLOOKUP(Table3[[#This Row],[instant]],DatSet1!A218:A827,DatSet1!B218:B827,_xlfn.XLOOKUP(Table3[[#This Row],[instant]],'Final Data'!A218:A607,'Final Data'!B218:B607, ,0,1),0,1)</f>
        <v>40553</v>
      </c>
      <c r="C218" s="1">
        <f>_xlfn.XLOOKUP(Table3[[#This Row],[instant]],Table1[instant],Table1[hr], ,0,1)</f>
        <v>7</v>
      </c>
      <c r="D218" s="2" t="b">
        <f>_xlfn.XLOOKUP(Table3[[#This Row],[instant]],Table1[instant],Table1[holiday], ,0,1)</f>
        <v>0</v>
      </c>
      <c r="E218" s="2">
        <f>_xlfn.XLOOKUP(Table3[[#This Row],[instant]],Table1[instant],Table1[weekday], ,0,1)</f>
        <v>1</v>
      </c>
      <c r="F218" s="2">
        <f>_xlfn.XLOOKUP(Table3[[#This Row],[instant]],Table1[instant],Table1[weathersit], ,0,1)</f>
        <v>1</v>
      </c>
      <c r="G218" s="2">
        <f>_xlfn.XLOOKUP(Table3[[#This Row],[instant]],Table1[instant],Table1[temp], ,0,1)</f>
        <v>0.12</v>
      </c>
      <c r="H218" s="24">
        <f>_xlfn.XLOOKUP(Table3[[#This Row],[instant]],Table2[instant],Table2[atemp], ,0,1)</f>
        <v>0.1212</v>
      </c>
      <c r="I218" s="1">
        <f>_xlfn.XLOOKUP(Table3[[#This Row],[instant]],Table2[instant],Table2[hum], ,0,1)</f>
        <v>0.5</v>
      </c>
      <c r="J218" s="1">
        <f>_xlfn.XLOOKUP(Table3[[#This Row],[instant]],Table2[instant],Table2[windspeed], ,0,1)</f>
        <v>0.22389999999999999</v>
      </c>
      <c r="K218" s="1">
        <f>_xlfn.XLOOKUP(Table3[[#This Row],[instant]],Table2[instant],Table2[casual], ,0,1)</f>
        <v>2</v>
      </c>
      <c r="L218" s="1">
        <f>_xlfn.XLOOKUP(Table3[[#This Row],[instant]],Table2[instant],Table2[registered], ,0,1)</f>
        <v>75</v>
      </c>
      <c r="M218" s="6">
        <f>_xlfn.XLOOKUP(Table3[[#This Row],[instant]],Table2[instant],Table2[cnt], ,0,1)</f>
        <v>77</v>
      </c>
      <c r="N218" s="6" t="str">
        <f>IF(OR(Table3[[#This Row],[weekday]]=0,Table3[[#This Row],[weekday]]=6),"Weekend","Weekday")</f>
        <v>Weekday</v>
      </c>
    </row>
    <row r="219" spans="1:14" ht="15" thickBot="1" x14ac:dyDescent="0.35">
      <c r="A219" s="5">
        <v>218</v>
      </c>
      <c r="B219" s="3">
        <f>_xlfn.XLOOKUP(Table3[[#This Row],[instant]],DatSet1!A219:A828,DatSet1!B219:B828,_xlfn.XLOOKUP(Table3[[#This Row],[instant]],'Final Data'!A219:A608,'Final Data'!B219:B608, ,0,1),0,1)</f>
        <v>40553</v>
      </c>
      <c r="C219" s="1">
        <f>_xlfn.XLOOKUP(Table3[[#This Row],[instant]],Table1[instant],Table1[hr], ,0,1)</f>
        <v>8</v>
      </c>
      <c r="D219" s="2" t="b">
        <f>_xlfn.XLOOKUP(Table3[[#This Row],[instant]],Table1[instant],Table1[holiday], ,0,1)</f>
        <v>0</v>
      </c>
      <c r="E219" s="2">
        <f>_xlfn.XLOOKUP(Table3[[#This Row],[instant]],Table1[instant],Table1[weekday], ,0,1)</f>
        <v>1</v>
      </c>
      <c r="F219" s="2">
        <f>_xlfn.XLOOKUP(Table3[[#This Row],[instant]],Table1[instant],Table1[weathersit], ,0,1)</f>
        <v>2</v>
      </c>
      <c r="G219" s="2">
        <f>_xlfn.XLOOKUP(Table3[[#This Row],[instant]],Table1[instant],Table1[temp], ,0,1)</f>
        <v>0.12</v>
      </c>
      <c r="H219" s="24">
        <f>_xlfn.XLOOKUP(Table3[[#This Row],[instant]],Table2[instant],Table2[atemp], ,0,1)</f>
        <v>0.1212</v>
      </c>
      <c r="I219" s="1">
        <f>_xlfn.XLOOKUP(Table3[[#This Row],[instant]],Table2[instant],Table2[hum], ,0,1)</f>
        <v>0.5</v>
      </c>
      <c r="J219" s="1">
        <f>_xlfn.XLOOKUP(Table3[[#This Row],[instant]],Table2[instant],Table2[windspeed], ,0,1)</f>
        <v>0.28360000000000002</v>
      </c>
      <c r="K219" s="1">
        <f>_xlfn.XLOOKUP(Table3[[#This Row],[instant]],Table2[instant],Table2[casual], ,0,1)</f>
        <v>4</v>
      </c>
      <c r="L219" s="1">
        <f>_xlfn.XLOOKUP(Table3[[#This Row],[instant]],Table2[instant],Table2[registered], ,0,1)</f>
        <v>184</v>
      </c>
      <c r="M219" s="6">
        <f>_xlfn.XLOOKUP(Table3[[#This Row],[instant]],Table2[instant],Table2[cnt], ,0,1)</f>
        <v>188</v>
      </c>
      <c r="N219" s="6" t="str">
        <f>IF(OR(Table3[[#This Row],[weekday]]=0,Table3[[#This Row],[weekday]]=6),"Weekend","Weekday")</f>
        <v>Weekday</v>
      </c>
    </row>
    <row r="220" spans="1:14" ht="15" thickBot="1" x14ac:dyDescent="0.35">
      <c r="A220" s="5">
        <v>219</v>
      </c>
      <c r="B220" s="3">
        <f>_xlfn.XLOOKUP(Table3[[#This Row],[instant]],DatSet1!A220:A829,DatSet1!B220:B829,_xlfn.XLOOKUP(Table3[[#This Row],[instant]],'Final Data'!A220:A609,'Final Data'!B220:B609, ,0,1),0,1)</f>
        <v>40553</v>
      </c>
      <c r="C220" s="1">
        <f>_xlfn.XLOOKUP(Table3[[#This Row],[instant]],Table1[instant],Table1[hr], ,0,1)</f>
        <v>9</v>
      </c>
      <c r="D220" s="2" t="b">
        <f>_xlfn.XLOOKUP(Table3[[#This Row],[instant]],Table1[instant],Table1[holiday], ,0,1)</f>
        <v>0</v>
      </c>
      <c r="E220" s="2">
        <f>_xlfn.XLOOKUP(Table3[[#This Row],[instant]],Table1[instant],Table1[weekday], ,0,1)</f>
        <v>1</v>
      </c>
      <c r="F220" s="2">
        <f>_xlfn.XLOOKUP(Table3[[#This Row],[instant]],Table1[instant],Table1[weathersit], ,0,1)</f>
        <v>2</v>
      </c>
      <c r="G220" s="2">
        <f>_xlfn.XLOOKUP(Table3[[#This Row],[instant]],Table1[instant],Table1[temp], ,0,1)</f>
        <v>0.14000000000000001</v>
      </c>
      <c r="H220" s="24">
        <f>_xlfn.XLOOKUP(Table3[[#This Row],[instant]],Table2[instant],Table2[atemp], ,0,1)</f>
        <v>0.1212</v>
      </c>
      <c r="I220" s="1">
        <f>_xlfn.XLOOKUP(Table3[[#This Row],[instant]],Table2[instant],Table2[hum], ,0,1)</f>
        <v>0.5</v>
      </c>
      <c r="J220" s="1">
        <f>_xlfn.XLOOKUP(Table3[[#This Row],[instant]],Table2[instant],Table2[windspeed], ,0,1)</f>
        <v>0.25369999999999998</v>
      </c>
      <c r="K220" s="1">
        <f>_xlfn.XLOOKUP(Table3[[#This Row],[instant]],Table2[instant],Table2[casual], ,0,1)</f>
        <v>2</v>
      </c>
      <c r="L220" s="1">
        <f>_xlfn.XLOOKUP(Table3[[#This Row],[instant]],Table2[instant],Table2[registered], ,0,1)</f>
        <v>92</v>
      </c>
      <c r="M220" s="6">
        <f>_xlfn.XLOOKUP(Table3[[#This Row],[instant]],Table2[instant],Table2[cnt], ,0,1)</f>
        <v>94</v>
      </c>
      <c r="N220" s="6" t="str">
        <f>IF(OR(Table3[[#This Row],[weekday]]=0,Table3[[#This Row],[weekday]]=6),"Weekend","Weekday")</f>
        <v>Weekday</v>
      </c>
    </row>
    <row r="221" spans="1:14" ht="15" thickBot="1" x14ac:dyDescent="0.35">
      <c r="A221" s="5">
        <v>220</v>
      </c>
      <c r="B221" s="3">
        <f>_xlfn.XLOOKUP(Table3[[#This Row],[instant]],DatSet1!A221:A830,DatSet1!B221:B830,_xlfn.XLOOKUP(Table3[[#This Row],[instant]],'Final Data'!A221:A610,'Final Data'!B221:B610, ,0,1),0,1)</f>
        <v>40553</v>
      </c>
      <c r="C221" s="1">
        <f>_xlfn.XLOOKUP(Table3[[#This Row],[instant]],Table1[instant],Table1[hr], ,0,1)</f>
        <v>10</v>
      </c>
      <c r="D221" s="2" t="b">
        <f>_xlfn.XLOOKUP(Table3[[#This Row],[instant]],Table1[instant],Table1[holiday], ,0,1)</f>
        <v>0</v>
      </c>
      <c r="E221" s="2">
        <f>_xlfn.XLOOKUP(Table3[[#This Row],[instant]],Table1[instant],Table1[weekday], ,0,1)</f>
        <v>1</v>
      </c>
      <c r="F221" s="2">
        <f>_xlfn.XLOOKUP(Table3[[#This Row],[instant]],Table1[instant],Table1[weathersit], ,0,1)</f>
        <v>2</v>
      </c>
      <c r="G221" s="2">
        <f>_xlfn.XLOOKUP(Table3[[#This Row],[instant]],Table1[instant],Table1[temp], ,0,1)</f>
        <v>0.14000000000000001</v>
      </c>
      <c r="H221" s="24">
        <f>_xlfn.XLOOKUP(Table3[[#This Row],[instant]],Table2[instant],Table2[atemp], ,0,1)</f>
        <v>0.1212</v>
      </c>
      <c r="I221" s="1">
        <f>_xlfn.XLOOKUP(Table3[[#This Row],[instant]],Table2[instant],Table2[hum], ,0,1)</f>
        <v>0.5</v>
      </c>
      <c r="J221" s="1">
        <f>_xlfn.XLOOKUP(Table3[[#This Row],[instant]],Table2[instant],Table2[windspeed], ,0,1)</f>
        <v>0.29849999999999999</v>
      </c>
      <c r="K221" s="1">
        <f>_xlfn.XLOOKUP(Table3[[#This Row],[instant]],Table2[instant],Table2[casual], ,0,1)</f>
        <v>0</v>
      </c>
      <c r="L221" s="1">
        <f>_xlfn.XLOOKUP(Table3[[#This Row],[instant]],Table2[instant],Table2[registered], ,0,1)</f>
        <v>31</v>
      </c>
      <c r="M221" s="6">
        <f>_xlfn.XLOOKUP(Table3[[#This Row],[instant]],Table2[instant],Table2[cnt], ,0,1)</f>
        <v>31</v>
      </c>
      <c r="N221" s="6" t="str">
        <f>IF(OR(Table3[[#This Row],[weekday]]=0,Table3[[#This Row],[weekday]]=6),"Weekend","Weekday")</f>
        <v>Weekday</v>
      </c>
    </row>
    <row r="222" spans="1:14" ht="15" thickBot="1" x14ac:dyDescent="0.35">
      <c r="A222" s="5">
        <v>221</v>
      </c>
      <c r="B222" s="3">
        <f>_xlfn.XLOOKUP(Table3[[#This Row],[instant]],DatSet1!A222:A831,DatSet1!B222:B831,_xlfn.XLOOKUP(Table3[[#This Row],[instant]],'Final Data'!A222:A611,'Final Data'!B222:B611, ,0,1),0,1)</f>
        <v>40553</v>
      </c>
      <c r="C222" s="1">
        <f>_xlfn.XLOOKUP(Table3[[#This Row],[instant]],Table1[instant],Table1[hr], ,0,1)</f>
        <v>11</v>
      </c>
      <c r="D222" s="2" t="b">
        <f>_xlfn.XLOOKUP(Table3[[#This Row],[instant]],Table1[instant],Table1[holiday], ,0,1)</f>
        <v>0</v>
      </c>
      <c r="E222" s="2">
        <f>_xlfn.XLOOKUP(Table3[[#This Row],[instant]],Table1[instant],Table1[weekday], ,0,1)</f>
        <v>1</v>
      </c>
      <c r="F222" s="2">
        <f>_xlfn.XLOOKUP(Table3[[#This Row],[instant]],Table1[instant],Table1[weathersit], ,0,1)</f>
        <v>2</v>
      </c>
      <c r="G222" s="2">
        <f>_xlfn.XLOOKUP(Table3[[#This Row],[instant]],Table1[instant],Table1[temp], ,0,1)</f>
        <v>0.16</v>
      </c>
      <c r="H222" s="24">
        <f>_xlfn.XLOOKUP(Table3[[#This Row],[instant]],Table2[instant],Table2[atemp], ,0,1)</f>
        <v>0.13639999999999999</v>
      </c>
      <c r="I222" s="1">
        <f>_xlfn.XLOOKUP(Table3[[#This Row],[instant]],Table2[instant],Table2[hum], ,0,1)</f>
        <v>0.47</v>
      </c>
      <c r="J222" s="1">
        <f>_xlfn.XLOOKUP(Table3[[#This Row],[instant]],Table2[instant],Table2[windspeed], ,0,1)</f>
        <v>0.28360000000000002</v>
      </c>
      <c r="K222" s="1">
        <f>_xlfn.XLOOKUP(Table3[[#This Row],[instant]],Table2[instant],Table2[casual], ,0,1)</f>
        <v>2</v>
      </c>
      <c r="L222" s="1">
        <f>_xlfn.XLOOKUP(Table3[[#This Row],[instant]],Table2[instant],Table2[registered], ,0,1)</f>
        <v>28</v>
      </c>
      <c r="M222" s="6">
        <f>_xlfn.XLOOKUP(Table3[[#This Row],[instant]],Table2[instant],Table2[cnt], ,0,1)</f>
        <v>30</v>
      </c>
      <c r="N222" s="6" t="str">
        <f>IF(OR(Table3[[#This Row],[weekday]]=0,Table3[[#This Row],[weekday]]=6),"Weekend","Weekday")</f>
        <v>Weekday</v>
      </c>
    </row>
    <row r="223" spans="1:14" ht="15" thickBot="1" x14ac:dyDescent="0.35">
      <c r="A223" s="5">
        <v>222</v>
      </c>
      <c r="B223" s="3">
        <f>_xlfn.XLOOKUP(Table3[[#This Row],[instant]],DatSet1!A223:A832,DatSet1!B223:B832,_xlfn.XLOOKUP(Table3[[#This Row],[instant]],'Final Data'!A223:A612,'Final Data'!B223:B612, ,0,1),0,1)</f>
        <v>40553</v>
      </c>
      <c r="C223" s="1">
        <f>_xlfn.XLOOKUP(Table3[[#This Row],[instant]],Table1[instant],Table1[hr], ,0,1)</f>
        <v>12</v>
      </c>
      <c r="D223" s="2" t="b">
        <f>_xlfn.XLOOKUP(Table3[[#This Row],[instant]],Table1[instant],Table1[holiday], ,0,1)</f>
        <v>0</v>
      </c>
      <c r="E223" s="2">
        <f>_xlfn.XLOOKUP(Table3[[#This Row],[instant]],Table1[instant],Table1[weekday], ,0,1)</f>
        <v>1</v>
      </c>
      <c r="F223" s="2">
        <f>_xlfn.XLOOKUP(Table3[[#This Row],[instant]],Table1[instant],Table1[weathersit], ,0,1)</f>
        <v>2</v>
      </c>
      <c r="G223" s="2">
        <f>_xlfn.XLOOKUP(Table3[[#This Row],[instant]],Table1[instant],Table1[temp], ,0,1)</f>
        <v>0.2</v>
      </c>
      <c r="H223" s="24">
        <f>_xlfn.XLOOKUP(Table3[[#This Row],[instant]],Table2[instant],Table2[atemp], ,0,1)</f>
        <v>0.18179999999999999</v>
      </c>
      <c r="I223" s="1">
        <f>_xlfn.XLOOKUP(Table3[[#This Row],[instant]],Table2[instant],Table2[hum], ,0,1)</f>
        <v>0.4</v>
      </c>
      <c r="J223" s="1">
        <f>_xlfn.XLOOKUP(Table3[[#This Row],[instant]],Table2[instant],Table2[windspeed], ,0,1)</f>
        <v>0.28360000000000002</v>
      </c>
      <c r="K223" s="1">
        <f>_xlfn.XLOOKUP(Table3[[#This Row],[instant]],Table2[instant],Table2[casual], ,0,1)</f>
        <v>5</v>
      </c>
      <c r="L223" s="1">
        <f>_xlfn.XLOOKUP(Table3[[#This Row],[instant]],Table2[instant],Table2[registered], ,0,1)</f>
        <v>47</v>
      </c>
      <c r="M223" s="6">
        <f>_xlfn.XLOOKUP(Table3[[#This Row],[instant]],Table2[instant],Table2[cnt], ,0,1)</f>
        <v>52</v>
      </c>
      <c r="N223" s="6" t="str">
        <f>IF(OR(Table3[[#This Row],[weekday]]=0,Table3[[#This Row],[weekday]]=6),"Weekend","Weekday")</f>
        <v>Weekday</v>
      </c>
    </row>
    <row r="224" spans="1:14" ht="15" thickBot="1" x14ac:dyDescent="0.35">
      <c r="A224" s="5">
        <v>223</v>
      </c>
      <c r="B224" s="3">
        <f>_xlfn.XLOOKUP(Table3[[#This Row],[instant]],DatSet1!A224:A833,DatSet1!B224:B833,_xlfn.XLOOKUP(Table3[[#This Row],[instant]],'Final Data'!A224:A613,'Final Data'!B224:B613, ,0,1),0,1)</f>
        <v>40553</v>
      </c>
      <c r="C224" s="1">
        <f>_xlfn.XLOOKUP(Table3[[#This Row],[instant]],Table1[instant],Table1[hr], ,0,1)</f>
        <v>13</v>
      </c>
      <c r="D224" s="2" t="b">
        <f>_xlfn.XLOOKUP(Table3[[#This Row],[instant]],Table1[instant],Table1[holiday], ,0,1)</f>
        <v>0</v>
      </c>
      <c r="E224" s="2">
        <f>_xlfn.XLOOKUP(Table3[[#This Row],[instant]],Table1[instant],Table1[weekday], ,0,1)</f>
        <v>1</v>
      </c>
      <c r="F224" s="2">
        <f>_xlfn.XLOOKUP(Table3[[#This Row],[instant]],Table1[instant],Table1[weathersit], ,0,1)</f>
        <v>2</v>
      </c>
      <c r="G224" s="2">
        <f>_xlfn.XLOOKUP(Table3[[#This Row],[instant]],Table1[instant],Table1[temp], ,0,1)</f>
        <v>0.2</v>
      </c>
      <c r="H224" s="24">
        <f>_xlfn.XLOOKUP(Table3[[#This Row],[instant]],Table2[instant],Table2[atemp], ,0,1)</f>
        <v>0.18179999999999999</v>
      </c>
      <c r="I224" s="1">
        <f>_xlfn.XLOOKUP(Table3[[#This Row],[instant]],Table2[instant],Table2[hum], ,0,1)</f>
        <v>0.4</v>
      </c>
      <c r="J224" s="1">
        <f>_xlfn.XLOOKUP(Table3[[#This Row],[instant]],Table2[instant],Table2[windspeed], ,0,1)</f>
        <v>0.28360000000000002</v>
      </c>
      <c r="K224" s="1">
        <f>_xlfn.XLOOKUP(Table3[[#This Row],[instant]],Table2[instant],Table2[casual], ,0,1)</f>
        <v>4</v>
      </c>
      <c r="L224" s="1">
        <f>_xlfn.XLOOKUP(Table3[[#This Row],[instant]],Table2[instant],Table2[registered], ,0,1)</f>
        <v>50</v>
      </c>
      <c r="M224" s="6">
        <f>_xlfn.XLOOKUP(Table3[[#This Row],[instant]],Table2[instant],Table2[cnt], ,0,1)</f>
        <v>54</v>
      </c>
      <c r="N224" s="6" t="str">
        <f>IF(OR(Table3[[#This Row],[weekday]]=0,Table3[[#This Row],[weekday]]=6),"Weekend","Weekday")</f>
        <v>Weekday</v>
      </c>
    </row>
    <row r="225" spans="1:14" ht="15" thickBot="1" x14ac:dyDescent="0.35">
      <c r="A225" s="5">
        <v>224</v>
      </c>
      <c r="B225" s="3">
        <f>_xlfn.XLOOKUP(Table3[[#This Row],[instant]],DatSet1!A225:A834,DatSet1!B225:B834,_xlfn.XLOOKUP(Table3[[#This Row],[instant]],'Final Data'!A225:A614,'Final Data'!B225:B614, ,0,1),0,1)</f>
        <v>40553</v>
      </c>
      <c r="C225" s="1">
        <f>_xlfn.XLOOKUP(Table3[[#This Row],[instant]],Table1[instant],Table1[hr], ,0,1)</f>
        <v>14</v>
      </c>
      <c r="D225" s="2" t="b">
        <f>_xlfn.XLOOKUP(Table3[[#This Row],[instant]],Table1[instant],Table1[holiday], ,0,1)</f>
        <v>0</v>
      </c>
      <c r="E225" s="2">
        <f>_xlfn.XLOOKUP(Table3[[#This Row],[instant]],Table1[instant],Table1[weekday], ,0,1)</f>
        <v>1</v>
      </c>
      <c r="F225" s="2">
        <f>_xlfn.XLOOKUP(Table3[[#This Row],[instant]],Table1[instant],Table1[weathersit], ,0,1)</f>
        <v>2</v>
      </c>
      <c r="G225" s="2">
        <f>_xlfn.XLOOKUP(Table3[[#This Row],[instant]],Table1[instant],Table1[temp], ,0,1)</f>
        <v>0.2</v>
      </c>
      <c r="H225" s="24">
        <f>_xlfn.XLOOKUP(Table3[[#This Row],[instant]],Table2[instant],Table2[atemp], ,0,1)</f>
        <v>0.19700000000000001</v>
      </c>
      <c r="I225" s="1">
        <f>_xlfn.XLOOKUP(Table3[[#This Row],[instant]],Table2[instant],Table2[hum], ,0,1)</f>
        <v>0.4</v>
      </c>
      <c r="J225" s="1">
        <f>_xlfn.XLOOKUP(Table3[[#This Row],[instant]],Table2[instant],Table2[windspeed], ,0,1)</f>
        <v>0.22389999999999999</v>
      </c>
      <c r="K225" s="1">
        <f>_xlfn.XLOOKUP(Table3[[#This Row],[instant]],Table2[instant],Table2[casual], ,0,1)</f>
        <v>0</v>
      </c>
      <c r="L225" s="1">
        <f>_xlfn.XLOOKUP(Table3[[#This Row],[instant]],Table2[instant],Table2[registered], ,0,1)</f>
        <v>47</v>
      </c>
      <c r="M225" s="6">
        <f>_xlfn.XLOOKUP(Table3[[#This Row],[instant]],Table2[instant],Table2[cnt], ,0,1)</f>
        <v>47</v>
      </c>
      <c r="N225" s="6" t="str">
        <f>IF(OR(Table3[[#This Row],[weekday]]=0,Table3[[#This Row],[weekday]]=6),"Weekend","Weekday")</f>
        <v>Weekday</v>
      </c>
    </row>
    <row r="226" spans="1:14" ht="15" thickBot="1" x14ac:dyDescent="0.35">
      <c r="A226" s="5">
        <v>225</v>
      </c>
      <c r="B226" s="3">
        <f>_xlfn.XLOOKUP(Table3[[#This Row],[instant]],DatSet1!A226:A835,DatSet1!B226:B835,_xlfn.XLOOKUP(Table3[[#This Row],[instant]],'Final Data'!A226:A615,'Final Data'!B226:B615, ,0,1),0,1)</f>
        <v>40553</v>
      </c>
      <c r="C226" s="1">
        <f>_xlfn.XLOOKUP(Table3[[#This Row],[instant]],Table1[instant],Table1[hr], ,0,1)</f>
        <v>15</v>
      </c>
      <c r="D226" s="2" t="b">
        <f>_xlfn.XLOOKUP(Table3[[#This Row],[instant]],Table1[instant],Table1[holiday], ,0,1)</f>
        <v>0</v>
      </c>
      <c r="E226" s="2">
        <f>_xlfn.XLOOKUP(Table3[[#This Row],[instant]],Table1[instant],Table1[weekday], ,0,1)</f>
        <v>1</v>
      </c>
      <c r="F226" s="2">
        <f>_xlfn.XLOOKUP(Table3[[#This Row],[instant]],Table1[instant],Table1[weathersit], ,0,1)</f>
        <v>2</v>
      </c>
      <c r="G226" s="2">
        <f>_xlfn.XLOOKUP(Table3[[#This Row],[instant]],Table1[instant],Table1[temp], ,0,1)</f>
        <v>0.2</v>
      </c>
      <c r="H226" s="24">
        <f>_xlfn.XLOOKUP(Table3[[#This Row],[instant]],Table2[instant],Table2[atemp], ,0,1)</f>
        <v>0.19700000000000001</v>
      </c>
      <c r="I226" s="1">
        <f>_xlfn.XLOOKUP(Table3[[#This Row],[instant]],Table2[instant],Table2[hum], ,0,1)</f>
        <v>0.4</v>
      </c>
      <c r="J226" s="1">
        <f>_xlfn.XLOOKUP(Table3[[#This Row],[instant]],Table2[instant],Table2[windspeed], ,0,1)</f>
        <v>0.22389999999999999</v>
      </c>
      <c r="K226" s="1">
        <f>_xlfn.XLOOKUP(Table3[[#This Row],[instant]],Table2[instant],Table2[casual], ,0,1)</f>
        <v>2</v>
      </c>
      <c r="L226" s="1">
        <f>_xlfn.XLOOKUP(Table3[[#This Row],[instant]],Table2[instant],Table2[registered], ,0,1)</f>
        <v>43</v>
      </c>
      <c r="M226" s="6">
        <f>_xlfn.XLOOKUP(Table3[[#This Row],[instant]],Table2[instant],Table2[cnt], ,0,1)</f>
        <v>45</v>
      </c>
      <c r="N226" s="6" t="str">
        <f>IF(OR(Table3[[#This Row],[weekday]]=0,Table3[[#This Row],[weekday]]=6),"Weekend","Weekday")</f>
        <v>Weekday</v>
      </c>
    </row>
    <row r="227" spans="1:14" ht="15" thickBot="1" x14ac:dyDescent="0.35">
      <c r="A227" s="5">
        <v>226</v>
      </c>
      <c r="B227" s="3">
        <f>_xlfn.XLOOKUP(Table3[[#This Row],[instant]],DatSet1!A227:A836,DatSet1!B227:B836,_xlfn.XLOOKUP(Table3[[#This Row],[instant]],'Final Data'!A227:A616,'Final Data'!B227:B616, ,0,1),0,1)</f>
        <v>40553</v>
      </c>
      <c r="C227" s="1">
        <f>_xlfn.XLOOKUP(Table3[[#This Row],[instant]],Table1[instant],Table1[hr], ,0,1)</f>
        <v>16</v>
      </c>
      <c r="D227" s="2" t="b">
        <f>_xlfn.XLOOKUP(Table3[[#This Row],[instant]],Table1[instant],Table1[holiday], ,0,1)</f>
        <v>0</v>
      </c>
      <c r="E227" s="2">
        <f>_xlfn.XLOOKUP(Table3[[#This Row],[instant]],Table1[instant],Table1[weekday], ,0,1)</f>
        <v>1</v>
      </c>
      <c r="F227" s="2">
        <f>_xlfn.XLOOKUP(Table3[[#This Row],[instant]],Table1[instant],Table1[weathersit], ,0,1)</f>
        <v>1</v>
      </c>
      <c r="G227" s="2">
        <f>_xlfn.XLOOKUP(Table3[[#This Row],[instant]],Table1[instant],Table1[temp], ,0,1)</f>
        <v>0.2</v>
      </c>
      <c r="H227" s="24">
        <f>_xlfn.XLOOKUP(Table3[[#This Row],[instant]],Table2[instant],Table2[atemp], ,0,1)</f>
        <v>0.21210000000000001</v>
      </c>
      <c r="I227" s="1">
        <f>_xlfn.XLOOKUP(Table3[[#This Row],[instant]],Table2[instant],Table2[hum], ,0,1)</f>
        <v>0.4</v>
      </c>
      <c r="J227" s="1">
        <f>_xlfn.XLOOKUP(Table3[[#This Row],[instant]],Table2[instant],Table2[windspeed], ,0,1)</f>
        <v>0.1343</v>
      </c>
      <c r="K227" s="1">
        <f>_xlfn.XLOOKUP(Table3[[#This Row],[instant]],Table2[instant],Table2[casual], ,0,1)</f>
        <v>4</v>
      </c>
      <c r="L227" s="1">
        <f>_xlfn.XLOOKUP(Table3[[#This Row],[instant]],Table2[instant],Table2[registered], ,0,1)</f>
        <v>70</v>
      </c>
      <c r="M227" s="6">
        <f>_xlfn.XLOOKUP(Table3[[#This Row],[instant]],Table2[instant],Table2[cnt], ,0,1)</f>
        <v>74</v>
      </c>
      <c r="N227" s="6" t="str">
        <f>IF(OR(Table3[[#This Row],[weekday]]=0,Table3[[#This Row],[weekday]]=6),"Weekend","Weekday")</f>
        <v>Weekday</v>
      </c>
    </row>
    <row r="228" spans="1:14" ht="15" thickBot="1" x14ac:dyDescent="0.35">
      <c r="A228" s="5">
        <v>227</v>
      </c>
      <c r="B228" s="3">
        <f>_xlfn.XLOOKUP(Table3[[#This Row],[instant]],DatSet1!A228:A837,DatSet1!B228:B837,_xlfn.XLOOKUP(Table3[[#This Row],[instant]],'Final Data'!A228:A617,'Final Data'!B228:B617, ,0,1),0,1)</f>
        <v>40553</v>
      </c>
      <c r="C228" s="1">
        <f>_xlfn.XLOOKUP(Table3[[#This Row],[instant]],Table1[instant],Table1[hr], ,0,1)</f>
        <v>17</v>
      </c>
      <c r="D228" s="2" t="b">
        <f>_xlfn.XLOOKUP(Table3[[#This Row],[instant]],Table1[instant],Table1[holiday], ,0,1)</f>
        <v>0</v>
      </c>
      <c r="E228" s="2">
        <f>_xlfn.XLOOKUP(Table3[[#This Row],[instant]],Table1[instant],Table1[weekday], ,0,1)</f>
        <v>1</v>
      </c>
      <c r="F228" s="2">
        <f>_xlfn.XLOOKUP(Table3[[#This Row],[instant]],Table1[instant],Table1[weathersit], ,0,1)</f>
        <v>1</v>
      </c>
      <c r="G228" s="2">
        <f>_xlfn.XLOOKUP(Table3[[#This Row],[instant]],Table1[instant],Table1[temp], ,0,1)</f>
        <v>0.2</v>
      </c>
      <c r="H228" s="24">
        <f>_xlfn.XLOOKUP(Table3[[#This Row],[instant]],Table2[instant],Table2[atemp], ,0,1)</f>
        <v>0.2273</v>
      </c>
      <c r="I228" s="1">
        <f>_xlfn.XLOOKUP(Table3[[#This Row],[instant]],Table2[instant],Table2[hum], ,0,1)</f>
        <v>0.4</v>
      </c>
      <c r="J228" s="1">
        <f>_xlfn.XLOOKUP(Table3[[#This Row],[instant]],Table2[instant],Table2[windspeed], ,0,1)</f>
        <v>0.1045</v>
      </c>
      <c r="K228" s="1">
        <f>_xlfn.XLOOKUP(Table3[[#This Row],[instant]],Table2[instant],Table2[casual], ,0,1)</f>
        <v>4</v>
      </c>
      <c r="L228" s="1">
        <f>_xlfn.XLOOKUP(Table3[[#This Row],[instant]],Table2[instant],Table2[registered], ,0,1)</f>
        <v>174</v>
      </c>
      <c r="M228" s="6">
        <f>_xlfn.XLOOKUP(Table3[[#This Row],[instant]],Table2[instant],Table2[cnt], ,0,1)</f>
        <v>178</v>
      </c>
      <c r="N228" s="6" t="str">
        <f>IF(OR(Table3[[#This Row],[weekday]]=0,Table3[[#This Row],[weekday]]=6),"Weekend","Weekday")</f>
        <v>Weekday</v>
      </c>
    </row>
    <row r="229" spans="1:14" ht="15" thickBot="1" x14ac:dyDescent="0.35">
      <c r="A229" s="5">
        <v>228</v>
      </c>
      <c r="B229" s="3">
        <f>_xlfn.XLOOKUP(Table3[[#This Row],[instant]],DatSet1!A229:A838,DatSet1!B229:B838,_xlfn.XLOOKUP(Table3[[#This Row],[instant]],'Final Data'!A229:A618,'Final Data'!B229:B618, ,0,1),0,1)</f>
        <v>40553</v>
      </c>
      <c r="C229" s="1">
        <f>_xlfn.XLOOKUP(Table3[[#This Row],[instant]],Table1[instant],Table1[hr], ,0,1)</f>
        <v>18</v>
      </c>
      <c r="D229" s="2" t="b">
        <f>_xlfn.XLOOKUP(Table3[[#This Row],[instant]],Table1[instant],Table1[holiday], ,0,1)</f>
        <v>0</v>
      </c>
      <c r="E229" s="2">
        <f>_xlfn.XLOOKUP(Table3[[#This Row],[instant]],Table1[instant],Table1[weekday], ,0,1)</f>
        <v>1</v>
      </c>
      <c r="F229" s="2">
        <f>_xlfn.XLOOKUP(Table3[[#This Row],[instant]],Table1[instant],Table1[weathersit], ,0,1)</f>
        <v>1</v>
      </c>
      <c r="G229" s="2">
        <f>_xlfn.XLOOKUP(Table3[[#This Row],[instant]],Table1[instant],Table1[temp], ,0,1)</f>
        <v>0.2</v>
      </c>
      <c r="H229" s="24">
        <f>_xlfn.XLOOKUP(Table3[[#This Row],[instant]],Table2[instant],Table2[atemp], ,0,1)</f>
        <v>0.19700000000000001</v>
      </c>
      <c r="I229" s="1">
        <f>_xlfn.XLOOKUP(Table3[[#This Row],[instant]],Table2[instant],Table2[hum], ,0,1)</f>
        <v>0.4</v>
      </c>
      <c r="J229" s="1">
        <f>_xlfn.XLOOKUP(Table3[[#This Row],[instant]],Table2[instant],Table2[windspeed], ,0,1)</f>
        <v>0.22389999999999999</v>
      </c>
      <c r="K229" s="1">
        <f>_xlfn.XLOOKUP(Table3[[#This Row],[instant]],Table2[instant],Table2[casual], ,0,1)</f>
        <v>1</v>
      </c>
      <c r="L229" s="1">
        <f>_xlfn.XLOOKUP(Table3[[#This Row],[instant]],Table2[instant],Table2[registered], ,0,1)</f>
        <v>154</v>
      </c>
      <c r="M229" s="6">
        <f>_xlfn.XLOOKUP(Table3[[#This Row],[instant]],Table2[instant],Table2[cnt], ,0,1)</f>
        <v>155</v>
      </c>
      <c r="N229" s="6" t="str">
        <f>IF(OR(Table3[[#This Row],[weekday]]=0,Table3[[#This Row],[weekday]]=6),"Weekend","Weekday")</f>
        <v>Weekday</v>
      </c>
    </row>
    <row r="230" spans="1:14" ht="15" thickBot="1" x14ac:dyDescent="0.35">
      <c r="A230" s="5">
        <v>229</v>
      </c>
      <c r="B230" s="3">
        <f>_xlfn.XLOOKUP(Table3[[#This Row],[instant]],DatSet1!A230:A839,DatSet1!B230:B839,_xlfn.XLOOKUP(Table3[[#This Row],[instant]],'Final Data'!A230:A619,'Final Data'!B230:B619, ,0,1),0,1)</f>
        <v>40553</v>
      </c>
      <c r="C230" s="1">
        <f>_xlfn.XLOOKUP(Table3[[#This Row],[instant]],Table1[instant],Table1[hr], ,0,1)</f>
        <v>19</v>
      </c>
      <c r="D230" s="2" t="b">
        <f>_xlfn.XLOOKUP(Table3[[#This Row],[instant]],Table1[instant],Table1[holiday], ,0,1)</f>
        <v>0</v>
      </c>
      <c r="E230" s="2">
        <f>_xlfn.XLOOKUP(Table3[[#This Row],[instant]],Table1[instant],Table1[weekday], ,0,1)</f>
        <v>1</v>
      </c>
      <c r="F230" s="2">
        <f>_xlfn.XLOOKUP(Table3[[#This Row],[instant]],Table1[instant],Table1[weathersit], ,0,1)</f>
        <v>1</v>
      </c>
      <c r="G230" s="2">
        <f>_xlfn.XLOOKUP(Table3[[#This Row],[instant]],Table1[instant],Table1[temp], ,0,1)</f>
        <v>0.16</v>
      </c>
      <c r="H230" s="24">
        <f>_xlfn.XLOOKUP(Table3[[#This Row],[instant]],Table2[instant],Table2[atemp], ,0,1)</f>
        <v>0.16669999999999999</v>
      </c>
      <c r="I230" s="1">
        <f>_xlfn.XLOOKUP(Table3[[#This Row],[instant]],Table2[instant],Table2[hum], ,0,1)</f>
        <v>0.47</v>
      </c>
      <c r="J230" s="1">
        <f>_xlfn.XLOOKUP(Table3[[#This Row],[instant]],Table2[instant],Table2[windspeed], ,0,1)</f>
        <v>0.16420000000000001</v>
      </c>
      <c r="K230" s="1">
        <f>_xlfn.XLOOKUP(Table3[[#This Row],[instant]],Table2[instant],Table2[casual], ,0,1)</f>
        <v>3</v>
      </c>
      <c r="L230" s="1">
        <f>_xlfn.XLOOKUP(Table3[[#This Row],[instant]],Table2[instant],Table2[registered], ,0,1)</f>
        <v>92</v>
      </c>
      <c r="M230" s="6">
        <f>_xlfn.XLOOKUP(Table3[[#This Row],[instant]],Table2[instant],Table2[cnt], ,0,1)</f>
        <v>95</v>
      </c>
      <c r="N230" s="6" t="str">
        <f>IF(OR(Table3[[#This Row],[weekday]]=0,Table3[[#This Row],[weekday]]=6),"Weekend","Weekday")</f>
        <v>Weekday</v>
      </c>
    </row>
    <row r="231" spans="1:14" ht="15" thickBot="1" x14ac:dyDescent="0.35">
      <c r="A231" s="5">
        <v>230</v>
      </c>
      <c r="B231" s="3">
        <f>_xlfn.XLOOKUP(Table3[[#This Row],[instant]],DatSet1!A231:A840,DatSet1!B231:B840,_xlfn.XLOOKUP(Table3[[#This Row],[instant]],'Final Data'!A231:A620,'Final Data'!B231:B620, ,0,1),0,1)</f>
        <v>40553</v>
      </c>
      <c r="C231" s="1">
        <f>_xlfn.XLOOKUP(Table3[[#This Row],[instant]],Table1[instant],Table1[hr], ,0,1)</f>
        <v>20</v>
      </c>
      <c r="D231" s="2" t="b">
        <f>_xlfn.XLOOKUP(Table3[[#This Row],[instant]],Table1[instant],Table1[holiday], ,0,1)</f>
        <v>0</v>
      </c>
      <c r="E231" s="2">
        <f>_xlfn.XLOOKUP(Table3[[#This Row],[instant]],Table1[instant],Table1[weekday], ,0,1)</f>
        <v>1</v>
      </c>
      <c r="F231" s="2">
        <f>_xlfn.XLOOKUP(Table3[[#This Row],[instant]],Table1[instant],Table1[weathersit], ,0,1)</f>
        <v>1</v>
      </c>
      <c r="G231" s="2">
        <f>_xlfn.XLOOKUP(Table3[[#This Row],[instant]],Table1[instant],Table1[temp], ,0,1)</f>
        <v>0.16</v>
      </c>
      <c r="H231" s="24">
        <f>_xlfn.XLOOKUP(Table3[[#This Row],[instant]],Table2[instant],Table2[atemp], ,0,1)</f>
        <v>0.16669999999999999</v>
      </c>
      <c r="I231" s="1">
        <f>_xlfn.XLOOKUP(Table3[[#This Row],[instant]],Table2[instant],Table2[hum], ,0,1)</f>
        <v>0.5</v>
      </c>
      <c r="J231" s="1">
        <f>_xlfn.XLOOKUP(Table3[[#This Row],[instant]],Table2[instant],Table2[windspeed], ,0,1)</f>
        <v>0.16420000000000001</v>
      </c>
      <c r="K231" s="1">
        <f>_xlfn.XLOOKUP(Table3[[#This Row],[instant]],Table2[instant],Table2[casual], ,0,1)</f>
        <v>1</v>
      </c>
      <c r="L231" s="1">
        <f>_xlfn.XLOOKUP(Table3[[#This Row],[instant]],Table2[instant],Table2[registered], ,0,1)</f>
        <v>73</v>
      </c>
      <c r="M231" s="6">
        <f>_xlfn.XLOOKUP(Table3[[#This Row],[instant]],Table2[instant],Table2[cnt], ,0,1)</f>
        <v>74</v>
      </c>
      <c r="N231" s="6" t="str">
        <f>IF(OR(Table3[[#This Row],[weekday]]=0,Table3[[#This Row],[weekday]]=6),"Weekend","Weekday")</f>
        <v>Weekday</v>
      </c>
    </row>
    <row r="232" spans="1:14" ht="15" thickBot="1" x14ac:dyDescent="0.35">
      <c r="A232" s="5">
        <v>231</v>
      </c>
      <c r="B232" s="3">
        <f>_xlfn.XLOOKUP(Table3[[#This Row],[instant]],DatSet1!A232:A841,DatSet1!B232:B841,_xlfn.XLOOKUP(Table3[[#This Row],[instant]],'Final Data'!A232:A621,'Final Data'!B232:B621, ,0,1),0,1)</f>
        <v>40553</v>
      </c>
      <c r="C232" s="1">
        <f>_xlfn.XLOOKUP(Table3[[#This Row],[instant]],Table1[instant],Table1[hr], ,0,1)</f>
        <v>21</v>
      </c>
      <c r="D232" s="2" t="b">
        <f>_xlfn.XLOOKUP(Table3[[#This Row],[instant]],Table1[instant],Table1[holiday], ,0,1)</f>
        <v>0</v>
      </c>
      <c r="E232" s="2">
        <f>_xlfn.XLOOKUP(Table3[[#This Row],[instant]],Table1[instant],Table1[weekday], ,0,1)</f>
        <v>1</v>
      </c>
      <c r="F232" s="2">
        <f>_xlfn.XLOOKUP(Table3[[#This Row],[instant]],Table1[instant],Table1[weathersit], ,0,1)</f>
        <v>1</v>
      </c>
      <c r="G232" s="2">
        <f>_xlfn.XLOOKUP(Table3[[#This Row],[instant]],Table1[instant],Table1[temp], ,0,1)</f>
        <v>0.14000000000000001</v>
      </c>
      <c r="H232" s="24">
        <f>_xlfn.XLOOKUP(Table3[[#This Row],[instant]],Table2[instant],Table2[atemp], ,0,1)</f>
        <v>0.13639999999999999</v>
      </c>
      <c r="I232" s="1">
        <f>_xlfn.XLOOKUP(Table3[[#This Row],[instant]],Table2[instant],Table2[hum], ,0,1)</f>
        <v>0.59</v>
      </c>
      <c r="J232" s="1">
        <f>_xlfn.XLOOKUP(Table3[[#This Row],[instant]],Table2[instant],Table2[windspeed], ,0,1)</f>
        <v>0.19400000000000001</v>
      </c>
      <c r="K232" s="1">
        <f>_xlfn.XLOOKUP(Table3[[#This Row],[instant]],Table2[instant],Table2[casual], ,0,1)</f>
        <v>1</v>
      </c>
      <c r="L232" s="1">
        <f>_xlfn.XLOOKUP(Table3[[#This Row],[instant]],Table2[instant],Table2[registered], ,0,1)</f>
        <v>37</v>
      </c>
      <c r="M232" s="6">
        <f>_xlfn.XLOOKUP(Table3[[#This Row],[instant]],Table2[instant],Table2[cnt], ,0,1)</f>
        <v>38</v>
      </c>
      <c r="N232" s="6" t="str">
        <f>IF(OR(Table3[[#This Row],[weekday]]=0,Table3[[#This Row],[weekday]]=6),"Weekend","Weekday")</f>
        <v>Weekday</v>
      </c>
    </row>
    <row r="233" spans="1:14" ht="15" thickBot="1" x14ac:dyDescent="0.35">
      <c r="A233" s="5">
        <v>232</v>
      </c>
      <c r="B233" s="3">
        <f>_xlfn.XLOOKUP(Table3[[#This Row],[instant]],DatSet1!A233:A842,DatSet1!B233:B842,_xlfn.XLOOKUP(Table3[[#This Row],[instant]],'Final Data'!A233:A622,'Final Data'!B233:B622, ,0,1),0,1)</f>
        <v>40553</v>
      </c>
      <c r="C233" s="1">
        <f>_xlfn.XLOOKUP(Table3[[#This Row],[instant]],Table1[instant],Table1[hr], ,0,1)</f>
        <v>22</v>
      </c>
      <c r="D233" s="2" t="b">
        <f>_xlfn.XLOOKUP(Table3[[#This Row],[instant]],Table1[instant],Table1[holiday], ,0,1)</f>
        <v>0</v>
      </c>
      <c r="E233" s="2">
        <f>_xlfn.XLOOKUP(Table3[[#This Row],[instant]],Table1[instant],Table1[weekday], ,0,1)</f>
        <v>1</v>
      </c>
      <c r="F233" s="2">
        <f>_xlfn.XLOOKUP(Table3[[#This Row],[instant]],Table1[instant],Table1[weathersit], ,0,1)</f>
        <v>1</v>
      </c>
      <c r="G233" s="2">
        <f>_xlfn.XLOOKUP(Table3[[#This Row],[instant]],Table1[instant],Table1[temp], ,0,1)</f>
        <v>0.14000000000000001</v>
      </c>
      <c r="H233" s="24">
        <f>_xlfn.XLOOKUP(Table3[[#This Row],[instant]],Table2[instant],Table2[atemp], ,0,1)</f>
        <v>0.1515</v>
      </c>
      <c r="I233" s="1">
        <f>_xlfn.XLOOKUP(Table3[[#This Row],[instant]],Table2[instant],Table2[hum], ,0,1)</f>
        <v>0.59</v>
      </c>
      <c r="J233" s="1">
        <f>_xlfn.XLOOKUP(Table3[[#This Row],[instant]],Table2[instant],Table2[windspeed], ,0,1)</f>
        <v>0.16420000000000001</v>
      </c>
      <c r="K233" s="1">
        <f>_xlfn.XLOOKUP(Table3[[#This Row],[instant]],Table2[instant],Table2[casual], ,0,1)</f>
        <v>2</v>
      </c>
      <c r="L233" s="1">
        <f>_xlfn.XLOOKUP(Table3[[#This Row],[instant]],Table2[instant],Table2[registered], ,0,1)</f>
        <v>22</v>
      </c>
      <c r="M233" s="6">
        <f>_xlfn.XLOOKUP(Table3[[#This Row],[instant]],Table2[instant],Table2[cnt], ,0,1)</f>
        <v>24</v>
      </c>
      <c r="N233" s="6" t="str">
        <f>IF(OR(Table3[[#This Row],[weekday]]=0,Table3[[#This Row],[weekday]]=6),"Weekend","Weekday")</f>
        <v>Weekday</v>
      </c>
    </row>
    <row r="234" spans="1:14" ht="15" thickBot="1" x14ac:dyDescent="0.35">
      <c r="A234" s="5">
        <v>233</v>
      </c>
      <c r="B234" s="3">
        <f>_xlfn.XLOOKUP(Table3[[#This Row],[instant]],DatSet1!A234:A843,DatSet1!B234:B843,_xlfn.XLOOKUP(Table3[[#This Row],[instant]],'Final Data'!A234:A623,'Final Data'!B234:B623, ,0,1),0,1)</f>
        <v>40553</v>
      </c>
      <c r="C234" s="1">
        <f>_xlfn.XLOOKUP(Table3[[#This Row],[instant]],Table1[instant],Table1[hr], ,0,1)</f>
        <v>23</v>
      </c>
      <c r="D234" s="2" t="b">
        <f>_xlfn.XLOOKUP(Table3[[#This Row],[instant]],Table1[instant],Table1[holiday], ,0,1)</f>
        <v>0</v>
      </c>
      <c r="E234" s="2">
        <f>_xlfn.XLOOKUP(Table3[[#This Row],[instant]],Table1[instant],Table1[weekday], ,0,1)</f>
        <v>1</v>
      </c>
      <c r="F234" s="2">
        <f>_xlfn.XLOOKUP(Table3[[#This Row],[instant]],Table1[instant],Table1[weathersit], ,0,1)</f>
        <v>1</v>
      </c>
      <c r="G234" s="2">
        <f>_xlfn.XLOOKUP(Table3[[#This Row],[instant]],Table1[instant],Table1[temp], ,0,1)</f>
        <v>0.14000000000000001</v>
      </c>
      <c r="H234" s="24">
        <f>_xlfn.XLOOKUP(Table3[[#This Row],[instant]],Table2[instant],Table2[atemp], ,0,1)</f>
        <v>0.1515</v>
      </c>
      <c r="I234" s="1">
        <f>_xlfn.XLOOKUP(Table3[[#This Row],[instant]],Table2[instant],Table2[hum], ,0,1)</f>
        <v>0.59</v>
      </c>
      <c r="J234" s="1">
        <f>_xlfn.XLOOKUP(Table3[[#This Row],[instant]],Table2[instant],Table2[windspeed], ,0,1)</f>
        <v>0.16420000000000001</v>
      </c>
      <c r="K234" s="1">
        <f>_xlfn.XLOOKUP(Table3[[#This Row],[instant]],Table2[instant],Table2[casual], ,0,1)</f>
        <v>0</v>
      </c>
      <c r="L234" s="1">
        <f>_xlfn.XLOOKUP(Table3[[#This Row],[instant]],Table2[instant],Table2[registered], ,0,1)</f>
        <v>18</v>
      </c>
      <c r="M234" s="6">
        <f>_xlfn.XLOOKUP(Table3[[#This Row],[instant]],Table2[instant],Table2[cnt], ,0,1)</f>
        <v>18</v>
      </c>
      <c r="N234" s="6" t="str">
        <f>IF(OR(Table3[[#This Row],[weekday]]=0,Table3[[#This Row],[weekday]]=6),"Weekend","Weekday")</f>
        <v>Weekday</v>
      </c>
    </row>
    <row r="235" spans="1:14" ht="15" thickBot="1" x14ac:dyDescent="0.35">
      <c r="A235" s="5">
        <v>234</v>
      </c>
      <c r="B235" s="3">
        <f>_xlfn.XLOOKUP(Table3[[#This Row],[instant]],DatSet1!A235:A844,DatSet1!B235:B844,_xlfn.XLOOKUP(Table3[[#This Row],[instant]],'Final Data'!A235:A624,'Final Data'!B235:B624, ,0,1),0,1)</f>
        <v>40554</v>
      </c>
      <c r="C235" s="1">
        <f>_xlfn.XLOOKUP(Table3[[#This Row],[instant]],Table1[instant],Table1[hr], ,0,1)</f>
        <v>0</v>
      </c>
      <c r="D235" s="2" t="b">
        <f>_xlfn.XLOOKUP(Table3[[#This Row],[instant]],Table1[instant],Table1[holiday], ,0,1)</f>
        <v>0</v>
      </c>
      <c r="E235" s="2">
        <f>_xlfn.XLOOKUP(Table3[[#This Row],[instant]],Table1[instant],Table1[weekday], ,0,1)</f>
        <v>2</v>
      </c>
      <c r="F235" s="2">
        <f>_xlfn.XLOOKUP(Table3[[#This Row],[instant]],Table1[instant],Table1[weathersit], ,0,1)</f>
        <v>1</v>
      </c>
      <c r="G235" s="2">
        <f>_xlfn.XLOOKUP(Table3[[#This Row],[instant]],Table1[instant],Table1[temp], ,0,1)</f>
        <v>0.14000000000000001</v>
      </c>
      <c r="H235" s="24">
        <f>_xlfn.XLOOKUP(Table3[[#This Row],[instant]],Table2[instant],Table2[atemp], ,0,1)</f>
        <v>0.16669999999999999</v>
      </c>
      <c r="I235" s="1">
        <f>_xlfn.XLOOKUP(Table3[[#This Row],[instant]],Table2[instant],Table2[hum], ,0,1)</f>
        <v>0.59</v>
      </c>
      <c r="J235" s="1">
        <f>_xlfn.XLOOKUP(Table3[[#This Row],[instant]],Table2[instant],Table2[windspeed], ,0,1)</f>
        <v>0.1045</v>
      </c>
      <c r="K235" s="1">
        <f>_xlfn.XLOOKUP(Table3[[#This Row],[instant]],Table2[instant],Table2[casual], ,0,1)</f>
        <v>2</v>
      </c>
      <c r="L235" s="1">
        <f>_xlfn.XLOOKUP(Table3[[#This Row],[instant]],Table2[instant],Table2[registered], ,0,1)</f>
        <v>10</v>
      </c>
      <c r="M235" s="6">
        <f>_xlfn.XLOOKUP(Table3[[#This Row],[instant]],Table2[instant],Table2[cnt], ,0,1)</f>
        <v>12</v>
      </c>
      <c r="N235" s="6" t="str">
        <f>IF(OR(Table3[[#This Row],[weekday]]=0,Table3[[#This Row],[weekday]]=6),"Weekend","Weekday")</f>
        <v>Weekday</v>
      </c>
    </row>
    <row r="236" spans="1:14" ht="15" thickBot="1" x14ac:dyDescent="0.35">
      <c r="A236" s="5">
        <v>235</v>
      </c>
      <c r="B236" s="3">
        <f>_xlfn.XLOOKUP(Table3[[#This Row],[instant]],DatSet1!A236:A845,DatSet1!B236:B845,_xlfn.XLOOKUP(Table3[[#This Row],[instant]],'Final Data'!A236:A625,'Final Data'!B236:B625, ,0,1),0,1)</f>
        <v>40554</v>
      </c>
      <c r="C236" s="1">
        <f>_xlfn.XLOOKUP(Table3[[#This Row],[instant]],Table1[instant],Table1[hr], ,0,1)</f>
        <v>1</v>
      </c>
      <c r="D236" s="2" t="b">
        <f>_xlfn.XLOOKUP(Table3[[#This Row],[instant]],Table1[instant],Table1[holiday], ,0,1)</f>
        <v>0</v>
      </c>
      <c r="E236" s="2">
        <f>_xlfn.XLOOKUP(Table3[[#This Row],[instant]],Table1[instant],Table1[weekday], ,0,1)</f>
        <v>2</v>
      </c>
      <c r="F236" s="2">
        <f>_xlfn.XLOOKUP(Table3[[#This Row],[instant]],Table1[instant],Table1[weathersit], ,0,1)</f>
        <v>1</v>
      </c>
      <c r="G236" s="2">
        <f>_xlfn.XLOOKUP(Table3[[#This Row],[instant]],Table1[instant],Table1[temp], ,0,1)</f>
        <v>0.14000000000000001</v>
      </c>
      <c r="H236" s="24">
        <f>_xlfn.XLOOKUP(Table3[[#This Row],[instant]],Table2[instant],Table2[atemp], ,0,1)</f>
        <v>0.1515</v>
      </c>
      <c r="I236" s="1">
        <f>_xlfn.XLOOKUP(Table3[[#This Row],[instant]],Table2[instant],Table2[hum], ,0,1)</f>
        <v>0.59</v>
      </c>
      <c r="J236" s="1">
        <f>_xlfn.XLOOKUP(Table3[[#This Row],[instant]],Table2[instant],Table2[windspeed], ,0,1)</f>
        <v>0.16420000000000001</v>
      </c>
      <c r="K236" s="1">
        <f>_xlfn.XLOOKUP(Table3[[#This Row],[instant]],Table2[instant],Table2[casual], ,0,1)</f>
        <v>0</v>
      </c>
      <c r="L236" s="1">
        <f>_xlfn.XLOOKUP(Table3[[#This Row],[instant]],Table2[instant],Table2[registered], ,0,1)</f>
        <v>3</v>
      </c>
      <c r="M236" s="6">
        <f>_xlfn.XLOOKUP(Table3[[#This Row],[instant]],Table2[instant],Table2[cnt], ,0,1)</f>
        <v>3</v>
      </c>
      <c r="N236" s="6" t="str">
        <f>IF(OR(Table3[[#This Row],[weekday]]=0,Table3[[#This Row],[weekday]]=6),"Weekend","Weekday")</f>
        <v>Weekday</v>
      </c>
    </row>
    <row r="237" spans="1:14" ht="15" thickBot="1" x14ac:dyDescent="0.35">
      <c r="A237" s="5">
        <v>236</v>
      </c>
      <c r="B237" s="3">
        <f>_xlfn.XLOOKUP(Table3[[#This Row],[instant]],DatSet1!A237:A846,DatSet1!B237:B846,_xlfn.XLOOKUP(Table3[[#This Row],[instant]],'Final Data'!A237:A626,'Final Data'!B237:B626, ,0,1),0,1)</f>
        <v>40554</v>
      </c>
      <c r="C237" s="1">
        <f>_xlfn.XLOOKUP(Table3[[#This Row],[instant]],Table1[instant],Table1[hr], ,0,1)</f>
        <v>2</v>
      </c>
      <c r="D237" s="2" t="b">
        <f>_xlfn.XLOOKUP(Table3[[#This Row],[instant]],Table1[instant],Table1[holiday], ,0,1)</f>
        <v>0</v>
      </c>
      <c r="E237" s="2">
        <f>_xlfn.XLOOKUP(Table3[[#This Row],[instant]],Table1[instant],Table1[weekday], ,0,1)</f>
        <v>2</v>
      </c>
      <c r="F237" s="2">
        <f>_xlfn.XLOOKUP(Table3[[#This Row],[instant]],Table1[instant],Table1[weathersit], ,0,1)</f>
        <v>2</v>
      </c>
      <c r="G237" s="2">
        <f>_xlfn.XLOOKUP(Table3[[#This Row],[instant]],Table1[instant],Table1[temp], ,0,1)</f>
        <v>0.16</v>
      </c>
      <c r="H237" s="24">
        <f>_xlfn.XLOOKUP(Table3[[#This Row],[instant]],Table2[instant],Table2[atemp], ,0,1)</f>
        <v>0.1515</v>
      </c>
      <c r="I237" s="1">
        <f>_xlfn.XLOOKUP(Table3[[#This Row],[instant]],Table2[instant],Table2[hum], ,0,1)</f>
        <v>0.55000000000000004</v>
      </c>
      <c r="J237" s="1">
        <f>_xlfn.XLOOKUP(Table3[[#This Row],[instant]],Table2[instant],Table2[windspeed], ,0,1)</f>
        <v>0.19400000000000001</v>
      </c>
      <c r="K237" s="1">
        <f>_xlfn.XLOOKUP(Table3[[#This Row],[instant]],Table2[instant],Table2[casual], ,0,1)</f>
        <v>0</v>
      </c>
      <c r="L237" s="1">
        <f>_xlfn.XLOOKUP(Table3[[#This Row],[instant]],Table2[instant],Table2[registered], ,0,1)</f>
        <v>3</v>
      </c>
      <c r="M237" s="6">
        <f>_xlfn.XLOOKUP(Table3[[#This Row],[instant]],Table2[instant],Table2[cnt], ,0,1)</f>
        <v>3</v>
      </c>
      <c r="N237" s="6" t="str">
        <f>IF(OR(Table3[[#This Row],[weekday]]=0,Table3[[#This Row],[weekday]]=6),"Weekend","Weekday")</f>
        <v>Weekday</v>
      </c>
    </row>
    <row r="238" spans="1:14" ht="15" thickBot="1" x14ac:dyDescent="0.35">
      <c r="A238" s="5">
        <v>237</v>
      </c>
      <c r="B238" s="3">
        <f>_xlfn.XLOOKUP(Table3[[#This Row],[instant]],DatSet1!A238:A847,DatSet1!B238:B847,_xlfn.XLOOKUP(Table3[[#This Row],[instant]],'Final Data'!A238:A627,'Final Data'!B238:B627, ,0,1),0,1)</f>
        <v>40554</v>
      </c>
      <c r="C238" s="1">
        <f>_xlfn.XLOOKUP(Table3[[#This Row],[instant]],Table1[instant],Table1[hr], ,0,1)</f>
        <v>5</v>
      </c>
      <c r="D238" s="2" t="b">
        <f>_xlfn.XLOOKUP(Table3[[#This Row],[instant]],Table1[instant],Table1[holiday], ,0,1)</f>
        <v>0</v>
      </c>
      <c r="E238" s="2">
        <f>_xlfn.XLOOKUP(Table3[[#This Row],[instant]],Table1[instant],Table1[weekday], ,0,1)</f>
        <v>2</v>
      </c>
      <c r="F238" s="2">
        <f>_xlfn.XLOOKUP(Table3[[#This Row],[instant]],Table1[instant],Table1[weathersit], ,0,1)</f>
        <v>2</v>
      </c>
      <c r="G238" s="2">
        <f>_xlfn.XLOOKUP(Table3[[#This Row],[instant]],Table1[instant],Table1[temp], ,0,1)</f>
        <v>0.16</v>
      </c>
      <c r="H238" s="24">
        <f>_xlfn.XLOOKUP(Table3[[#This Row],[instant]],Table2[instant],Table2[atemp], ,0,1)</f>
        <v>0.18179999999999999</v>
      </c>
      <c r="I238" s="1">
        <f>_xlfn.XLOOKUP(Table3[[#This Row],[instant]],Table2[instant],Table2[hum], ,0,1)</f>
        <v>0.55000000000000004</v>
      </c>
      <c r="J238" s="1">
        <f>_xlfn.XLOOKUP(Table3[[#This Row],[instant]],Table2[instant],Table2[windspeed], ,0,1)</f>
        <v>0.1343</v>
      </c>
      <c r="K238" s="1">
        <f>_xlfn.XLOOKUP(Table3[[#This Row],[instant]],Table2[instant],Table2[casual], ,0,1)</f>
        <v>0</v>
      </c>
      <c r="L238" s="1">
        <f>_xlfn.XLOOKUP(Table3[[#This Row],[instant]],Table2[instant],Table2[registered], ,0,1)</f>
        <v>6</v>
      </c>
      <c r="M238" s="6">
        <f>_xlfn.XLOOKUP(Table3[[#This Row],[instant]],Table2[instant],Table2[cnt], ,0,1)</f>
        <v>6</v>
      </c>
      <c r="N238" s="6" t="str">
        <f>IF(OR(Table3[[#This Row],[weekday]]=0,Table3[[#This Row],[weekday]]=6),"Weekend","Weekday")</f>
        <v>Weekday</v>
      </c>
    </row>
    <row r="239" spans="1:14" ht="15" thickBot="1" x14ac:dyDescent="0.35">
      <c r="A239" s="5">
        <v>238</v>
      </c>
      <c r="B239" s="3">
        <f>_xlfn.XLOOKUP(Table3[[#This Row],[instant]],DatSet1!A239:A848,DatSet1!B239:B848,_xlfn.XLOOKUP(Table3[[#This Row],[instant]],'Final Data'!A239:A628,'Final Data'!B239:B628, ,0,1),0,1)</f>
        <v>40554</v>
      </c>
      <c r="C239" s="1">
        <f>_xlfn.XLOOKUP(Table3[[#This Row],[instant]],Table1[instant],Table1[hr], ,0,1)</f>
        <v>6</v>
      </c>
      <c r="D239" s="2" t="b">
        <f>_xlfn.XLOOKUP(Table3[[#This Row],[instant]],Table1[instant],Table1[holiday], ,0,1)</f>
        <v>0</v>
      </c>
      <c r="E239" s="2">
        <f>_xlfn.XLOOKUP(Table3[[#This Row],[instant]],Table1[instant],Table1[weekday], ,0,1)</f>
        <v>2</v>
      </c>
      <c r="F239" s="2">
        <f>_xlfn.XLOOKUP(Table3[[#This Row],[instant]],Table1[instant],Table1[weathersit], ,0,1)</f>
        <v>2</v>
      </c>
      <c r="G239" s="2">
        <f>_xlfn.XLOOKUP(Table3[[#This Row],[instant]],Table1[instant],Table1[temp], ,0,1)</f>
        <v>0.16</v>
      </c>
      <c r="H239" s="24">
        <f>_xlfn.XLOOKUP(Table3[[#This Row],[instant]],Table2[instant],Table2[atemp], ,0,1)</f>
        <v>0.18179999999999999</v>
      </c>
      <c r="I239" s="1">
        <f>_xlfn.XLOOKUP(Table3[[#This Row],[instant]],Table2[instant],Table2[hum], ,0,1)</f>
        <v>0.55000000000000004</v>
      </c>
      <c r="J239" s="1">
        <f>_xlfn.XLOOKUP(Table3[[#This Row],[instant]],Table2[instant],Table2[windspeed], ,0,1)</f>
        <v>0.1343</v>
      </c>
      <c r="K239" s="1">
        <f>_xlfn.XLOOKUP(Table3[[#This Row],[instant]],Table2[instant],Table2[casual], ,0,1)</f>
        <v>0</v>
      </c>
      <c r="L239" s="1">
        <f>_xlfn.XLOOKUP(Table3[[#This Row],[instant]],Table2[instant],Table2[registered], ,0,1)</f>
        <v>27</v>
      </c>
      <c r="M239" s="6">
        <f>_xlfn.XLOOKUP(Table3[[#This Row],[instant]],Table2[instant],Table2[cnt], ,0,1)</f>
        <v>27</v>
      </c>
      <c r="N239" s="6" t="str">
        <f>IF(OR(Table3[[#This Row],[weekday]]=0,Table3[[#This Row],[weekday]]=6),"Weekend","Weekday")</f>
        <v>Weekday</v>
      </c>
    </row>
    <row r="240" spans="1:14" ht="15" thickBot="1" x14ac:dyDescent="0.35">
      <c r="A240" s="5">
        <v>239</v>
      </c>
      <c r="B240" s="3">
        <f>_xlfn.XLOOKUP(Table3[[#This Row],[instant]],DatSet1!A240:A849,DatSet1!B240:B849,_xlfn.XLOOKUP(Table3[[#This Row],[instant]],'Final Data'!A240:A629,'Final Data'!B240:B629, ,0,1),0,1)</f>
        <v>40554</v>
      </c>
      <c r="C240" s="1">
        <f>_xlfn.XLOOKUP(Table3[[#This Row],[instant]],Table1[instant],Table1[hr], ,0,1)</f>
        <v>7</v>
      </c>
      <c r="D240" s="2" t="b">
        <f>_xlfn.XLOOKUP(Table3[[#This Row],[instant]],Table1[instant],Table1[holiday], ,0,1)</f>
        <v>0</v>
      </c>
      <c r="E240" s="2">
        <f>_xlfn.XLOOKUP(Table3[[#This Row],[instant]],Table1[instant],Table1[weekday], ,0,1)</f>
        <v>2</v>
      </c>
      <c r="F240" s="2">
        <f>_xlfn.XLOOKUP(Table3[[#This Row],[instant]],Table1[instant],Table1[weathersit], ,0,1)</f>
        <v>2</v>
      </c>
      <c r="G240" s="2">
        <f>_xlfn.XLOOKUP(Table3[[#This Row],[instant]],Table1[instant],Table1[temp], ,0,1)</f>
        <v>0.16</v>
      </c>
      <c r="H240" s="24">
        <f>_xlfn.XLOOKUP(Table3[[#This Row],[instant]],Table2[instant],Table2[atemp], ,0,1)</f>
        <v>0.2273</v>
      </c>
      <c r="I240" s="1">
        <f>_xlfn.XLOOKUP(Table3[[#This Row],[instant]],Table2[instant],Table2[hum], ,0,1)</f>
        <v>0.55000000000000004</v>
      </c>
      <c r="J240" s="1">
        <f>_xlfn.XLOOKUP(Table3[[#This Row],[instant]],Table2[instant],Table2[windspeed], ,0,1)</f>
        <v>0</v>
      </c>
      <c r="K240" s="1">
        <f>_xlfn.XLOOKUP(Table3[[#This Row],[instant]],Table2[instant],Table2[casual], ,0,1)</f>
        <v>2</v>
      </c>
      <c r="L240" s="1">
        <f>_xlfn.XLOOKUP(Table3[[#This Row],[instant]],Table2[instant],Table2[registered], ,0,1)</f>
        <v>97</v>
      </c>
      <c r="M240" s="6">
        <f>_xlfn.XLOOKUP(Table3[[#This Row],[instant]],Table2[instant],Table2[cnt], ,0,1)</f>
        <v>99</v>
      </c>
      <c r="N240" s="6" t="str">
        <f>IF(OR(Table3[[#This Row],[weekday]]=0,Table3[[#This Row],[weekday]]=6),"Weekend","Weekday")</f>
        <v>Weekday</v>
      </c>
    </row>
    <row r="241" spans="1:14" ht="15" thickBot="1" x14ac:dyDescent="0.35">
      <c r="A241" s="5">
        <v>240</v>
      </c>
      <c r="B241" s="3">
        <f>_xlfn.XLOOKUP(Table3[[#This Row],[instant]],DatSet1!A241:A850,DatSet1!B241:B850,_xlfn.XLOOKUP(Table3[[#This Row],[instant]],'Final Data'!A241:A630,'Final Data'!B241:B630, ,0,1),0,1)</f>
        <v>40554</v>
      </c>
      <c r="C241" s="1">
        <f>_xlfn.XLOOKUP(Table3[[#This Row],[instant]],Table1[instant],Table1[hr], ,0,1)</f>
        <v>8</v>
      </c>
      <c r="D241" s="2" t="b">
        <f>_xlfn.XLOOKUP(Table3[[#This Row],[instant]],Table1[instant],Table1[holiday], ,0,1)</f>
        <v>0</v>
      </c>
      <c r="E241" s="2">
        <f>_xlfn.XLOOKUP(Table3[[#This Row],[instant]],Table1[instant],Table1[weekday], ,0,1)</f>
        <v>2</v>
      </c>
      <c r="F241" s="2">
        <f>_xlfn.XLOOKUP(Table3[[#This Row],[instant]],Table1[instant],Table1[weathersit], ,0,1)</f>
        <v>2</v>
      </c>
      <c r="G241" s="2">
        <f>_xlfn.XLOOKUP(Table3[[#This Row],[instant]],Table1[instant],Table1[temp], ,0,1)</f>
        <v>0.18</v>
      </c>
      <c r="H241" s="24">
        <f>_xlfn.XLOOKUP(Table3[[#This Row],[instant]],Table2[instant],Table2[atemp], ,0,1)</f>
        <v>0.21210000000000001</v>
      </c>
      <c r="I241" s="1">
        <f>_xlfn.XLOOKUP(Table3[[#This Row],[instant]],Table2[instant],Table2[hum], ,0,1)</f>
        <v>0.51</v>
      </c>
      <c r="J241" s="1">
        <f>_xlfn.XLOOKUP(Table3[[#This Row],[instant]],Table2[instant],Table2[windspeed], ,0,1)</f>
        <v>8.9599999999999999E-2</v>
      </c>
      <c r="K241" s="1">
        <f>_xlfn.XLOOKUP(Table3[[#This Row],[instant]],Table2[instant],Table2[casual], ,0,1)</f>
        <v>3</v>
      </c>
      <c r="L241" s="1">
        <f>_xlfn.XLOOKUP(Table3[[#This Row],[instant]],Table2[instant],Table2[registered], ,0,1)</f>
        <v>214</v>
      </c>
      <c r="M241" s="6">
        <f>_xlfn.XLOOKUP(Table3[[#This Row],[instant]],Table2[instant],Table2[cnt], ,0,1)</f>
        <v>217</v>
      </c>
      <c r="N241" s="6" t="str">
        <f>IF(OR(Table3[[#This Row],[weekday]]=0,Table3[[#This Row],[weekday]]=6),"Weekend","Weekday")</f>
        <v>Weekday</v>
      </c>
    </row>
    <row r="242" spans="1:14" ht="15" thickBot="1" x14ac:dyDescent="0.35">
      <c r="A242" s="5">
        <v>241</v>
      </c>
      <c r="B242" s="3">
        <f>_xlfn.XLOOKUP(Table3[[#This Row],[instant]],DatSet1!A242:A851,DatSet1!B242:B851,_xlfn.XLOOKUP(Table3[[#This Row],[instant]],'Final Data'!A242:A631,'Final Data'!B242:B631, ,0,1),0,1)</f>
        <v>40554</v>
      </c>
      <c r="C242" s="1">
        <f>_xlfn.XLOOKUP(Table3[[#This Row],[instant]],Table1[instant],Table1[hr], ,0,1)</f>
        <v>9</v>
      </c>
      <c r="D242" s="2" t="b">
        <f>_xlfn.XLOOKUP(Table3[[#This Row],[instant]],Table1[instant],Table1[holiday], ,0,1)</f>
        <v>0</v>
      </c>
      <c r="E242" s="2">
        <f>_xlfn.XLOOKUP(Table3[[#This Row],[instant]],Table1[instant],Table1[weekday], ,0,1)</f>
        <v>2</v>
      </c>
      <c r="F242" s="2">
        <f>_xlfn.XLOOKUP(Table3[[#This Row],[instant]],Table1[instant],Table1[weathersit], ,0,1)</f>
        <v>2</v>
      </c>
      <c r="G242" s="2">
        <f>_xlfn.XLOOKUP(Table3[[#This Row],[instant]],Table1[instant],Table1[temp], ,0,1)</f>
        <v>0.18</v>
      </c>
      <c r="H242" s="24">
        <f>_xlfn.XLOOKUP(Table3[[#This Row],[instant]],Table2[instant],Table2[atemp], ,0,1)</f>
        <v>0.19700000000000001</v>
      </c>
      <c r="I242" s="1">
        <f>_xlfn.XLOOKUP(Table3[[#This Row],[instant]],Table2[instant],Table2[hum], ,0,1)</f>
        <v>0.51</v>
      </c>
      <c r="J242" s="1">
        <f>_xlfn.XLOOKUP(Table3[[#This Row],[instant]],Table2[instant],Table2[windspeed], ,0,1)</f>
        <v>0.16420000000000001</v>
      </c>
      <c r="K242" s="1">
        <f>_xlfn.XLOOKUP(Table3[[#This Row],[instant]],Table2[instant],Table2[casual], ,0,1)</f>
        <v>3</v>
      </c>
      <c r="L242" s="1">
        <f>_xlfn.XLOOKUP(Table3[[#This Row],[instant]],Table2[instant],Table2[registered], ,0,1)</f>
        <v>127</v>
      </c>
      <c r="M242" s="6">
        <f>_xlfn.XLOOKUP(Table3[[#This Row],[instant]],Table2[instant],Table2[cnt], ,0,1)</f>
        <v>130</v>
      </c>
      <c r="N242" s="6" t="str">
        <f>IF(OR(Table3[[#This Row],[weekday]]=0,Table3[[#This Row],[weekday]]=6),"Weekend","Weekday")</f>
        <v>Weekday</v>
      </c>
    </row>
    <row r="243" spans="1:14" ht="15" thickBot="1" x14ac:dyDescent="0.35">
      <c r="A243" s="5">
        <v>242</v>
      </c>
      <c r="B243" s="3">
        <f>_xlfn.XLOOKUP(Table3[[#This Row],[instant]],DatSet1!A243:A852,DatSet1!B243:B852,_xlfn.XLOOKUP(Table3[[#This Row],[instant]],'Final Data'!A243:A632,'Final Data'!B243:B632, ,0,1),0,1)</f>
        <v>40554</v>
      </c>
      <c r="C243" s="1">
        <f>_xlfn.XLOOKUP(Table3[[#This Row],[instant]],Table1[instant],Table1[hr], ,0,1)</f>
        <v>10</v>
      </c>
      <c r="D243" s="2" t="b">
        <f>_xlfn.XLOOKUP(Table3[[#This Row],[instant]],Table1[instant],Table1[holiday], ,0,1)</f>
        <v>0</v>
      </c>
      <c r="E243" s="2">
        <f>_xlfn.XLOOKUP(Table3[[#This Row],[instant]],Table1[instant],Table1[weekday], ,0,1)</f>
        <v>2</v>
      </c>
      <c r="F243" s="2">
        <f>_xlfn.XLOOKUP(Table3[[#This Row],[instant]],Table1[instant],Table1[weathersit], ,0,1)</f>
        <v>2</v>
      </c>
      <c r="G243" s="2">
        <f>_xlfn.XLOOKUP(Table3[[#This Row],[instant]],Table1[instant],Table1[temp], ,0,1)</f>
        <v>0.2</v>
      </c>
      <c r="H243" s="24">
        <f>_xlfn.XLOOKUP(Table3[[#This Row],[instant]],Table2[instant],Table2[atemp], ,0,1)</f>
        <v>0.21210000000000001</v>
      </c>
      <c r="I243" s="1">
        <f>_xlfn.XLOOKUP(Table3[[#This Row],[instant]],Table2[instant],Table2[hum], ,0,1)</f>
        <v>0.51</v>
      </c>
      <c r="J243" s="1">
        <f>_xlfn.XLOOKUP(Table3[[#This Row],[instant]],Table2[instant],Table2[windspeed], ,0,1)</f>
        <v>0.16420000000000001</v>
      </c>
      <c r="K243" s="1">
        <f>_xlfn.XLOOKUP(Table3[[#This Row],[instant]],Table2[instant],Table2[casual], ,0,1)</f>
        <v>3</v>
      </c>
      <c r="L243" s="1">
        <f>_xlfn.XLOOKUP(Table3[[#This Row],[instant]],Table2[instant],Table2[registered], ,0,1)</f>
        <v>51</v>
      </c>
      <c r="M243" s="6">
        <f>_xlfn.XLOOKUP(Table3[[#This Row],[instant]],Table2[instant],Table2[cnt], ,0,1)</f>
        <v>54</v>
      </c>
      <c r="N243" s="6" t="str">
        <f>IF(OR(Table3[[#This Row],[weekday]]=0,Table3[[#This Row],[weekday]]=6),"Weekend","Weekday")</f>
        <v>Weekday</v>
      </c>
    </row>
    <row r="244" spans="1:14" ht="15" thickBot="1" x14ac:dyDescent="0.35">
      <c r="A244" s="5">
        <v>243</v>
      </c>
      <c r="B244" s="3">
        <f>_xlfn.XLOOKUP(Table3[[#This Row],[instant]],DatSet1!A244:A853,DatSet1!B244:B853,_xlfn.XLOOKUP(Table3[[#This Row],[instant]],'Final Data'!A244:A633,'Final Data'!B244:B633, ,0,1),0,1)</f>
        <v>40554</v>
      </c>
      <c r="C244" s="1">
        <f>_xlfn.XLOOKUP(Table3[[#This Row],[instant]],Table1[instant],Table1[hr], ,0,1)</f>
        <v>11</v>
      </c>
      <c r="D244" s="2" t="b">
        <f>_xlfn.XLOOKUP(Table3[[#This Row],[instant]],Table1[instant],Table1[holiday], ,0,1)</f>
        <v>0</v>
      </c>
      <c r="E244" s="2">
        <f>_xlfn.XLOOKUP(Table3[[#This Row],[instant]],Table1[instant],Table1[weekday], ,0,1)</f>
        <v>2</v>
      </c>
      <c r="F244" s="2">
        <f>_xlfn.XLOOKUP(Table3[[#This Row],[instant]],Table1[instant],Table1[weathersit], ,0,1)</f>
        <v>2</v>
      </c>
      <c r="G244" s="2">
        <f>_xlfn.XLOOKUP(Table3[[#This Row],[instant]],Table1[instant],Table1[temp], ,0,1)</f>
        <v>0.2</v>
      </c>
      <c r="H244" s="24">
        <f>_xlfn.XLOOKUP(Table3[[#This Row],[instant]],Table2[instant],Table2[atemp], ,0,1)</f>
        <v>0.21210000000000001</v>
      </c>
      <c r="I244" s="1">
        <f>_xlfn.XLOOKUP(Table3[[#This Row],[instant]],Table2[instant],Table2[hum], ,0,1)</f>
        <v>0.47</v>
      </c>
      <c r="J244" s="1">
        <f>_xlfn.XLOOKUP(Table3[[#This Row],[instant]],Table2[instant],Table2[windspeed], ,0,1)</f>
        <v>0.1343</v>
      </c>
      <c r="K244" s="1">
        <f>_xlfn.XLOOKUP(Table3[[#This Row],[instant]],Table2[instant],Table2[casual], ,0,1)</f>
        <v>4</v>
      </c>
      <c r="L244" s="1">
        <f>_xlfn.XLOOKUP(Table3[[#This Row],[instant]],Table2[instant],Table2[registered], ,0,1)</f>
        <v>31</v>
      </c>
      <c r="M244" s="6">
        <f>_xlfn.XLOOKUP(Table3[[#This Row],[instant]],Table2[instant],Table2[cnt], ,0,1)</f>
        <v>35</v>
      </c>
      <c r="N244" s="6" t="str">
        <f>IF(OR(Table3[[#This Row],[weekday]]=0,Table3[[#This Row],[weekday]]=6),"Weekend","Weekday")</f>
        <v>Weekday</v>
      </c>
    </row>
    <row r="245" spans="1:14" ht="15" thickBot="1" x14ac:dyDescent="0.35">
      <c r="A245" s="5">
        <v>244</v>
      </c>
      <c r="B245" s="3">
        <f>_xlfn.XLOOKUP(Table3[[#This Row],[instant]],DatSet1!A245:A854,DatSet1!B245:B854,_xlfn.XLOOKUP(Table3[[#This Row],[instant]],'Final Data'!A245:A634,'Final Data'!B245:B634, ,0,1),0,1)</f>
        <v>40554</v>
      </c>
      <c r="C245" s="1">
        <f>_xlfn.XLOOKUP(Table3[[#This Row],[instant]],Table1[instant],Table1[hr], ,0,1)</f>
        <v>12</v>
      </c>
      <c r="D245" s="2" t="b">
        <f>_xlfn.XLOOKUP(Table3[[#This Row],[instant]],Table1[instant],Table1[holiday], ,0,1)</f>
        <v>0</v>
      </c>
      <c r="E245" s="2">
        <f>_xlfn.XLOOKUP(Table3[[#This Row],[instant]],Table1[instant],Table1[weekday], ,0,1)</f>
        <v>2</v>
      </c>
      <c r="F245" s="2">
        <f>_xlfn.XLOOKUP(Table3[[#This Row],[instant]],Table1[instant],Table1[weathersit], ,0,1)</f>
        <v>2</v>
      </c>
      <c r="G245" s="2">
        <f>_xlfn.XLOOKUP(Table3[[#This Row],[instant]],Table1[instant],Table1[temp], ,0,1)</f>
        <v>0.2</v>
      </c>
      <c r="H245" s="24">
        <f>_xlfn.XLOOKUP(Table3[[#This Row],[instant]],Table2[instant],Table2[atemp], ,0,1)</f>
        <v>0.2273</v>
      </c>
      <c r="I245" s="1">
        <f>_xlfn.XLOOKUP(Table3[[#This Row],[instant]],Table2[instant],Table2[hum], ,0,1)</f>
        <v>0.51</v>
      </c>
      <c r="J245" s="1">
        <f>_xlfn.XLOOKUP(Table3[[#This Row],[instant]],Table2[instant],Table2[windspeed], ,0,1)</f>
        <v>0.1045</v>
      </c>
      <c r="K245" s="1">
        <f>_xlfn.XLOOKUP(Table3[[#This Row],[instant]],Table2[instant],Table2[casual], ,0,1)</f>
        <v>2</v>
      </c>
      <c r="L245" s="1">
        <f>_xlfn.XLOOKUP(Table3[[#This Row],[instant]],Table2[instant],Table2[registered], ,0,1)</f>
        <v>55</v>
      </c>
      <c r="M245" s="6">
        <f>_xlfn.XLOOKUP(Table3[[#This Row],[instant]],Table2[instant],Table2[cnt], ,0,1)</f>
        <v>57</v>
      </c>
      <c r="N245" s="6" t="str">
        <f>IF(OR(Table3[[#This Row],[weekday]]=0,Table3[[#This Row],[weekday]]=6),"Weekend","Weekday")</f>
        <v>Weekday</v>
      </c>
    </row>
    <row r="246" spans="1:14" ht="15" thickBot="1" x14ac:dyDescent="0.35">
      <c r="A246" s="5">
        <v>245</v>
      </c>
      <c r="B246" s="3">
        <f>_xlfn.XLOOKUP(Table3[[#This Row],[instant]],DatSet1!A246:A855,DatSet1!B246:B855,_xlfn.XLOOKUP(Table3[[#This Row],[instant]],'Final Data'!A246:A635,'Final Data'!B246:B635, ,0,1),0,1)</f>
        <v>40554</v>
      </c>
      <c r="C246" s="1">
        <f>_xlfn.XLOOKUP(Table3[[#This Row],[instant]],Table1[instant],Table1[hr], ,0,1)</f>
        <v>13</v>
      </c>
      <c r="D246" s="2" t="b">
        <f>_xlfn.XLOOKUP(Table3[[#This Row],[instant]],Table1[instant],Table1[holiday], ,0,1)</f>
        <v>0</v>
      </c>
      <c r="E246" s="2">
        <f>_xlfn.XLOOKUP(Table3[[#This Row],[instant]],Table1[instant],Table1[weekday], ,0,1)</f>
        <v>2</v>
      </c>
      <c r="F246" s="2">
        <f>_xlfn.XLOOKUP(Table3[[#This Row],[instant]],Table1[instant],Table1[weathersit], ,0,1)</f>
        <v>2</v>
      </c>
      <c r="G246" s="2">
        <f>_xlfn.XLOOKUP(Table3[[#This Row],[instant]],Table1[instant],Table1[temp], ,0,1)</f>
        <v>0.2</v>
      </c>
      <c r="H246" s="24">
        <f>_xlfn.XLOOKUP(Table3[[#This Row],[instant]],Table2[instant],Table2[atemp], ,0,1)</f>
        <v>0.2273</v>
      </c>
      <c r="I246" s="1">
        <f>_xlfn.XLOOKUP(Table3[[#This Row],[instant]],Table2[instant],Table2[hum], ,0,1)</f>
        <v>0.59</v>
      </c>
      <c r="J246" s="1">
        <f>_xlfn.XLOOKUP(Table3[[#This Row],[instant]],Table2[instant],Table2[windspeed], ,0,1)</f>
        <v>8.9599999999999999E-2</v>
      </c>
      <c r="K246" s="1">
        <f>_xlfn.XLOOKUP(Table3[[#This Row],[instant]],Table2[instant],Table2[casual], ,0,1)</f>
        <v>6</v>
      </c>
      <c r="L246" s="1">
        <f>_xlfn.XLOOKUP(Table3[[#This Row],[instant]],Table2[instant],Table2[registered], ,0,1)</f>
        <v>46</v>
      </c>
      <c r="M246" s="6">
        <f>_xlfn.XLOOKUP(Table3[[#This Row],[instant]],Table2[instant],Table2[cnt], ,0,1)</f>
        <v>52</v>
      </c>
      <c r="N246" s="6" t="str">
        <f>IF(OR(Table3[[#This Row],[weekday]]=0,Table3[[#This Row],[weekday]]=6),"Weekend","Weekday")</f>
        <v>Weekday</v>
      </c>
    </row>
    <row r="247" spans="1:14" ht="15" thickBot="1" x14ac:dyDescent="0.35">
      <c r="A247" s="5">
        <v>246</v>
      </c>
      <c r="B247" s="3">
        <f>_xlfn.XLOOKUP(Table3[[#This Row],[instant]],DatSet1!A247:A856,DatSet1!B247:B856,_xlfn.XLOOKUP(Table3[[#This Row],[instant]],'Final Data'!A247:A636,'Final Data'!B247:B636, ,0,1),0,1)</f>
        <v>40554</v>
      </c>
      <c r="C247" s="1">
        <f>_xlfn.XLOOKUP(Table3[[#This Row],[instant]],Table1[instant],Table1[hr], ,0,1)</f>
        <v>14</v>
      </c>
      <c r="D247" s="2" t="b">
        <f>_xlfn.XLOOKUP(Table3[[#This Row],[instant]],Table1[instant],Table1[holiday], ,0,1)</f>
        <v>0</v>
      </c>
      <c r="E247" s="2">
        <f>_xlfn.XLOOKUP(Table3[[#This Row],[instant]],Table1[instant],Table1[weekday], ,0,1)</f>
        <v>2</v>
      </c>
      <c r="F247" s="2">
        <f>_xlfn.XLOOKUP(Table3[[#This Row],[instant]],Table1[instant],Table1[weathersit], ,0,1)</f>
        <v>2</v>
      </c>
      <c r="G247" s="2">
        <f>_xlfn.XLOOKUP(Table3[[#This Row],[instant]],Table1[instant],Table1[temp], ,0,1)</f>
        <v>0.2</v>
      </c>
      <c r="H247" s="24">
        <f>_xlfn.XLOOKUP(Table3[[#This Row],[instant]],Table2[instant],Table2[atemp], ,0,1)</f>
        <v>0.2273</v>
      </c>
      <c r="I247" s="1">
        <f>_xlfn.XLOOKUP(Table3[[#This Row],[instant]],Table2[instant],Table2[hum], ,0,1)</f>
        <v>0.59</v>
      </c>
      <c r="J247" s="1">
        <f>_xlfn.XLOOKUP(Table3[[#This Row],[instant]],Table2[instant],Table2[windspeed], ,0,1)</f>
        <v>8.9599999999999999E-2</v>
      </c>
      <c r="K247" s="1">
        <f>_xlfn.XLOOKUP(Table3[[#This Row],[instant]],Table2[instant],Table2[casual], ,0,1)</f>
        <v>3</v>
      </c>
      <c r="L247" s="1">
        <f>_xlfn.XLOOKUP(Table3[[#This Row],[instant]],Table2[instant],Table2[registered], ,0,1)</f>
        <v>60</v>
      </c>
      <c r="M247" s="6">
        <f>_xlfn.XLOOKUP(Table3[[#This Row],[instant]],Table2[instant],Table2[cnt], ,0,1)</f>
        <v>63</v>
      </c>
      <c r="N247" s="6" t="str">
        <f>IF(OR(Table3[[#This Row],[weekday]]=0,Table3[[#This Row],[weekday]]=6),"Weekend","Weekday")</f>
        <v>Weekday</v>
      </c>
    </row>
    <row r="248" spans="1:14" ht="15" thickBot="1" x14ac:dyDescent="0.35">
      <c r="A248" s="5">
        <v>247</v>
      </c>
      <c r="B248" s="3">
        <f>_xlfn.XLOOKUP(Table3[[#This Row],[instant]],DatSet1!A248:A857,DatSet1!B248:B857,_xlfn.XLOOKUP(Table3[[#This Row],[instant]],'Final Data'!A248:A637,'Final Data'!B248:B637, ,0,1),0,1)</f>
        <v>40554</v>
      </c>
      <c r="C248" s="1">
        <f>_xlfn.XLOOKUP(Table3[[#This Row],[instant]],Table1[instant],Table1[hr], ,0,1)</f>
        <v>15</v>
      </c>
      <c r="D248" s="2" t="b">
        <f>_xlfn.XLOOKUP(Table3[[#This Row],[instant]],Table1[instant],Table1[holiday], ,0,1)</f>
        <v>0</v>
      </c>
      <c r="E248" s="2">
        <f>_xlfn.XLOOKUP(Table3[[#This Row],[instant]],Table1[instant],Table1[weekday], ,0,1)</f>
        <v>2</v>
      </c>
      <c r="F248" s="2">
        <f>_xlfn.XLOOKUP(Table3[[#This Row],[instant]],Table1[instant],Table1[weathersit], ,0,1)</f>
        <v>2</v>
      </c>
      <c r="G248" s="2">
        <f>_xlfn.XLOOKUP(Table3[[#This Row],[instant]],Table1[instant],Table1[temp], ,0,1)</f>
        <v>0.16</v>
      </c>
      <c r="H248" s="24">
        <f>_xlfn.XLOOKUP(Table3[[#This Row],[instant]],Table2[instant],Table2[atemp], ,0,1)</f>
        <v>0.19700000000000001</v>
      </c>
      <c r="I248" s="1">
        <f>_xlfn.XLOOKUP(Table3[[#This Row],[instant]],Table2[instant],Table2[hum], ,0,1)</f>
        <v>0.8</v>
      </c>
      <c r="J248" s="1">
        <f>_xlfn.XLOOKUP(Table3[[#This Row],[instant]],Table2[instant],Table2[windspeed], ,0,1)</f>
        <v>8.9599999999999999E-2</v>
      </c>
      <c r="K248" s="1">
        <f>_xlfn.XLOOKUP(Table3[[#This Row],[instant]],Table2[instant],Table2[casual], ,0,1)</f>
        <v>2</v>
      </c>
      <c r="L248" s="1">
        <f>_xlfn.XLOOKUP(Table3[[#This Row],[instant]],Table2[instant],Table2[registered], ,0,1)</f>
        <v>45</v>
      </c>
      <c r="M248" s="6">
        <f>_xlfn.XLOOKUP(Table3[[#This Row],[instant]],Table2[instant],Table2[cnt], ,0,1)</f>
        <v>47</v>
      </c>
      <c r="N248" s="6" t="str">
        <f>IF(OR(Table3[[#This Row],[weekday]]=0,Table3[[#This Row],[weekday]]=6),"Weekend","Weekday")</f>
        <v>Weekday</v>
      </c>
    </row>
    <row r="249" spans="1:14" ht="15" thickBot="1" x14ac:dyDescent="0.35">
      <c r="A249" s="5">
        <v>248</v>
      </c>
      <c r="B249" s="3">
        <f>_xlfn.XLOOKUP(Table3[[#This Row],[instant]],DatSet1!A249:A858,DatSet1!B249:B858,_xlfn.XLOOKUP(Table3[[#This Row],[instant]],'Final Data'!A249:A638,'Final Data'!B249:B638, ,0,1),0,1)</f>
        <v>40554</v>
      </c>
      <c r="C249" s="1">
        <f>_xlfn.XLOOKUP(Table3[[#This Row],[instant]],Table1[instant],Table1[hr], ,0,1)</f>
        <v>16</v>
      </c>
      <c r="D249" s="2" t="b">
        <f>_xlfn.XLOOKUP(Table3[[#This Row],[instant]],Table1[instant],Table1[holiday], ,0,1)</f>
        <v>0</v>
      </c>
      <c r="E249" s="2">
        <f>_xlfn.XLOOKUP(Table3[[#This Row],[instant]],Table1[instant],Table1[weekday], ,0,1)</f>
        <v>2</v>
      </c>
      <c r="F249" s="2">
        <f>_xlfn.XLOOKUP(Table3[[#This Row],[instant]],Table1[instant],Table1[weathersit], ,0,1)</f>
        <v>2</v>
      </c>
      <c r="G249" s="2">
        <f>_xlfn.XLOOKUP(Table3[[#This Row],[instant]],Table1[instant],Table1[temp], ,0,1)</f>
        <v>0.16</v>
      </c>
      <c r="H249" s="24">
        <f>_xlfn.XLOOKUP(Table3[[#This Row],[instant]],Table2[instant],Table2[atemp], ,0,1)</f>
        <v>0.1515</v>
      </c>
      <c r="I249" s="1">
        <f>_xlfn.XLOOKUP(Table3[[#This Row],[instant]],Table2[instant],Table2[hum], ,0,1)</f>
        <v>0.86</v>
      </c>
      <c r="J249" s="1">
        <f>_xlfn.XLOOKUP(Table3[[#This Row],[instant]],Table2[instant],Table2[windspeed], ,0,1)</f>
        <v>0.22389999999999999</v>
      </c>
      <c r="K249" s="1">
        <f>_xlfn.XLOOKUP(Table3[[#This Row],[instant]],Table2[instant],Table2[casual], ,0,1)</f>
        <v>4</v>
      </c>
      <c r="L249" s="1">
        <f>_xlfn.XLOOKUP(Table3[[#This Row],[instant]],Table2[instant],Table2[registered], ,0,1)</f>
        <v>72</v>
      </c>
      <c r="M249" s="6">
        <f>_xlfn.XLOOKUP(Table3[[#This Row],[instant]],Table2[instant],Table2[cnt], ,0,1)</f>
        <v>76</v>
      </c>
      <c r="N249" s="6" t="str">
        <f>IF(OR(Table3[[#This Row],[weekday]]=0,Table3[[#This Row],[weekday]]=6),"Weekend","Weekday")</f>
        <v>Weekday</v>
      </c>
    </row>
    <row r="250" spans="1:14" ht="15" thickBot="1" x14ac:dyDescent="0.35">
      <c r="A250" s="5">
        <v>249</v>
      </c>
      <c r="B250" s="3">
        <f>_xlfn.XLOOKUP(Table3[[#This Row],[instant]],DatSet1!A250:A859,DatSet1!B250:B859,_xlfn.XLOOKUP(Table3[[#This Row],[instant]],'Final Data'!A250:A639,'Final Data'!B250:B639, ,0,1),0,1)</f>
        <v>40554</v>
      </c>
      <c r="C250" s="1">
        <f>_xlfn.XLOOKUP(Table3[[#This Row],[instant]],Table1[instant],Table1[hr], ,0,1)</f>
        <v>17</v>
      </c>
      <c r="D250" s="2" t="b">
        <f>_xlfn.XLOOKUP(Table3[[#This Row],[instant]],Table1[instant],Table1[holiday], ,0,1)</f>
        <v>0</v>
      </c>
      <c r="E250" s="2">
        <f>_xlfn.XLOOKUP(Table3[[#This Row],[instant]],Table1[instant],Table1[weekday], ,0,1)</f>
        <v>2</v>
      </c>
      <c r="F250" s="2">
        <f>_xlfn.XLOOKUP(Table3[[#This Row],[instant]],Table1[instant],Table1[weathersit], ,0,1)</f>
        <v>2</v>
      </c>
      <c r="G250" s="2">
        <f>_xlfn.XLOOKUP(Table3[[#This Row],[instant]],Table1[instant],Table1[temp], ,0,1)</f>
        <v>0.16</v>
      </c>
      <c r="H250" s="24">
        <f>_xlfn.XLOOKUP(Table3[[#This Row],[instant]],Table2[instant],Table2[atemp], ,0,1)</f>
        <v>0.1515</v>
      </c>
      <c r="I250" s="1">
        <f>_xlfn.XLOOKUP(Table3[[#This Row],[instant]],Table2[instant],Table2[hum], ,0,1)</f>
        <v>0.86</v>
      </c>
      <c r="J250" s="1">
        <f>_xlfn.XLOOKUP(Table3[[#This Row],[instant]],Table2[instant],Table2[windspeed], ,0,1)</f>
        <v>0.22389999999999999</v>
      </c>
      <c r="K250" s="1">
        <f>_xlfn.XLOOKUP(Table3[[#This Row],[instant]],Table2[instant],Table2[casual], ,0,1)</f>
        <v>6</v>
      </c>
      <c r="L250" s="1">
        <f>_xlfn.XLOOKUP(Table3[[#This Row],[instant]],Table2[instant],Table2[registered], ,0,1)</f>
        <v>130</v>
      </c>
      <c r="M250" s="6">
        <f>_xlfn.XLOOKUP(Table3[[#This Row],[instant]],Table2[instant],Table2[cnt], ,0,1)</f>
        <v>136</v>
      </c>
      <c r="N250" s="6" t="str">
        <f>IF(OR(Table3[[#This Row],[weekday]]=0,Table3[[#This Row],[weekday]]=6),"Weekend","Weekday")</f>
        <v>Weekday</v>
      </c>
    </row>
    <row r="251" spans="1:14" ht="15" thickBot="1" x14ac:dyDescent="0.35">
      <c r="A251" s="5">
        <v>250</v>
      </c>
      <c r="B251" s="3">
        <f>_xlfn.XLOOKUP(Table3[[#This Row],[instant]],DatSet1!A251:A860,DatSet1!B251:B860,_xlfn.XLOOKUP(Table3[[#This Row],[instant]],'Final Data'!A251:A640,'Final Data'!B251:B640, ,0,1),0,1)</f>
        <v>40554</v>
      </c>
      <c r="C251" s="1">
        <f>_xlfn.XLOOKUP(Table3[[#This Row],[instant]],Table1[instant],Table1[hr], ,0,1)</f>
        <v>18</v>
      </c>
      <c r="D251" s="2" t="b">
        <f>_xlfn.XLOOKUP(Table3[[#This Row],[instant]],Table1[instant],Table1[holiday], ,0,1)</f>
        <v>0</v>
      </c>
      <c r="E251" s="2">
        <f>_xlfn.XLOOKUP(Table3[[#This Row],[instant]],Table1[instant],Table1[weekday], ,0,1)</f>
        <v>2</v>
      </c>
      <c r="F251" s="2">
        <f>_xlfn.XLOOKUP(Table3[[#This Row],[instant]],Table1[instant],Table1[weathersit], ,0,1)</f>
        <v>3</v>
      </c>
      <c r="G251" s="2">
        <f>_xlfn.XLOOKUP(Table3[[#This Row],[instant]],Table1[instant],Table1[temp], ,0,1)</f>
        <v>0.16</v>
      </c>
      <c r="H251" s="24">
        <f>_xlfn.XLOOKUP(Table3[[#This Row],[instant]],Table2[instant],Table2[atemp], ,0,1)</f>
        <v>0.18179999999999999</v>
      </c>
      <c r="I251" s="1">
        <f>_xlfn.XLOOKUP(Table3[[#This Row],[instant]],Table2[instant],Table2[hum], ,0,1)</f>
        <v>0.93</v>
      </c>
      <c r="J251" s="1">
        <f>_xlfn.XLOOKUP(Table3[[#This Row],[instant]],Table2[instant],Table2[windspeed], ,0,1)</f>
        <v>0.1045</v>
      </c>
      <c r="K251" s="1">
        <f>_xlfn.XLOOKUP(Table3[[#This Row],[instant]],Table2[instant],Table2[casual], ,0,1)</f>
        <v>1</v>
      </c>
      <c r="L251" s="1">
        <f>_xlfn.XLOOKUP(Table3[[#This Row],[instant]],Table2[instant],Table2[registered], ,0,1)</f>
        <v>94</v>
      </c>
      <c r="M251" s="6">
        <f>_xlfn.XLOOKUP(Table3[[#This Row],[instant]],Table2[instant],Table2[cnt], ,0,1)</f>
        <v>95</v>
      </c>
      <c r="N251" s="6" t="str">
        <f>IF(OR(Table3[[#This Row],[weekday]]=0,Table3[[#This Row],[weekday]]=6),"Weekend","Weekday")</f>
        <v>Weekday</v>
      </c>
    </row>
    <row r="252" spans="1:14" ht="15" thickBot="1" x14ac:dyDescent="0.35">
      <c r="A252" s="5">
        <v>251</v>
      </c>
      <c r="B252" s="3">
        <f>_xlfn.XLOOKUP(Table3[[#This Row],[instant]],DatSet1!A252:A861,DatSet1!B252:B861,_xlfn.XLOOKUP(Table3[[#This Row],[instant]],'Final Data'!A252:A641,'Final Data'!B252:B641, ,0,1),0,1)</f>
        <v>40554</v>
      </c>
      <c r="C252" s="1">
        <f>_xlfn.XLOOKUP(Table3[[#This Row],[instant]],Table1[instant],Table1[hr], ,0,1)</f>
        <v>19</v>
      </c>
      <c r="D252" s="2" t="b">
        <f>_xlfn.XLOOKUP(Table3[[#This Row],[instant]],Table1[instant],Table1[holiday], ,0,1)</f>
        <v>0</v>
      </c>
      <c r="E252" s="2">
        <f>_xlfn.XLOOKUP(Table3[[#This Row],[instant]],Table1[instant],Table1[weekday], ,0,1)</f>
        <v>2</v>
      </c>
      <c r="F252" s="2">
        <f>_xlfn.XLOOKUP(Table3[[#This Row],[instant]],Table1[instant],Table1[weathersit], ,0,1)</f>
        <v>3</v>
      </c>
      <c r="G252" s="2">
        <f>_xlfn.XLOOKUP(Table3[[#This Row],[instant]],Table1[instant],Table1[temp], ,0,1)</f>
        <v>0.16</v>
      </c>
      <c r="H252" s="24">
        <f>_xlfn.XLOOKUP(Table3[[#This Row],[instant]],Table2[instant],Table2[atemp], ,0,1)</f>
        <v>0.2273</v>
      </c>
      <c r="I252" s="1">
        <f>_xlfn.XLOOKUP(Table3[[#This Row],[instant]],Table2[instant],Table2[hum], ,0,1)</f>
        <v>0.93</v>
      </c>
      <c r="J252" s="1">
        <f>_xlfn.XLOOKUP(Table3[[#This Row],[instant]],Table2[instant],Table2[windspeed], ,0,1)</f>
        <v>0</v>
      </c>
      <c r="K252" s="1">
        <f>_xlfn.XLOOKUP(Table3[[#This Row],[instant]],Table2[instant],Table2[casual], ,0,1)</f>
        <v>0</v>
      </c>
      <c r="L252" s="1">
        <f>_xlfn.XLOOKUP(Table3[[#This Row],[instant]],Table2[instant],Table2[registered], ,0,1)</f>
        <v>51</v>
      </c>
      <c r="M252" s="6">
        <f>_xlfn.XLOOKUP(Table3[[#This Row],[instant]],Table2[instant],Table2[cnt], ,0,1)</f>
        <v>51</v>
      </c>
      <c r="N252" s="6" t="str">
        <f>IF(OR(Table3[[#This Row],[weekday]]=0,Table3[[#This Row],[weekday]]=6),"Weekend","Weekday")</f>
        <v>Weekday</v>
      </c>
    </row>
    <row r="253" spans="1:14" ht="15" thickBot="1" x14ac:dyDescent="0.35">
      <c r="A253" s="5">
        <v>252</v>
      </c>
      <c r="B253" s="3">
        <f>_xlfn.XLOOKUP(Table3[[#This Row],[instant]],DatSet1!A253:A862,DatSet1!B253:B862,_xlfn.XLOOKUP(Table3[[#This Row],[instant]],'Final Data'!A253:A642,'Final Data'!B253:B642, ,0,1),0,1)</f>
        <v>40554</v>
      </c>
      <c r="C253" s="1">
        <f>_xlfn.XLOOKUP(Table3[[#This Row],[instant]],Table1[instant],Table1[hr], ,0,1)</f>
        <v>20</v>
      </c>
      <c r="D253" s="2" t="b">
        <f>_xlfn.XLOOKUP(Table3[[#This Row],[instant]],Table1[instant],Table1[holiday], ,0,1)</f>
        <v>0</v>
      </c>
      <c r="E253" s="2">
        <f>_xlfn.XLOOKUP(Table3[[#This Row],[instant]],Table1[instant],Table1[weekday], ,0,1)</f>
        <v>2</v>
      </c>
      <c r="F253" s="2">
        <f>_xlfn.XLOOKUP(Table3[[#This Row],[instant]],Table1[instant],Table1[weathersit], ,0,1)</f>
        <v>3</v>
      </c>
      <c r="G253" s="2">
        <f>_xlfn.XLOOKUP(Table3[[#This Row],[instant]],Table1[instant],Table1[temp], ,0,1)</f>
        <v>0.16</v>
      </c>
      <c r="H253" s="24">
        <f>_xlfn.XLOOKUP(Table3[[#This Row],[instant]],Table2[instant],Table2[atemp], ,0,1)</f>
        <v>0.1515</v>
      </c>
      <c r="I253" s="1">
        <f>_xlfn.XLOOKUP(Table3[[#This Row],[instant]],Table2[instant],Table2[hum], ,0,1)</f>
        <v>0.93</v>
      </c>
      <c r="J253" s="1">
        <f>_xlfn.XLOOKUP(Table3[[#This Row],[instant]],Table2[instant],Table2[windspeed], ,0,1)</f>
        <v>0.19400000000000001</v>
      </c>
      <c r="K253" s="1">
        <f>_xlfn.XLOOKUP(Table3[[#This Row],[instant]],Table2[instant],Table2[casual], ,0,1)</f>
        <v>0</v>
      </c>
      <c r="L253" s="1">
        <f>_xlfn.XLOOKUP(Table3[[#This Row],[instant]],Table2[instant],Table2[registered], ,0,1)</f>
        <v>32</v>
      </c>
      <c r="M253" s="6">
        <f>_xlfn.XLOOKUP(Table3[[#This Row],[instant]],Table2[instant],Table2[cnt], ,0,1)</f>
        <v>32</v>
      </c>
      <c r="N253" s="6" t="str">
        <f>IF(OR(Table3[[#This Row],[weekday]]=0,Table3[[#This Row],[weekday]]=6),"Weekend","Weekday")</f>
        <v>Weekday</v>
      </c>
    </row>
    <row r="254" spans="1:14" ht="15" thickBot="1" x14ac:dyDescent="0.35">
      <c r="A254" s="5">
        <v>253</v>
      </c>
      <c r="B254" s="3">
        <f>_xlfn.XLOOKUP(Table3[[#This Row],[instant]],DatSet1!A254:A863,DatSet1!B254:B863,_xlfn.XLOOKUP(Table3[[#This Row],[instant]],'Final Data'!A254:A643,'Final Data'!B254:B643, ,0,1),0,1)</f>
        <v>40554</v>
      </c>
      <c r="C254" s="1">
        <f>_xlfn.XLOOKUP(Table3[[#This Row],[instant]],Table1[instant],Table1[hr], ,0,1)</f>
        <v>21</v>
      </c>
      <c r="D254" s="2" t="b">
        <f>_xlfn.XLOOKUP(Table3[[#This Row],[instant]],Table1[instant],Table1[holiday], ,0,1)</f>
        <v>0</v>
      </c>
      <c r="E254" s="2">
        <f>_xlfn.XLOOKUP(Table3[[#This Row],[instant]],Table1[instant],Table1[weekday], ,0,1)</f>
        <v>2</v>
      </c>
      <c r="F254" s="2">
        <f>_xlfn.XLOOKUP(Table3[[#This Row],[instant]],Table1[instant],Table1[weathersit], ,0,1)</f>
        <v>3</v>
      </c>
      <c r="G254" s="2">
        <f>_xlfn.XLOOKUP(Table3[[#This Row],[instant]],Table1[instant],Table1[temp], ,0,1)</f>
        <v>0.16</v>
      </c>
      <c r="H254" s="24">
        <f>_xlfn.XLOOKUP(Table3[[#This Row],[instant]],Table2[instant],Table2[atemp], ,0,1)</f>
        <v>0.19700000000000001</v>
      </c>
      <c r="I254" s="1">
        <f>_xlfn.XLOOKUP(Table3[[#This Row],[instant]],Table2[instant],Table2[hum], ,0,1)</f>
        <v>0.86</v>
      </c>
      <c r="J254" s="1">
        <f>_xlfn.XLOOKUP(Table3[[#This Row],[instant]],Table2[instant],Table2[windspeed], ,0,1)</f>
        <v>8.9599999999999999E-2</v>
      </c>
      <c r="K254" s="1">
        <f>_xlfn.XLOOKUP(Table3[[#This Row],[instant]],Table2[instant],Table2[casual], ,0,1)</f>
        <v>0</v>
      </c>
      <c r="L254" s="1">
        <f>_xlfn.XLOOKUP(Table3[[#This Row],[instant]],Table2[instant],Table2[registered], ,0,1)</f>
        <v>20</v>
      </c>
      <c r="M254" s="6">
        <f>_xlfn.XLOOKUP(Table3[[#This Row],[instant]],Table2[instant],Table2[cnt], ,0,1)</f>
        <v>20</v>
      </c>
      <c r="N254" s="6" t="str">
        <f>IF(OR(Table3[[#This Row],[weekday]]=0,Table3[[#This Row],[weekday]]=6),"Weekend","Weekday")</f>
        <v>Weekday</v>
      </c>
    </row>
    <row r="255" spans="1:14" ht="15" thickBot="1" x14ac:dyDescent="0.35">
      <c r="A255" s="5">
        <v>254</v>
      </c>
      <c r="B255" s="3">
        <f>_xlfn.XLOOKUP(Table3[[#This Row],[instant]],DatSet1!A255:A864,DatSet1!B255:B864,_xlfn.XLOOKUP(Table3[[#This Row],[instant]],'Final Data'!A255:A644,'Final Data'!B255:B644, ,0,1),0,1)</f>
        <v>40554</v>
      </c>
      <c r="C255" s="1">
        <f>_xlfn.XLOOKUP(Table3[[#This Row],[instant]],Table1[instant],Table1[hr], ,0,1)</f>
        <v>22</v>
      </c>
      <c r="D255" s="2" t="b">
        <f>_xlfn.XLOOKUP(Table3[[#This Row],[instant]],Table1[instant],Table1[holiday], ,0,1)</f>
        <v>0</v>
      </c>
      <c r="E255" s="2">
        <f>_xlfn.XLOOKUP(Table3[[#This Row],[instant]],Table1[instant],Table1[weekday], ,0,1)</f>
        <v>2</v>
      </c>
      <c r="F255" s="2">
        <f>_xlfn.XLOOKUP(Table3[[#This Row],[instant]],Table1[instant],Table1[weathersit], ,0,1)</f>
        <v>3</v>
      </c>
      <c r="G255" s="2">
        <f>_xlfn.XLOOKUP(Table3[[#This Row],[instant]],Table1[instant],Table1[temp], ,0,1)</f>
        <v>0.16</v>
      </c>
      <c r="H255" s="24">
        <f>_xlfn.XLOOKUP(Table3[[#This Row],[instant]],Table2[instant],Table2[atemp], ,0,1)</f>
        <v>0.18179999999999999</v>
      </c>
      <c r="I255" s="1">
        <f>_xlfn.XLOOKUP(Table3[[#This Row],[instant]],Table2[instant],Table2[hum], ,0,1)</f>
        <v>0.93</v>
      </c>
      <c r="J255" s="1">
        <f>_xlfn.XLOOKUP(Table3[[#This Row],[instant]],Table2[instant],Table2[windspeed], ,0,1)</f>
        <v>0.1045</v>
      </c>
      <c r="K255" s="1">
        <f>_xlfn.XLOOKUP(Table3[[#This Row],[instant]],Table2[instant],Table2[casual], ,0,1)</f>
        <v>1</v>
      </c>
      <c r="L255" s="1">
        <f>_xlfn.XLOOKUP(Table3[[#This Row],[instant]],Table2[instant],Table2[registered], ,0,1)</f>
        <v>28</v>
      </c>
      <c r="M255" s="6">
        <f>_xlfn.XLOOKUP(Table3[[#This Row],[instant]],Table2[instant],Table2[cnt], ,0,1)</f>
        <v>29</v>
      </c>
      <c r="N255" s="6" t="str">
        <f>IF(OR(Table3[[#This Row],[weekday]]=0,Table3[[#This Row],[weekday]]=6),"Weekend","Weekday")</f>
        <v>Weekday</v>
      </c>
    </row>
    <row r="256" spans="1:14" ht="15" thickBot="1" x14ac:dyDescent="0.35">
      <c r="A256" s="5">
        <v>255</v>
      </c>
      <c r="B256" s="3">
        <f>_xlfn.XLOOKUP(Table3[[#This Row],[instant]],DatSet1!A256:A865,DatSet1!B256:B865,_xlfn.XLOOKUP(Table3[[#This Row],[instant]],'Final Data'!A256:A645,'Final Data'!B256:B645, ,0,1),0,1)</f>
        <v>40554</v>
      </c>
      <c r="C256" s="1">
        <f>_xlfn.XLOOKUP(Table3[[#This Row],[instant]],Table1[instant],Table1[hr], ,0,1)</f>
        <v>23</v>
      </c>
      <c r="D256" s="2" t="b">
        <f>_xlfn.XLOOKUP(Table3[[#This Row],[instant]],Table1[instant],Table1[holiday], ,0,1)</f>
        <v>0</v>
      </c>
      <c r="E256" s="2">
        <f>_xlfn.XLOOKUP(Table3[[#This Row],[instant]],Table1[instant],Table1[weekday], ,0,1)</f>
        <v>2</v>
      </c>
      <c r="F256" s="2">
        <f>_xlfn.XLOOKUP(Table3[[#This Row],[instant]],Table1[instant],Table1[weathersit], ,0,1)</f>
        <v>3</v>
      </c>
      <c r="G256" s="2">
        <f>_xlfn.XLOOKUP(Table3[[#This Row],[instant]],Table1[instant],Table1[temp], ,0,1)</f>
        <v>0.16</v>
      </c>
      <c r="H256" s="24">
        <f>_xlfn.XLOOKUP(Table3[[#This Row],[instant]],Table2[instant],Table2[atemp], ,0,1)</f>
        <v>0.19700000000000001</v>
      </c>
      <c r="I256" s="1">
        <f>_xlfn.XLOOKUP(Table3[[#This Row],[instant]],Table2[instant],Table2[hum], ,0,1)</f>
        <v>0.93</v>
      </c>
      <c r="J256" s="1">
        <f>_xlfn.XLOOKUP(Table3[[#This Row],[instant]],Table2[instant],Table2[windspeed], ,0,1)</f>
        <v>8.9599999999999999E-2</v>
      </c>
      <c r="K256" s="1">
        <f>_xlfn.XLOOKUP(Table3[[#This Row],[instant]],Table2[instant],Table2[casual], ,0,1)</f>
        <v>1</v>
      </c>
      <c r="L256" s="1">
        <f>_xlfn.XLOOKUP(Table3[[#This Row],[instant]],Table2[instant],Table2[registered], ,0,1)</f>
        <v>18</v>
      </c>
      <c r="M256" s="6">
        <f>_xlfn.XLOOKUP(Table3[[#This Row],[instant]],Table2[instant],Table2[cnt], ,0,1)</f>
        <v>19</v>
      </c>
      <c r="N256" s="6" t="str">
        <f>IF(OR(Table3[[#This Row],[weekday]]=0,Table3[[#This Row],[weekday]]=6),"Weekend","Weekday")</f>
        <v>Weekday</v>
      </c>
    </row>
    <row r="257" spans="1:14" ht="15" thickBot="1" x14ac:dyDescent="0.35">
      <c r="A257" s="5">
        <v>256</v>
      </c>
      <c r="B257" s="3">
        <f>_xlfn.XLOOKUP(Table3[[#This Row],[instant]],DatSet1!A257:A866,DatSet1!B257:B866,_xlfn.XLOOKUP(Table3[[#This Row],[instant]],'Final Data'!A257:A646,'Final Data'!B257:B646, ,0,1),0,1)</f>
        <v>40555</v>
      </c>
      <c r="C257" s="1">
        <f>_xlfn.XLOOKUP(Table3[[#This Row],[instant]],Table1[instant],Table1[hr], ,0,1)</f>
        <v>0</v>
      </c>
      <c r="D257" s="2" t="b">
        <f>_xlfn.XLOOKUP(Table3[[#This Row],[instant]],Table1[instant],Table1[holiday], ,0,1)</f>
        <v>0</v>
      </c>
      <c r="E257" s="2">
        <f>_xlfn.XLOOKUP(Table3[[#This Row],[instant]],Table1[instant],Table1[weekday], ,0,1)</f>
        <v>3</v>
      </c>
      <c r="F257" s="2">
        <f>_xlfn.XLOOKUP(Table3[[#This Row],[instant]],Table1[instant],Table1[weathersit], ,0,1)</f>
        <v>2</v>
      </c>
      <c r="G257" s="2">
        <f>_xlfn.XLOOKUP(Table3[[#This Row],[instant]],Table1[instant],Table1[temp], ,0,1)</f>
        <v>0.16</v>
      </c>
      <c r="H257" s="24">
        <f>_xlfn.XLOOKUP(Table3[[#This Row],[instant]],Table2[instant],Table2[atemp], ,0,1)</f>
        <v>0.19700000000000001</v>
      </c>
      <c r="I257" s="1">
        <f>_xlfn.XLOOKUP(Table3[[#This Row],[instant]],Table2[instant],Table2[hum], ,0,1)</f>
        <v>0.86</v>
      </c>
      <c r="J257" s="1">
        <f>_xlfn.XLOOKUP(Table3[[#This Row],[instant]],Table2[instant],Table2[windspeed], ,0,1)</f>
        <v>8.9599999999999999E-2</v>
      </c>
      <c r="K257" s="1">
        <f>_xlfn.XLOOKUP(Table3[[#This Row],[instant]],Table2[instant],Table2[casual], ,0,1)</f>
        <v>0</v>
      </c>
      <c r="L257" s="1">
        <f>_xlfn.XLOOKUP(Table3[[#This Row],[instant]],Table2[instant],Table2[registered], ,0,1)</f>
        <v>7</v>
      </c>
      <c r="M257" s="6">
        <f>_xlfn.XLOOKUP(Table3[[#This Row],[instant]],Table2[instant],Table2[cnt], ,0,1)</f>
        <v>7</v>
      </c>
      <c r="N257" s="6" t="str">
        <f>IF(OR(Table3[[#This Row],[weekday]]=0,Table3[[#This Row],[weekday]]=6),"Weekend","Weekday")</f>
        <v>Weekday</v>
      </c>
    </row>
    <row r="258" spans="1:14" ht="15" thickBot="1" x14ac:dyDescent="0.35">
      <c r="A258" s="5">
        <v>257</v>
      </c>
      <c r="B258" s="3">
        <f>_xlfn.XLOOKUP(Table3[[#This Row],[instant]],DatSet1!A258:A867,DatSet1!B258:B867,_xlfn.XLOOKUP(Table3[[#This Row],[instant]],'Final Data'!A258:A647,'Final Data'!B258:B647, ,0,1),0,1)</f>
        <v>40555</v>
      </c>
      <c r="C258" s="1">
        <f>_xlfn.XLOOKUP(Table3[[#This Row],[instant]],Table1[instant],Table1[hr], ,0,1)</f>
        <v>1</v>
      </c>
      <c r="D258" s="2" t="b">
        <f>_xlfn.XLOOKUP(Table3[[#This Row],[instant]],Table1[instant],Table1[holiday], ,0,1)</f>
        <v>0</v>
      </c>
      <c r="E258" s="2">
        <f>_xlfn.XLOOKUP(Table3[[#This Row],[instant]],Table1[instant],Table1[weekday], ,0,1)</f>
        <v>3</v>
      </c>
      <c r="F258" s="2">
        <f>_xlfn.XLOOKUP(Table3[[#This Row],[instant]],Table1[instant],Table1[weathersit], ,0,1)</f>
        <v>2</v>
      </c>
      <c r="G258" s="2">
        <f>_xlfn.XLOOKUP(Table3[[#This Row],[instant]],Table1[instant],Table1[temp], ,0,1)</f>
        <v>0.16</v>
      </c>
      <c r="H258" s="24">
        <f>_xlfn.XLOOKUP(Table3[[#This Row],[instant]],Table2[instant],Table2[atemp], ,0,1)</f>
        <v>0.18179999999999999</v>
      </c>
      <c r="I258" s="1">
        <f>_xlfn.XLOOKUP(Table3[[#This Row],[instant]],Table2[instant],Table2[hum], ,0,1)</f>
        <v>0.86</v>
      </c>
      <c r="J258" s="1">
        <f>_xlfn.XLOOKUP(Table3[[#This Row],[instant]],Table2[instant],Table2[windspeed], ,0,1)</f>
        <v>0.1045</v>
      </c>
      <c r="K258" s="1">
        <f>_xlfn.XLOOKUP(Table3[[#This Row],[instant]],Table2[instant],Table2[casual], ,0,1)</f>
        <v>0</v>
      </c>
      <c r="L258" s="1">
        <f>_xlfn.XLOOKUP(Table3[[#This Row],[instant]],Table2[instant],Table2[registered], ,0,1)</f>
        <v>6</v>
      </c>
      <c r="M258" s="6">
        <f>_xlfn.XLOOKUP(Table3[[#This Row],[instant]],Table2[instant],Table2[cnt], ,0,1)</f>
        <v>6</v>
      </c>
      <c r="N258" s="6" t="str">
        <f>IF(OR(Table3[[#This Row],[weekday]]=0,Table3[[#This Row],[weekday]]=6),"Weekend","Weekday")</f>
        <v>Weekday</v>
      </c>
    </row>
    <row r="259" spans="1:14" ht="15" thickBot="1" x14ac:dyDescent="0.35">
      <c r="A259" s="5">
        <v>258</v>
      </c>
      <c r="B259" s="3">
        <f>_xlfn.XLOOKUP(Table3[[#This Row],[instant]],DatSet1!A259:A868,DatSet1!B259:B868,_xlfn.XLOOKUP(Table3[[#This Row],[instant]],'Final Data'!A259:A648,'Final Data'!B259:B648, ,0,1),0,1)</f>
        <v>40555</v>
      </c>
      <c r="C259" s="1">
        <f>_xlfn.XLOOKUP(Table3[[#This Row],[instant]],Table1[instant],Table1[hr], ,0,1)</f>
        <v>2</v>
      </c>
      <c r="D259" s="2" t="b">
        <f>_xlfn.XLOOKUP(Table3[[#This Row],[instant]],Table1[instant],Table1[holiday], ,0,1)</f>
        <v>0</v>
      </c>
      <c r="E259" s="2">
        <f>_xlfn.XLOOKUP(Table3[[#This Row],[instant]],Table1[instant],Table1[weekday], ,0,1)</f>
        <v>3</v>
      </c>
      <c r="F259" s="2">
        <f>_xlfn.XLOOKUP(Table3[[#This Row],[instant]],Table1[instant],Table1[weathersit], ,0,1)</f>
        <v>1</v>
      </c>
      <c r="G259" s="2">
        <f>_xlfn.XLOOKUP(Table3[[#This Row],[instant]],Table1[instant],Table1[temp], ,0,1)</f>
        <v>0.14000000000000001</v>
      </c>
      <c r="H259" s="24">
        <f>_xlfn.XLOOKUP(Table3[[#This Row],[instant]],Table2[instant],Table2[atemp], ,0,1)</f>
        <v>0.1515</v>
      </c>
      <c r="I259" s="1">
        <f>_xlfn.XLOOKUP(Table3[[#This Row],[instant]],Table2[instant],Table2[hum], ,0,1)</f>
        <v>0.86</v>
      </c>
      <c r="J259" s="1">
        <f>_xlfn.XLOOKUP(Table3[[#This Row],[instant]],Table2[instant],Table2[windspeed], ,0,1)</f>
        <v>0.1343</v>
      </c>
      <c r="K259" s="1">
        <f>_xlfn.XLOOKUP(Table3[[#This Row],[instant]],Table2[instant],Table2[casual], ,0,1)</f>
        <v>0</v>
      </c>
      <c r="L259" s="1">
        <f>_xlfn.XLOOKUP(Table3[[#This Row],[instant]],Table2[instant],Table2[registered], ,0,1)</f>
        <v>1</v>
      </c>
      <c r="M259" s="6">
        <f>_xlfn.XLOOKUP(Table3[[#This Row],[instant]],Table2[instant],Table2[cnt], ,0,1)</f>
        <v>1</v>
      </c>
      <c r="N259" s="6" t="str">
        <f>IF(OR(Table3[[#This Row],[weekday]]=0,Table3[[#This Row],[weekday]]=6),"Weekend","Weekday")</f>
        <v>Weekday</v>
      </c>
    </row>
    <row r="260" spans="1:14" ht="15" thickBot="1" x14ac:dyDescent="0.35">
      <c r="A260" s="5">
        <v>259</v>
      </c>
      <c r="B260" s="3">
        <f>_xlfn.XLOOKUP(Table3[[#This Row],[instant]],DatSet1!A260:A869,DatSet1!B260:B869,_xlfn.XLOOKUP(Table3[[#This Row],[instant]],'Final Data'!A260:A649,'Final Data'!B260:B649, ,0,1),0,1)</f>
        <v>40555</v>
      </c>
      <c r="C260" s="1">
        <f>_xlfn.XLOOKUP(Table3[[#This Row],[instant]],Table1[instant],Table1[hr], ,0,1)</f>
        <v>5</v>
      </c>
      <c r="D260" s="2" t="b">
        <f>_xlfn.XLOOKUP(Table3[[#This Row],[instant]],Table1[instant],Table1[holiday], ,0,1)</f>
        <v>0</v>
      </c>
      <c r="E260" s="2">
        <f>_xlfn.XLOOKUP(Table3[[#This Row],[instant]],Table1[instant],Table1[weekday], ,0,1)</f>
        <v>3</v>
      </c>
      <c r="F260" s="2">
        <f>_xlfn.XLOOKUP(Table3[[#This Row],[instant]],Table1[instant],Table1[weathersit], ,0,1)</f>
        <v>1</v>
      </c>
      <c r="G260" s="2">
        <f>_xlfn.XLOOKUP(Table3[[#This Row],[instant]],Table1[instant],Table1[temp], ,0,1)</f>
        <v>0.14000000000000001</v>
      </c>
      <c r="H260" s="24">
        <f>_xlfn.XLOOKUP(Table3[[#This Row],[instant]],Table2[instant],Table2[atemp], ,0,1)</f>
        <v>0.1515</v>
      </c>
      <c r="I260" s="1">
        <f>_xlfn.XLOOKUP(Table3[[#This Row],[instant]],Table2[instant],Table2[hum], ,0,1)</f>
        <v>0.86</v>
      </c>
      <c r="J260" s="1">
        <f>_xlfn.XLOOKUP(Table3[[#This Row],[instant]],Table2[instant],Table2[windspeed], ,0,1)</f>
        <v>0.16420000000000001</v>
      </c>
      <c r="K260" s="1">
        <f>_xlfn.XLOOKUP(Table3[[#This Row],[instant]],Table2[instant],Table2[casual], ,0,1)</f>
        <v>0</v>
      </c>
      <c r="L260" s="1">
        <f>_xlfn.XLOOKUP(Table3[[#This Row],[instant]],Table2[instant],Table2[registered], ,0,1)</f>
        <v>5</v>
      </c>
      <c r="M260" s="6">
        <f>_xlfn.XLOOKUP(Table3[[#This Row],[instant]],Table2[instant],Table2[cnt], ,0,1)</f>
        <v>5</v>
      </c>
      <c r="N260" s="6" t="str">
        <f>IF(OR(Table3[[#This Row],[weekday]]=0,Table3[[#This Row],[weekday]]=6),"Weekend","Weekday")</f>
        <v>Weekday</v>
      </c>
    </row>
    <row r="261" spans="1:14" ht="15" thickBot="1" x14ac:dyDescent="0.35">
      <c r="A261" s="5">
        <v>260</v>
      </c>
      <c r="B261" s="3">
        <f>_xlfn.XLOOKUP(Table3[[#This Row],[instant]],DatSet1!A261:A870,DatSet1!B261:B870,_xlfn.XLOOKUP(Table3[[#This Row],[instant]],'Final Data'!A261:A650,'Final Data'!B261:B650, ,0,1),0,1)</f>
        <v>40555</v>
      </c>
      <c r="C261" s="1">
        <f>_xlfn.XLOOKUP(Table3[[#This Row],[instant]],Table1[instant],Table1[hr], ,0,1)</f>
        <v>6</v>
      </c>
      <c r="D261" s="2" t="b">
        <f>_xlfn.XLOOKUP(Table3[[#This Row],[instant]],Table1[instant],Table1[holiday], ,0,1)</f>
        <v>0</v>
      </c>
      <c r="E261" s="2">
        <f>_xlfn.XLOOKUP(Table3[[#This Row],[instant]],Table1[instant],Table1[weekday], ,0,1)</f>
        <v>3</v>
      </c>
      <c r="F261" s="2">
        <f>_xlfn.XLOOKUP(Table3[[#This Row],[instant]],Table1[instant],Table1[weathersit], ,0,1)</f>
        <v>1</v>
      </c>
      <c r="G261" s="2">
        <f>_xlfn.XLOOKUP(Table3[[#This Row],[instant]],Table1[instant],Table1[temp], ,0,1)</f>
        <v>0.12</v>
      </c>
      <c r="H261" s="24">
        <f>_xlfn.XLOOKUP(Table3[[#This Row],[instant]],Table2[instant],Table2[atemp], ,0,1)</f>
        <v>0.1515</v>
      </c>
      <c r="I261" s="1">
        <f>_xlfn.XLOOKUP(Table3[[#This Row],[instant]],Table2[instant],Table2[hum], ,0,1)</f>
        <v>0.93</v>
      </c>
      <c r="J261" s="1">
        <f>_xlfn.XLOOKUP(Table3[[#This Row],[instant]],Table2[instant],Table2[windspeed], ,0,1)</f>
        <v>0.1343</v>
      </c>
      <c r="K261" s="1">
        <f>_xlfn.XLOOKUP(Table3[[#This Row],[instant]],Table2[instant],Table2[casual], ,0,1)</f>
        <v>0</v>
      </c>
      <c r="L261" s="1">
        <f>_xlfn.XLOOKUP(Table3[[#This Row],[instant]],Table2[instant],Table2[registered], ,0,1)</f>
        <v>16</v>
      </c>
      <c r="M261" s="6">
        <f>_xlfn.XLOOKUP(Table3[[#This Row],[instant]],Table2[instant],Table2[cnt], ,0,1)</f>
        <v>16</v>
      </c>
      <c r="N261" s="6" t="str">
        <f>IF(OR(Table3[[#This Row],[weekday]]=0,Table3[[#This Row],[weekday]]=6),"Weekend","Weekday")</f>
        <v>Weekday</v>
      </c>
    </row>
    <row r="262" spans="1:14" ht="15" thickBot="1" x14ac:dyDescent="0.35">
      <c r="A262" s="5">
        <v>261</v>
      </c>
      <c r="B262" s="3">
        <f>_xlfn.XLOOKUP(Table3[[#This Row],[instant]],DatSet1!A262:A871,DatSet1!B262:B871,_xlfn.XLOOKUP(Table3[[#This Row],[instant]],'Final Data'!A262:A651,'Final Data'!B262:B651, ,0,1),0,1)</f>
        <v>40555</v>
      </c>
      <c r="C262" s="1">
        <f>_xlfn.XLOOKUP(Table3[[#This Row],[instant]],Table1[instant],Table1[hr], ,0,1)</f>
        <v>7</v>
      </c>
      <c r="D262" s="2" t="b">
        <f>_xlfn.XLOOKUP(Table3[[#This Row],[instant]],Table1[instant],Table1[holiday], ,0,1)</f>
        <v>0</v>
      </c>
      <c r="E262" s="2">
        <f>_xlfn.XLOOKUP(Table3[[#This Row],[instant]],Table1[instant],Table1[weekday], ,0,1)</f>
        <v>3</v>
      </c>
      <c r="F262" s="2">
        <f>_xlfn.XLOOKUP(Table3[[#This Row],[instant]],Table1[instant],Table1[weathersit], ,0,1)</f>
        <v>1</v>
      </c>
      <c r="G262" s="2">
        <f>_xlfn.XLOOKUP(Table3[[#This Row],[instant]],Table1[instant],Table1[temp], ,0,1)</f>
        <v>0.14000000000000001</v>
      </c>
      <c r="H262" s="24">
        <f>_xlfn.XLOOKUP(Table3[[#This Row],[instant]],Table2[instant],Table2[atemp], ,0,1)</f>
        <v>0.1515</v>
      </c>
      <c r="I262" s="1">
        <f>_xlfn.XLOOKUP(Table3[[#This Row],[instant]],Table2[instant],Table2[hum], ,0,1)</f>
        <v>0.69</v>
      </c>
      <c r="J262" s="1">
        <f>_xlfn.XLOOKUP(Table3[[#This Row],[instant]],Table2[instant],Table2[windspeed], ,0,1)</f>
        <v>0.1343</v>
      </c>
      <c r="K262" s="1">
        <f>_xlfn.XLOOKUP(Table3[[#This Row],[instant]],Table2[instant],Table2[casual], ,0,1)</f>
        <v>0</v>
      </c>
      <c r="L262" s="1">
        <f>_xlfn.XLOOKUP(Table3[[#This Row],[instant]],Table2[instant],Table2[registered], ,0,1)</f>
        <v>54</v>
      </c>
      <c r="M262" s="6">
        <f>_xlfn.XLOOKUP(Table3[[#This Row],[instant]],Table2[instant],Table2[cnt], ,0,1)</f>
        <v>54</v>
      </c>
      <c r="N262" s="6" t="str">
        <f>IF(OR(Table3[[#This Row],[weekday]]=0,Table3[[#This Row],[weekday]]=6),"Weekend","Weekday")</f>
        <v>Weekday</v>
      </c>
    </row>
    <row r="263" spans="1:14" ht="15" thickBot="1" x14ac:dyDescent="0.35">
      <c r="A263" s="5">
        <v>262</v>
      </c>
      <c r="B263" s="3">
        <f>_xlfn.XLOOKUP(Table3[[#This Row],[instant]],DatSet1!A263:A872,DatSet1!B263:B872,_xlfn.XLOOKUP(Table3[[#This Row],[instant]],'Final Data'!A263:A652,'Final Data'!B263:B652, ,0,1),0,1)</f>
        <v>40555</v>
      </c>
      <c r="C263" s="1">
        <f>_xlfn.XLOOKUP(Table3[[#This Row],[instant]],Table1[instant],Table1[hr], ,0,1)</f>
        <v>8</v>
      </c>
      <c r="D263" s="2" t="b">
        <f>_xlfn.XLOOKUP(Table3[[#This Row],[instant]],Table1[instant],Table1[holiday], ,0,1)</f>
        <v>0</v>
      </c>
      <c r="E263" s="2">
        <f>_xlfn.XLOOKUP(Table3[[#This Row],[instant]],Table1[instant],Table1[weekday], ,0,1)</f>
        <v>3</v>
      </c>
      <c r="F263" s="2">
        <f>_xlfn.XLOOKUP(Table3[[#This Row],[instant]],Table1[instant],Table1[weathersit], ,0,1)</f>
        <v>1</v>
      </c>
      <c r="G263" s="2">
        <f>_xlfn.XLOOKUP(Table3[[#This Row],[instant]],Table1[instant],Table1[temp], ,0,1)</f>
        <v>0.16</v>
      </c>
      <c r="H263" s="24">
        <f>_xlfn.XLOOKUP(Table3[[#This Row],[instant]],Table2[instant],Table2[atemp], ,0,1)</f>
        <v>0.16669999999999999</v>
      </c>
      <c r="I263" s="1">
        <f>_xlfn.XLOOKUP(Table3[[#This Row],[instant]],Table2[instant],Table2[hum], ,0,1)</f>
        <v>0.59</v>
      </c>
      <c r="J263" s="1">
        <f>_xlfn.XLOOKUP(Table3[[#This Row],[instant]],Table2[instant],Table2[windspeed], ,0,1)</f>
        <v>0.16420000000000001</v>
      </c>
      <c r="K263" s="1">
        <f>_xlfn.XLOOKUP(Table3[[#This Row],[instant]],Table2[instant],Table2[casual], ,0,1)</f>
        <v>3</v>
      </c>
      <c r="L263" s="1">
        <f>_xlfn.XLOOKUP(Table3[[#This Row],[instant]],Table2[instant],Table2[registered], ,0,1)</f>
        <v>125</v>
      </c>
      <c r="M263" s="6">
        <f>_xlfn.XLOOKUP(Table3[[#This Row],[instant]],Table2[instant],Table2[cnt], ,0,1)</f>
        <v>128</v>
      </c>
      <c r="N263" s="6" t="str">
        <f>IF(OR(Table3[[#This Row],[weekday]]=0,Table3[[#This Row],[weekday]]=6),"Weekend","Weekday")</f>
        <v>Weekday</v>
      </c>
    </row>
    <row r="264" spans="1:14" ht="15" thickBot="1" x14ac:dyDescent="0.35">
      <c r="A264" s="5">
        <v>263</v>
      </c>
      <c r="B264" s="3">
        <f>_xlfn.XLOOKUP(Table3[[#This Row],[instant]],DatSet1!A264:A873,DatSet1!B264:B873,_xlfn.XLOOKUP(Table3[[#This Row],[instant]],'Final Data'!A264:A653,'Final Data'!B264:B653, ,0,1),0,1)</f>
        <v>40555</v>
      </c>
      <c r="C264" s="1">
        <f>_xlfn.XLOOKUP(Table3[[#This Row],[instant]],Table1[instant],Table1[hr], ,0,1)</f>
        <v>9</v>
      </c>
      <c r="D264" s="2" t="b">
        <f>_xlfn.XLOOKUP(Table3[[#This Row],[instant]],Table1[instant],Table1[holiday], ,0,1)</f>
        <v>0</v>
      </c>
      <c r="E264" s="2">
        <f>_xlfn.XLOOKUP(Table3[[#This Row],[instant]],Table1[instant],Table1[weekday], ,0,1)</f>
        <v>3</v>
      </c>
      <c r="F264" s="2">
        <f>_xlfn.XLOOKUP(Table3[[#This Row],[instant]],Table1[instant],Table1[weathersit], ,0,1)</f>
        <v>1</v>
      </c>
      <c r="G264" s="2">
        <f>_xlfn.XLOOKUP(Table3[[#This Row],[instant]],Table1[instant],Table1[temp], ,0,1)</f>
        <v>0.16</v>
      </c>
      <c r="H264" s="24">
        <f>_xlfn.XLOOKUP(Table3[[#This Row],[instant]],Table2[instant],Table2[atemp], ,0,1)</f>
        <v>0.13639999999999999</v>
      </c>
      <c r="I264" s="1">
        <f>_xlfn.XLOOKUP(Table3[[#This Row],[instant]],Table2[instant],Table2[hum], ,0,1)</f>
        <v>0.59</v>
      </c>
      <c r="J264" s="1">
        <f>_xlfn.XLOOKUP(Table3[[#This Row],[instant]],Table2[instant],Table2[windspeed], ,0,1)</f>
        <v>0.32840000000000003</v>
      </c>
      <c r="K264" s="1">
        <f>_xlfn.XLOOKUP(Table3[[#This Row],[instant]],Table2[instant],Table2[casual], ,0,1)</f>
        <v>3</v>
      </c>
      <c r="L264" s="1">
        <f>_xlfn.XLOOKUP(Table3[[#This Row],[instant]],Table2[instant],Table2[registered], ,0,1)</f>
        <v>78</v>
      </c>
      <c r="M264" s="6">
        <f>_xlfn.XLOOKUP(Table3[[#This Row],[instant]],Table2[instant],Table2[cnt], ,0,1)</f>
        <v>81</v>
      </c>
      <c r="N264" s="6" t="str">
        <f>IF(OR(Table3[[#This Row],[weekday]]=0,Table3[[#This Row],[weekday]]=6),"Weekend","Weekday")</f>
        <v>Weekday</v>
      </c>
    </row>
    <row r="265" spans="1:14" ht="15" thickBot="1" x14ac:dyDescent="0.35">
      <c r="A265" s="5">
        <v>264</v>
      </c>
      <c r="B265" s="3">
        <f>_xlfn.XLOOKUP(Table3[[#This Row],[instant]],DatSet1!A265:A874,DatSet1!B265:B874,_xlfn.XLOOKUP(Table3[[#This Row],[instant]],'Final Data'!A265:A654,'Final Data'!B265:B654, ,0,1),0,1)</f>
        <v>40555</v>
      </c>
      <c r="C265" s="1">
        <f>_xlfn.XLOOKUP(Table3[[#This Row],[instant]],Table1[instant],Table1[hr], ,0,1)</f>
        <v>10</v>
      </c>
      <c r="D265" s="2" t="b">
        <f>_xlfn.XLOOKUP(Table3[[#This Row],[instant]],Table1[instant],Table1[holiday], ,0,1)</f>
        <v>0</v>
      </c>
      <c r="E265" s="2">
        <f>_xlfn.XLOOKUP(Table3[[#This Row],[instant]],Table1[instant],Table1[weekday], ,0,1)</f>
        <v>3</v>
      </c>
      <c r="F265" s="2">
        <f>_xlfn.XLOOKUP(Table3[[#This Row],[instant]],Table1[instant],Table1[weathersit], ,0,1)</f>
        <v>1</v>
      </c>
      <c r="G265" s="2">
        <f>_xlfn.XLOOKUP(Table3[[#This Row],[instant]],Table1[instant],Table1[temp], ,0,1)</f>
        <v>0.18</v>
      </c>
      <c r="H265" s="24">
        <f>_xlfn.XLOOKUP(Table3[[#This Row],[instant]],Table2[instant],Table2[atemp], ,0,1)</f>
        <v>0.18179999999999999</v>
      </c>
      <c r="I265" s="1">
        <f>_xlfn.XLOOKUP(Table3[[#This Row],[instant]],Table2[instant],Table2[hum], ,0,1)</f>
        <v>0.55000000000000004</v>
      </c>
      <c r="J265" s="1">
        <f>_xlfn.XLOOKUP(Table3[[#This Row],[instant]],Table2[instant],Table2[windspeed], ,0,1)</f>
        <v>0.22389999999999999</v>
      </c>
      <c r="K265" s="1">
        <f>_xlfn.XLOOKUP(Table3[[#This Row],[instant]],Table2[instant],Table2[casual], ,0,1)</f>
        <v>0</v>
      </c>
      <c r="L265" s="1">
        <f>_xlfn.XLOOKUP(Table3[[#This Row],[instant]],Table2[instant],Table2[registered], ,0,1)</f>
        <v>39</v>
      </c>
      <c r="M265" s="6">
        <f>_xlfn.XLOOKUP(Table3[[#This Row],[instant]],Table2[instant],Table2[cnt], ,0,1)</f>
        <v>39</v>
      </c>
      <c r="N265" s="6" t="str">
        <f>IF(OR(Table3[[#This Row],[weekday]]=0,Table3[[#This Row],[weekday]]=6),"Weekend","Weekday")</f>
        <v>Weekday</v>
      </c>
    </row>
    <row r="266" spans="1:14" ht="15" thickBot="1" x14ac:dyDescent="0.35">
      <c r="A266" s="5">
        <v>265</v>
      </c>
      <c r="B266" s="3">
        <f>_xlfn.XLOOKUP(Table3[[#This Row],[instant]],DatSet1!A266:A875,DatSet1!B266:B875,_xlfn.XLOOKUP(Table3[[#This Row],[instant]],'Final Data'!A266:A655,'Final Data'!B266:B655, ,0,1),0,1)</f>
        <v>40555</v>
      </c>
      <c r="C266" s="1">
        <f>_xlfn.XLOOKUP(Table3[[#This Row],[instant]],Table1[instant],Table1[hr], ,0,1)</f>
        <v>11</v>
      </c>
      <c r="D266" s="2" t="b">
        <f>_xlfn.XLOOKUP(Table3[[#This Row],[instant]],Table1[instant],Table1[holiday], ,0,1)</f>
        <v>0</v>
      </c>
      <c r="E266" s="2">
        <f>_xlfn.XLOOKUP(Table3[[#This Row],[instant]],Table1[instant],Table1[weekday], ,0,1)</f>
        <v>3</v>
      </c>
      <c r="F266" s="2">
        <f>_xlfn.XLOOKUP(Table3[[#This Row],[instant]],Table1[instant],Table1[weathersit], ,0,1)</f>
        <v>1</v>
      </c>
      <c r="G266" s="2">
        <f>_xlfn.XLOOKUP(Table3[[#This Row],[instant]],Table1[instant],Table1[temp], ,0,1)</f>
        <v>0.2</v>
      </c>
      <c r="H266" s="24">
        <f>_xlfn.XLOOKUP(Table3[[#This Row],[instant]],Table2[instant],Table2[atemp], ,0,1)</f>
        <v>0.18179999999999999</v>
      </c>
      <c r="I266" s="1">
        <f>_xlfn.XLOOKUP(Table3[[#This Row],[instant]],Table2[instant],Table2[hum], ,0,1)</f>
        <v>0.51</v>
      </c>
      <c r="J266" s="1">
        <f>_xlfn.XLOOKUP(Table3[[#This Row],[instant]],Table2[instant],Table2[windspeed], ,0,1)</f>
        <v>0.3881</v>
      </c>
      <c r="K266" s="1">
        <f>_xlfn.XLOOKUP(Table3[[#This Row],[instant]],Table2[instant],Table2[casual], ,0,1)</f>
        <v>3</v>
      </c>
      <c r="L266" s="1">
        <f>_xlfn.XLOOKUP(Table3[[#This Row],[instant]],Table2[instant],Table2[registered], ,0,1)</f>
        <v>32</v>
      </c>
      <c r="M266" s="6">
        <f>_xlfn.XLOOKUP(Table3[[#This Row],[instant]],Table2[instant],Table2[cnt], ,0,1)</f>
        <v>35</v>
      </c>
      <c r="N266" s="6" t="str">
        <f>IF(OR(Table3[[#This Row],[weekday]]=0,Table3[[#This Row],[weekday]]=6),"Weekend","Weekday")</f>
        <v>Weekday</v>
      </c>
    </row>
    <row r="267" spans="1:14" ht="15" thickBot="1" x14ac:dyDescent="0.35">
      <c r="A267" s="5">
        <v>266</v>
      </c>
      <c r="B267" s="3">
        <f>_xlfn.XLOOKUP(Table3[[#This Row],[instant]],DatSet1!A267:A876,DatSet1!B267:B876,_xlfn.XLOOKUP(Table3[[#This Row],[instant]],'Final Data'!A267:A656,'Final Data'!B267:B656, ,0,1),0,1)</f>
        <v>40555</v>
      </c>
      <c r="C267" s="1">
        <f>_xlfn.XLOOKUP(Table3[[#This Row],[instant]],Table1[instant],Table1[hr], ,0,1)</f>
        <v>12</v>
      </c>
      <c r="D267" s="2" t="b">
        <f>_xlfn.XLOOKUP(Table3[[#This Row],[instant]],Table1[instant],Table1[holiday], ,0,1)</f>
        <v>0</v>
      </c>
      <c r="E267" s="2">
        <f>_xlfn.XLOOKUP(Table3[[#This Row],[instant]],Table1[instant],Table1[weekday], ,0,1)</f>
        <v>3</v>
      </c>
      <c r="F267" s="2">
        <f>_xlfn.XLOOKUP(Table3[[#This Row],[instant]],Table1[instant],Table1[weathersit], ,0,1)</f>
        <v>1</v>
      </c>
      <c r="G267" s="2">
        <f>_xlfn.XLOOKUP(Table3[[#This Row],[instant]],Table1[instant],Table1[temp], ,0,1)</f>
        <v>0.2</v>
      </c>
      <c r="H267" s="24">
        <f>_xlfn.XLOOKUP(Table3[[#This Row],[instant]],Table2[instant],Table2[atemp], ,0,1)</f>
        <v>0.1515</v>
      </c>
      <c r="I267" s="1">
        <f>_xlfn.XLOOKUP(Table3[[#This Row],[instant]],Table2[instant],Table2[hum], ,0,1)</f>
        <v>0.47</v>
      </c>
      <c r="J267" s="1">
        <f>_xlfn.XLOOKUP(Table3[[#This Row],[instant]],Table2[instant],Table2[windspeed], ,0,1)</f>
        <v>0.58209999999999995</v>
      </c>
      <c r="K267" s="1">
        <f>_xlfn.XLOOKUP(Table3[[#This Row],[instant]],Table2[instant],Table2[casual], ,0,1)</f>
        <v>3</v>
      </c>
      <c r="L267" s="1">
        <f>_xlfn.XLOOKUP(Table3[[#This Row],[instant]],Table2[instant],Table2[registered], ,0,1)</f>
        <v>52</v>
      </c>
      <c r="M267" s="6">
        <f>_xlfn.XLOOKUP(Table3[[#This Row],[instant]],Table2[instant],Table2[cnt], ,0,1)</f>
        <v>55</v>
      </c>
      <c r="N267" s="6" t="str">
        <f>IF(OR(Table3[[#This Row],[weekday]]=0,Table3[[#This Row],[weekday]]=6),"Weekend","Weekday")</f>
        <v>Weekday</v>
      </c>
    </row>
    <row r="268" spans="1:14" ht="15" thickBot="1" x14ac:dyDescent="0.35">
      <c r="A268" s="5">
        <v>267</v>
      </c>
      <c r="B268" s="3">
        <f>_xlfn.XLOOKUP(Table3[[#This Row],[instant]],DatSet1!A268:A877,DatSet1!B268:B877,_xlfn.XLOOKUP(Table3[[#This Row],[instant]],'Final Data'!A268:A657,'Final Data'!B268:B657, ,0,1),0,1)</f>
        <v>40555</v>
      </c>
      <c r="C268" s="1">
        <f>_xlfn.XLOOKUP(Table3[[#This Row],[instant]],Table1[instant],Table1[hr], ,0,1)</f>
        <v>13</v>
      </c>
      <c r="D268" s="2" t="b">
        <f>_xlfn.XLOOKUP(Table3[[#This Row],[instant]],Table1[instant],Table1[holiday], ,0,1)</f>
        <v>0</v>
      </c>
      <c r="E268" s="2">
        <f>_xlfn.XLOOKUP(Table3[[#This Row],[instant]],Table1[instant],Table1[weekday], ,0,1)</f>
        <v>3</v>
      </c>
      <c r="F268" s="2">
        <f>_xlfn.XLOOKUP(Table3[[#This Row],[instant]],Table1[instant],Table1[weathersit], ,0,1)</f>
        <v>1</v>
      </c>
      <c r="G268" s="2">
        <f>_xlfn.XLOOKUP(Table3[[#This Row],[instant]],Table1[instant],Table1[temp], ,0,1)</f>
        <v>0.22</v>
      </c>
      <c r="H268" s="24">
        <f>_xlfn.XLOOKUP(Table3[[#This Row],[instant]],Table2[instant],Table2[atemp], ,0,1)</f>
        <v>0.19700000000000001</v>
      </c>
      <c r="I268" s="1">
        <f>_xlfn.XLOOKUP(Table3[[#This Row],[instant]],Table2[instant],Table2[hum], ,0,1)</f>
        <v>0.44</v>
      </c>
      <c r="J268" s="1">
        <f>_xlfn.XLOOKUP(Table3[[#This Row],[instant]],Table2[instant],Table2[windspeed], ,0,1)</f>
        <v>0.35820000000000002</v>
      </c>
      <c r="K268" s="1">
        <f>_xlfn.XLOOKUP(Table3[[#This Row],[instant]],Table2[instant],Table2[casual], ,0,1)</f>
        <v>0</v>
      </c>
      <c r="L268" s="1">
        <f>_xlfn.XLOOKUP(Table3[[#This Row],[instant]],Table2[instant],Table2[registered], ,0,1)</f>
        <v>49</v>
      </c>
      <c r="M268" s="6">
        <f>_xlfn.XLOOKUP(Table3[[#This Row],[instant]],Table2[instant],Table2[cnt], ,0,1)</f>
        <v>49</v>
      </c>
      <c r="N268" s="6" t="str">
        <f>IF(OR(Table3[[#This Row],[weekday]]=0,Table3[[#This Row],[weekday]]=6),"Weekend","Weekday")</f>
        <v>Weekday</v>
      </c>
    </row>
    <row r="269" spans="1:14" ht="15" thickBot="1" x14ac:dyDescent="0.35">
      <c r="A269" s="5">
        <v>268</v>
      </c>
      <c r="B269" s="3">
        <f>_xlfn.XLOOKUP(Table3[[#This Row],[instant]],DatSet1!A269:A878,DatSet1!B269:B878,_xlfn.XLOOKUP(Table3[[#This Row],[instant]],'Final Data'!A269:A658,'Final Data'!B269:B658, ,0,1),0,1)</f>
        <v>40555</v>
      </c>
      <c r="C269" s="1">
        <f>_xlfn.XLOOKUP(Table3[[#This Row],[instant]],Table1[instant],Table1[hr], ,0,1)</f>
        <v>14</v>
      </c>
      <c r="D269" s="2" t="b">
        <f>_xlfn.XLOOKUP(Table3[[#This Row],[instant]],Table1[instant],Table1[holiday], ,0,1)</f>
        <v>0</v>
      </c>
      <c r="E269" s="2">
        <f>_xlfn.XLOOKUP(Table3[[#This Row],[instant]],Table1[instant],Table1[weekday], ,0,1)</f>
        <v>3</v>
      </c>
      <c r="F269" s="2">
        <f>_xlfn.XLOOKUP(Table3[[#This Row],[instant]],Table1[instant],Table1[weathersit], ,0,1)</f>
        <v>1</v>
      </c>
      <c r="G269" s="2">
        <f>_xlfn.XLOOKUP(Table3[[#This Row],[instant]],Table1[instant],Table1[temp], ,0,1)</f>
        <v>0.2</v>
      </c>
      <c r="H269" s="24">
        <f>_xlfn.XLOOKUP(Table3[[#This Row],[instant]],Table2[instant],Table2[atemp], ,0,1)</f>
        <v>0.18179999999999999</v>
      </c>
      <c r="I269" s="1">
        <f>_xlfn.XLOOKUP(Table3[[#This Row],[instant]],Table2[instant],Table2[hum], ,0,1)</f>
        <v>0.47</v>
      </c>
      <c r="J269" s="1">
        <f>_xlfn.XLOOKUP(Table3[[#This Row],[instant]],Table2[instant],Table2[windspeed], ,0,1)</f>
        <v>0.32840000000000003</v>
      </c>
      <c r="K269" s="1">
        <f>_xlfn.XLOOKUP(Table3[[#This Row],[instant]],Table2[instant],Table2[casual], ,0,1)</f>
        <v>0</v>
      </c>
      <c r="L269" s="1">
        <f>_xlfn.XLOOKUP(Table3[[#This Row],[instant]],Table2[instant],Table2[registered], ,0,1)</f>
        <v>44</v>
      </c>
      <c r="M269" s="6">
        <f>_xlfn.XLOOKUP(Table3[[#This Row],[instant]],Table2[instant],Table2[cnt], ,0,1)</f>
        <v>44</v>
      </c>
      <c r="N269" s="6" t="str">
        <f>IF(OR(Table3[[#This Row],[weekday]]=0,Table3[[#This Row],[weekday]]=6),"Weekend","Weekday")</f>
        <v>Weekday</v>
      </c>
    </row>
    <row r="270" spans="1:14" ht="15" thickBot="1" x14ac:dyDescent="0.35">
      <c r="A270" s="5">
        <v>269</v>
      </c>
      <c r="B270" s="3">
        <f>_xlfn.XLOOKUP(Table3[[#This Row],[instant]],DatSet1!A270:A879,DatSet1!B270:B879,_xlfn.XLOOKUP(Table3[[#This Row],[instant]],'Final Data'!A270:A659,'Final Data'!B270:B659, ,0,1),0,1)</f>
        <v>40555</v>
      </c>
      <c r="C270" s="1">
        <f>_xlfn.XLOOKUP(Table3[[#This Row],[instant]],Table1[instant],Table1[hr], ,0,1)</f>
        <v>15</v>
      </c>
      <c r="D270" s="2" t="b">
        <f>_xlfn.XLOOKUP(Table3[[#This Row],[instant]],Table1[instant],Table1[holiday], ,0,1)</f>
        <v>0</v>
      </c>
      <c r="E270" s="2">
        <f>_xlfn.XLOOKUP(Table3[[#This Row],[instant]],Table1[instant],Table1[weekday], ,0,1)</f>
        <v>3</v>
      </c>
      <c r="F270" s="2">
        <f>_xlfn.XLOOKUP(Table3[[#This Row],[instant]],Table1[instant],Table1[weathersit], ,0,1)</f>
        <v>1</v>
      </c>
      <c r="G270" s="2">
        <f>_xlfn.XLOOKUP(Table3[[#This Row],[instant]],Table1[instant],Table1[temp], ,0,1)</f>
        <v>0.2</v>
      </c>
      <c r="H270" s="24">
        <f>_xlfn.XLOOKUP(Table3[[#This Row],[instant]],Table2[instant],Table2[atemp], ,0,1)</f>
        <v>0.16669999999999999</v>
      </c>
      <c r="I270" s="1">
        <f>_xlfn.XLOOKUP(Table3[[#This Row],[instant]],Table2[instant],Table2[hum], ,0,1)</f>
        <v>0.47</v>
      </c>
      <c r="J270" s="1">
        <f>_xlfn.XLOOKUP(Table3[[#This Row],[instant]],Table2[instant],Table2[windspeed], ,0,1)</f>
        <v>0.41789999999999999</v>
      </c>
      <c r="K270" s="1">
        <f>_xlfn.XLOOKUP(Table3[[#This Row],[instant]],Table2[instant],Table2[casual], ,0,1)</f>
        <v>1</v>
      </c>
      <c r="L270" s="1">
        <f>_xlfn.XLOOKUP(Table3[[#This Row],[instant]],Table2[instant],Table2[registered], ,0,1)</f>
        <v>48</v>
      </c>
      <c r="M270" s="6">
        <f>_xlfn.XLOOKUP(Table3[[#This Row],[instant]],Table2[instant],Table2[cnt], ,0,1)</f>
        <v>49</v>
      </c>
      <c r="N270" s="6" t="str">
        <f>IF(OR(Table3[[#This Row],[weekday]]=0,Table3[[#This Row],[weekday]]=6),"Weekend","Weekday")</f>
        <v>Weekday</v>
      </c>
    </row>
    <row r="271" spans="1:14" ht="15" thickBot="1" x14ac:dyDescent="0.35">
      <c r="A271" s="5">
        <v>270</v>
      </c>
      <c r="B271" s="3">
        <f>_xlfn.XLOOKUP(Table3[[#This Row],[instant]],DatSet1!A271:A880,DatSet1!B271:B880,_xlfn.XLOOKUP(Table3[[#This Row],[instant]],'Final Data'!A271:A660,'Final Data'!B271:B660, ,0,1),0,1)</f>
        <v>40555</v>
      </c>
      <c r="C271" s="1">
        <f>_xlfn.XLOOKUP(Table3[[#This Row],[instant]],Table1[instant],Table1[hr], ,0,1)</f>
        <v>16</v>
      </c>
      <c r="D271" s="2" t="b">
        <f>_xlfn.XLOOKUP(Table3[[#This Row],[instant]],Table1[instant],Table1[holiday], ,0,1)</f>
        <v>0</v>
      </c>
      <c r="E271" s="2">
        <f>_xlfn.XLOOKUP(Table3[[#This Row],[instant]],Table1[instant],Table1[weekday], ,0,1)</f>
        <v>3</v>
      </c>
      <c r="F271" s="2">
        <f>_xlfn.XLOOKUP(Table3[[#This Row],[instant]],Table1[instant],Table1[weathersit], ,0,1)</f>
        <v>1</v>
      </c>
      <c r="G271" s="2">
        <f>_xlfn.XLOOKUP(Table3[[#This Row],[instant]],Table1[instant],Table1[temp], ,0,1)</f>
        <v>0.22</v>
      </c>
      <c r="H271" s="24">
        <f>_xlfn.XLOOKUP(Table3[[#This Row],[instant]],Table2[instant],Table2[atemp], ,0,1)</f>
        <v>0.19700000000000001</v>
      </c>
      <c r="I271" s="1">
        <f>_xlfn.XLOOKUP(Table3[[#This Row],[instant]],Table2[instant],Table2[hum], ,0,1)</f>
        <v>0.44</v>
      </c>
      <c r="J271" s="1">
        <f>_xlfn.XLOOKUP(Table3[[#This Row],[instant]],Table2[instant],Table2[windspeed], ,0,1)</f>
        <v>0.32840000000000003</v>
      </c>
      <c r="K271" s="1">
        <f>_xlfn.XLOOKUP(Table3[[#This Row],[instant]],Table2[instant],Table2[casual], ,0,1)</f>
        <v>5</v>
      </c>
      <c r="L271" s="1">
        <f>_xlfn.XLOOKUP(Table3[[#This Row],[instant]],Table2[instant],Table2[registered], ,0,1)</f>
        <v>63</v>
      </c>
      <c r="M271" s="6">
        <f>_xlfn.XLOOKUP(Table3[[#This Row],[instant]],Table2[instant],Table2[cnt], ,0,1)</f>
        <v>68</v>
      </c>
      <c r="N271" s="6" t="str">
        <f>IF(OR(Table3[[#This Row],[weekday]]=0,Table3[[#This Row],[weekday]]=6),"Weekend","Weekday")</f>
        <v>Weekday</v>
      </c>
    </row>
    <row r="272" spans="1:14" ht="15" thickBot="1" x14ac:dyDescent="0.35">
      <c r="A272" s="5">
        <v>271</v>
      </c>
      <c r="B272" s="3">
        <f>_xlfn.XLOOKUP(Table3[[#This Row],[instant]],DatSet1!A272:A881,DatSet1!B272:B881,_xlfn.XLOOKUP(Table3[[#This Row],[instant]],'Final Data'!A272:A661,'Final Data'!B272:B661, ,0,1),0,1)</f>
        <v>40555</v>
      </c>
      <c r="C272" s="1">
        <f>_xlfn.XLOOKUP(Table3[[#This Row],[instant]],Table1[instant],Table1[hr], ,0,1)</f>
        <v>17</v>
      </c>
      <c r="D272" s="2" t="b">
        <f>_xlfn.XLOOKUP(Table3[[#This Row],[instant]],Table1[instant],Table1[holiday], ,0,1)</f>
        <v>0</v>
      </c>
      <c r="E272" s="2">
        <f>_xlfn.XLOOKUP(Table3[[#This Row],[instant]],Table1[instant],Table1[weekday], ,0,1)</f>
        <v>3</v>
      </c>
      <c r="F272" s="2">
        <f>_xlfn.XLOOKUP(Table3[[#This Row],[instant]],Table1[instant],Table1[weathersit], ,0,1)</f>
        <v>1</v>
      </c>
      <c r="G272" s="2">
        <f>_xlfn.XLOOKUP(Table3[[#This Row],[instant]],Table1[instant],Table1[temp], ,0,1)</f>
        <v>0.2</v>
      </c>
      <c r="H272" s="24">
        <f>_xlfn.XLOOKUP(Table3[[#This Row],[instant]],Table2[instant],Table2[atemp], ,0,1)</f>
        <v>0.18179999999999999</v>
      </c>
      <c r="I272" s="1">
        <f>_xlfn.XLOOKUP(Table3[[#This Row],[instant]],Table2[instant],Table2[hum], ,0,1)</f>
        <v>0.47</v>
      </c>
      <c r="J272" s="1">
        <f>_xlfn.XLOOKUP(Table3[[#This Row],[instant]],Table2[instant],Table2[windspeed], ,0,1)</f>
        <v>0.35820000000000002</v>
      </c>
      <c r="K272" s="1">
        <f>_xlfn.XLOOKUP(Table3[[#This Row],[instant]],Table2[instant],Table2[casual], ,0,1)</f>
        <v>0</v>
      </c>
      <c r="L272" s="1">
        <f>_xlfn.XLOOKUP(Table3[[#This Row],[instant]],Table2[instant],Table2[registered], ,0,1)</f>
        <v>139</v>
      </c>
      <c r="M272" s="6">
        <f>_xlfn.XLOOKUP(Table3[[#This Row],[instant]],Table2[instant],Table2[cnt], ,0,1)</f>
        <v>139</v>
      </c>
      <c r="N272" s="6" t="str">
        <f>IF(OR(Table3[[#This Row],[weekday]]=0,Table3[[#This Row],[weekday]]=6),"Weekend","Weekday")</f>
        <v>Weekday</v>
      </c>
    </row>
    <row r="273" spans="1:14" ht="15" thickBot="1" x14ac:dyDescent="0.35">
      <c r="A273" s="5">
        <v>272</v>
      </c>
      <c r="B273" s="3">
        <f>_xlfn.XLOOKUP(Table3[[#This Row],[instant]],DatSet1!A273:A882,DatSet1!B273:B882,_xlfn.XLOOKUP(Table3[[#This Row],[instant]],'Final Data'!A273:A662,'Final Data'!B273:B662, ,0,1),0,1)</f>
        <v>40555</v>
      </c>
      <c r="C273" s="1">
        <f>_xlfn.XLOOKUP(Table3[[#This Row],[instant]],Table1[instant],Table1[hr], ,0,1)</f>
        <v>18</v>
      </c>
      <c r="D273" s="2" t="b">
        <f>_xlfn.XLOOKUP(Table3[[#This Row],[instant]],Table1[instant],Table1[holiday], ,0,1)</f>
        <v>0</v>
      </c>
      <c r="E273" s="2">
        <f>_xlfn.XLOOKUP(Table3[[#This Row],[instant]],Table1[instant],Table1[weekday], ,0,1)</f>
        <v>3</v>
      </c>
      <c r="F273" s="2">
        <f>_xlfn.XLOOKUP(Table3[[#This Row],[instant]],Table1[instant],Table1[weathersit], ,0,1)</f>
        <v>1</v>
      </c>
      <c r="G273" s="2">
        <f>_xlfn.XLOOKUP(Table3[[#This Row],[instant]],Table1[instant],Table1[temp], ,0,1)</f>
        <v>0.2</v>
      </c>
      <c r="H273" s="24">
        <f>_xlfn.XLOOKUP(Table3[[#This Row],[instant]],Table2[instant],Table2[atemp], ,0,1)</f>
        <v>0.1515</v>
      </c>
      <c r="I273" s="1">
        <f>_xlfn.XLOOKUP(Table3[[#This Row],[instant]],Table2[instant],Table2[hum], ,0,1)</f>
        <v>0.47</v>
      </c>
      <c r="J273" s="1">
        <f>_xlfn.XLOOKUP(Table3[[#This Row],[instant]],Table2[instant],Table2[windspeed], ,0,1)</f>
        <v>0.52239999999999998</v>
      </c>
      <c r="K273" s="1">
        <f>_xlfn.XLOOKUP(Table3[[#This Row],[instant]],Table2[instant],Table2[casual], ,0,1)</f>
        <v>2</v>
      </c>
      <c r="L273" s="1">
        <f>_xlfn.XLOOKUP(Table3[[#This Row],[instant]],Table2[instant],Table2[registered], ,0,1)</f>
        <v>135</v>
      </c>
      <c r="M273" s="6">
        <f>_xlfn.XLOOKUP(Table3[[#This Row],[instant]],Table2[instant],Table2[cnt], ,0,1)</f>
        <v>137</v>
      </c>
      <c r="N273" s="6" t="str">
        <f>IF(OR(Table3[[#This Row],[weekday]]=0,Table3[[#This Row],[weekday]]=6),"Weekend","Weekday")</f>
        <v>Weekday</v>
      </c>
    </row>
    <row r="274" spans="1:14" ht="15" thickBot="1" x14ac:dyDescent="0.35">
      <c r="A274" s="5">
        <v>273</v>
      </c>
      <c r="B274" s="3">
        <f>_xlfn.XLOOKUP(Table3[[#This Row],[instant]],DatSet1!A274:A883,DatSet1!B274:B883,_xlfn.XLOOKUP(Table3[[#This Row],[instant]],'Final Data'!A274:A663,'Final Data'!B274:B663, ,0,1),0,1)</f>
        <v>40555</v>
      </c>
      <c r="C274" s="1">
        <f>_xlfn.XLOOKUP(Table3[[#This Row],[instant]],Table1[instant],Table1[hr], ,0,1)</f>
        <v>19</v>
      </c>
      <c r="D274" s="2" t="b">
        <f>_xlfn.XLOOKUP(Table3[[#This Row],[instant]],Table1[instant],Table1[holiday], ,0,1)</f>
        <v>0</v>
      </c>
      <c r="E274" s="2">
        <f>_xlfn.XLOOKUP(Table3[[#This Row],[instant]],Table1[instant],Table1[weekday], ,0,1)</f>
        <v>3</v>
      </c>
      <c r="F274" s="2">
        <f>_xlfn.XLOOKUP(Table3[[#This Row],[instant]],Table1[instant],Table1[weathersit], ,0,1)</f>
        <v>1</v>
      </c>
      <c r="G274" s="2">
        <f>_xlfn.XLOOKUP(Table3[[#This Row],[instant]],Table1[instant],Table1[temp], ,0,1)</f>
        <v>0.18</v>
      </c>
      <c r="H274" s="24">
        <f>_xlfn.XLOOKUP(Table3[[#This Row],[instant]],Table2[instant],Table2[atemp], ,0,1)</f>
        <v>0.1515</v>
      </c>
      <c r="I274" s="1">
        <f>_xlfn.XLOOKUP(Table3[[#This Row],[instant]],Table2[instant],Table2[hum], ,0,1)</f>
        <v>0.47</v>
      </c>
      <c r="J274" s="1">
        <f>_xlfn.XLOOKUP(Table3[[#This Row],[instant]],Table2[instant],Table2[windspeed], ,0,1)</f>
        <v>0.41789999999999999</v>
      </c>
      <c r="K274" s="1">
        <f>_xlfn.XLOOKUP(Table3[[#This Row],[instant]],Table2[instant],Table2[casual], ,0,1)</f>
        <v>1</v>
      </c>
      <c r="L274" s="1">
        <f>_xlfn.XLOOKUP(Table3[[#This Row],[instant]],Table2[instant],Table2[registered], ,0,1)</f>
        <v>82</v>
      </c>
      <c r="M274" s="6">
        <f>_xlfn.XLOOKUP(Table3[[#This Row],[instant]],Table2[instant],Table2[cnt], ,0,1)</f>
        <v>83</v>
      </c>
      <c r="N274" s="6" t="str">
        <f>IF(OR(Table3[[#This Row],[weekday]]=0,Table3[[#This Row],[weekday]]=6),"Weekend","Weekday")</f>
        <v>Weekday</v>
      </c>
    </row>
    <row r="275" spans="1:14" ht="15" thickBot="1" x14ac:dyDescent="0.35">
      <c r="A275" s="5">
        <v>274</v>
      </c>
      <c r="B275" s="3">
        <f>_xlfn.XLOOKUP(Table3[[#This Row],[instant]],DatSet1!A275:A884,DatSet1!B275:B884,_xlfn.XLOOKUP(Table3[[#This Row],[instant]],'Final Data'!A275:A664,'Final Data'!B275:B664, ,0,1),0,1)</f>
        <v>40555</v>
      </c>
      <c r="C275" s="1">
        <f>_xlfn.XLOOKUP(Table3[[#This Row],[instant]],Table1[instant],Table1[hr], ,0,1)</f>
        <v>20</v>
      </c>
      <c r="D275" s="2" t="b">
        <f>_xlfn.XLOOKUP(Table3[[#This Row],[instant]],Table1[instant],Table1[holiday], ,0,1)</f>
        <v>0</v>
      </c>
      <c r="E275" s="2">
        <f>_xlfn.XLOOKUP(Table3[[#This Row],[instant]],Table1[instant],Table1[weekday], ,0,1)</f>
        <v>3</v>
      </c>
      <c r="F275" s="2">
        <f>_xlfn.XLOOKUP(Table3[[#This Row],[instant]],Table1[instant],Table1[weathersit], ,0,1)</f>
        <v>1</v>
      </c>
      <c r="G275" s="2">
        <f>_xlfn.XLOOKUP(Table3[[#This Row],[instant]],Table1[instant],Table1[temp], ,0,1)</f>
        <v>0.16</v>
      </c>
      <c r="H275" s="24">
        <f>_xlfn.XLOOKUP(Table3[[#This Row],[instant]],Table2[instant],Table2[atemp], ,0,1)</f>
        <v>0.13639999999999999</v>
      </c>
      <c r="I275" s="1">
        <f>_xlfn.XLOOKUP(Table3[[#This Row],[instant]],Table2[instant],Table2[hum], ,0,1)</f>
        <v>0.5</v>
      </c>
      <c r="J275" s="1">
        <f>_xlfn.XLOOKUP(Table3[[#This Row],[instant]],Table2[instant],Table2[windspeed], ,0,1)</f>
        <v>0.32840000000000003</v>
      </c>
      <c r="K275" s="1">
        <f>_xlfn.XLOOKUP(Table3[[#This Row],[instant]],Table2[instant],Table2[casual], ,0,1)</f>
        <v>2</v>
      </c>
      <c r="L275" s="1">
        <f>_xlfn.XLOOKUP(Table3[[#This Row],[instant]],Table2[instant],Table2[registered], ,0,1)</f>
        <v>54</v>
      </c>
      <c r="M275" s="6">
        <f>_xlfn.XLOOKUP(Table3[[#This Row],[instant]],Table2[instant],Table2[cnt], ,0,1)</f>
        <v>56</v>
      </c>
      <c r="N275" s="6" t="str">
        <f>IF(OR(Table3[[#This Row],[weekday]]=0,Table3[[#This Row],[weekday]]=6),"Weekend","Weekday")</f>
        <v>Weekday</v>
      </c>
    </row>
    <row r="276" spans="1:14" ht="15" thickBot="1" x14ac:dyDescent="0.35">
      <c r="A276" s="5">
        <v>275</v>
      </c>
      <c r="B276" s="3">
        <f>_xlfn.XLOOKUP(Table3[[#This Row],[instant]],DatSet1!A276:A885,DatSet1!B276:B885,_xlfn.XLOOKUP(Table3[[#This Row],[instant]],'Final Data'!A276:A665,'Final Data'!B276:B665, ,0,1),0,1)</f>
        <v>40555</v>
      </c>
      <c r="C276" s="1">
        <f>_xlfn.XLOOKUP(Table3[[#This Row],[instant]],Table1[instant],Table1[hr], ,0,1)</f>
        <v>21</v>
      </c>
      <c r="D276" s="2" t="b">
        <f>_xlfn.XLOOKUP(Table3[[#This Row],[instant]],Table1[instant],Table1[holiday], ,0,1)</f>
        <v>0</v>
      </c>
      <c r="E276" s="2">
        <f>_xlfn.XLOOKUP(Table3[[#This Row],[instant]],Table1[instant],Table1[weekday], ,0,1)</f>
        <v>3</v>
      </c>
      <c r="F276" s="2">
        <f>_xlfn.XLOOKUP(Table3[[#This Row],[instant]],Table1[instant],Table1[weathersit], ,0,1)</f>
        <v>1</v>
      </c>
      <c r="G276" s="2">
        <f>_xlfn.XLOOKUP(Table3[[#This Row],[instant]],Table1[instant],Table1[temp], ,0,1)</f>
        <v>0.16</v>
      </c>
      <c r="H276" s="24">
        <f>_xlfn.XLOOKUP(Table3[[#This Row],[instant]],Table2[instant],Table2[atemp], ,0,1)</f>
        <v>0.13639999999999999</v>
      </c>
      <c r="I276" s="1">
        <f>_xlfn.XLOOKUP(Table3[[#This Row],[instant]],Table2[instant],Table2[hum], ,0,1)</f>
        <v>0.55000000000000004</v>
      </c>
      <c r="J276" s="1">
        <f>_xlfn.XLOOKUP(Table3[[#This Row],[instant]],Table2[instant],Table2[windspeed], ,0,1)</f>
        <v>0.32840000000000003</v>
      </c>
      <c r="K276" s="1">
        <f>_xlfn.XLOOKUP(Table3[[#This Row],[instant]],Table2[instant],Table2[casual], ,0,1)</f>
        <v>0</v>
      </c>
      <c r="L276" s="1">
        <f>_xlfn.XLOOKUP(Table3[[#This Row],[instant]],Table2[instant],Table2[registered], ,0,1)</f>
        <v>57</v>
      </c>
      <c r="M276" s="6">
        <f>_xlfn.XLOOKUP(Table3[[#This Row],[instant]],Table2[instant],Table2[cnt], ,0,1)</f>
        <v>57</v>
      </c>
      <c r="N276" s="6" t="str">
        <f>IF(OR(Table3[[#This Row],[weekday]]=0,Table3[[#This Row],[weekday]]=6),"Weekend","Weekday")</f>
        <v>Weekday</v>
      </c>
    </row>
    <row r="277" spans="1:14" ht="15" thickBot="1" x14ac:dyDescent="0.35">
      <c r="A277" s="5">
        <v>276</v>
      </c>
      <c r="B277" s="3">
        <f>_xlfn.XLOOKUP(Table3[[#This Row],[instant]],DatSet1!A277:A886,DatSet1!B277:B886,_xlfn.XLOOKUP(Table3[[#This Row],[instant]],'Final Data'!A277:A666,'Final Data'!B277:B666, ,0,1),0,1)</f>
        <v>40555</v>
      </c>
      <c r="C277" s="1">
        <f>_xlfn.XLOOKUP(Table3[[#This Row],[instant]],Table1[instant],Table1[hr], ,0,1)</f>
        <v>22</v>
      </c>
      <c r="D277" s="2" t="b">
        <f>_xlfn.XLOOKUP(Table3[[#This Row],[instant]],Table1[instant],Table1[holiday], ,0,1)</f>
        <v>0</v>
      </c>
      <c r="E277" s="2">
        <f>_xlfn.XLOOKUP(Table3[[#This Row],[instant]],Table1[instant],Table1[weekday], ,0,1)</f>
        <v>3</v>
      </c>
      <c r="F277" s="2">
        <f>_xlfn.XLOOKUP(Table3[[#This Row],[instant]],Table1[instant],Table1[weathersit], ,0,1)</f>
        <v>1</v>
      </c>
      <c r="G277" s="2">
        <f>_xlfn.XLOOKUP(Table3[[#This Row],[instant]],Table1[instant],Table1[temp], ,0,1)</f>
        <v>0.16</v>
      </c>
      <c r="H277" s="24">
        <f>_xlfn.XLOOKUP(Table3[[#This Row],[instant]],Table2[instant],Table2[atemp], ,0,1)</f>
        <v>0.1212</v>
      </c>
      <c r="I277" s="1">
        <f>_xlfn.XLOOKUP(Table3[[#This Row],[instant]],Table2[instant],Table2[hum], ,0,1)</f>
        <v>0.55000000000000004</v>
      </c>
      <c r="J277" s="1">
        <f>_xlfn.XLOOKUP(Table3[[#This Row],[instant]],Table2[instant],Table2[windspeed], ,0,1)</f>
        <v>0.44779999999999998</v>
      </c>
      <c r="K277" s="1">
        <f>_xlfn.XLOOKUP(Table3[[#This Row],[instant]],Table2[instant],Table2[casual], ,0,1)</f>
        <v>1</v>
      </c>
      <c r="L277" s="1">
        <f>_xlfn.XLOOKUP(Table3[[#This Row],[instant]],Table2[instant],Table2[registered], ,0,1)</f>
        <v>32</v>
      </c>
      <c r="M277" s="6">
        <f>_xlfn.XLOOKUP(Table3[[#This Row],[instant]],Table2[instant],Table2[cnt], ,0,1)</f>
        <v>33</v>
      </c>
      <c r="N277" s="6" t="str">
        <f>IF(OR(Table3[[#This Row],[weekday]]=0,Table3[[#This Row],[weekday]]=6),"Weekend","Weekday")</f>
        <v>Weekday</v>
      </c>
    </row>
    <row r="278" spans="1:14" ht="15" thickBot="1" x14ac:dyDescent="0.35">
      <c r="A278" s="5">
        <v>277</v>
      </c>
      <c r="B278" s="3">
        <f>_xlfn.XLOOKUP(Table3[[#This Row],[instant]],DatSet1!A278:A887,DatSet1!B278:B887,_xlfn.XLOOKUP(Table3[[#This Row],[instant]],'Final Data'!A278:A667,'Final Data'!B278:B667, ,0,1),0,1)</f>
        <v>40555</v>
      </c>
      <c r="C278" s="1">
        <f>_xlfn.XLOOKUP(Table3[[#This Row],[instant]],Table1[instant],Table1[hr], ,0,1)</f>
        <v>23</v>
      </c>
      <c r="D278" s="2" t="b">
        <f>_xlfn.XLOOKUP(Table3[[#This Row],[instant]],Table1[instant],Table1[holiday], ,0,1)</f>
        <v>0</v>
      </c>
      <c r="E278" s="2">
        <f>_xlfn.XLOOKUP(Table3[[#This Row],[instant]],Table1[instant],Table1[weekday], ,0,1)</f>
        <v>3</v>
      </c>
      <c r="F278" s="2">
        <f>_xlfn.XLOOKUP(Table3[[#This Row],[instant]],Table1[instant],Table1[weathersit], ,0,1)</f>
        <v>1</v>
      </c>
      <c r="G278" s="2">
        <f>_xlfn.XLOOKUP(Table3[[#This Row],[instant]],Table1[instant],Table1[temp], ,0,1)</f>
        <v>0.14000000000000001</v>
      </c>
      <c r="H278" s="24">
        <f>_xlfn.XLOOKUP(Table3[[#This Row],[instant]],Table2[instant],Table2[atemp], ,0,1)</f>
        <v>0.1061</v>
      </c>
      <c r="I278" s="1">
        <f>_xlfn.XLOOKUP(Table3[[#This Row],[instant]],Table2[instant],Table2[hum], ,0,1)</f>
        <v>0.59</v>
      </c>
      <c r="J278" s="1">
        <f>_xlfn.XLOOKUP(Table3[[#This Row],[instant]],Table2[instant],Table2[windspeed], ,0,1)</f>
        <v>0.41789999999999999</v>
      </c>
      <c r="K278" s="1">
        <f>_xlfn.XLOOKUP(Table3[[#This Row],[instant]],Table2[instant],Table2[casual], ,0,1)</f>
        <v>1</v>
      </c>
      <c r="L278" s="1">
        <f>_xlfn.XLOOKUP(Table3[[#This Row],[instant]],Table2[instant],Table2[registered], ,0,1)</f>
        <v>19</v>
      </c>
      <c r="M278" s="6">
        <f>_xlfn.XLOOKUP(Table3[[#This Row],[instant]],Table2[instant],Table2[cnt], ,0,1)</f>
        <v>20</v>
      </c>
      <c r="N278" s="6" t="str">
        <f>IF(OR(Table3[[#This Row],[weekday]]=0,Table3[[#This Row],[weekday]]=6),"Weekend","Weekday")</f>
        <v>Weekday</v>
      </c>
    </row>
    <row r="279" spans="1:14" ht="15" thickBot="1" x14ac:dyDescent="0.35">
      <c r="A279" s="5">
        <v>278</v>
      </c>
      <c r="B279" s="3">
        <f>_xlfn.XLOOKUP(Table3[[#This Row],[instant]],DatSet1!A279:A888,DatSet1!B279:B888,_xlfn.XLOOKUP(Table3[[#This Row],[instant]],'Final Data'!A279:A668,'Final Data'!B279:B668, ,0,1),0,1)</f>
        <v>40556</v>
      </c>
      <c r="C279" s="1">
        <f>_xlfn.XLOOKUP(Table3[[#This Row],[instant]],Table1[instant],Table1[hr], ,0,1)</f>
        <v>0</v>
      </c>
      <c r="D279" s="2" t="b">
        <f>_xlfn.XLOOKUP(Table3[[#This Row],[instant]],Table1[instant],Table1[holiday], ,0,1)</f>
        <v>0</v>
      </c>
      <c r="E279" s="2">
        <f>_xlfn.XLOOKUP(Table3[[#This Row],[instant]],Table1[instant],Table1[weekday], ,0,1)</f>
        <v>4</v>
      </c>
      <c r="F279" s="2">
        <f>_xlfn.XLOOKUP(Table3[[#This Row],[instant]],Table1[instant],Table1[weathersit], ,0,1)</f>
        <v>1</v>
      </c>
      <c r="G279" s="2">
        <f>_xlfn.XLOOKUP(Table3[[#This Row],[instant]],Table1[instant],Table1[temp], ,0,1)</f>
        <v>0.14000000000000001</v>
      </c>
      <c r="H279" s="24">
        <f>_xlfn.XLOOKUP(Table3[[#This Row],[instant]],Table2[instant],Table2[atemp], ,0,1)</f>
        <v>0.1212</v>
      </c>
      <c r="I279" s="1">
        <f>_xlfn.XLOOKUP(Table3[[#This Row],[instant]],Table2[instant],Table2[hum], ,0,1)</f>
        <v>0.59</v>
      </c>
      <c r="J279" s="1">
        <f>_xlfn.XLOOKUP(Table3[[#This Row],[instant]],Table2[instant],Table2[windspeed], ,0,1)</f>
        <v>0.28360000000000002</v>
      </c>
      <c r="K279" s="1">
        <f>_xlfn.XLOOKUP(Table3[[#This Row],[instant]],Table2[instant],Table2[casual], ,0,1)</f>
        <v>1</v>
      </c>
      <c r="L279" s="1">
        <f>_xlfn.XLOOKUP(Table3[[#This Row],[instant]],Table2[instant],Table2[registered], ,0,1)</f>
        <v>6</v>
      </c>
      <c r="M279" s="6">
        <f>_xlfn.XLOOKUP(Table3[[#This Row],[instant]],Table2[instant],Table2[cnt], ,0,1)</f>
        <v>7</v>
      </c>
      <c r="N279" s="6" t="str">
        <f>IF(OR(Table3[[#This Row],[weekday]]=0,Table3[[#This Row],[weekday]]=6),"Weekend","Weekday")</f>
        <v>Weekday</v>
      </c>
    </row>
    <row r="280" spans="1:14" ht="15" thickBot="1" x14ac:dyDescent="0.35">
      <c r="A280" s="5">
        <v>279</v>
      </c>
      <c r="B280" s="3">
        <f>_xlfn.XLOOKUP(Table3[[#This Row],[instant]],DatSet1!A280:A889,DatSet1!B280:B889,_xlfn.XLOOKUP(Table3[[#This Row],[instant]],'Final Data'!A280:A669,'Final Data'!B280:B669, ,0,1),0,1)</f>
        <v>40556</v>
      </c>
      <c r="C280" s="1">
        <f>_xlfn.XLOOKUP(Table3[[#This Row],[instant]],Table1[instant],Table1[hr], ,0,1)</f>
        <v>1</v>
      </c>
      <c r="D280" s="2" t="b">
        <f>_xlfn.XLOOKUP(Table3[[#This Row],[instant]],Table1[instant],Table1[holiday], ,0,1)</f>
        <v>0</v>
      </c>
      <c r="E280" s="2">
        <f>_xlfn.XLOOKUP(Table3[[#This Row],[instant]],Table1[instant],Table1[weekday], ,0,1)</f>
        <v>4</v>
      </c>
      <c r="F280" s="2">
        <f>_xlfn.XLOOKUP(Table3[[#This Row],[instant]],Table1[instant],Table1[weathersit], ,0,1)</f>
        <v>1</v>
      </c>
      <c r="G280" s="2">
        <f>_xlfn.XLOOKUP(Table3[[#This Row],[instant]],Table1[instant],Table1[temp], ,0,1)</f>
        <v>0.14000000000000001</v>
      </c>
      <c r="H280" s="24">
        <f>_xlfn.XLOOKUP(Table3[[#This Row],[instant]],Table2[instant],Table2[atemp], ,0,1)</f>
        <v>0.1212</v>
      </c>
      <c r="I280" s="1">
        <f>_xlfn.XLOOKUP(Table3[[#This Row],[instant]],Table2[instant],Table2[hum], ,0,1)</f>
        <v>0.5</v>
      </c>
      <c r="J280" s="1">
        <f>_xlfn.XLOOKUP(Table3[[#This Row],[instant]],Table2[instant],Table2[windspeed], ,0,1)</f>
        <v>0.28360000000000002</v>
      </c>
      <c r="K280" s="1">
        <f>_xlfn.XLOOKUP(Table3[[#This Row],[instant]],Table2[instant],Table2[casual], ,0,1)</f>
        <v>0</v>
      </c>
      <c r="L280" s="1">
        <f>_xlfn.XLOOKUP(Table3[[#This Row],[instant]],Table2[instant],Table2[registered], ,0,1)</f>
        <v>2</v>
      </c>
      <c r="M280" s="6">
        <f>_xlfn.XLOOKUP(Table3[[#This Row],[instant]],Table2[instant],Table2[cnt], ,0,1)</f>
        <v>2</v>
      </c>
      <c r="N280" s="6" t="str">
        <f>IF(OR(Table3[[#This Row],[weekday]]=0,Table3[[#This Row],[weekday]]=6),"Weekend","Weekday")</f>
        <v>Weekday</v>
      </c>
    </row>
    <row r="281" spans="1:14" ht="15" thickBot="1" x14ac:dyDescent="0.35">
      <c r="A281" s="5">
        <v>280</v>
      </c>
      <c r="B281" s="3">
        <f>_xlfn.XLOOKUP(Table3[[#This Row],[instant]],DatSet1!A281:A890,DatSet1!B281:B890,_xlfn.XLOOKUP(Table3[[#This Row],[instant]],'Final Data'!A281:A670,'Final Data'!B281:B670, ,0,1),0,1)</f>
        <v>40556</v>
      </c>
      <c r="C281" s="1">
        <f>_xlfn.XLOOKUP(Table3[[#This Row],[instant]],Table1[instant],Table1[hr], ,0,1)</f>
        <v>2</v>
      </c>
      <c r="D281" s="2" t="b">
        <f>_xlfn.XLOOKUP(Table3[[#This Row],[instant]],Table1[instant],Table1[holiday], ,0,1)</f>
        <v>0</v>
      </c>
      <c r="E281" s="2">
        <f>_xlfn.XLOOKUP(Table3[[#This Row],[instant]],Table1[instant],Table1[weekday], ,0,1)</f>
        <v>4</v>
      </c>
      <c r="F281" s="2">
        <f>_xlfn.XLOOKUP(Table3[[#This Row],[instant]],Table1[instant],Table1[weathersit], ,0,1)</f>
        <v>1</v>
      </c>
      <c r="G281" s="2">
        <f>_xlfn.XLOOKUP(Table3[[#This Row],[instant]],Table1[instant],Table1[temp], ,0,1)</f>
        <v>0.14000000000000001</v>
      </c>
      <c r="H281" s="24">
        <f>_xlfn.XLOOKUP(Table3[[#This Row],[instant]],Table2[instant],Table2[atemp], ,0,1)</f>
        <v>0.1212</v>
      </c>
      <c r="I281" s="1">
        <f>_xlfn.XLOOKUP(Table3[[#This Row],[instant]],Table2[instant],Table2[hum], ,0,1)</f>
        <v>0.5</v>
      </c>
      <c r="J281" s="1">
        <f>_xlfn.XLOOKUP(Table3[[#This Row],[instant]],Table2[instant],Table2[windspeed], ,0,1)</f>
        <v>0.35820000000000002</v>
      </c>
      <c r="K281" s="1">
        <f>_xlfn.XLOOKUP(Table3[[#This Row],[instant]],Table2[instant],Table2[casual], ,0,1)</f>
        <v>0</v>
      </c>
      <c r="L281" s="1">
        <f>_xlfn.XLOOKUP(Table3[[#This Row],[instant]],Table2[instant],Table2[registered], ,0,1)</f>
        <v>2</v>
      </c>
      <c r="M281" s="6">
        <f>_xlfn.XLOOKUP(Table3[[#This Row],[instant]],Table2[instant],Table2[cnt], ,0,1)</f>
        <v>2</v>
      </c>
      <c r="N281" s="6" t="str">
        <f>IF(OR(Table3[[#This Row],[weekday]]=0,Table3[[#This Row],[weekday]]=6),"Weekend","Weekday")</f>
        <v>Weekday</v>
      </c>
    </row>
    <row r="282" spans="1:14" ht="15" thickBot="1" x14ac:dyDescent="0.35">
      <c r="A282" s="5">
        <v>281</v>
      </c>
      <c r="B282" s="3">
        <f>_xlfn.XLOOKUP(Table3[[#This Row],[instant]],DatSet1!A282:A891,DatSet1!B282:B891,_xlfn.XLOOKUP(Table3[[#This Row],[instant]],'Final Data'!A282:A671,'Final Data'!B282:B671, ,0,1),0,1)</f>
        <v>40556</v>
      </c>
      <c r="C282" s="1">
        <f>_xlfn.XLOOKUP(Table3[[#This Row],[instant]],Table1[instant],Table1[hr], ,0,1)</f>
        <v>3</v>
      </c>
      <c r="D282" s="2" t="b">
        <f>_xlfn.XLOOKUP(Table3[[#This Row],[instant]],Table1[instant],Table1[holiday], ,0,1)</f>
        <v>0</v>
      </c>
      <c r="E282" s="2">
        <f>_xlfn.XLOOKUP(Table3[[#This Row],[instant]],Table1[instant],Table1[weekday], ,0,1)</f>
        <v>4</v>
      </c>
      <c r="F282" s="2">
        <f>_xlfn.XLOOKUP(Table3[[#This Row],[instant]],Table1[instant],Table1[weathersit], ,0,1)</f>
        <v>1</v>
      </c>
      <c r="G282" s="2">
        <f>_xlfn.XLOOKUP(Table3[[#This Row],[instant]],Table1[instant],Table1[temp], ,0,1)</f>
        <v>0.14000000000000001</v>
      </c>
      <c r="H282" s="24">
        <f>_xlfn.XLOOKUP(Table3[[#This Row],[instant]],Table2[instant],Table2[atemp], ,0,1)</f>
        <v>0.1212</v>
      </c>
      <c r="I282" s="1">
        <f>_xlfn.XLOOKUP(Table3[[#This Row],[instant]],Table2[instant],Table2[hum], ,0,1)</f>
        <v>0.5</v>
      </c>
      <c r="J282" s="1">
        <f>_xlfn.XLOOKUP(Table3[[#This Row],[instant]],Table2[instant],Table2[windspeed], ,0,1)</f>
        <v>0.32840000000000003</v>
      </c>
      <c r="K282" s="1">
        <f>_xlfn.XLOOKUP(Table3[[#This Row],[instant]],Table2[instant],Table2[casual], ,0,1)</f>
        <v>0</v>
      </c>
      <c r="L282" s="1">
        <f>_xlfn.XLOOKUP(Table3[[#This Row],[instant]],Table2[instant],Table2[registered], ,0,1)</f>
        <v>3</v>
      </c>
      <c r="M282" s="6">
        <f>_xlfn.XLOOKUP(Table3[[#This Row],[instant]],Table2[instant],Table2[cnt], ,0,1)</f>
        <v>3</v>
      </c>
      <c r="N282" s="6" t="str">
        <f>IF(OR(Table3[[#This Row],[weekday]]=0,Table3[[#This Row],[weekday]]=6),"Weekend","Weekday")</f>
        <v>Weekday</v>
      </c>
    </row>
    <row r="283" spans="1:14" ht="15" thickBot="1" x14ac:dyDescent="0.35">
      <c r="A283" s="5">
        <v>282</v>
      </c>
      <c r="B283" s="3">
        <f>_xlfn.XLOOKUP(Table3[[#This Row],[instant]],DatSet1!A283:A892,DatSet1!B283:B892,_xlfn.XLOOKUP(Table3[[#This Row],[instant]],'Final Data'!A283:A672,'Final Data'!B283:B672, ,0,1),0,1)</f>
        <v>40556</v>
      </c>
      <c r="C283" s="1">
        <f>_xlfn.XLOOKUP(Table3[[#This Row],[instant]],Table1[instant],Table1[hr], ,0,1)</f>
        <v>4</v>
      </c>
      <c r="D283" s="2" t="b">
        <f>_xlfn.XLOOKUP(Table3[[#This Row],[instant]],Table1[instant],Table1[holiday], ,0,1)</f>
        <v>0</v>
      </c>
      <c r="E283" s="2">
        <f>_xlfn.XLOOKUP(Table3[[#This Row],[instant]],Table1[instant],Table1[weekday], ,0,1)</f>
        <v>4</v>
      </c>
      <c r="F283" s="2">
        <f>_xlfn.XLOOKUP(Table3[[#This Row],[instant]],Table1[instant],Table1[weathersit], ,0,1)</f>
        <v>1</v>
      </c>
      <c r="G283" s="2">
        <f>_xlfn.XLOOKUP(Table3[[#This Row],[instant]],Table1[instant],Table1[temp], ,0,1)</f>
        <v>0.14000000000000001</v>
      </c>
      <c r="H283" s="24">
        <f>_xlfn.XLOOKUP(Table3[[#This Row],[instant]],Table2[instant],Table2[atemp], ,0,1)</f>
        <v>0.1212</v>
      </c>
      <c r="I283" s="1">
        <f>_xlfn.XLOOKUP(Table3[[#This Row],[instant]],Table2[instant],Table2[hum], ,0,1)</f>
        <v>0.5</v>
      </c>
      <c r="J283" s="1">
        <f>_xlfn.XLOOKUP(Table3[[#This Row],[instant]],Table2[instant],Table2[windspeed], ,0,1)</f>
        <v>0.25369999999999998</v>
      </c>
      <c r="K283" s="1">
        <f>_xlfn.XLOOKUP(Table3[[#This Row],[instant]],Table2[instant],Table2[casual], ,0,1)</f>
        <v>0</v>
      </c>
      <c r="L283" s="1">
        <f>_xlfn.XLOOKUP(Table3[[#This Row],[instant]],Table2[instant],Table2[registered], ,0,1)</f>
        <v>4</v>
      </c>
      <c r="M283" s="6">
        <f>_xlfn.XLOOKUP(Table3[[#This Row],[instant]],Table2[instant],Table2[cnt], ,0,1)</f>
        <v>4</v>
      </c>
      <c r="N283" s="6" t="str">
        <f>IF(OR(Table3[[#This Row],[weekday]]=0,Table3[[#This Row],[weekday]]=6),"Weekend","Weekday")</f>
        <v>Weekday</v>
      </c>
    </row>
    <row r="284" spans="1:14" ht="15" thickBot="1" x14ac:dyDescent="0.35">
      <c r="A284" s="5">
        <v>283</v>
      </c>
      <c r="B284" s="3">
        <f>_xlfn.XLOOKUP(Table3[[#This Row],[instant]],DatSet1!A284:A893,DatSet1!B284:B893,_xlfn.XLOOKUP(Table3[[#This Row],[instant]],'Final Data'!A284:A673,'Final Data'!B284:B673, ,0,1),0,1)</f>
        <v>40556</v>
      </c>
      <c r="C284" s="1">
        <f>_xlfn.XLOOKUP(Table3[[#This Row],[instant]],Table1[instant],Table1[hr], ,0,1)</f>
        <v>5</v>
      </c>
      <c r="D284" s="2" t="b">
        <f>_xlfn.XLOOKUP(Table3[[#This Row],[instant]],Table1[instant],Table1[holiday], ,0,1)</f>
        <v>0</v>
      </c>
      <c r="E284" s="2">
        <f>_xlfn.XLOOKUP(Table3[[#This Row],[instant]],Table1[instant],Table1[weekday], ,0,1)</f>
        <v>4</v>
      </c>
      <c r="F284" s="2">
        <f>_xlfn.XLOOKUP(Table3[[#This Row],[instant]],Table1[instant],Table1[weathersit], ,0,1)</f>
        <v>1</v>
      </c>
      <c r="G284" s="2">
        <f>_xlfn.XLOOKUP(Table3[[#This Row],[instant]],Table1[instant],Table1[temp], ,0,1)</f>
        <v>0.14000000000000001</v>
      </c>
      <c r="H284" s="24">
        <f>_xlfn.XLOOKUP(Table3[[#This Row],[instant]],Table2[instant],Table2[atemp], ,0,1)</f>
        <v>0.1212</v>
      </c>
      <c r="I284" s="1">
        <f>_xlfn.XLOOKUP(Table3[[#This Row],[instant]],Table2[instant],Table2[hum], ,0,1)</f>
        <v>0.5</v>
      </c>
      <c r="J284" s="1">
        <f>_xlfn.XLOOKUP(Table3[[#This Row],[instant]],Table2[instant],Table2[windspeed], ,0,1)</f>
        <v>0.29849999999999999</v>
      </c>
      <c r="K284" s="1">
        <f>_xlfn.XLOOKUP(Table3[[#This Row],[instant]],Table2[instant],Table2[casual], ,0,1)</f>
        <v>0</v>
      </c>
      <c r="L284" s="1">
        <f>_xlfn.XLOOKUP(Table3[[#This Row],[instant]],Table2[instant],Table2[registered], ,0,1)</f>
        <v>3</v>
      </c>
      <c r="M284" s="6">
        <f>_xlfn.XLOOKUP(Table3[[#This Row],[instant]],Table2[instant],Table2[cnt], ,0,1)</f>
        <v>3</v>
      </c>
      <c r="N284" s="6" t="str">
        <f>IF(OR(Table3[[#This Row],[weekday]]=0,Table3[[#This Row],[weekday]]=6),"Weekend","Weekday")</f>
        <v>Weekday</v>
      </c>
    </row>
    <row r="285" spans="1:14" ht="15" thickBot="1" x14ac:dyDescent="0.35">
      <c r="A285" s="5">
        <v>284</v>
      </c>
      <c r="B285" s="3">
        <f>_xlfn.XLOOKUP(Table3[[#This Row],[instant]],DatSet1!A285:A894,DatSet1!B285:B894,_xlfn.XLOOKUP(Table3[[#This Row],[instant]],'Final Data'!A285:A674,'Final Data'!B285:B674, ,0,1),0,1)</f>
        <v>40556</v>
      </c>
      <c r="C285" s="1">
        <f>_xlfn.XLOOKUP(Table3[[#This Row],[instant]],Table1[instant],Table1[hr], ,0,1)</f>
        <v>6</v>
      </c>
      <c r="D285" s="2" t="b">
        <f>_xlfn.XLOOKUP(Table3[[#This Row],[instant]],Table1[instant],Table1[holiday], ,0,1)</f>
        <v>0</v>
      </c>
      <c r="E285" s="2">
        <f>_xlfn.XLOOKUP(Table3[[#This Row],[instant]],Table1[instant],Table1[weekday], ,0,1)</f>
        <v>4</v>
      </c>
      <c r="F285" s="2">
        <f>_xlfn.XLOOKUP(Table3[[#This Row],[instant]],Table1[instant],Table1[weathersit], ,0,1)</f>
        <v>1</v>
      </c>
      <c r="G285" s="2">
        <f>_xlfn.XLOOKUP(Table3[[#This Row],[instant]],Table1[instant],Table1[temp], ,0,1)</f>
        <v>0.12</v>
      </c>
      <c r="H285" s="24">
        <f>_xlfn.XLOOKUP(Table3[[#This Row],[instant]],Table2[instant],Table2[atemp], ,0,1)</f>
        <v>0.1515</v>
      </c>
      <c r="I285" s="1">
        <f>_xlfn.XLOOKUP(Table3[[#This Row],[instant]],Table2[instant],Table2[hum], ,0,1)</f>
        <v>0.54</v>
      </c>
      <c r="J285" s="1">
        <f>_xlfn.XLOOKUP(Table3[[#This Row],[instant]],Table2[instant],Table2[windspeed], ,0,1)</f>
        <v>0.1343</v>
      </c>
      <c r="K285" s="1">
        <f>_xlfn.XLOOKUP(Table3[[#This Row],[instant]],Table2[instant],Table2[casual], ,0,1)</f>
        <v>0</v>
      </c>
      <c r="L285" s="1">
        <f>_xlfn.XLOOKUP(Table3[[#This Row],[instant]],Table2[instant],Table2[registered], ,0,1)</f>
        <v>28</v>
      </c>
      <c r="M285" s="6">
        <f>_xlfn.XLOOKUP(Table3[[#This Row],[instant]],Table2[instant],Table2[cnt], ,0,1)</f>
        <v>28</v>
      </c>
      <c r="N285" s="6" t="str">
        <f>IF(OR(Table3[[#This Row],[weekday]]=0,Table3[[#This Row],[weekday]]=6),"Weekend","Weekday")</f>
        <v>Weekday</v>
      </c>
    </row>
    <row r="286" spans="1:14" ht="15" thickBot="1" x14ac:dyDescent="0.35">
      <c r="A286" s="5">
        <v>285</v>
      </c>
      <c r="B286" s="3">
        <f>_xlfn.XLOOKUP(Table3[[#This Row],[instant]],DatSet1!A286:A895,DatSet1!B286:B895,_xlfn.XLOOKUP(Table3[[#This Row],[instant]],'Final Data'!A286:A675,'Final Data'!B286:B675, ,0,1),0,1)</f>
        <v>40556</v>
      </c>
      <c r="C286" s="1">
        <f>_xlfn.XLOOKUP(Table3[[#This Row],[instant]],Table1[instant],Table1[hr], ,0,1)</f>
        <v>7</v>
      </c>
      <c r="D286" s="2" t="b">
        <f>_xlfn.XLOOKUP(Table3[[#This Row],[instant]],Table1[instant],Table1[holiday], ,0,1)</f>
        <v>0</v>
      </c>
      <c r="E286" s="2">
        <f>_xlfn.XLOOKUP(Table3[[#This Row],[instant]],Table1[instant],Table1[weekday], ,0,1)</f>
        <v>4</v>
      </c>
      <c r="F286" s="2">
        <f>_xlfn.XLOOKUP(Table3[[#This Row],[instant]],Table1[instant],Table1[weathersit], ,0,1)</f>
        <v>1</v>
      </c>
      <c r="G286" s="2">
        <f>_xlfn.XLOOKUP(Table3[[#This Row],[instant]],Table1[instant],Table1[temp], ,0,1)</f>
        <v>0.12</v>
      </c>
      <c r="H286" s="24">
        <f>_xlfn.XLOOKUP(Table3[[#This Row],[instant]],Table2[instant],Table2[atemp], ,0,1)</f>
        <v>0.1515</v>
      </c>
      <c r="I286" s="1">
        <f>_xlfn.XLOOKUP(Table3[[#This Row],[instant]],Table2[instant],Table2[hum], ,0,1)</f>
        <v>0.54</v>
      </c>
      <c r="J286" s="1">
        <f>_xlfn.XLOOKUP(Table3[[#This Row],[instant]],Table2[instant],Table2[windspeed], ,0,1)</f>
        <v>0.1343</v>
      </c>
      <c r="K286" s="1">
        <f>_xlfn.XLOOKUP(Table3[[#This Row],[instant]],Table2[instant],Table2[casual], ,0,1)</f>
        <v>0</v>
      </c>
      <c r="L286" s="1">
        <f>_xlfn.XLOOKUP(Table3[[#This Row],[instant]],Table2[instant],Table2[registered], ,0,1)</f>
        <v>72</v>
      </c>
      <c r="M286" s="6">
        <f>_xlfn.XLOOKUP(Table3[[#This Row],[instant]],Table2[instant],Table2[cnt], ,0,1)</f>
        <v>72</v>
      </c>
      <c r="N286" s="6" t="str">
        <f>IF(OR(Table3[[#This Row],[weekday]]=0,Table3[[#This Row],[weekday]]=6),"Weekend","Weekday")</f>
        <v>Weekday</v>
      </c>
    </row>
    <row r="287" spans="1:14" ht="15" thickBot="1" x14ac:dyDescent="0.35">
      <c r="A287" s="5">
        <v>286</v>
      </c>
      <c r="B287" s="3">
        <f>_xlfn.XLOOKUP(Table3[[#This Row],[instant]],DatSet1!A287:A896,DatSet1!B287:B896,_xlfn.XLOOKUP(Table3[[#This Row],[instant]],'Final Data'!A287:A676,'Final Data'!B287:B676, ,0,1),0,1)</f>
        <v>40556</v>
      </c>
      <c r="C287" s="1">
        <f>_xlfn.XLOOKUP(Table3[[#This Row],[instant]],Table1[instant],Table1[hr], ,0,1)</f>
        <v>8</v>
      </c>
      <c r="D287" s="2" t="b">
        <f>_xlfn.XLOOKUP(Table3[[#This Row],[instant]],Table1[instant],Table1[holiday], ,0,1)</f>
        <v>0</v>
      </c>
      <c r="E287" s="2">
        <f>_xlfn.XLOOKUP(Table3[[#This Row],[instant]],Table1[instant],Table1[weekday], ,0,1)</f>
        <v>4</v>
      </c>
      <c r="F287" s="2">
        <f>_xlfn.XLOOKUP(Table3[[#This Row],[instant]],Table1[instant],Table1[weathersit], ,0,1)</f>
        <v>1</v>
      </c>
      <c r="G287" s="2">
        <f>_xlfn.XLOOKUP(Table3[[#This Row],[instant]],Table1[instant],Table1[temp], ,0,1)</f>
        <v>0.14000000000000001</v>
      </c>
      <c r="H287" s="24">
        <f>_xlfn.XLOOKUP(Table3[[#This Row],[instant]],Table2[instant],Table2[atemp], ,0,1)</f>
        <v>0.13639999999999999</v>
      </c>
      <c r="I287" s="1">
        <f>_xlfn.XLOOKUP(Table3[[#This Row],[instant]],Table2[instant],Table2[hum], ,0,1)</f>
        <v>0.5</v>
      </c>
      <c r="J287" s="1">
        <f>_xlfn.XLOOKUP(Table3[[#This Row],[instant]],Table2[instant],Table2[windspeed], ,0,1)</f>
        <v>0.19400000000000001</v>
      </c>
      <c r="K287" s="1">
        <f>_xlfn.XLOOKUP(Table3[[#This Row],[instant]],Table2[instant],Table2[casual], ,0,1)</f>
        <v>5</v>
      </c>
      <c r="L287" s="1">
        <f>_xlfn.XLOOKUP(Table3[[#This Row],[instant]],Table2[instant],Table2[registered], ,0,1)</f>
        <v>197</v>
      </c>
      <c r="M287" s="6">
        <f>_xlfn.XLOOKUP(Table3[[#This Row],[instant]],Table2[instant],Table2[cnt], ,0,1)</f>
        <v>202</v>
      </c>
      <c r="N287" s="6" t="str">
        <f>IF(OR(Table3[[#This Row],[weekday]]=0,Table3[[#This Row],[weekday]]=6),"Weekend","Weekday")</f>
        <v>Weekday</v>
      </c>
    </row>
    <row r="288" spans="1:14" ht="15" thickBot="1" x14ac:dyDescent="0.35">
      <c r="A288" s="5">
        <v>287</v>
      </c>
      <c r="B288" s="3">
        <f>_xlfn.XLOOKUP(Table3[[#This Row],[instant]],DatSet1!A288:A897,DatSet1!B288:B897,_xlfn.XLOOKUP(Table3[[#This Row],[instant]],'Final Data'!A288:A677,'Final Data'!B288:B677, ,0,1),0,1)</f>
        <v>40556</v>
      </c>
      <c r="C288" s="1">
        <f>_xlfn.XLOOKUP(Table3[[#This Row],[instant]],Table1[instant],Table1[hr], ,0,1)</f>
        <v>9</v>
      </c>
      <c r="D288" s="2" t="b">
        <f>_xlfn.XLOOKUP(Table3[[#This Row],[instant]],Table1[instant],Table1[holiday], ,0,1)</f>
        <v>0</v>
      </c>
      <c r="E288" s="2">
        <f>_xlfn.XLOOKUP(Table3[[#This Row],[instant]],Table1[instant],Table1[weekday], ,0,1)</f>
        <v>4</v>
      </c>
      <c r="F288" s="2">
        <f>_xlfn.XLOOKUP(Table3[[#This Row],[instant]],Table1[instant],Table1[weathersit], ,0,1)</f>
        <v>1</v>
      </c>
      <c r="G288" s="2">
        <f>_xlfn.XLOOKUP(Table3[[#This Row],[instant]],Table1[instant],Table1[temp], ,0,1)</f>
        <v>0.14000000000000001</v>
      </c>
      <c r="H288" s="24">
        <f>_xlfn.XLOOKUP(Table3[[#This Row],[instant]],Table2[instant],Table2[atemp], ,0,1)</f>
        <v>0.1212</v>
      </c>
      <c r="I288" s="1">
        <f>_xlfn.XLOOKUP(Table3[[#This Row],[instant]],Table2[instant],Table2[hum], ,0,1)</f>
        <v>0.5</v>
      </c>
      <c r="J288" s="1">
        <f>_xlfn.XLOOKUP(Table3[[#This Row],[instant]],Table2[instant],Table2[windspeed], ,0,1)</f>
        <v>0.32840000000000003</v>
      </c>
      <c r="K288" s="1">
        <f>_xlfn.XLOOKUP(Table3[[#This Row],[instant]],Table2[instant],Table2[casual], ,0,1)</f>
        <v>2</v>
      </c>
      <c r="L288" s="1">
        <f>_xlfn.XLOOKUP(Table3[[#This Row],[instant]],Table2[instant],Table2[registered], ,0,1)</f>
        <v>137</v>
      </c>
      <c r="M288" s="6">
        <f>_xlfn.XLOOKUP(Table3[[#This Row],[instant]],Table2[instant],Table2[cnt], ,0,1)</f>
        <v>139</v>
      </c>
      <c r="N288" s="6" t="str">
        <f>IF(OR(Table3[[#This Row],[weekday]]=0,Table3[[#This Row],[weekday]]=6),"Weekend","Weekday")</f>
        <v>Weekday</v>
      </c>
    </row>
    <row r="289" spans="1:14" ht="15" thickBot="1" x14ac:dyDescent="0.35">
      <c r="A289" s="5">
        <v>288</v>
      </c>
      <c r="B289" s="3">
        <f>_xlfn.XLOOKUP(Table3[[#This Row],[instant]],DatSet1!A289:A898,DatSet1!B289:B898,_xlfn.XLOOKUP(Table3[[#This Row],[instant]],'Final Data'!A289:A678,'Final Data'!B289:B678, ,0,1),0,1)</f>
        <v>40556</v>
      </c>
      <c r="C289" s="1">
        <f>_xlfn.XLOOKUP(Table3[[#This Row],[instant]],Table1[instant],Table1[hr], ,0,1)</f>
        <v>10</v>
      </c>
      <c r="D289" s="2" t="b">
        <f>_xlfn.XLOOKUP(Table3[[#This Row],[instant]],Table1[instant],Table1[holiday], ,0,1)</f>
        <v>0</v>
      </c>
      <c r="E289" s="2">
        <f>_xlfn.XLOOKUP(Table3[[#This Row],[instant]],Table1[instant],Table1[weekday], ,0,1)</f>
        <v>4</v>
      </c>
      <c r="F289" s="2">
        <f>_xlfn.XLOOKUP(Table3[[#This Row],[instant]],Table1[instant],Table1[weathersit], ,0,1)</f>
        <v>2</v>
      </c>
      <c r="G289" s="2">
        <f>_xlfn.XLOOKUP(Table3[[#This Row],[instant]],Table1[instant],Table1[temp], ,0,1)</f>
        <v>0.16</v>
      </c>
      <c r="H289" s="24">
        <f>_xlfn.XLOOKUP(Table3[[#This Row],[instant]],Table2[instant],Table2[atemp], ,0,1)</f>
        <v>0.13639999999999999</v>
      </c>
      <c r="I289" s="1">
        <f>_xlfn.XLOOKUP(Table3[[#This Row],[instant]],Table2[instant],Table2[hum], ,0,1)</f>
        <v>0.5</v>
      </c>
      <c r="J289" s="1">
        <f>_xlfn.XLOOKUP(Table3[[#This Row],[instant]],Table2[instant],Table2[windspeed], ,0,1)</f>
        <v>0.35820000000000002</v>
      </c>
      <c r="K289" s="1">
        <f>_xlfn.XLOOKUP(Table3[[#This Row],[instant]],Table2[instant],Table2[casual], ,0,1)</f>
        <v>2</v>
      </c>
      <c r="L289" s="1">
        <f>_xlfn.XLOOKUP(Table3[[#This Row],[instant]],Table2[instant],Table2[registered], ,0,1)</f>
        <v>36</v>
      </c>
      <c r="M289" s="6">
        <f>_xlfn.XLOOKUP(Table3[[#This Row],[instant]],Table2[instant],Table2[cnt], ,0,1)</f>
        <v>38</v>
      </c>
      <c r="N289" s="6" t="str">
        <f>IF(OR(Table3[[#This Row],[weekday]]=0,Table3[[#This Row],[weekday]]=6),"Weekend","Weekday")</f>
        <v>Weekday</v>
      </c>
    </row>
    <row r="290" spans="1:14" ht="15" thickBot="1" x14ac:dyDescent="0.35">
      <c r="A290" s="5">
        <v>289</v>
      </c>
      <c r="B290" s="3">
        <f>_xlfn.XLOOKUP(Table3[[#This Row],[instant]],DatSet1!A290:A899,DatSet1!B290:B899,_xlfn.XLOOKUP(Table3[[#This Row],[instant]],'Final Data'!A290:A679,'Final Data'!B290:B679, ,0,1),0,1)</f>
        <v>40556</v>
      </c>
      <c r="C290" s="1">
        <f>_xlfn.XLOOKUP(Table3[[#This Row],[instant]],Table1[instant],Table1[hr], ,0,1)</f>
        <v>11</v>
      </c>
      <c r="D290" s="2" t="b">
        <f>_xlfn.XLOOKUP(Table3[[#This Row],[instant]],Table1[instant],Table1[holiday], ,0,1)</f>
        <v>0</v>
      </c>
      <c r="E290" s="2">
        <f>_xlfn.XLOOKUP(Table3[[#This Row],[instant]],Table1[instant],Table1[weekday], ,0,1)</f>
        <v>4</v>
      </c>
      <c r="F290" s="2">
        <f>_xlfn.XLOOKUP(Table3[[#This Row],[instant]],Table1[instant],Table1[weathersit], ,0,1)</f>
        <v>2</v>
      </c>
      <c r="G290" s="2">
        <f>_xlfn.XLOOKUP(Table3[[#This Row],[instant]],Table1[instant],Table1[temp], ,0,1)</f>
        <v>0.2</v>
      </c>
      <c r="H290" s="24">
        <f>_xlfn.XLOOKUP(Table3[[#This Row],[instant]],Table2[instant],Table2[atemp], ,0,1)</f>
        <v>0.16669999999999999</v>
      </c>
      <c r="I290" s="1">
        <f>_xlfn.XLOOKUP(Table3[[#This Row],[instant]],Table2[instant],Table2[hum], ,0,1)</f>
        <v>0.44</v>
      </c>
      <c r="J290" s="1">
        <f>_xlfn.XLOOKUP(Table3[[#This Row],[instant]],Table2[instant],Table2[windspeed], ,0,1)</f>
        <v>0.44779999999999998</v>
      </c>
      <c r="K290" s="1">
        <f>_xlfn.XLOOKUP(Table3[[#This Row],[instant]],Table2[instant],Table2[casual], ,0,1)</f>
        <v>4</v>
      </c>
      <c r="L290" s="1">
        <f>_xlfn.XLOOKUP(Table3[[#This Row],[instant]],Table2[instant],Table2[registered], ,0,1)</f>
        <v>33</v>
      </c>
      <c r="M290" s="6">
        <f>_xlfn.XLOOKUP(Table3[[#This Row],[instant]],Table2[instant],Table2[cnt], ,0,1)</f>
        <v>37</v>
      </c>
      <c r="N290" s="6" t="str">
        <f>IF(OR(Table3[[#This Row],[weekday]]=0,Table3[[#This Row],[weekday]]=6),"Weekend","Weekday")</f>
        <v>Weekday</v>
      </c>
    </row>
    <row r="291" spans="1:14" ht="15" thickBot="1" x14ac:dyDescent="0.35">
      <c r="A291" s="5">
        <v>290</v>
      </c>
      <c r="B291" s="3">
        <f>_xlfn.XLOOKUP(Table3[[#This Row],[instant]],DatSet1!A291:A900,DatSet1!B291:B900,_xlfn.XLOOKUP(Table3[[#This Row],[instant]],'Final Data'!A291:A680,'Final Data'!B291:B680, ,0,1),0,1)</f>
        <v>40556</v>
      </c>
      <c r="C291" s="1">
        <f>_xlfn.XLOOKUP(Table3[[#This Row],[instant]],Table1[instant],Table1[hr], ,0,1)</f>
        <v>12</v>
      </c>
      <c r="D291" s="2" t="b">
        <f>_xlfn.XLOOKUP(Table3[[#This Row],[instant]],Table1[instant],Table1[holiday], ,0,1)</f>
        <v>0</v>
      </c>
      <c r="E291" s="2">
        <f>_xlfn.XLOOKUP(Table3[[#This Row],[instant]],Table1[instant],Table1[weekday], ,0,1)</f>
        <v>4</v>
      </c>
      <c r="F291" s="2">
        <f>_xlfn.XLOOKUP(Table3[[#This Row],[instant]],Table1[instant],Table1[weathersit], ,0,1)</f>
        <v>1</v>
      </c>
      <c r="G291" s="2">
        <f>_xlfn.XLOOKUP(Table3[[#This Row],[instant]],Table1[instant],Table1[temp], ,0,1)</f>
        <v>0.2</v>
      </c>
      <c r="H291" s="24">
        <f>_xlfn.XLOOKUP(Table3[[#This Row],[instant]],Table2[instant],Table2[atemp], ,0,1)</f>
        <v>0.16669999999999999</v>
      </c>
      <c r="I291" s="1">
        <f>_xlfn.XLOOKUP(Table3[[#This Row],[instant]],Table2[instant],Table2[hum], ,0,1)</f>
        <v>0.44</v>
      </c>
      <c r="J291" s="1">
        <f>_xlfn.XLOOKUP(Table3[[#This Row],[instant]],Table2[instant],Table2[windspeed], ,0,1)</f>
        <v>0.41789999999999999</v>
      </c>
      <c r="K291" s="1">
        <f>_xlfn.XLOOKUP(Table3[[#This Row],[instant]],Table2[instant],Table2[casual], ,0,1)</f>
        <v>3</v>
      </c>
      <c r="L291" s="1">
        <f>_xlfn.XLOOKUP(Table3[[#This Row],[instant]],Table2[instant],Table2[registered], ,0,1)</f>
        <v>49</v>
      </c>
      <c r="M291" s="6">
        <f>_xlfn.XLOOKUP(Table3[[#This Row],[instant]],Table2[instant],Table2[cnt], ,0,1)</f>
        <v>52</v>
      </c>
      <c r="N291" s="6" t="str">
        <f>IF(OR(Table3[[#This Row],[weekday]]=0,Table3[[#This Row],[weekday]]=6),"Weekend","Weekday")</f>
        <v>Weekday</v>
      </c>
    </row>
    <row r="292" spans="1:14" ht="15" thickBot="1" x14ac:dyDescent="0.35">
      <c r="A292" s="5">
        <v>291</v>
      </c>
      <c r="B292" s="3">
        <f>_xlfn.XLOOKUP(Table3[[#This Row],[instant]],DatSet1!A292:A901,DatSet1!B292:B901,_xlfn.XLOOKUP(Table3[[#This Row],[instant]],'Final Data'!A292:A681,'Final Data'!B292:B681, ,0,1),0,1)</f>
        <v>40556</v>
      </c>
      <c r="C292" s="1">
        <f>_xlfn.XLOOKUP(Table3[[#This Row],[instant]],Table1[instant],Table1[hr], ,0,1)</f>
        <v>13</v>
      </c>
      <c r="D292" s="2" t="b">
        <f>_xlfn.XLOOKUP(Table3[[#This Row],[instant]],Table1[instant],Table1[holiday], ,0,1)</f>
        <v>0</v>
      </c>
      <c r="E292" s="2">
        <f>_xlfn.XLOOKUP(Table3[[#This Row],[instant]],Table1[instant],Table1[weekday], ,0,1)</f>
        <v>4</v>
      </c>
      <c r="F292" s="2">
        <f>_xlfn.XLOOKUP(Table3[[#This Row],[instant]],Table1[instant],Table1[weathersit], ,0,1)</f>
        <v>1</v>
      </c>
      <c r="G292" s="2">
        <f>_xlfn.XLOOKUP(Table3[[#This Row],[instant]],Table1[instant],Table1[temp], ,0,1)</f>
        <v>0.22</v>
      </c>
      <c r="H292" s="24">
        <f>_xlfn.XLOOKUP(Table3[[#This Row],[instant]],Table2[instant],Table2[atemp], ,0,1)</f>
        <v>0.19700000000000001</v>
      </c>
      <c r="I292" s="1">
        <f>_xlfn.XLOOKUP(Table3[[#This Row],[instant]],Table2[instant],Table2[hum], ,0,1)</f>
        <v>0.41</v>
      </c>
      <c r="J292" s="1">
        <f>_xlfn.XLOOKUP(Table3[[#This Row],[instant]],Table2[instant],Table2[windspeed], ,0,1)</f>
        <v>0.44779999999999998</v>
      </c>
      <c r="K292" s="1">
        <f>_xlfn.XLOOKUP(Table3[[#This Row],[instant]],Table2[instant],Table2[casual], ,0,1)</f>
        <v>2</v>
      </c>
      <c r="L292" s="1">
        <f>_xlfn.XLOOKUP(Table3[[#This Row],[instant]],Table2[instant],Table2[registered], ,0,1)</f>
        <v>81</v>
      </c>
      <c r="M292" s="6">
        <f>_xlfn.XLOOKUP(Table3[[#This Row],[instant]],Table2[instant],Table2[cnt], ,0,1)</f>
        <v>83</v>
      </c>
      <c r="N292" s="6" t="str">
        <f>IF(OR(Table3[[#This Row],[weekday]]=0,Table3[[#This Row],[weekday]]=6),"Weekend","Weekday")</f>
        <v>Weekday</v>
      </c>
    </row>
    <row r="293" spans="1:14" ht="15" thickBot="1" x14ac:dyDescent="0.35">
      <c r="A293" s="5">
        <v>292</v>
      </c>
      <c r="B293" s="3">
        <f>_xlfn.XLOOKUP(Table3[[#This Row],[instant]],DatSet1!A293:A902,DatSet1!B293:B902,_xlfn.XLOOKUP(Table3[[#This Row],[instant]],'Final Data'!A293:A682,'Final Data'!B293:B682, ,0,1),0,1)</f>
        <v>40556</v>
      </c>
      <c r="C293" s="1">
        <f>_xlfn.XLOOKUP(Table3[[#This Row],[instant]],Table1[instant],Table1[hr], ,0,1)</f>
        <v>14</v>
      </c>
      <c r="D293" s="2" t="b">
        <f>_xlfn.XLOOKUP(Table3[[#This Row],[instant]],Table1[instant],Table1[holiday], ,0,1)</f>
        <v>0</v>
      </c>
      <c r="E293" s="2">
        <f>_xlfn.XLOOKUP(Table3[[#This Row],[instant]],Table1[instant],Table1[weekday], ,0,1)</f>
        <v>4</v>
      </c>
      <c r="F293" s="2">
        <f>_xlfn.XLOOKUP(Table3[[#This Row],[instant]],Table1[instant],Table1[weathersit], ,0,1)</f>
        <v>1</v>
      </c>
      <c r="G293" s="2">
        <f>_xlfn.XLOOKUP(Table3[[#This Row],[instant]],Table1[instant],Table1[temp], ,0,1)</f>
        <v>0.22</v>
      </c>
      <c r="H293" s="24">
        <f>_xlfn.XLOOKUP(Table3[[#This Row],[instant]],Table2[instant],Table2[atemp], ,0,1)</f>
        <v>0.19700000000000001</v>
      </c>
      <c r="I293" s="1">
        <f>_xlfn.XLOOKUP(Table3[[#This Row],[instant]],Table2[instant],Table2[hum], ,0,1)</f>
        <v>0.41</v>
      </c>
      <c r="J293" s="1">
        <f>_xlfn.XLOOKUP(Table3[[#This Row],[instant]],Table2[instant],Table2[windspeed], ,0,1)</f>
        <v>0.3881</v>
      </c>
      <c r="K293" s="1">
        <f>_xlfn.XLOOKUP(Table3[[#This Row],[instant]],Table2[instant],Table2[casual], ,0,1)</f>
        <v>3</v>
      </c>
      <c r="L293" s="1">
        <f>_xlfn.XLOOKUP(Table3[[#This Row],[instant]],Table2[instant],Table2[registered], ,0,1)</f>
        <v>39</v>
      </c>
      <c r="M293" s="6">
        <f>_xlfn.XLOOKUP(Table3[[#This Row],[instant]],Table2[instant],Table2[cnt], ,0,1)</f>
        <v>42</v>
      </c>
      <c r="N293" s="6" t="str">
        <f>IF(OR(Table3[[#This Row],[weekday]]=0,Table3[[#This Row],[weekday]]=6),"Weekend","Weekday")</f>
        <v>Weekday</v>
      </c>
    </row>
    <row r="294" spans="1:14" ht="15" thickBot="1" x14ac:dyDescent="0.35">
      <c r="A294" s="5">
        <v>293</v>
      </c>
      <c r="B294" s="3">
        <f>_xlfn.XLOOKUP(Table3[[#This Row],[instant]],DatSet1!A294:A903,DatSet1!B294:B903,_xlfn.XLOOKUP(Table3[[#This Row],[instant]],'Final Data'!A294:A683,'Final Data'!B294:B683, ,0,1),0,1)</f>
        <v>40556</v>
      </c>
      <c r="C294" s="1">
        <f>_xlfn.XLOOKUP(Table3[[#This Row],[instant]],Table1[instant],Table1[hr], ,0,1)</f>
        <v>15</v>
      </c>
      <c r="D294" s="2" t="b">
        <f>_xlfn.XLOOKUP(Table3[[#This Row],[instant]],Table1[instant],Table1[holiday], ,0,1)</f>
        <v>0</v>
      </c>
      <c r="E294" s="2">
        <f>_xlfn.XLOOKUP(Table3[[#This Row],[instant]],Table1[instant],Table1[weekday], ,0,1)</f>
        <v>4</v>
      </c>
      <c r="F294" s="2">
        <f>_xlfn.XLOOKUP(Table3[[#This Row],[instant]],Table1[instant],Table1[weathersit], ,0,1)</f>
        <v>1</v>
      </c>
      <c r="G294" s="2">
        <f>_xlfn.XLOOKUP(Table3[[#This Row],[instant]],Table1[instant],Table1[temp], ,0,1)</f>
        <v>0.24</v>
      </c>
      <c r="H294" s="24">
        <f>_xlfn.XLOOKUP(Table3[[#This Row],[instant]],Table2[instant],Table2[atemp], ,0,1)</f>
        <v>0.21210000000000001</v>
      </c>
      <c r="I294" s="1">
        <f>_xlfn.XLOOKUP(Table3[[#This Row],[instant]],Table2[instant],Table2[hum], ,0,1)</f>
        <v>0.38</v>
      </c>
      <c r="J294" s="1">
        <f>_xlfn.XLOOKUP(Table3[[#This Row],[instant]],Table2[instant],Table2[windspeed], ,0,1)</f>
        <v>0.29849999999999999</v>
      </c>
      <c r="K294" s="1">
        <f>_xlfn.XLOOKUP(Table3[[#This Row],[instant]],Table2[instant],Table2[casual], ,0,1)</f>
        <v>5</v>
      </c>
      <c r="L294" s="1">
        <f>_xlfn.XLOOKUP(Table3[[#This Row],[instant]],Table2[instant],Table2[registered], ,0,1)</f>
        <v>55</v>
      </c>
      <c r="M294" s="6">
        <f>_xlfn.XLOOKUP(Table3[[#This Row],[instant]],Table2[instant],Table2[cnt], ,0,1)</f>
        <v>60</v>
      </c>
      <c r="N294" s="6" t="str">
        <f>IF(OR(Table3[[#This Row],[weekday]]=0,Table3[[#This Row],[weekday]]=6),"Weekend","Weekday")</f>
        <v>Weekday</v>
      </c>
    </row>
    <row r="295" spans="1:14" ht="15" thickBot="1" x14ac:dyDescent="0.35">
      <c r="A295" s="5">
        <v>294</v>
      </c>
      <c r="B295" s="3">
        <f>_xlfn.XLOOKUP(Table3[[#This Row],[instant]],DatSet1!A295:A904,DatSet1!B295:B904,_xlfn.XLOOKUP(Table3[[#This Row],[instant]],'Final Data'!A295:A684,'Final Data'!B295:B684, ,0,1),0,1)</f>
        <v>40556</v>
      </c>
      <c r="C295" s="1">
        <f>_xlfn.XLOOKUP(Table3[[#This Row],[instant]],Table1[instant],Table1[hr], ,0,1)</f>
        <v>16</v>
      </c>
      <c r="D295" s="2" t="b">
        <f>_xlfn.XLOOKUP(Table3[[#This Row],[instant]],Table1[instant],Table1[holiday], ,0,1)</f>
        <v>0</v>
      </c>
      <c r="E295" s="2">
        <f>_xlfn.XLOOKUP(Table3[[#This Row],[instant]],Table1[instant],Table1[weekday], ,0,1)</f>
        <v>4</v>
      </c>
      <c r="F295" s="2">
        <f>_xlfn.XLOOKUP(Table3[[#This Row],[instant]],Table1[instant],Table1[weathersit], ,0,1)</f>
        <v>1</v>
      </c>
      <c r="G295" s="2">
        <f>_xlfn.XLOOKUP(Table3[[#This Row],[instant]],Table1[instant],Table1[temp], ,0,1)</f>
        <v>0.24</v>
      </c>
      <c r="H295" s="24">
        <f>_xlfn.XLOOKUP(Table3[[#This Row],[instant]],Table2[instant],Table2[atemp], ,0,1)</f>
        <v>0.21210000000000001</v>
      </c>
      <c r="I295" s="1">
        <f>_xlfn.XLOOKUP(Table3[[#This Row],[instant]],Table2[instant],Table2[hum], ,0,1)</f>
        <v>0.38</v>
      </c>
      <c r="J295" s="1">
        <f>_xlfn.XLOOKUP(Table3[[#This Row],[instant]],Table2[instant],Table2[windspeed], ,0,1)</f>
        <v>0.35820000000000002</v>
      </c>
      <c r="K295" s="1">
        <f>_xlfn.XLOOKUP(Table3[[#This Row],[instant]],Table2[instant],Table2[casual], ,0,1)</f>
        <v>2</v>
      </c>
      <c r="L295" s="1">
        <f>_xlfn.XLOOKUP(Table3[[#This Row],[instant]],Table2[instant],Table2[registered], ,0,1)</f>
        <v>76</v>
      </c>
      <c r="M295" s="6">
        <f>_xlfn.XLOOKUP(Table3[[#This Row],[instant]],Table2[instant],Table2[cnt], ,0,1)</f>
        <v>78</v>
      </c>
      <c r="N295" s="6" t="str">
        <f>IF(OR(Table3[[#This Row],[weekday]]=0,Table3[[#This Row],[weekday]]=6),"Weekend","Weekday")</f>
        <v>Weekday</v>
      </c>
    </row>
    <row r="296" spans="1:14" ht="15" thickBot="1" x14ac:dyDescent="0.35">
      <c r="A296" s="5">
        <v>295</v>
      </c>
      <c r="B296" s="3">
        <f>_xlfn.XLOOKUP(Table3[[#This Row],[instant]],DatSet1!A296:A905,DatSet1!B296:B905,_xlfn.XLOOKUP(Table3[[#This Row],[instant]],'Final Data'!A296:A685,'Final Data'!B296:B685, ,0,1),0,1)</f>
        <v>40556</v>
      </c>
      <c r="C296" s="1">
        <f>_xlfn.XLOOKUP(Table3[[#This Row],[instant]],Table1[instant],Table1[hr], ,0,1)</f>
        <v>17</v>
      </c>
      <c r="D296" s="2" t="b">
        <f>_xlfn.XLOOKUP(Table3[[#This Row],[instant]],Table1[instant],Table1[holiday], ,0,1)</f>
        <v>0</v>
      </c>
      <c r="E296" s="2">
        <f>_xlfn.XLOOKUP(Table3[[#This Row],[instant]],Table1[instant],Table1[weekday], ,0,1)</f>
        <v>4</v>
      </c>
      <c r="F296" s="2">
        <f>_xlfn.XLOOKUP(Table3[[#This Row],[instant]],Table1[instant],Table1[weathersit], ,0,1)</f>
        <v>1</v>
      </c>
      <c r="G296" s="2">
        <f>_xlfn.XLOOKUP(Table3[[#This Row],[instant]],Table1[instant],Table1[temp], ,0,1)</f>
        <v>0.2</v>
      </c>
      <c r="H296" s="24">
        <f>_xlfn.XLOOKUP(Table3[[#This Row],[instant]],Table2[instant],Table2[atemp], ,0,1)</f>
        <v>0.18179999999999999</v>
      </c>
      <c r="I296" s="1">
        <f>_xlfn.XLOOKUP(Table3[[#This Row],[instant]],Table2[instant],Table2[hum], ,0,1)</f>
        <v>0.4</v>
      </c>
      <c r="J296" s="1">
        <f>_xlfn.XLOOKUP(Table3[[#This Row],[instant]],Table2[instant],Table2[windspeed], ,0,1)</f>
        <v>0.28360000000000002</v>
      </c>
      <c r="K296" s="1">
        <f>_xlfn.XLOOKUP(Table3[[#This Row],[instant]],Table2[instant],Table2[casual], ,0,1)</f>
        <v>4</v>
      </c>
      <c r="L296" s="1">
        <f>_xlfn.XLOOKUP(Table3[[#This Row],[instant]],Table2[instant],Table2[registered], ,0,1)</f>
        <v>158</v>
      </c>
      <c r="M296" s="6">
        <f>_xlfn.XLOOKUP(Table3[[#This Row],[instant]],Table2[instant],Table2[cnt], ,0,1)</f>
        <v>162</v>
      </c>
      <c r="N296" s="6" t="str">
        <f>IF(OR(Table3[[#This Row],[weekday]]=0,Table3[[#This Row],[weekday]]=6),"Weekend","Weekday")</f>
        <v>Weekday</v>
      </c>
    </row>
    <row r="297" spans="1:14" ht="15" thickBot="1" x14ac:dyDescent="0.35">
      <c r="A297" s="5">
        <v>296</v>
      </c>
      <c r="B297" s="3">
        <f>_xlfn.XLOOKUP(Table3[[#This Row],[instant]],DatSet1!A297:A906,DatSet1!B297:B906,_xlfn.XLOOKUP(Table3[[#This Row],[instant]],'Final Data'!A297:A686,'Final Data'!B297:B686, ,0,1),0,1)</f>
        <v>40556</v>
      </c>
      <c r="C297" s="1">
        <f>_xlfn.XLOOKUP(Table3[[#This Row],[instant]],Table1[instant],Table1[hr], ,0,1)</f>
        <v>18</v>
      </c>
      <c r="D297" s="2" t="b">
        <f>_xlfn.XLOOKUP(Table3[[#This Row],[instant]],Table1[instant],Table1[holiday], ,0,1)</f>
        <v>0</v>
      </c>
      <c r="E297" s="2">
        <f>_xlfn.XLOOKUP(Table3[[#This Row],[instant]],Table1[instant],Table1[weekday], ,0,1)</f>
        <v>4</v>
      </c>
      <c r="F297" s="2">
        <f>_xlfn.XLOOKUP(Table3[[#This Row],[instant]],Table1[instant],Table1[weathersit], ,0,1)</f>
        <v>1</v>
      </c>
      <c r="G297" s="2">
        <f>_xlfn.XLOOKUP(Table3[[#This Row],[instant]],Table1[instant],Table1[temp], ,0,1)</f>
        <v>0.2</v>
      </c>
      <c r="H297" s="24">
        <f>_xlfn.XLOOKUP(Table3[[#This Row],[instant]],Table2[instant],Table2[atemp], ,0,1)</f>
        <v>0.18179999999999999</v>
      </c>
      <c r="I297" s="1">
        <f>_xlfn.XLOOKUP(Table3[[#This Row],[instant]],Table2[instant],Table2[hum], ,0,1)</f>
        <v>0.4</v>
      </c>
      <c r="J297" s="1">
        <f>_xlfn.XLOOKUP(Table3[[#This Row],[instant]],Table2[instant],Table2[windspeed], ,0,1)</f>
        <v>0.32840000000000003</v>
      </c>
      <c r="K297" s="1">
        <f>_xlfn.XLOOKUP(Table3[[#This Row],[instant]],Table2[instant],Table2[casual], ,0,1)</f>
        <v>3</v>
      </c>
      <c r="L297" s="1">
        <f>_xlfn.XLOOKUP(Table3[[#This Row],[instant]],Table2[instant],Table2[registered], ,0,1)</f>
        <v>141</v>
      </c>
      <c r="M297" s="6">
        <f>_xlfn.XLOOKUP(Table3[[#This Row],[instant]],Table2[instant],Table2[cnt], ,0,1)</f>
        <v>144</v>
      </c>
      <c r="N297" s="6" t="str">
        <f>IF(OR(Table3[[#This Row],[weekday]]=0,Table3[[#This Row],[weekday]]=6),"Weekend","Weekday")</f>
        <v>Weekday</v>
      </c>
    </row>
    <row r="298" spans="1:14" ht="15" thickBot="1" x14ac:dyDescent="0.35">
      <c r="A298" s="5">
        <v>297</v>
      </c>
      <c r="B298" s="3">
        <f>_xlfn.XLOOKUP(Table3[[#This Row],[instant]],DatSet1!A298:A907,DatSet1!B298:B907,_xlfn.XLOOKUP(Table3[[#This Row],[instant]],'Final Data'!A298:A687,'Final Data'!B298:B687, ,0,1),0,1)</f>
        <v>40556</v>
      </c>
      <c r="C298" s="1">
        <f>_xlfn.XLOOKUP(Table3[[#This Row],[instant]],Table1[instant],Table1[hr], ,0,1)</f>
        <v>19</v>
      </c>
      <c r="D298" s="2" t="b">
        <f>_xlfn.XLOOKUP(Table3[[#This Row],[instant]],Table1[instant],Table1[holiday], ,0,1)</f>
        <v>0</v>
      </c>
      <c r="E298" s="2">
        <f>_xlfn.XLOOKUP(Table3[[#This Row],[instant]],Table1[instant],Table1[weekday], ,0,1)</f>
        <v>4</v>
      </c>
      <c r="F298" s="2">
        <f>_xlfn.XLOOKUP(Table3[[#This Row],[instant]],Table1[instant],Table1[weathersit], ,0,1)</f>
        <v>1</v>
      </c>
      <c r="G298" s="2">
        <f>_xlfn.XLOOKUP(Table3[[#This Row],[instant]],Table1[instant],Table1[temp], ,0,1)</f>
        <v>0.16</v>
      </c>
      <c r="H298" s="24">
        <f>_xlfn.XLOOKUP(Table3[[#This Row],[instant]],Table2[instant],Table2[atemp], ,0,1)</f>
        <v>0.1515</v>
      </c>
      <c r="I298" s="1">
        <f>_xlfn.XLOOKUP(Table3[[#This Row],[instant]],Table2[instant],Table2[hum], ,0,1)</f>
        <v>0.47</v>
      </c>
      <c r="J298" s="1">
        <f>_xlfn.XLOOKUP(Table3[[#This Row],[instant]],Table2[instant],Table2[windspeed], ,0,1)</f>
        <v>0.25369999999999998</v>
      </c>
      <c r="K298" s="1">
        <f>_xlfn.XLOOKUP(Table3[[#This Row],[instant]],Table2[instant],Table2[casual], ,0,1)</f>
        <v>1</v>
      </c>
      <c r="L298" s="1">
        <f>_xlfn.XLOOKUP(Table3[[#This Row],[instant]],Table2[instant],Table2[registered], ,0,1)</f>
        <v>98</v>
      </c>
      <c r="M298" s="6">
        <f>_xlfn.XLOOKUP(Table3[[#This Row],[instant]],Table2[instant],Table2[cnt], ,0,1)</f>
        <v>99</v>
      </c>
      <c r="N298" s="6" t="str">
        <f>IF(OR(Table3[[#This Row],[weekday]]=0,Table3[[#This Row],[weekday]]=6),"Weekend","Weekday")</f>
        <v>Weekday</v>
      </c>
    </row>
    <row r="299" spans="1:14" ht="15" thickBot="1" x14ac:dyDescent="0.35">
      <c r="A299" s="5">
        <v>298</v>
      </c>
      <c r="B299" s="3">
        <f>_xlfn.XLOOKUP(Table3[[#This Row],[instant]],DatSet1!A299:A908,DatSet1!B299:B908,_xlfn.XLOOKUP(Table3[[#This Row],[instant]],'Final Data'!A299:A688,'Final Data'!B299:B688, ,0,1),0,1)</f>
        <v>40556</v>
      </c>
      <c r="C299" s="1">
        <f>_xlfn.XLOOKUP(Table3[[#This Row],[instant]],Table1[instant],Table1[hr], ,0,1)</f>
        <v>20</v>
      </c>
      <c r="D299" s="2" t="b">
        <f>_xlfn.XLOOKUP(Table3[[#This Row],[instant]],Table1[instant],Table1[holiday], ,0,1)</f>
        <v>0</v>
      </c>
      <c r="E299" s="2">
        <f>_xlfn.XLOOKUP(Table3[[#This Row],[instant]],Table1[instant],Table1[weekday], ,0,1)</f>
        <v>4</v>
      </c>
      <c r="F299" s="2">
        <f>_xlfn.XLOOKUP(Table3[[#This Row],[instant]],Table1[instant],Table1[weathersit], ,0,1)</f>
        <v>1</v>
      </c>
      <c r="G299" s="2">
        <f>_xlfn.XLOOKUP(Table3[[#This Row],[instant]],Table1[instant],Table1[temp], ,0,1)</f>
        <v>0.16</v>
      </c>
      <c r="H299" s="24">
        <f>_xlfn.XLOOKUP(Table3[[#This Row],[instant]],Table2[instant],Table2[atemp], ,0,1)</f>
        <v>0.1515</v>
      </c>
      <c r="I299" s="1">
        <f>_xlfn.XLOOKUP(Table3[[#This Row],[instant]],Table2[instant],Table2[hum], ,0,1)</f>
        <v>0.47</v>
      </c>
      <c r="J299" s="1">
        <f>_xlfn.XLOOKUP(Table3[[#This Row],[instant]],Table2[instant],Table2[windspeed], ,0,1)</f>
        <v>0.22389999999999999</v>
      </c>
      <c r="K299" s="1">
        <f>_xlfn.XLOOKUP(Table3[[#This Row],[instant]],Table2[instant],Table2[casual], ,0,1)</f>
        <v>0</v>
      </c>
      <c r="L299" s="1">
        <f>_xlfn.XLOOKUP(Table3[[#This Row],[instant]],Table2[instant],Table2[registered], ,0,1)</f>
        <v>64</v>
      </c>
      <c r="M299" s="6">
        <f>_xlfn.XLOOKUP(Table3[[#This Row],[instant]],Table2[instant],Table2[cnt], ,0,1)</f>
        <v>64</v>
      </c>
      <c r="N299" s="6" t="str">
        <f>IF(OR(Table3[[#This Row],[weekday]]=0,Table3[[#This Row],[weekday]]=6),"Weekend","Weekday")</f>
        <v>Weekday</v>
      </c>
    </row>
    <row r="300" spans="1:14" ht="15" thickBot="1" x14ac:dyDescent="0.35">
      <c r="A300" s="5">
        <v>299</v>
      </c>
      <c r="B300" s="3">
        <f>_xlfn.XLOOKUP(Table3[[#This Row],[instant]],DatSet1!A300:A909,DatSet1!B300:B909,_xlfn.XLOOKUP(Table3[[#This Row],[instant]],'Final Data'!A300:A689,'Final Data'!B300:B689, ,0,1),0,1)</f>
        <v>40556</v>
      </c>
      <c r="C300" s="1">
        <f>_xlfn.XLOOKUP(Table3[[#This Row],[instant]],Table1[instant],Table1[hr], ,0,1)</f>
        <v>21</v>
      </c>
      <c r="D300" s="2" t="b">
        <f>_xlfn.XLOOKUP(Table3[[#This Row],[instant]],Table1[instant],Table1[holiday], ,0,1)</f>
        <v>0</v>
      </c>
      <c r="E300" s="2">
        <f>_xlfn.XLOOKUP(Table3[[#This Row],[instant]],Table1[instant],Table1[weekday], ,0,1)</f>
        <v>4</v>
      </c>
      <c r="F300" s="2">
        <f>_xlfn.XLOOKUP(Table3[[#This Row],[instant]],Table1[instant],Table1[weathersit], ,0,1)</f>
        <v>1</v>
      </c>
      <c r="G300" s="2">
        <f>_xlfn.XLOOKUP(Table3[[#This Row],[instant]],Table1[instant],Table1[temp], ,0,1)</f>
        <v>0.14000000000000001</v>
      </c>
      <c r="H300" s="24">
        <f>_xlfn.XLOOKUP(Table3[[#This Row],[instant]],Table2[instant],Table2[atemp], ,0,1)</f>
        <v>0.1212</v>
      </c>
      <c r="I300" s="1">
        <f>_xlfn.XLOOKUP(Table3[[#This Row],[instant]],Table2[instant],Table2[hum], ,0,1)</f>
        <v>0.46</v>
      </c>
      <c r="J300" s="1">
        <f>_xlfn.XLOOKUP(Table3[[#This Row],[instant]],Table2[instant],Table2[windspeed], ,0,1)</f>
        <v>0.29849999999999999</v>
      </c>
      <c r="K300" s="1">
        <f>_xlfn.XLOOKUP(Table3[[#This Row],[instant]],Table2[instant],Table2[casual], ,0,1)</f>
        <v>0</v>
      </c>
      <c r="L300" s="1">
        <f>_xlfn.XLOOKUP(Table3[[#This Row],[instant]],Table2[instant],Table2[registered], ,0,1)</f>
        <v>40</v>
      </c>
      <c r="M300" s="6">
        <f>_xlfn.XLOOKUP(Table3[[#This Row],[instant]],Table2[instant],Table2[cnt], ,0,1)</f>
        <v>40</v>
      </c>
      <c r="N300" s="6" t="str">
        <f>IF(OR(Table3[[#This Row],[weekday]]=0,Table3[[#This Row],[weekday]]=6),"Weekend","Weekday")</f>
        <v>Weekday</v>
      </c>
    </row>
    <row r="301" spans="1:14" ht="15" thickBot="1" x14ac:dyDescent="0.35">
      <c r="A301" s="5">
        <v>300</v>
      </c>
      <c r="B301" s="3">
        <f>_xlfn.XLOOKUP(Table3[[#This Row],[instant]],DatSet1!A301:A910,DatSet1!B301:B910,_xlfn.XLOOKUP(Table3[[#This Row],[instant]],'Final Data'!A301:A690,'Final Data'!B301:B690, ,0,1),0,1)</f>
        <v>40556</v>
      </c>
      <c r="C301" s="1">
        <f>_xlfn.XLOOKUP(Table3[[#This Row],[instant]],Table1[instant],Table1[hr], ,0,1)</f>
        <v>22</v>
      </c>
      <c r="D301" s="2" t="b">
        <f>_xlfn.XLOOKUP(Table3[[#This Row],[instant]],Table1[instant],Table1[holiday], ,0,1)</f>
        <v>0</v>
      </c>
      <c r="E301" s="2">
        <f>_xlfn.XLOOKUP(Table3[[#This Row],[instant]],Table1[instant],Table1[weekday], ,0,1)</f>
        <v>4</v>
      </c>
      <c r="F301" s="2">
        <f>_xlfn.XLOOKUP(Table3[[#This Row],[instant]],Table1[instant],Table1[weathersit], ,0,1)</f>
        <v>1</v>
      </c>
      <c r="G301" s="2">
        <f>_xlfn.XLOOKUP(Table3[[#This Row],[instant]],Table1[instant],Table1[temp], ,0,1)</f>
        <v>0.14000000000000001</v>
      </c>
      <c r="H301" s="24">
        <f>_xlfn.XLOOKUP(Table3[[#This Row],[instant]],Table2[instant],Table2[atemp], ,0,1)</f>
        <v>0.1212</v>
      </c>
      <c r="I301" s="1">
        <f>_xlfn.XLOOKUP(Table3[[#This Row],[instant]],Table2[instant],Table2[hum], ,0,1)</f>
        <v>0.46</v>
      </c>
      <c r="J301" s="1">
        <f>_xlfn.XLOOKUP(Table3[[#This Row],[instant]],Table2[instant],Table2[windspeed], ,0,1)</f>
        <v>0.32840000000000003</v>
      </c>
      <c r="K301" s="1">
        <f>_xlfn.XLOOKUP(Table3[[#This Row],[instant]],Table2[instant],Table2[casual], ,0,1)</f>
        <v>0</v>
      </c>
      <c r="L301" s="1">
        <f>_xlfn.XLOOKUP(Table3[[#This Row],[instant]],Table2[instant],Table2[registered], ,0,1)</f>
        <v>30</v>
      </c>
      <c r="M301" s="6">
        <f>_xlfn.XLOOKUP(Table3[[#This Row],[instant]],Table2[instant],Table2[cnt], ,0,1)</f>
        <v>30</v>
      </c>
      <c r="N301" s="6" t="str">
        <f>IF(OR(Table3[[#This Row],[weekday]]=0,Table3[[#This Row],[weekday]]=6),"Weekend","Weekday")</f>
        <v>Weekday</v>
      </c>
    </row>
    <row r="302" spans="1:14" ht="15" thickBot="1" x14ac:dyDescent="0.35">
      <c r="A302" s="5">
        <v>301</v>
      </c>
      <c r="B302" s="3">
        <f>_xlfn.XLOOKUP(Table3[[#This Row],[instant]],DatSet1!A302:A911,DatSet1!B302:B911,_xlfn.XLOOKUP(Table3[[#This Row],[instant]],'Final Data'!A302:A691,'Final Data'!B302:B691, ,0,1),0,1)</f>
        <v>40556</v>
      </c>
      <c r="C302" s="1">
        <f>_xlfn.XLOOKUP(Table3[[#This Row],[instant]],Table1[instant],Table1[hr], ,0,1)</f>
        <v>23</v>
      </c>
      <c r="D302" s="2" t="b">
        <f>_xlfn.XLOOKUP(Table3[[#This Row],[instant]],Table1[instant],Table1[holiday], ,0,1)</f>
        <v>0</v>
      </c>
      <c r="E302" s="2">
        <f>_xlfn.XLOOKUP(Table3[[#This Row],[instant]],Table1[instant],Table1[weekday], ,0,1)</f>
        <v>4</v>
      </c>
      <c r="F302" s="2">
        <f>_xlfn.XLOOKUP(Table3[[#This Row],[instant]],Table1[instant],Table1[weathersit], ,0,1)</f>
        <v>1</v>
      </c>
      <c r="G302" s="2">
        <f>_xlfn.XLOOKUP(Table3[[#This Row],[instant]],Table1[instant],Table1[temp], ,0,1)</f>
        <v>0.12</v>
      </c>
      <c r="H302" s="24">
        <f>_xlfn.XLOOKUP(Table3[[#This Row],[instant]],Table2[instant],Table2[atemp], ,0,1)</f>
        <v>0.13639999999999999</v>
      </c>
      <c r="I302" s="1">
        <f>_xlfn.XLOOKUP(Table3[[#This Row],[instant]],Table2[instant],Table2[hum], ,0,1)</f>
        <v>0.5</v>
      </c>
      <c r="J302" s="1">
        <f>_xlfn.XLOOKUP(Table3[[#This Row],[instant]],Table2[instant],Table2[windspeed], ,0,1)</f>
        <v>0.19400000000000001</v>
      </c>
      <c r="K302" s="1">
        <f>_xlfn.XLOOKUP(Table3[[#This Row],[instant]],Table2[instant],Table2[casual], ,0,1)</f>
        <v>1</v>
      </c>
      <c r="L302" s="1">
        <f>_xlfn.XLOOKUP(Table3[[#This Row],[instant]],Table2[instant],Table2[registered], ,0,1)</f>
        <v>14</v>
      </c>
      <c r="M302" s="6">
        <f>_xlfn.XLOOKUP(Table3[[#This Row],[instant]],Table2[instant],Table2[cnt], ,0,1)</f>
        <v>15</v>
      </c>
      <c r="N302" s="6" t="str">
        <f>IF(OR(Table3[[#This Row],[weekday]]=0,Table3[[#This Row],[weekday]]=6),"Weekend","Weekday")</f>
        <v>Weekday</v>
      </c>
    </row>
    <row r="303" spans="1:14" ht="15" thickBot="1" x14ac:dyDescent="0.35">
      <c r="A303" s="5">
        <v>302</v>
      </c>
      <c r="B303" s="3">
        <f>_xlfn.XLOOKUP(Table3[[#This Row],[instant]],DatSet1!A303:A912,DatSet1!B303:B912,_xlfn.XLOOKUP(Table3[[#This Row],[instant]],'Final Data'!A303:A692,'Final Data'!B303:B692, ,0,1),0,1)</f>
        <v>40557</v>
      </c>
      <c r="C303" s="1">
        <f>_xlfn.XLOOKUP(Table3[[#This Row],[instant]],Table1[instant],Table1[hr], ,0,1)</f>
        <v>0</v>
      </c>
      <c r="D303" s="2" t="b">
        <f>_xlfn.XLOOKUP(Table3[[#This Row],[instant]],Table1[instant],Table1[holiday], ,0,1)</f>
        <v>0</v>
      </c>
      <c r="E303" s="2">
        <f>_xlfn.XLOOKUP(Table3[[#This Row],[instant]],Table1[instant],Table1[weekday], ,0,1)</f>
        <v>5</v>
      </c>
      <c r="F303" s="2">
        <f>_xlfn.XLOOKUP(Table3[[#This Row],[instant]],Table1[instant],Table1[weathersit], ,0,1)</f>
        <v>1</v>
      </c>
      <c r="G303" s="2">
        <f>_xlfn.XLOOKUP(Table3[[#This Row],[instant]],Table1[instant],Table1[temp], ,0,1)</f>
        <v>0.12</v>
      </c>
      <c r="H303" s="24">
        <f>_xlfn.XLOOKUP(Table3[[#This Row],[instant]],Table2[instant],Table2[atemp], ,0,1)</f>
        <v>0.13639999999999999</v>
      </c>
      <c r="I303" s="1">
        <f>_xlfn.XLOOKUP(Table3[[#This Row],[instant]],Table2[instant],Table2[hum], ,0,1)</f>
        <v>0.5</v>
      </c>
      <c r="J303" s="1">
        <f>_xlfn.XLOOKUP(Table3[[#This Row],[instant]],Table2[instant],Table2[windspeed], ,0,1)</f>
        <v>0.19400000000000001</v>
      </c>
      <c r="K303" s="1">
        <f>_xlfn.XLOOKUP(Table3[[#This Row],[instant]],Table2[instant],Table2[casual], ,0,1)</f>
        <v>0</v>
      </c>
      <c r="L303" s="1">
        <f>_xlfn.XLOOKUP(Table3[[#This Row],[instant]],Table2[instant],Table2[registered], ,0,1)</f>
        <v>14</v>
      </c>
      <c r="M303" s="6">
        <f>_xlfn.XLOOKUP(Table3[[#This Row],[instant]],Table2[instant],Table2[cnt], ,0,1)</f>
        <v>14</v>
      </c>
      <c r="N303" s="6" t="str">
        <f>IF(OR(Table3[[#This Row],[weekday]]=0,Table3[[#This Row],[weekday]]=6),"Weekend","Weekday")</f>
        <v>Weekday</v>
      </c>
    </row>
    <row r="304" spans="1:14" ht="15" thickBot="1" x14ac:dyDescent="0.35">
      <c r="A304" s="5">
        <v>303</v>
      </c>
      <c r="B304" s="3">
        <f>_xlfn.XLOOKUP(Table3[[#This Row],[instant]],DatSet1!A304:A913,DatSet1!B304:B913,_xlfn.XLOOKUP(Table3[[#This Row],[instant]],'Final Data'!A304:A693,'Final Data'!B304:B693, ,0,1),0,1)</f>
        <v>40557</v>
      </c>
      <c r="C304" s="1">
        <f>_xlfn.XLOOKUP(Table3[[#This Row],[instant]],Table1[instant],Table1[hr], ,0,1)</f>
        <v>1</v>
      </c>
      <c r="D304" s="2" t="b">
        <f>_xlfn.XLOOKUP(Table3[[#This Row],[instant]],Table1[instant],Table1[holiday], ,0,1)</f>
        <v>0</v>
      </c>
      <c r="E304" s="2">
        <f>_xlfn.XLOOKUP(Table3[[#This Row],[instant]],Table1[instant],Table1[weekday], ,0,1)</f>
        <v>5</v>
      </c>
      <c r="F304" s="2">
        <f>_xlfn.XLOOKUP(Table3[[#This Row],[instant]],Table1[instant],Table1[weathersit], ,0,1)</f>
        <v>1</v>
      </c>
      <c r="G304" s="2">
        <f>_xlfn.XLOOKUP(Table3[[#This Row],[instant]],Table1[instant],Table1[temp], ,0,1)</f>
        <v>0.1</v>
      </c>
      <c r="H304" s="24">
        <f>_xlfn.XLOOKUP(Table3[[#This Row],[instant]],Table2[instant],Table2[atemp], ,0,1)</f>
        <v>0.1212</v>
      </c>
      <c r="I304" s="1">
        <f>_xlfn.XLOOKUP(Table3[[#This Row],[instant]],Table2[instant],Table2[hum], ,0,1)</f>
        <v>0.54</v>
      </c>
      <c r="J304" s="1">
        <f>_xlfn.XLOOKUP(Table3[[#This Row],[instant]],Table2[instant],Table2[windspeed], ,0,1)</f>
        <v>0.16420000000000001</v>
      </c>
      <c r="K304" s="1">
        <f>_xlfn.XLOOKUP(Table3[[#This Row],[instant]],Table2[instant],Table2[casual], ,0,1)</f>
        <v>0</v>
      </c>
      <c r="L304" s="1">
        <f>_xlfn.XLOOKUP(Table3[[#This Row],[instant]],Table2[instant],Table2[registered], ,0,1)</f>
        <v>5</v>
      </c>
      <c r="M304" s="6">
        <f>_xlfn.XLOOKUP(Table3[[#This Row],[instant]],Table2[instant],Table2[cnt], ,0,1)</f>
        <v>5</v>
      </c>
      <c r="N304" s="6" t="str">
        <f>IF(OR(Table3[[#This Row],[weekday]]=0,Table3[[#This Row],[weekday]]=6),"Weekend","Weekday")</f>
        <v>Weekday</v>
      </c>
    </row>
    <row r="305" spans="1:14" ht="15" thickBot="1" x14ac:dyDescent="0.35">
      <c r="A305" s="5">
        <v>304</v>
      </c>
      <c r="B305" s="3">
        <f>_xlfn.XLOOKUP(Table3[[#This Row],[instant]],DatSet1!A305:A914,DatSet1!B305:B914,_xlfn.XLOOKUP(Table3[[#This Row],[instant]],'Final Data'!A305:A694,'Final Data'!B305:B694, ,0,1),0,1)</f>
        <v>40557</v>
      </c>
      <c r="C305" s="1">
        <f>_xlfn.XLOOKUP(Table3[[#This Row],[instant]],Table1[instant],Table1[hr], ,0,1)</f>
        <v>2</v>
      </c>
      <c r="D305" s="2" t="b">
        <f>_xlfn.XLOOKUP(Table3[[#This Row],[instant]],Table1[instant],Table1[holiday], ,0,1)</f>
        <v>0</v>
      </c>
      <c r="E305" s="2">
        <f>_xlfn.XLOOKUP(Table3[[#This Row],[instant]],Table1[instant],Table1[weekday], ,0,1)</f>
        <v>5</v>
      </c>
      <c r="F305" s="2">
        <f>_xlfn.XLOOKUP(Table3[[#This Row],[instant]],Table1[instant],Table1[weathersit], ,0,1)</f>
        <v>1</v>
      </c>
      <c r="G305" s="2">
        <f>_xlfn.XLOOKUP(Table3[[#This Row],[instant]],Table1[instant],Table1[temp], ,0,1)</f>
        <v>0.1</v>
      </c>
      <c r="H305" s="24">
        <f>_xlfn.XLOOKUP(Table3[[#This Row],[instant]],Table2[instant],Table2[atemp], ,0,1)</f>
        <v>0.1212</v>
      </c>
      <c r="I305" s="1">
        <f>_xlfn.XLOOKUP(Table3[[#This Row],[instant]],Table2[instant],Table2[hum], ,0,1)</f>
        <v>0.54</v>
      </c>
      <c r="J305" s="1">
        <f>_xlfn.XLOOKUP(Table3[[#This Row],[instant]],Table2[instant],Table2[windspeed], ,0,1)</f>
        <v>0.1343</v>
      </c>
      <c r="K305" s="1">
        <f>_xlfn.XLOOKUP(Table3[[#This Row],[instant]],Table2[instant],Table2[casual], ,0,1)</f>
        <v>0</v>
      </c>
      <c r="L305" s="1">
        <f>_xlfn.XLOOKUP(Table3[[#This Row],[instant]],Table2[instant],Table2[registered], ,0,1)</f>
        <v>1</v>
      </c>
      <c r="M305" s="6">
        <f>_xlfn.XLOOKUP(Table3[[#This Row],[instant]],Table2[instant],Table2[cnt], ,0,1)</f>
        <v>1</v>
      </c>
      <c r="N305" s="6" t="str">
        <f>IF(OR(Table3[[#This Row],[weekday]]=0,Table3[[#This Row],[weekday]]=6),"Weekend","Weekday")</f>
        <v>Weekday</v>
      </c>
    </row>
    <row r="306" spans="1:14" ht="15" thickBot="1" x14ac:dyDescent="0.35">
      <c r="A306" s="5">
        <v>305</v>
      </c>
      <c r="B306" s="3">
        <f>_xlfn.XLOOKUP(Table3[[#This Row],[instant]],DatSet1!A306:A915,DatSet1!B306:B915,_xlfn.XLOOKUP(Table3[[#This Row],[instant]],'Final Data'!A306:A695,'Final Data'!B306:B695, ,0,1),0,1)</f>
        <v>40557</v>
      </c>
      <c r="C306" s="1">
        <f>_xlfn.XLOOKUP(Table3[[#This Row],[instant]],Table1[instant],Table1[hr], ,0,1)</f>
        <v>3</v>
      </c>
      <c r="D306" s="2" t="b">
        <f>_xlfn.XLOOKUP(Table3[[#This Row],[instant]],Table1[instant],Table1[holiday], ,0,1)</f>
        <v>0</v>
      </c>
      <c r="E306" s="2">
        <f>_xlfn.XLOOKUP(Table3[[#This Row],[instant]],Table1[instant],Table1[weekday], ,0,1)</f>
        <v>5</v>
      </c>
      <c r="F306" s="2">
        <f>_xlfn.XLOOKUP(Table3[[#This Row],[instant]],Table1[instant],Table1[weathersit], ,0,1)</f>
        <v>1</v>
      </c>
      <c r="G306" s="2">
        <f>_xlfn.XLOOKUP(Table3[[#This Row],[instant]],Table1[instant],Table1[temp], ,0,1)</f>
        <v>0.1</v>
      </c>
      <c r="H306" s="24">
        <f>_xlfn.XLOOKUP(Table3[[#This Row],[instant]],Table2[instant],Table2[atemp], ,0,1)</f>
        <v>0.13639999999999999</v>
      </c>
      <c r="I306" s="1">
        <f>_xlfn.XLOOKUP(Table3[[#This Row],[instant]],Table2[instant],Table2[hum], ,0,1)</f>
        <v>0.54</v>
      </c>
      <c r="J306" s="1">
        <f>_xlfn.XLOOKUP(Table3[[#This Row],[instant]],Table2[instant],Table2[windspeed], ,0,1)</f>
        <v>0.1045</v>
      </c>
      <c r="K306" s="1">
        <f>_xlfn.XLOOKUP(Table3[[#This Row],[instant]],Table2[instant],Table2[casual], ,0,1)</f>
        <v>0</v>
      </c>
      <c r="L306" s="1">
        <f>_xlfn.XLOOKUP(Table3[[#This Row],[instant]],Table2[instant],Table2[registered], ,0,1)</f>
        <v>1</v>
      </c>
      <c r="M306" s="6">
        <f>_xlfn.XLOOKUP(Table3[[#This Row],[instant]],Table2[instant],Table2[cnt], ,0,1)</f>
        <v>1</v>
      </c>
      <c r="N306" s="6" t="str">
        <f>IF(OR(Table3[[#This Row],[weekday]]=0,Table3[[#This Row],[weekday]]=6),"Weekend","Weekday")</f>
        <v>Weekday</v>
      </c>
    </row>
    <row r="307" spans="1:14" ht="15" thickBot="1" x14ac:dyDescent="0.35">
      <c r="A307" s="5">
        <v>306</v>
      </c>
      <c r="B307" s="3">
        <f>_xlfn.XLOOKUP(Table3[[#This Row],[instant]],DatSet1!A307:A916,DatSet1!B307:B916,_xlfn.XLOOKUP(Table3[[#This Row],[instant]],'Final Data'!A307:A696,'Final Data'!B307:B696, ,0,1),0,1)</f>
        <v>40557</v>
      </c>
      <c r="C307" s="1">
        <f>_xlfn.XLOOKUP(Table3[[#This Row],[instant]],Table1[instant],Table1[hr], ,0,1)</f>
        <v>5</v>
      </c>
      <c r="D307" s="2" t="b">
        <f>_xlfn.XLOOKUP(Table3[[#This Row],[instant]],Table1[instant],Table1[holiday], ,0,1)</f>
        <v>0</v>
      </c>
      <c r="E307" s="2">
        <f>_xlfn.XLOOKUP(Table3[[#This Row],[instant]],Table1[instant],Table1[weekday], ,0,1)</f>
        <v>5</v>
      </c>
      <c r="F307" s="2">
        <f>_xlfn.XLOOKUP(Table3[[#This Row],[instant]],Table1[instant],Table1[weathersit], ,0,1)</f>
        <v>1</v>
      </c>
      <c r="G307" s="2">
        <f>_xlfn.XLOOKUP(Table3[[#This Row],[instant]],Table1[instant],Table1[temp], ,0,1)</f>
        <v>0.1</v>
      </c>
      <c r="H307" s="24">
        <f>_xlfn.XLOOKUP(Table3[[#This Row],[instant]],Table2[instant],Table2[atemp], ,0,1)</f>
        <v>0.13639999999999999</v>
      </c>
      <c r="I307" s="1">
        <f>_xlfn.XLOOKUP(Table3[[#This Row],[instant]],Table2[instant],Table2[hum], ,0,1)</f>
        <v>0.54</v>
      </c>
      <c r="J307" s="1">
        <f>_xlfn.XLOOKUP(Table3[[#This Row],[instant]],Table2[instant],Table2[windspeed], ,0,1)</f>
        <v>8.9599999999999999E-2</v>
      </c>
      <c r="K307" s="1">
        <f>_xlfn.XLOOKUP(Table3[[#This Row],[instant]],Table2[instant],Table2[casual], ,0,1)</f>
        <v>0</v>
      </c>
      <c r="L307" s="1">
        <f>_xlfn.XLOOKUP(Table3[[#This Row],[instant]],Table2[instant],Table2[registered], ,0,1)</f>
        <v>8</v>
      </c>
      <c r="M307" s="6">
        <f>_xlfn.XLOOKUP(Table3[[#This Row],[instant]],Table2[instant],Table2[cnt], ,0,1)</f>
        <v>8</v>
      </c>
      <c r="N307" s="6" t="str">
        <f>IF(OR(Table3[[#This Row],[weekday]]=0,Table3[[#This Row],[weekday]]=6),"Weekend","Weekday")</f>
        <v>Weekday</v>
      </c>
    </row>
    <row r="308" spans="1:14" ht="15" thickBot="1" x14ac:dyDescent="0.35">
      <c r="A308" s="5">
        <v>307</v>
      </c>
      <c r="B308" s="3">
        <f>_xlfn.XLOOKUP(Table3[[#This Row],[instant]],DatSet1!A308:A917,DatSet1!B308:B917,_xlfn.XLOOKUP(Table3[[#This Row],[instant]],'Final Data'!A308:A697,'Final Data'!B308:B697, ,0,1),0,1)</f>
        <v>40557</v>
      </c>
      <c r="C308" s="1">
        <f>_xlfn.XLOOKUP(Table3[[#This Row],[instant]],Table1[instant],Table1[hr], ,0,1)</f>
        <v>6</v>
      </c>
      <c r="D308" s="2" t="b">
        <f>_xlfn.XLOOKUP(Table3[[#This Row],[instant]],Table1[instant],Table1[holiday], ,0,1)</f>
        <v>0</v>
      </c>
      <c r="E308" s="2">
        <f>_xlfn.XLOOKUP(Table3[[#This Row],[instant]],Table1[instant],Table1[weekday], ,0,1)</f>
        <v>5</v>
      </c>
      <c r="F308" s="2">
        <f>_xlfn.XLOOKUP(Table3[[#This Row],[instant]],Table1[instant],Table1[weathersit], ,0,1)</f>
        <v>1</v>
      </c>
      <c r="G308" s="2">
        <f>_xlfn.XLOOKUP(Table3[[#This Row],[instant]],Table1[instant],Table1[temp], ,0,1)</f>
        <v>0.1</v>
      </c>
      <c r="H308" s="24">
        <f>_xlfn.XLOOKUP(Table3[[#This Row],[instant]],Table2[instant],Table2[atemp], ,0,1)</f>
        <v>0.18179999999999999</v>
      </c>
      <c r="I308" s="1">
        <f>_xlfn.XLOOKUP(Table3[[#This Row],[instant]],Table2[instant],Table2[hum], ,0,1)</f>
        <v>0.54</v>
      </c>
      <c r="J308" s="1">
        <f>_xlfn.XLOOKUP(Table3[[#This Row],[instant]],Table2[instant],Table2[windspeed], ,0,1)</f>
        <v>0</v>
      </c>
      <c r="K308" s="1">
        <f>_xlfn.XLOOKUP(Table3[[#This Row],[instant]],Table2[instant],Table2[casual], ,0,1)</f>
        <v>0</v>
      </c>
      <c r="L308" s="1">
        <f>_xlfn.XLOOKUP(Table3[[#This Row],[instant]],Table2[instant],Table2[registered], ,0,1)</f>
        <v>17</v>
      </c>
      <c r="M308" s="6">
        <f>_xlfn.XLOOKUP(Table3[[#This Row],[instant]],Table2[instant],Table2[cnt], ,0,1)</f>
        <v>17</v>
      </c>
      <c r="N308" s="6" t="str">
        <f>IF(OR(Table3[[#This Row],[weekday]]=0,Table3[[#This Row],[weekday]]=6),"Weekend","Weekday")</f>
        <v>Weekday</v>
      </c>
    </row>
    <row r="309" spans="1:14" ht="15" thickBot="1" x14ac:dyDescent="0.35">
      <c r="A309" s="5">
        <v>308</v>
      </c>
      <c r="B309" s="3">
        <f>_xlfn.XLOOKUP(Table3[[#This Row],[instant]],DatSet1!A309:A918,DatSet1!B309:B918,_xlfn.XLOOKUP(Table3[[#This Row],[instant]],'Final Data'!A309:A698,'Final Data'!B309:B698, ,0,1),0,1)</f>
        <v>40557</v>
      </c>
      <c r="C309" s="1">
        <f>_xlfn.XLOOKUP(Table3[[#This Row],[instant]],Table1[instant],Table1[hr], ,0,1)</f>
        <v>7</v>
      </c>
      <c r="D309" s="2" t="b">
        <f>_xlfn.XLOOKUP(Table3[[#This Row],[instant]],Table1[instant],Table1[holiday], ,0,1)</f>
        <v>0</v>
      </c>
      <c r="E309" s="2">
        <f>_xlfn.XLOOKUP(Table3[[#This Row],[instant]],Table1[instant],Table1[weekday], ,0,1)</f>
        <v>5</v>
      </c>
      <c r="F309" s="2">
        <f>_xlfn.XLOOKUP(Table3[[#This Row],[instant]],Table1[instant],Table1[weathersit], ,0,1)</f>
        <v>1</v>
      </c>
      <c r="G309" s="2">
        <f>_xlfn.XLOOKUP(Table3[[#This Row],[instant]],Table1[instant],Table1[temp], ,0,1)</f>
        <v>0.1</v>
      </c>
      <c r="H309" s="24">
        <f>_xlfn.XLOOKUP(Table3[[#This Row],[instant]],Table2[instant],Table2[atemp], ,0,1)</f>
        <v>0.1212</v>
      </c>
      <c r="I309" s="1">
        <f>_xlfn.XLOOKUP(Table3[[#This Row],[instant]],Table2[instant],Table2[hum], ,0,1)</f>
        <v>0.74</v>
      </c>
      <c r="J309" s="1">
        <f>_xlfn.XLOOKUP(Table3[[#This Row],[instant]],Table2[instant],Table2[windspeed], ,0,1)</f>
        <v>0.16420000000000001</v>
      </c>
      <c r="K309" s="1">
        <f>_xlfn.XLOOKUP(Table3[[#This Row],[instant]],Table2[instant],Table2[casual], ,0,1)</f>
        <v>0</v>
      </c>
      <c r="L309" s="1">
        <f>_xlfn.XLOOKUP(Table3[[#This Row],[instant]],Table2[instant],Table2[registered], ,0,1)</f>
        <v>70</v>
      </c>
      <c r="M309" s="6">
        <f>_xlfn.XLOOKUP(Table3[[#This Row],[instant]],Table2[instant],Table2[cnt], ,0,1)</f>
        <v>70</v>
      </c>
      <c r="N309" s="6" t="str">
        <f>IF(OR(Table3[[#This Row],[weekday]]=0,Table3[[#This Row],[weekday]]=6),"Weekend","Weekday")</f>
        <v>Weekday</v>
      </c>
    </row>
    <row r="310" spans="1:14" ht="15" thickBot="1" x14ac:dyDescent="0.35">
      <c r="A310" s="5">
        <v>309</v>
      </c>
      <c r="B310" s="3">
        <f>_xlfn.XLOOKUP(Table3[[#This Row],[instant]],DatSet1!A310:A919,DatSet1!B310:B919,_xlfn.XLOOKUP(Table3[[#This Row],[instant]],'Final Data'!A310:A699,'Final Data'!B310:B699, ,0,1),0,1)</f>
        <v>40557</v>
      </c>
      <c r="C310" s="1">
        <f>_xlfn.XLOOKUP(Table3[[#This Row],[instant]],Table1[instant],Table1[hr], ,0,1)</f>
        <v>8</v>
      </c>
      <c r="D310" s="2" t="b">
        <f>_xlfn.XLOOKUP(Table3[[#This Row],[instant]],Table1[instant],Table1[holiday], ,0,1)</f>
        <v>0</v>
      </c>
      <c r="E310" s="2">
        <f>_xlfn.XLOOKUP(Table3[[#This Row],[instant]],Table1[instant],Table1[weekday], ,0,1)</f>
        <v>5</v>
      </c>
      <c r="F310" s="2">
        <f>_xlfn.XLOOKUP(Table3[[#This Row],[instant]],Table1[instant],Table1[weathersit], ,0,1)</f>
        <v>1</v>
      </c>
      <c r="G310" s="2">
        <f>_xlfn.XLOOKUP(Table3[[#This Row],[instant]],Table1[instant],Table1[temp], ,0,1)</f>
        <v>0.12</v>
      </c>
      <c r="H310" s="24">
        <f>_xlfn.XLOOKUP(Table3[[#This Row],[instant]],Table2[instant],Table2[atemp], ,0,1)</f>
        <v>0.16669999999999999</v>
      </c>
      <c r="I310" s="1">
        <f>_xlfn.XLOOKUP(Table3[[#This Row],[instant]],Table2[instant],Table2[hum], ,0,1)</f>
        <v>0.68</v>
      </c>
      <c r="J310" s="1">
        <f>_xlfn.XLOOKUP(Table3[[#This Row],[instant]],Table2[instant],Table2[windspeed], ,0,1)</f>
        <v>0</v>
      </c>
      <c r="K310" s="1">
        <f>_xlfn.XLOOKUP(Table3[[#This Row],[instant]],Table2[instant],Table2[casual], ,0,1)</f>
        <v>2</v>
      </c>
      <c r="L310" s="1">
        <f>_xlfn.XLOOKUP(Table3[[#This Row],[instant]],Table2[instant],Table2[registered], ,0,1)</f>
        <v>156</v>
      </c>
      <c r="M310" s="6">
        <f>_xlfn.XLOOKUP(Table3[[#This Row],[instant]],Table2[instant],Table2[cnt], ,0,1)</f>
        <v>158</v>
      </c>
      <c r="N310" s="6" t="str">
        <f>IF(OR(Table3[[#This Row],[weekday]]=0,Table3[[#This Row],[weekday]]=6),"Weekend","Weekday")</f>
        <v>Weekday</v>
      </c>
    </row>
    <row r="311" spans="1:14" ht="15" thickBot="1" x14ac:dyDescent="0.35">
      <c r="A311" s="5">
        <v>310</v>
      </c>
      <c r="B311" s="3">
        <f>_xlfn.XLOOKUP(Table3[[#This Row],[instant]],DatSet1!A311:A920,DatSet1!B311:B920,_xlfn.XLOOKUP(Table3[[#This Row],[instant]],'Final Data'!A311:A700,'Final Data'!B311:B700, ,0,1),0,1)</f>
        <v>40557</v>
      </c>
      <c r="C311" s="1">
        <f>_xlfn.XLOOKUP(Table3[[#This Row],[instant]],Table1[instant],Table1[hr], ,0,1)</f>
        <v>9</v>
      </c>
      <c r="D311" s="2" t="b">
        <f>_xlfn.XLOOKUP(Table3[[#This Row],[instant]],Table1[instant],Table1[holiday], ,0,1)</f>
        <v>0</v>
      </c>
      <c r="E311" s="2">
        <f>_xlfn.XLOOKUP(Table3[[#This Row],[instant]],Table1[instant],Table1[weekday], ,0,1)</f>
        <v>5</v>
      </c>
      <c r="F311" s="2">
        <f>_xlfn.XLOOKUP(Table3[[#This Row],[instant]],Table1[instant],Table1[weathersit], ,0,1)</f>
        <v>1</v>
      </c>
      <c r="G311" s="2">
        <f>_xlfn.XLOOKUP(Table3[[#This Row],[instant]],Table1[instant],Table1[temp], ,0,1)</f>
        <v>0.14000000000000001</v>
      </c>
      <c r="H311" s="24">
        <f>_xlfn.XLOOKUP(Table3[[#This Row],[instant]],Table2[instant],Table2[atemp], ,0,1)</f>
        <v>0.1515</v>
      </c>
      <c r="I311" s="1">
        <f>_xlfn.XLOOKUP(Table3[[#This Row],[instant]],Table2[instant],Table2[hum], ,0,1)</f>
        <v>0.69</v>
      </c>
      <c r="J311" s="1">
        <f>_xlfn.XLOOKUP(Table3[[#This Row],[instant]],Table2[instant],Table2[windspeed], ,0,1)</f>
        <v>0.1343</v>
      </c>
      <c r="K311" s="1">
        <f>_xlfn.XLOOKUP(Table3[[#This Row],[instant]],Table2[instant],Table2[casual], ,0,1)</f>
        <v>0</v>
      </c>
      <c r="L311" s="1">
        <f>_xlfn.XLOOKUP(Table3[[#This Row],[instant]],Table2[instant],Table2[registered], ,0,1)</f>
        <v>117</v>
      </c>
      <c r="M311" s="6">
        <f>_xlfn.XLOOKUP(Table3[[#This Row],[instant]],Table2[instant],Table2[cnt], ,0,1)</f>
        <v>117</v>
      </c>
      <c r="N311" s="6" t="str">
        <f>IF(OR(Table3[[#This Row],[weekday]]=0,Table3[[#This Row],[weekday]]=6),"Weekend","Weekday")</f>
        <v>Weekday</v>
      </c>
    </row>
    <row r="312" spans="1:14" ht="15" thickBot="1" x14ac:dyDescent="0.35">
      <c r="A312" s="5">
        <v>311</v>
      </c>
      <c r="B312" s="3">
        <f>_xlfn.XLOOKUP(Table3[[#This Row],[instant]],DatSet1!A312:A921,DatSet1!B312:B921,_xlfn.XLOOKUP(Table3[[#This Row],[instant]],'Final Data'!A312:A701,'Final Data'!B312:B701, ,0,1),0,1)</f>
        <v>40557</v>
      </c>
      <c r="C312" s="1">
        <f>_xlfn.XLOOKUP(Table3[[#This Row],[instant]],Table1[instant],Table1[hr], ,0,1)</f>
        <v>10</v>
      </c>
      <c r="D312" s="2" t="b">
        <f>_xlfn.XLOOKUP(Table3[[#This Row],[instant]],Table1[instant],Table1[holiday], ,0,1)</f>
        <v>0</v>
      </c>
      <c r="E312" s="2">
        <f>_xlfn.XLOOKUP(Table3[[#This Row],[instant]],Table1[instant],Table1[weekday], ,0,1)</f>
        <v>5</v>
      </c>
      <c r="F312" s="2">
        <f>_xlfn.XLOOKUP(Table3[[#This Row],[instant]],Table1[instant],Table1[weathersit], ,0,1)</f>
        <v>1</v>
      </c>
      <c r="G312" s="2">
        <f>_xlfn.XLOOKUP(Table3[[#This Row],[instant]],Table1[instant],Table1[temp], ,0,1)</f>
        <v>0.18</v>
      </c>
      <c r="H312" s="24">
        <f>_xlfn.XLOOKUP(Table3[[#This Row],[instant]],Table2[instant],Table2[atemp], ,0,1)</f>
        <v>0.18179999999999999</v>
      </c>
      <c r="I312" s="1">
        <f>_xlfn.XLOOKUP(Table3[[#This Row],[instant]],Table2[instant],Table2[hum], ,0,1)</f>
        <v>0.55000000000000004</v>
      </c>
      <c r="J312" s="1">
        <f>_xlfn.XLOOKUP(Table3[[#This Row],[instant]],Table2[instant],Table2[windspeed], ,0,1)</f>
        <v>0.19400000000000001</v>
      </c>
      <c r="K312" s="1">
        <f>_xlfn.XLOOKUP(Table3[[#This Row],[instant]],Table2[instant],Table2[casual], ,0,1)</f>
        <v>4</v>
      </c>
      <c r="L312" s="1">
        <f>_xlfn.XLOOKUP(Table3[[#This Row],[instant]],Table2[instant],Table2[registered], ,0,1)</f>
        <v>40</v>
      </c>
      <c r="M312" s="6">
        <f>_xlfn.XLOOKUP(Table3[[#This Row],[instant]],Table2[instant],Table2[cnt], ,0,1)</f>
        <v>44</v>
      </c>
      <c r="N312" s="6" t="str">
        <f>IF(OR(Table3[[#This Row],[weekday]]=0,Table3[[#This Row],[weekday]]=6),"Weekend","Weekday")</f>
        <v>Weekday</v>
      </c>
    </row>
    <row r="313" spans="1:14" ht="15" thickBot="1" x14ac:dyDescent="0.35">
      <c r="A313" s="5">
        <v>312</v>
      </c>
      <c r="B313" s="3">
        <f>_xlfn.XLOOKUP(Table3[[#This Row],[instant]],DatSet1!A313:A922,DatSet1!B313:B922,_xlfn.XLOOKUP(Table3[[#This Row],[instant]],'Final Data'!A313:A702,'Final Data'!B313:B702, ,0,1),0,1)</f>
        <v>40557</v>
      </c>
      <c r="C313" s="1">
        <f>_xlfn.XLOOKUP(Table3[[#This Row],[instant]],Table1[instant],Table1[hr], ,0,1)</f>
        <v>11</v>
      </c>
      <c r="D313" s="2" t="b">
        <f>_xlfn.XLOOKUP(Table3[[#This Row],[instant]],Table1[instant],Table1[holiday], ,0,1)</f>
        <v>0</v>
      </c>
      <c r="E313" s="2">
        <f>_xlfn.XLOOKUP(Table3[[#This Row],[instant]],Table1[instant],Table1[weekday], ,0,1)</f>
        <v>5</v>
      </c>
      <c r="F313" s="2">
        <f>_xlfn.XLOOKUP(Table3[[#This Row],[instant]],Table1[instant],Table1[weathersit], ,0,1)</f>
        <v>1</v>
      </c>
      <c r="G313" s="2">
        <f>_xlfn.XLOOKUP(Table3[[#This Row],[instant]],Table1[instant],Table1[temp], ,0,1)</f>
        <v>0.18</v>
      </c>
      <c r="H313" s="24">
        <f>_xlfn.XLOOKUP(Table3[[#This Row],[instant]],Table2[instant],Table2[atemp], ,0,1)</f>
        <v>0.16669999999999999</v>
      </c>
      <c r="I313" s="1">
        <f>_xlfn.XLOOKUP(Table3[[#This Row],[instant]],Table2[instant],Table2[hum], ,0,1)</f>
        <v>0.51</v>
      </c>
      <c r="J313" s="1">
        <f>_xlfn.XLOOKUP(Table3[[#This Row],[instant]],Table2[instant],Table2[windspeed], ,0,1)</f>
        <v>0.28360000000000002</v>
      </c>
      <c r="K313" s="1">
        <f>_xlfn.XLOOKUP(Table3[[#This Row],[instant]],Table2[instant],Table2[casual], ,0,1)</f>
        <v>6</v>
      </c>
      <c r="L313" s="1">
        <f>_xlfn.XLOOKUP(Table3[[#This Row],[instant]],Table2[instant],Table2[registered], ,0,1)</f>
        <v>47</v>
      </c>
      <c r="M313" s="6">
        <f>_xlfn.XLOOKUP(Table3[[#This Row],[instant]],Table2[instant],Table2[cnt], ,0,1)</f>
        <v>53</v>
      </c>
      <c r="N313" s="6" t="str">
        <f>IF(OR(Table3[[#This Row],[weekday]]=0,Table3[[#This Row],[weekday]]=6),"Weekend","Weekday")</f>
        <v>Weekday</v>
      </c>
    </row>
    <row r="314" spans="1:14" ht="15" thickBot="1" x14ac:dyDescent="0.35">
      <c r="A314" s="5">
        <v>313</v>
      </c>
      <c r="B314" s="3">
        <f>_xlfn.XLOOKUP(Table3[[#This Row],[instant]],DatSet1!A314:A923,DatSet1!B314:B923,_xlfn.XLOOKUP(Table3[[#This Row],[instant]],'Final Data'!A314:A703,'Final Data'!B314:B703, ,0,1),0,1)</f>
        <v>40557</v>
      </c>
      <c r="C314" s="1">
        <f>_xlfn.XLOOKUP(Table3[[#This Row],[instant]],Table1[instant],Table1[hr], ,0,1)</f>
        <v>12</v>
      </c>
      <c r="D314" s="2" t="b">
        <f>_xlfn.XLOOKUP(Table3[[#This Row],[instant]],Table1[instant],Table1[holiday], ,0,1)</f>
        <v>0</v>
      </c>
      <c r="E314" s="2">
        <f>_xlfn.XLOOKUP(Table3[[#This Row],[instant]],Table1[instant],Table1[weekday], ,0,1)</f>
        <v>5</v>
      </c>
      <c r="F314" s="2">
        <f>_xlfn.XLOOKUP(Table3[[#This Row],[instant]],Table1[instant],Table1[weathersit], ,0,1)</f>
        <v>1</v>
      </c>
      <c r="G314" s="2">
        <f>_xlfn.XLOOKUP(Table3[[#This Row],[instant]],Table1[instant],Table1[temp], ,0,1)</f>
        <v>0.2</v>
      </c>
      <c r="H314" s="24">
        <f>_xlfn.XLOOKUP(Table3[[#This Row],[instant]],Table2[instant],Table2[atemp], ,0,1)</f>
        <v>0.19700000000000001</v>
      </c>
      <c r="I314" s="1">
        <f>_xlfn.XLOOKUP(Table3[[#This Row],[instant]],Table2[instant],Table2[hum], ,0,1)</f>
        <v>0.44</v>
      </c>
      <c r="J314" s="1">
        <f>_xlfn.XLOOKUP(Table3[[#This Row],[instant]],Table2[instant],Table2[windspeed], ,0,1)</f>
        <v>0.25369999999999998</v>
      </c>
      <c r="K314" s="1">
        <f>_xlfn.XLOOKUP(Table3[[#This Row],[instant]],Table2[instant],Table2[casual], ,0,1)</f>
        <v>2</v>
      </c>
      <c r="L314" s="1">
        <f>_xlfn.XLOOKUP(Table3[[#This Row],[instant]],Table2[instant],Table2[registered], ,0,1)</f>
        <v>59</v>
      </c>
      <c r="M314" s="6">
        <f>_xlfn.XLOOKUP(Table3[[#This Row],[instant]],Table2[instant],Table2[cnt], ,0,1)</f>
        <v>61</v>
      </c>
      <c r="N314" s="6" t="str">
        <f>IF(OR(Table3[[#This Row],[weekday]]=0,Table3[[#This Row],[weekday]]=6),"Weekend","Weekday")</f>
        <v>Weekday</v>
      </c>
    </row>
    <row r="315" spans="1:14" ht="15" thickBot="1" x14ac:dyDescent="0.35">
      <c r="A315" s="5">
        <v>314</v>
      </c>
      <c r="B315" s="3">
        <f>_xlfn.XLOOKUP(Table3[[#This Row],[instant]],DatSet1!A315:A924,DatSet1!B315:B924,_xlfn.XLOOKUP(Table3[[#This Row],[instant]],'Final Data'!A315:A704,'Final Data'!B315:B704, ,0,1),0,1)</f>
        <v>40557</v>
      </c>
      <c r="C315" s="1">
        <f>_xlfn.XLOOKUP(Table3[[#This Row],[instant]],Table1[instant],Table1[hr], ,0,1)</f>
        <v>13</v>
      </c>
      <c r="D315" s="2" t="b">
        <f>_xlfn.XLOOKUP(Table3[[#This Row],[instant]],Table1[instant],Table1[holiday], ,0,1)</f>
        <v>0</v>
      </c>
      <c r="E315" s="2">
        <f>_xlfn.XLOOKUP(Table3[[#This Row],[instant]],Table1[instant],Table1[weekday], ,0,1)</f>
        <v>5</v>
      </c>
      <c r="F315" s="2">
        <f>_xlfn.XLOOKUP(Table3[[#This Row],[instant]],Table1[instant],Table1[weathersit], ,0,1)</f>
        <v>1</v>
      </c>
      <c r="G315" s="2">
        <f>_xlfn.XLOOKUP(Table3[[#This Row],[instant]],Table1[instant],Table1[temp], ,0,1)</f>
        <v>0.22</v>
      </c>
      <c r="H315" s="24">
        <f>_xlfn.XLOOKUP(Table3[[#This Row],[instant]],Table2[instant],Table2[atemp], ,0,1)</f>
        <v>0.19700000000000001</v>
      </c>
      <c r="I315" s="1">
        <f>_xlfn.XLOOKUP(Table3[[#This Row],[instant]],Table2[instant],Table2[hum], ,0,1)</f>
        <v>0.37</v>
      </c>
      <c r="J315" s="1">
        <f>_xlfn.XLOOKUP(Table3[[#This Row],[instant]],Table2[instant],Table2[windspeed], ,0,1)</f>
        <v>0.3881</v>
      </c>
      <c r="K315" s="1">
        <f>_xlfn.XLOOKUP(Table3[[#This Row],[instant]],Table2[instant],Table2[casual], ,0,1)</f>
        <v>4</v>
      </c>
      <c r="L315" s="1">
        <f>_xlfn.XLOOKUP(Table3[[#This Row],[instant]],Table2[instant],Table2[registered], ,0,1)</f>
        <v>73</v>
      </c>
      <c r="M315" s="6">
        <f>_xlfn.XLOOKUP(Table3[[#This Row],[instant]],Table2[instant],Table2[cnt], ,0,1)</f>
        <v>77</v>
      </c>
      <c r="N315" s="6" t="str">
        <f>IF(OR(Table3[[#This Row],[weekday]]=0,Table3[[#This Row],[weekday]]=6),"Weekend","Weekday")</f>
        <v>Weekday</v>
      </c>
    </row>
    <row r="316" spans="1:14" ht="15" thickBot="1" x14ac:dyDescent="0.35">
      <c r="A316" s="5">
        <v>315</v>
      </c>
      <c r="B316" s="3">
        <f>_xlfn.XLOOKUP(Table3[[#This Row],[instant]],DatSet1!A316:A925,DatSet1!B316:B925,_xlfn.XLOOKUP(Table3[[#This Row],[instant]],'Final Data'!A316:A705,'Final Data'!B316:B705, ,0,1),0,1)</f>
        <v>40557</v>
      </c>
      <c r="C316" s="1">
        <f>_xlfn.XLOOKUP(Table3[[#This Row],[instant]],Table1[instant],Table1[hr], ,0,1)</f>
        <v>14</v>
      </c>
      <c r="D316" s="2" t="b">
        <f>_xlfn.XLOOKUP(Table3[[#This Row],[instant]],Table1[instant],Table1[holiday], ,0,1)</f>
        <v>0</v>
      </c>
      <c r="E316" s="2">
        <f>_xlfn.XLOOKUP(Table3[[#This Row],[instant]],Table1[instant],Table1[weekday], ,0,1)</f>
        <v>5</v>
      </c>
      <c r="F316" s="2">
        <f>_xlfn.XLOOKUP(Table3[[#This Row],[instant]],Table1[instant],Table1[weathersit], ,0,1)</f>
        <v>1</v>
      </c>
      <c r="G316" s="2">
        <f>_xlfn.XLOOKUP(Table3[[#This Row],[instant]],Table1[instant],Table1[temp], ,0,1)</f>
        <v>0.22</v>
      </c>
      <c r="H316" s="24">
        <f>_xlfn.XLOOKUP(Table3[[#This Row],[instant]],Table2[instant],Table2[atemp], ,0,1)</f>
        <v>0.21210000000000001</v>
      </c>
      <c r="I316" s="1">
        <f>_xlfn.XLOOKUP(Table3[[#This Row],[instant]],Table2[instant],Table2[hum], ,0,1)</f>
        <v>0.41</v>
      </c>
      <c r="J316" s="1">
        <f>_xlfn.XLOOKUP(Table3[[#This Row],[instant]],Table2[instant],Table2[windspeed], ,0,1)</f>
        <v>0.28360000000000002</v>
      </c>
      <c r="K316" s="1">
        <f>_xlfn.XLOOKUP(Table3[[#This Row],[instant]],Table2[instant],Table2[casual], ,0,1)</f>
        <v>5</v>
      </c>
      <c r="L316" s="1">
        <f>_xlfn.XLOOKUP(Table3[[#This Row],[instant]],Table2[instant],Table2[registered], ,0,1)</f>
        <v>59</v>
      </c>
      <c r="M316" s="6">
        <f>_xlfn.XLOOKUP(Table3[[#This Row],[instant]],Table2[instant],Table2[cnt], ,0,1)</f>
        <v>64</v>
      </c>
      <c r="N316" s="6" t="str">
        <f>IF(OR(Table3[[#This Row],[weekday]]=0,Table3[[#This Row],[weekday]]=6),"Weekend","Weekday")</f>
        <v>Weekday</v>
      </c>
    </row>
    <row r="317" spans="1:14" ht="15" thickBot="1" x14ac:dyDescent="0.35">
      <c r="A317" s="5">
        <v>316</v>
      </c>
      <c r="B317" s="3">
        <f>_xlfn.XLOOKUP(Table3[[#This Row],[instant]],DatSet1!A317:A926,DatSet1!B317:B926,_xlfn.XLOOKUP(Table3[[#This Row],[instant]],'Final Data'!A317:A706,'Final Data'!B317:B706, ,0,1),0,1)</f>
        <v>40557</v>
      </c>
      <c r="C317" s="1">
        <f>_xlfn.XLOOKUP(Table3[[#This Row],[instant]],Table1[instant],Table1[hr], ,0,1)</f>
        <v>15</v>
      </c>
      <c r="D317" s="2" t="b">
        <f>_xlfn.XLOOKUP(Table3[[#This Row],[instant]],Table1[instant],Table1[holiday], ,0,1)</f>
        <v>0</v>
      </c>
      <c r="E317" s="2">
        <f>_xlfn.XLOOKUP(Table3[[#This Row],[instant]],Table1[instant],Table1[weekday], ,0,1)</f>
        <v>5</v>
      </c>
      <c r="F317" s="2">
        <f>_xlfn.XLOOKUP(Table3[[#This Row],[instant]],Table1[instant],Table1[weathersit], ,0,1)</f>
        <v>1</v>
      </c>
      <c r="G317" s="2">
        <f>_xlfn.XLOOKUP(Table3[[#This Row],[instant]],Table1[instant],Table1[temp], ,0,1)</f>
        <v>0.24</v>
      </c>
      <c r="H317" s="24">
        <f>_xlfn.XLOOKUP(Table3[[#This Row],[instant]],Table2[instant],Table2[atemp], ,0,1)</f>
        <v>0.2424</v>
      </c>
      <c r="I317" s="1">
        <f>_xlfn.XLOOKUP(Table3[[#This Row],[instant]],Table2[instant],Table2[hum], ,0,1)</f>
        <v>0.38</v>
      </c>
      <c r="J317" s="1">
        <f>_xlfn.XLOOKUP(Table3[[#This Row],[instant]],Table2[instant],Table2[windspeed], ,0,1)</f>
        <v>0.16420000000000001</v>
      </c>
      <c r="K317" s="1">
        <f>_xlfn.XLOOKUP(Table3[[#This Row],[instant]],Table2[instant],Table2[casual], ,0,1)</f>
        <v>9</v>
      </c>
      <c r="L317" s="1">
        <f>_xlfn.XLOOKUP(Table3[[#This Row],[instant]],Table2[instant],Table2[registered], ,0,1)</f>
        <v>59</v>
      </c>
      <c r="M317" s="6">
        <f>_xlfn.XLOOKUP(Table3[[#This Row],[instant]],Table2[instant],Table2[cnt], ,0,1)</f>
        <v>68</v>
      </c>
      <c r="N317" s="6" t="str">
        <f>IF(OR(Table3[[#This Row],[weekday]]=0,Table3[[#This Row],[weekday]]=6),"Weekend","Weekday")</f>
        <v>Weekday</v>
      </c>
    </row>
    <row r="318" spans="1:14" ht="15" thickBot="1" x14ac:dyDescent="0.35">
      <c r="A318" s="5">
        <v>317</v>
      </c>
      <c r="B318" s="3">
        <f>_xlfn.XLOOKUP(Table3[[#This Row],[instant]],DatSet1!A318:A927,DatSet1!B318:B927,_xlfn.XLOOKUP(Table3[[#This Row],[instant]],'Final Data'!A318:A707,'Final Data'!B318:B707, ,0,1),0,1)</f>
        <v>40557</v>
      </c>
      <c r="C318" s="1">
        <f>_xlfn.XLOOKUP(Table3[[#This Row],[instant]],Table1[instant],Table1[hr], ,0,1)</f>
        <v>16</v>
      </c>
      <c r="D318" s="2" t="b">
        <f>_xlfn.XLOOKUP(Table3[[#This Row],[instant]],Table1[instant],Table1[holiday], ,0,1)</f>
        <v>0</v>
      </c>
      <c r="E318" s="2">
        <f>_xlfn.XLOOKUP(Table3[[#This Row],[instant]],Table1[instant],Table1[weekday], ,0,1)</f>
        <v>5</v>
      </c>
      <c r="F318" s="2">
        <f>_xlfn.XLOOKUP(Table3[[#This Row],[instant]],Table1[instant],Table1[weathersit], ,0,1)</f>
        <v>1</v>
      </c>
      <c r="G318" s="2">
        <f>_xlfn.XLOOKUP(Table3[[#This Row],[instant]],Table1[instant],Table1[temp], ,0,1)</f>
        <v>0.22</v>
      </c>
      <c r="H318" s="24">
        <f>_xlfn.XLOOKUP(Table3[[#This Row],[instant]],Table2[instant],Table2[atemp], ,0,1)</f>
        <v>0.2424</v>
      </c>
      <c r="I318" s="1">
        <f>_xlfn.XLOOKUP(Table3[[#This Row],[instant]],Table2[instant],Table2[hum], ,0,1)</f>
        <v>0.41</v>
      </c>
      <c r="J318" s="1">
        <f>_xlfn.XLOOKUP(Table3[[#This Row],[instant]],Table2[instant],Table2[windspeed], ,0,1)</f>
        <v>0.1045</v>
      </c>
      <c r="K318" s="1">
        <f>_xlfn.XLOOKUP(Table3[[#This Row],[instant]],Table2[instant],Table2[casual], ,0,1)</f>
        <v>3</v>
      </c>
      <c r="L318" s="1">
        <f>_xlfn.XLOOKUP(Table3[[#This Row],[instant]],Table2[instant],Table2[registered], ,0,1)</f>
        <v>87</v>
      </c>
      <c r="M318" s="6">
        <f>_xlfn.XLOOKUP(Table3[[#This Row],[instant]],Table2[instant],Table2[cnt], ,0,1)</f>
        <v>90</v>
      </c>
      <c r="N318" s="6" t="str">
        <f>IF(OR(Table3[[#This Row],[weekday]]=0,Table3[[#This Row],[weekday]]=6),"Weekend","Weekday")</f>
        <v>Weekday</v>
      </c>
    </row>
    <row r="319" spans="1:14" ht="15" thickBot="1" x14ac:dyDescent="0.35">
      <c r="A319" s="5">
        <v>318</v>
      </c>
      <c r="B319" s="3">
        <f>_xlfn.XLOOKUP(Table3[[#This Row],[instant]],DatSet1!A319:A928,DatSet1!B319:B928,_xlfn.XLOOKUP(Table3[[#This Row],[instant]],'Final Data'!A319:A708,'Final Data'!B319:B708, ,0,1),0,1)</f>
        <v>40557</v>
      </c>
      <c r="C319" s="1">
        <f>_xlfn.XLOOKUP(Table3[[#This Row],[instant]],Table1[instant],Table1[hr], ,0,1)</f>
        <v>17</v>
      </c>
      <c r="D319" s="2" t="b">
        <f>_xlfn.XLOOKUP(Table3[[#This Row],[instant]],Table1[instant],Table1[holiday], ,0,1)</f>
        <v>0</v>
      </c>
      <c r="E319" s="2">
        <f>_xlfn.XLOOKUP(Table3[[#This Row],[instant]],Table1[instant],Table1[weekday], ,0,1)</f>
        <v>5</v>
      </c>
      <c r="F319" s="2">
        <f>_xlfn.XLOOKUP(Table3[[#This Row],[instant]],Table1[instant],Table1[weathersit], ,0,1)</f>
        <v>1</v>
      </c>
      <c r="G319" s="2">
        <f>_xlfn.XLOOKUP(Table3[[#This Row],[instant]],Table1[instant],Table1[temp], ,0,1)</f>
        <v>0.22</v>
      </c>
      <c r="H319" s="24">
        <f>_xlfn.XLOOKUP(Table3[[#This Row],[instant]],Table2[instant],Table2[atemp], ,0,1)</f>
        <v>0.2273</v>
      </c>
      <c r="I319" s="1">
        <f>_xlfn.XLOOKUP(Table3[[#This Row],[instant]],Table2[instant],Table2[hum], ,0,1)</f>
        <v>0.41</v>
      </c>
      <c r="J319" s="1">
        <f>_xlfn.XLOOKUP(Table3[[#This Row],[instant]],Table2[instant],Table2[windspeed], ,0,1)</f>
        <v>0.16420000000000001</v>
      </c>
      <c r="K319" s="1">
        <f>_xlfn.XLOOKUP(Table3[[#This Row],[instant]],Table2[instant],Table2[casual], ,0,1)</f>
        <v>4</v>
      </c>
      <c r="L319" s="1">
        <f>_xlfn.XLOOKUP(Table3[[#This Row],[instant]],Table2[instant],Table2[registered], ,0,1)</f>
        <v>155</v>
      </c>
      <c r="M319" s="6">
        <f>_xlfn.XLOOKUP(Table3[[#This Row],[instant]],Table2[instant],Table2[cnt], ,0,1)</f>
        <v>159</v>
      </c>
      <c r="N319" s="6" t="str">
        <f>IF(OR(Table3[[#This Row],[weekday]]=0,Table3[[#This Row],[weekday]]=6),"Weekend","Weekday")</f>
        <v>Weekday</v>
      </c>
    </row>
    <row r="320" spans="1:14" ht="15" thickBot="1" x14ac:dyDescent="0.35">
      <c r="A320" s="5">
        <v>319</v>
      </c>
      <c r="B320" s="3">
        <f>_xlfn.XLOOKUP(Table3[[#This Row],[instant]],DatSet1!A320:A929,DatSet1!B320:B929,_xlfn.XLOOKUP(Table3[[#This Row],[instant]],'Final Data'!A320:A709,'Final Data'!B320:B709, ,0,1),0,1)</f>
        <v>40557</v>
      </c>
      <c r="C320" s="1">
        <f>_xlfn.XLOOKUP(Table3[[#This Row],[instant]],Table1[instant],Table1[hr], ,0,1)</f>
        <v>18</v>
      </c>
      <c r="D320" s="2" t="b">
        <f>_xlfn.XLOOKUP(Table3[[#This Row],[instant]],Table1[instant],Table1[holiday], ,0,1)</f>
        <v>0</v>
      </c>
      <c r="E320" s="2">
        <f>_xlfn.XLOOKUP(Table3[[#This Row],[instant]],Table1[instant],Table1[weekday], ,0,1)</f>
        <v>5</v>
      </c>
      <c r="F320" s="2">
        <f>_xlfn.XLOOKUP(Table3[[#This Row],[instant]],Table1[instant],Table1[weathersit], ,0,1)</f>
        <v>1</v>
      </c>
      <c r="G320" s="2">
        <f>_xlfn.XLOOKUP(Table3[[#This Row],[instant]],Table1[instant],Table1[temp], ,0,1)</f>
        <v>0.2</v>
      </c>
      <c r="H320" s="24">
        <f>_xlfn.XLOOKUP(Table3[[#This Row],[instant]],Table2[instant],Table2[atemp], ,0,1)</f>
        <v>0.2576</v>
      </c>
      <c r="I320" s="1">
        <f>_xlfn.XLOOKUP(Table3[[#This Row],[instant]],Table2[instant],Table2[hum], ,0,1)</f>
        <v>0.47</v>
      </c>
      <c r="J320" s="1">
        <f>_xlfn.XLOOKUP(Table3[[#This Row],[instant]],Table2[instant],Table2[windspeed], ,0,1)</f>
        <v>0</v>
      </c>
      <c r="K320" s="1">
        <f>_xlfn.XLOOKUP(Table3[[#This Row],[instant]],Table2[instant],Table2[casual], ,0,1)</f>
        <v>5</v>
      </c>
      <c r="L320" s="1">
        <f>_xlfn.XLOOKUP(Table3[[#This Row],[instant]],Table2[instant],Table2[registered], ,0,1)</f>
        <v>134</v>
      </c>
      <c r="M320" s="6">
        <f>_xlfn.XLOOKUP(Table3[[#This Row],[instant]],Table2[instant],Table2[cnt], ,0,1)</f>
        <v>139</v>
      </c>
      <c r="N320" s="6" t="str">
        <f>IF(OR(Table3[[#This Row],[weekday]]=0,Table3[[#This Row],[weekday]]=6),"Weekend","Weekday")</f>
        <v>Weekday</v>
      </c>
    </row>
    <row r="321" spans="1:14" ht="15" thickBot="1" x14ac:dyDescent="0.35">
      <c r="A321" s="5">
        <v>320</v>
      </c>
      <c r="B321" s="3">
        <f>_xlfn.XLOOKUP(Table3[[#This Row],[instant]],DatSet1!A321:A930,DatSet1!B321:B930,_xlfn.XLOOKUP(Table3[[#This Row],[instant]],'Final Data'!A321:A710,'Final Data'!B321:B710, ,0,1),0,1)</f>
        <v>40557</v>
      </c>
      <c r="C321" s="1">
        <f>_xlfn.XLOOKUP(Table3[[#This Row],[instant]],Table1[instant],Table1[hr], ,0,1)</f>
        <v>19</v>
      </c>
      <c r="D321" s="2" t="b">
        <f>_xlfn.XLOOKUP(Table3[[#This Row],[instant]],Table1[instant],Table1[holiday], ,0,1)</f>
        <v>0</v>
      </c>
      <c r="E321" s="2">
        <f>_xlfn.XLOOKUP(Table3[[#This Row],[instant]],Table1[instant],Table1[weekday], ,0,1)</f>
        <v>5</v>
      </c>
      <c r="F321" s="2">
        <f>_xlfn.XLOOKUP(Table3[[#This Row],[instant]],Table1[instant],Table1[weathersit], ,0,1)</f>
        <v>1</v>
      </c>
      <c r="G321" s="2">
        <f>_xlfn.XLOOKUP(Table3[[#This Row],[instant]],Table1[instant],Table1[temp], ,0,1)</f>
        <v>0.16</v>
      </c>
      <c r="H321" s="24">
        <f>_xlfn.XLOOKUP(Table3[[#This Row],[instant]],Table2[instant],Table2[atemp], ,0,1)</f>
        <v>0.19700000000000001</v>
      </c>
      <c r="I321" s="1">
        <f>_xlfn.XLOOKUP(Table3[[#This Row],[instant]],Table2[instant],Table2[hum], ,0,1)</f>
        <v>0.59</v>
      </c>
      <c r="J321" s="1">
        <f>_xlfn.XLOOKUP(Table3[[#This Row],[instant]],Table2[instant],Table2[windspeed], ,0,1)</f>
        <v>8.9599999999999999E-2</v>
      </c>
      <c r="K321" s="1">
        <f>_xlfn.XLOOKUP(Table3[[#This Row],[instant]],Table2[instant],Table2[casual], ,0,1)</f>
        <v>3</v>
      </c>
      <c r="L321" s="1">
        <f>_xlfn.XLOOKUP(Table3[[#This Row],[instant]],Table2[instant],Table2[registered], ,0,1)</f>
        <v>89</v>
      </c>
      <c r="M321" s="6">
        <f>_xlfn.XLOOKUP(Table3[[#This Row],[instant]],Table2[instant],Table2[cnt], ,0,1)</f>
        <v>92</v>
      </c>
      <c r="N321" s="6" t="str">
        <f>IF(OR(Table3[[#This Row],[weekday]]=0,Table3[[#This Row],[weekday]]=6),"Weekend","Weekday")</f>
        <v>Weekday</v>
      </c>
    </row>
    <row r="322" spans="1:14" ht="15" thickBot="1" x14ac:dyDescent="0.35">
      <c r="A322" s="5">
        <v>321</v>
      </c>
      <c r="B322" s="3">
        <f>_xlfn.XLOOKUP(Table3[[#This Row],[instant]],DatSet1!A322:A931,DatSet1!B322:B931,_xlfn.XLOOKUP(Table3[[#This Row],[instant]],'Final Data'!A322:A711,'Final Data'!B322:B711, ,0,1),0,1)</f>
        <v>40557</v>
      </c>
      <c r="C322" s="1">
        <f>_xlfn.XLOOKUP(Table3[[#This Row],[instant]],Table1[instant],Table1[hr], ,0,1)</f>
        <v>20</v>
      </c>
      <c r="D322" s="2" t="b">
        <f>_xlfn.XLOOKUP(Table3[[#This Row],[instant]],Table1[instant],Table1[holiday], ,0,1)</f>
        <v>0</v>
      </c>
      <c r="E322" s="2">
        <f>_xlfn.XLOOKUP(Table3[[#This Row],[instant]],Table1[instant],Table1[weekday], ,0,1)</f>
        <v>5</v>
      </c>
      <c r="F322" s="2">
        <f>_xlfn.XLOOKUP(Table3[[#This Row],[instant]],Table1[instant],Table1[weathersit], ,0,1)</f>
        <v>1</v>
      </c>
      <c r="G322" s="2">
        <f>_xlfn.XLOOKUP(Table3[[#This Row],[instant]],Table1[instant],Table1[temp], ,0,1)</f>
        <v>0.18</v>
      </c>
      <c r="H322" s="24">
        <f>_xlfn.XLOOKUP(Table3[[#This Row],[instant]],Table2[instant],Table2[atemp], ,0,1)</f>
        <v>0.2424</v>
      </c>
      <c r="I322" s="1">
        <f>_xlfn.XLOOKUP(Table3[[#This Row],[instant]],Table2[instant],Table2[hum], ,0,1)</f>
        <v>0.59</v>
      </c>
      <c r="J322" s="1">
        <f>_xlfn.XLOOKUP(Table3[[#This Row],[instant]],Table2[instant],Table2[windspeed], ,0,1)</f>
        <v>0</v>
      </c>
      <c r="K322" s="1">
        <f>_xlfn.XLOOKUP(Table3[[#This Row],[instant]],Table2[instant],Table2[casual], ,0,1)</f>
        <v>0</v>
      </c>
      <c r="L322" s="1">
        <f>_xlfn.XLOOKUP(Table3[[#This Row],[instant]],Table2[instant],Table2[registered], ,0,1)</f>
        <v>68</v>
      </c>
      <c r="M322" s="6">
        <f>_xlfn.XLOOKUP(Table3[[#This Row],[instant]],Table2[instant],Table2[cnt], ,0,1)</f>
        <v>68</v>
      </c>
      <c r="N322" s="6" t="str">
        <f>IF(OR(Table3[[#This Row],[weekday]]=0,Table3[[#This Row],[weekday]]=6),"Weekend","Weekday")</f>
        <v>Weekday</v>
      </c>
    </row>
    <row r="323" spans="1:14" ht="15" thickBot="1" x14ac:dyDescent="0.35">
      <c r="A323" s="5">
        <v>322</v>
      </c>
      <c r="B323" s="3">
        <f>_xlfn.XLOOKUP(Table3[[#This Row],[instant]],DatSet1!A323:A932,DatSet1!B323:B932,_xlfn.XLOOKUP(Table3[[#This Row],[instant]],'Final Data'!A323:A712,'Final Data'!B323:B712, ,0,1),0,1)</f>
        <v>40557</v>
      </c>
      <c r="C323" s="1">
        <f>_xlfn.XLOOKUP(Table3[[#This Row],[instant]],Table1[instant],Table1[hr], ,0,1)</f>
        <v>21</v>
      </c>
      <c r="D323" s="2" t="b">
        <f>_xlfn.XLOOKUP(Table3[[#This Row],[instant]],Table1[instant],Table1[holiday], ,0,1)</f>
        <v>0</v>
      </c>
      <c r="E323" s="2">
        <f>_xlfn.XLOOKUP(Table3[[#This Row],[instant]],Table1[instant],Table1[weekday], ,0,1)</f>
        <v>5</v>
      </c>
      <c r="F323" s="2">
        <f>_xlfn.XLOOKUP(Table3[[#This Row],[instant]],Table1[instant],Table1[weathersit], ,0,1)</f>
        <v>1</v>
      </c>
      <c r="G323" s="2">
        <f>_xlfn.XLOOKUP(Table3[[#This Row],[instant]],Table1[instant],Table1[temp], ,0,1)</f>
        <v>0.16</v>
      </c>
      <c r="H323" s="24">
        <f>_xlfn.XLOOKUP(Table3[[#This Row],[instant]],Table2[instant],Table2[atemp], ,0,1)</f>
        <v>0.2273</v>
      </c>
      <c r="I323" s="1">
        <f>_xlfn.XLOOKUP(Table3[[#This Row],[instant]],Table2[instant],Table2[hum], ,0,1)</f>
        <v>0.69</v>
      </c>
      <c r="J323" s="1">
        <f>_xlfn.XLOOKUP(Table3[[#This Row],[instant]],Table2[instant],Table2[windspeed], ,0,1)</f>
        <v>0</v>
      </c>
      <c r="K323" s="1">
        <f>_xlfn.XLOOKUP(Table3[[#This Row],[instant]],Table2[instant],Table2[casual], ,0,1)</f>
        <v>4</v>
      </c>
      <c r="L323" s="1">
        <f>_xlfn.XLOOKUP(Table3[[#This Row],[instant]],Table2[instant],Table2[registered], ,0,1)</f>
        <v>48</v>
      </c>
      <c r="M323" s="6">
        <f>_xlfn.XLOOKUP(Table3[[#This Row],[instant]],Table2[instant],Table2[cnt], ,0,1)</f>
        <v>52</v>
      </c>
      <c r="N323" s="6" t="str">
        <f>IF(OR(Table3[[#This Row],[weekday]]=0,Table3[[#This Row],[weekday]]=6),"Weekend","Weekday")</f>
        <v>Weekday</v>
      </c>
    </row>
    <row r="324" spans="1:14" ht="15" thickBot="1" x14ac:dyDescent="0.35">
      <c r="A324" s="5">
        <v>323</v>
      </c>
      <c r="B324" s="3">
        <f>_xlfn.XLOOKUP(Table3[[#This Row],[instant]],DatSet1!A324:A933,DatSet1!B324:B933,_xlfn.XLOOKUP(Table3[[#This Row],[instant]],'Final Data'!A324:A713,'Final Data'!B324:B713, ,0,1),0,1)</f>
        <v>40557</v>
      </c>
      <c r="C324" s="1">
        <f>_xlfn.XLOOKUP(Table3[[#This Row],[instant]],Table1[instant],Table1[hr], ,0,1)</f>
        <v>22</v>
      </c>
      <c r="D324" s="2" t="b">
        <f>_xlfn.XLOOKUP(Table3[[#This Row],[instant]],Table1[instant],Table1[holiday], ,0,1)</f>
        <v>0</v>
      </c>
      <c r="E324" s="2">
        <f>_xlfn.XLOOKUP(Table3[[#This Row],[instant]],Table1[instant],Table1[weekday], ,0,1)</f>
        <v>5</v>
      </c>
      <c r="F324" s="2">
        <f>_xlfn.XLOOKUP(Table3[[#This Row],[instant]],Table1[instant],Table1[weathersit], ,0,1)</f>
        <v>2</v>
      </c>
      <c r="G324" s="2">
        <f>_xlfn.XLOOKUP(Table3[[#This Row],[instant]],Table1[instant],Table1[temp], ,0,1)</f>
        <v>0.16</v>
      </c>
      <c r="H324" s="24">
        <f>_xlfn.XLOOKUP(Table3[[#This Row],[instant]],Table2[instant],Table2[atemp], ,0,1)</f>
        <v>0.2273</v>
      </c>
      <c r="I324" s="1">
        <f>_xlfn.XLOOKUP(Table3[[#This Row],[instant]],Table2[instant],Table2[hum], ,0,1)</f>
        <v>0.69</v>
      </c>
      <c r="J324" s="1">
        <f>_xlfn.XLOOKUP(Table3[[#This Row],[instant]],Table2[instant],Table2[windspeed], ,0,1)</f>
        <v>0</v>
      </c>
      <c r="K324" s="1">
        <f>_xlfn.XLOOKUP(Table3[[#This Row],[instant]],Table2[instant],Table2[casual], ,0,1)</f>
        <v>2</v>
      </c>
      <c r="L324" s="1">
        <f>_xlfn.XLOOKUP(Table3[[#This Row],[instant]],Table2[instant],Table2[registered], ,0,1)</f>
        <v>34</v>
      </c>
      <c r="M324" s="6">
        <f>_xlfn.XLOOKUP(Table3[[#This Row],[instant]],Table2[instant],Table2[cnt], ,0,1)</f>
        <v>36</v>
      </c>
      <c r="N324" s="6" t="str">
        <f>IF(OR(Table3[[#This Row],[weekday]]=0,Table3[[#This Row],[weekday]]=6),"Weekend","Weekday")</f>
        <v>Weekday</v>
      </c>
    </row>
    <row r="325" spans="1:14" ht="15" thickBot="1" x14ac:dyDescent="0.35">
      <c r="A325" s="5">
        <v>324</v>
      </c>
      <c r="B325" s="3">
        <f>_xlfn.XLOOKUP(Table3[[#This Row],[instant]],DatSet1!A325:A934,DatSet1!B325:B934,_xlfn.XLOOKUP(Table3[[#This Row],[instant]],'Final Data'!A325:A714,'Final Data'!B325:B714, ,0,1),0,1)</f>
        <v>40557</v>
      </c>
      <c r="C325" s="1">
        <f>_xlfn.XLOOKUP(Table3[[#This Row],[instant]],Table1[instant],Table1[hr], ,0,1)</f>
        <v>23</v>
      </c>
      <c r="D325" s="2" t="b">
        <f>_xlfn.XLOOKUP(Table3[[#This Row],[instant]],Table1[instant],Table1[holiday], ,0,1)</f>
        <v>0</v>
      </c>
      <c r="E325" s="2">
        <f>_xlfn.XLOOKUP(Table3[[#This Row],[instant]],Table1[instant],Table1[weekday], ,0,1)</f>
        <v>5</v>
      </c>
      <c r="F325" s="2">
        <f>_xlfn.XLOOKUP(Table3[[#This Row],[instant]],Table1[instant],Table1[weathersit], ,0,1)</f>
        <v>2</v>
      </c>
      <c r="G325" s="2">
        <f>_xlfn.XLOOKUP(Table3[[#This Row],[instant]],Table1[instant],Table1[temp], ,0,1)</f>
        <v>0.18</v>
      </c>
      <c r="H325" s="24">
        <f>_xlfn.XLOOKUP(Table3[[#This Row],[instant]],Table2[instant],Table2[atemp], ,0,1)</f>
        <v>0.2424</v>
      </c>
      <c r="I325" s="1">
        <f>_xlfn.XLOOKUP(Table3[[#This Row],[instant]],Table2[instant],Table2[hum], ,0,1)</f>
        <v>0.55000000000000004</v>
      </c>
      <c r="J325" s="1">
        <f>_xlfn.XLOOKUP(Table3[[#This Row],[instant]],Table2[instant],Table2[windspeed], ,0,1)</f>
        <v>0</v>
      </c>
      <c r="K325" s="1">
        <f>_xlfn.XLOOKUP(Table3[[#This Row],[instant]],Table2[instant],Table2[casual], ,0,1)</f>
        <v>1</v>
      </c>
      <c r="L325" s="1">
        <f>_xlfn.XLOOKUP(Table3[[#This Row],[instant]],Table2[instant],Table2[registered], ,0,1)</f>
        <v>26</v>
      </c>
      <c r="M325" s="6">
        <f>_xlfn.XLOOKUP(Table3[[#This Row],[instant]],Table2[instant],Table2[cnt], ,0,1)</f>
        <v>27</v>
      </c>
      <c r="N325" s="6" t="str">
        <f>IF(OR(Table3[[#This Row],[weekday]]=0,Table3[[#This Row],[weekday]]=6),"Weekend","Weekday")</f>
        <v>Weekday</v>
      </c>
    </row>
    <row r="326" spans="1:14" ht="15" thickBot="1" x14ac:dyDescent="0.35">
      <c r="A326" s="5">
        <v>325</v>
      </c>
      <c r="B326" s="3">
        <f>_xlfn.XLOOKUP(Table3[[#This Row],[instant]],DatSet1!A326:A935,DatSet1!B326:B935,_xlfn.XLOOKUP(Table3[[#This Row],[instant]],'Final Data'!A326:A715,'Final Data'!B326:B715, ,0,1),0,1)</f>
        <v>40558</v>
      </c>
      <c r="C326" s="1">
        <f>_xlfn.XLOOKUP(Table3[[#This Row],[instant]],Table1[instant],Table1[hr], ,0,1)</f>
        <v>0</v>
      </c>
      <c r="D326" s="2" t="b">
        <f>_xlfn.XLOOKUP(Table3[[#This Row],[instant]],Table1[instant],Table1[holiday], ,0,1)</f>
        <v>0</v>
      </c>
      <c r="E326" s="2">
        <f>_xlfn.XLOOKUP(Table3[[#This Row],[instant]],Table1[instant],Table1[weekday], ,0,1)</f>
        <v>6</v>
      </c>
      <c r="F326" s="2">
        <f>_xlfn.XLOOKUP(Table3[[#This Row],[instant]],Table1[instant],Table1[weathersit], ,0,1)</f>
        <v>1</v>
      </c>
      <c r="G326" s="2">
        <f>_xlfn.XLOOKUP(Table3[[#This Row],[instant]],Table1[instant],Table1[temp], ,0,1)</f>
        <v>0.18</v>
      </c>
      <c r="H326" s="24">
        <f>_xlfn.XLOOKUP(Table3[[#This Row],[instant]],Table2[instant],Table2[atemp], ,0,1)</f>
        <v>0.2424</v>
      </c>
      <c r="I326" s="1">
        <f>_xlfn.XLOOKUP(Table3[[#This Row],[instant]],Table2[instant],Table2[hum], ,0,1)</f>
        <v>0.55000000000000004</v>
      </c>
      <c r="J326" s="1">
        <f>_xlfn.XLOOKUP(Table3[[#This Row],[instant]],Table2[instant],Table2[windspeed], ,0,1)</f>
        <v>0</v>
      </c>
      <c r="K326" s="1">
        <f>_xlfn.XLOOKUP(Table3[[#This Row],[instant]],Table2[instant],Table2[casual], ,0,1)</f>
        <v>3</v>
      </c>
      <c r="L326" s="1">
        <f>_xlfn.XLOOKUP(Table3[[#This Row],[instant]],Table2[instant],Table2[registered], ,0,1)</f>
        <v>25</v>
      </c>
      <c r="M326" s="6">
        <f>_xlfn.XLOOKUP(Table3[[#This Row],[instant]],Table2[instant],Table2[cnt], ,0,1)</f>
        <v>28</v>
      </c>
      <c r="N326" s="6" t="str">
        <f>IF(OR(Table3[[#This Row],[weekday]]=0,Table3[[#This Row],[weekday]]=6),"Weekend","Weekday")</f>
        <v>Weekend</v>
      </c>
    </row>
    <row r="327" spans="1:14" ht="15" thickBot="1" x14ac:dyDescent="0.35">
      <c r="A327" s="5">
        <v>326</v>
      </c>
      <c r="B327" s="3">
        <f>_xlfn.XLOOKUP(Table3[[#This Row],[instant]],DatSet1!A327:A936,DatSet1!B327:B936,_xlfn.XLOOKUP(Table3[[#This Row],[instant]],'Final Data'!A327:A716,'Final Data'!B327:B716, ,0,1),0,1)</f>
        <v>40558</v>
      </c>
      <c r="C327" s="1">
        <f>_xlfn.XLOOKUP(Table3[[#This Row],[instant]],Table1[instant],Table1[hr], ,0,1)</f>
        <v>1</v>
      </c>
      <c r="D327" s="2" t="b">
        <f>_xlfn.XLOOKUP(Table3[[#This Row],[instant]],Table1[instant],Table1[holiday], ,0,1)</f>
        <v>0</v>
      </c>
      <c r="E327" s="2">
        <f>_xlfn.XLOOKUP(Table3[[#This Row],[instant]],Table1[instant],Table1[weekday], ,0,1)</f>
        <v>6</v>
      </c>
      <c r="F327" s="2">
        <f>_xlfn.XLOOKUP(Table3[[#This Row],[instant]],Table1[instant],Table1[weathersit], ,0,1)</f>
        <v>2</v>
      </c>
      <c r="G327" s="2">
        <f>_xlfn.XLOOKUP(Table3[[#This Row],[instant]],Table1[instant],Table1[temp], ,0,1)</f>
        <v>0.16</v>
      </c>
      <c r="H327" s="24">
        <f>_xlfn.XLOOKUP(Table3[[#This Row],[instant]],Table2[instant],Table2[atemp], ,0,1)</f>
        <v>0.19700000000000001</v>
      </c>
      <c r="I327" s="1">
        <f>_xlfn.XLOOKUP(Table3[[#This Row],[instant]],Table2[instant],Table2[hum], ,0,1)</f>
        <v>0.59</v>
      </c>
      <c r="J327" s="1">
        <f>_xlfn.XLOOKUP(Table3[[#This Row],[instant]],Table2[instant],Table2[windspeed], ,0,1)</f>
        <v>8.9599999999999999E-2</v>
      </c>
      <c r="K327" s="1">
        <f>_xlfn.XLOOKUP(Table3[[#This Row],[instant]],Table2[instant],Table2[casual], ,0,1)</f>
        <v>2</v>
      </c>
      <c r="L327" s="1">
        <f>_xlfn.XLOOKUP(Table3[[#This Row],[instant]],Table2[instant],Table2[registered], ,0,1)</f>
        <v>18</v>
      </c>
      <c r="M327" s="6">
        <f>_xlfn.XLOOKUP(Table3[[#This Row],[instant]],Table2[instant],Table2[cnt], ,0,1)</f>
        <v>20</v>
      </c>
      <c r="N327" s="6" t="str">
        <f>IF(OR(Table3[[#This Row],[weekday]]=0,Table3[[#This Row],[weekday]]=6),"Weekend","Weekday")</f>
        <v>Weekend</v>
      </c>
    </row>
    <row r="328" spans="1:14" ht="15" thickBot="1" x14ac:dyDescent="0.35">
      <c r="A328" s="5">
        <v>327</v>
      </c>
      <c r="B328" s="3">
        <f>_xlfn.XLOOKUP(Table3[[#This Row],[instant]],DatSet1!A328:A937,DatSet1!B328:B937,_xlfn.XLOOKUP(Table3[[#This Row],[instant]],'Final Data'!A328:A717,'Final Data'!B328:B717, ,0,1),0,1)</f>
        <v>40558</v>
      </c>
      <c r="C328" s="1">
        <f>_xlfn.XLOOKUP(Table3[[#This Row],[instant]],Table1[instant],Table1[hr], ,0,1)</f>
        <v>2</v>
      </c>
      <c r="D328" s="2" t="b">
        <f>_xlfn.XLOOKUP(Table3[[#This Row],[instant]],Table1[instant],Table1[holiday], ,0,1)</f>
        <v>0</v>
      </c>
      <c r="E328" s="2">
        <f>_xlfn.XLOOKUP(Table3[[#This Row],[instant]],Table1[instant],Table1[weekday], ,0,1)</f>
        <v>6</v>
      </c>
      <c r="F328" s="2">
        <f>_xlfn.XLOOKUP(Table3[[#This Row],[instant]],Table1[instant],Table1[weathersit], ,0,1)</f>
        <v>2</v>
      </c>
      <c r="G328" s="2">
        <f>_xlfn.XLOOKUP(Table3[[#This Row],[instant]],Table1[instant],Table1[temp], ,0,1)</f>
        <v>0.16</v>
      </c>
      <c r="H328" s="24">
        <f>_xlfn.XLOOKUP(Table3[[#This Row],[instant]],Table2[instant],Table2[atemp], ,0,1)</f>
        <v>0.19700000000000001</v>
      </c>
      <c r="I328" s="1">
        <f>_xlfn.XLOOKUP(Table3[[#This Row],[instant]],Table2[instant],Table2[hum], ,0,1)</f>
        <v>0.59</v>
      </c>
      <c r="J328" s="1">
        <f>_xlfn.XLOOKUP(Table3[[#This Row],[instant]],Table2[instant],Table2[windspeed], ,0,1)</f>
        <v>8.9599999999999999E-2</v>
      </c>
      <c r="K328" s="1">
        <f>_xlfn.XLOOKUP(Table3[[#This Row],[instant]],Table2[instant],Table2[casual], ,0,1)</f>
        <v>0</v>
      </c>
      <c r="L328" s="1">
        <f>_xlfn.XLOOKUP(Table3[[#This Row],[instant]],Table2[instant],Table2[registered], ,0,1)</f>
        <v>12</v>
      </c>
      <c r="M328" s="6">
        <f>_xlfn.XLOOKUP(Table3[[#This Row],[instant]],Table2[instant],Table2[cnt], ,0,1)</f>
        <v>12</v>
      </c>
      <c r="N328" s="6" t="str">
        <f>IF(OR(Table3[[#This Row],[weekday]]=0,Table3[[#This Row],[weekday]]=6),"Weekend","Weekday")</f>
        <v>Weekend</v>
      </c>
    </row>
    <row r="329" spans="1:14" ht="15" thickBot="1" x14ac:dyDescent="0.35">
      <c r="A329" s="5">
        <v>328</v>
      </c>
      <c r="B329" s="3">
        <f>_xlfn.XLOOKUP(Table3[[#This Row],[instant]],DatSet1!A329:A938,DatSet1!B329:B938,_xlfn.XLOOKUP(Table3[[#This Row],[instant]],'Final Data'!A329:A718,'Final Data'!B329:B718, ,0,1),0,1)</f>
        <v>40558</v>
      </c>
      <c r="C329" s="1">
        <f>_xlfn.XLOOKUP(Table3[[#This Row],[instant]],Table1[instant],Table1[hr], ,0,1)</f>
        <v>3</v>
      </c>
      <c r="D329" s="2" t="b">
        <f>_xlfn.XLOOKUP(Table3[[#This Row],[instant]],Table1[instant],Table1[holiday], ,0,1)</f>
        <v>0</v>
      </c>
      <c r="E329" s="2">
        <f>_xlfn.XLOOKUP(Table3[[#This Row],[instant]],Table1[instant],Table1[weekday], ,0,1)</f>
        <v>6</v>
      </c>
      <c r="F329" s="2">
        <f>_xlfn.XLOOKUP(Table3[[#This Row],[instant]],Table1[instant],Table1[weathersit], ,0,1)</f>
        <v>2</v>
      </c>
      <c r="G329" s="2">
        <f>_xlfn.XLOOKUP(Table3[[#This Row],[instant]],Table1[instant],Table1[temp], ,0,1)</f>
        <v>0.16</v>
      </c>
      <c r="H329" s="24">
        <f>_xlfn.XLOOKUP(Table3[[#This Row],[instant]],Table2[instant],Table2[atemp], ,0,1)</f>
        <v>0.2273</v>
      </c>
      <c r="I329" s="1">
        <f>_xlfn.XLOOKUP(Table3[[#This Row],[instant]],Table2[instant],Table2[hum], ,0,1)</f>
        <v>0.59</v>
      </c>
      <c r="J329" s="1">
        <f>_xlfn.XLOOKUP(Table3[[#This Row],[instant]],Table2[instant],Table2[windspeed], ,0,1)</f>
        <v>0</v>
      </c>
      <c r="K329" s="1">
        <f>_xlfn.XLOOKUP(Table3[[#This Row],[instant]],Table2[instant],Table2[casual], ,0,1)</f>
        <v>1</v>
      </c>
      <c r="L329" s="1">
        <f>_xlfn.XLOOKUP(Table3[[#This Row],[instant]],Table2[instant],Table2[registered], ,0,1)</f>
        <v>7</v>
      </c>
      <c r="M329" s="6">
        <f>_xlfn.XLOOKUP(Table3[[#This Row],[instant]],Table2[instant],Table2[cnt], ,0,1)</f>
        <v>8</v>
      </c>
      <c r="N329" s="6" t="str">
        <f>IF(OR(Table3[[#This Row],[weekday]]=0,Table3[[#This Row],[weekday]]=6),"Weekend","Weekday")</f>
        <v>Weekend</v>
      </c>
    </row>
    <row r="330" spans="1:14" ht="15" thickBot="1" x14ac:dyDescent="0.35">
      <c r="A330" s="5">
        <v>329</v>
      </c>
      <c r="B330" s="3">
        <f>_xlfn.XLOOKUP(Table3[[#This Row],[instant]],DatSet1!A330:A939,DatSet1!B330:B939,_xlfn.XLOOKUP(Table3[[#This Row],[instant]],'Final Data'!A330:A719,'Final Data'!B330:B719, ,0,1),0,1)</f>
        <v>40558</v>
      </c>
      <c r="C330" s="1">
        <f>_xlfn.XLOOKUP(Table3[[#This Row],[instant]],Table1[instant],Table1[hr], ,0,1)</f>
        <v>4</v>
      </c>
      <c r="D330" s="2" t="b">
        <f>_xlfn.XLOOKUP(Table3[[#This Row],[instant]],Table1[instant],Table1[holiday], ,0,1)</f>
        <v>0</v>
      </c>
      <c r="E330" s="2">
        <f>_xlfn.XLOOKUP(Table3[[#This Row],[instant]],Table1[instant],Table1[weekday], ,0,1)</f>
        <v>6</v>
      </c>
      <c r="F330" s="2">
        <f>_xlfn.XLOOKUP(Table3[[#This Row],[instant]],Table1[instant],Table1[weathersit], ,0,1)</f>
        <v>2</v>
      </c>
      <c r="G330" s="2">
        <f>_xlfn.XLOOKUP(Table3[[#This Row],[instant]],Table1[instant],Table1[temp], ,0,1)</f>
        <v>0.16</v>
      </c>
      <c r="H330" s="24">
        <f>_xlfn.XLOOKUP(Table3[[#This Row],[instant]],Table2[instant],Table2[atemp], ,0,1)</f>
        <v>0.2273</v>
      </c>
      <c r="I330" s="1">
        <f>_xlfn.XLOOKUP(Table3[[#This Row],[instant]],Table2[instant],Table2[hum], ,0,1)</f>
        <v>0.59</v>
      </c>
      <c r="J330" s="1">
        <f>_xlfn.XLOOKUP(Table3[[#This Row],[instant]],Table2[instant],Table2[windspeed], ,0,1)</f>
        <v>0</v>
      </c>
      <c r="K330" s="1">
        <f>_xlfn.XLOOKUP(Table3[[#This Row],[instant]],Table2[instant],Table2[casual], ,0,1)</f>
        <v>0</v>
      </c>
      <c r="L330" s="1">
        <f>_xlfn.XLOOKUP(Table3[[#This Row],[instant]],Table2[instant],Table2[registered], ,0,1)</f>
        <v>5</v>
      </c>
      <c r="M330" s="6">
        <f>_xlfn.XLOOKUP(Table3[[#This Row],[instant]],Table2[instant],Table2[cnt], ,0,1)</f>
        <v>5</v>
      </c>
      <c r="N330" s="6" t="str">
        <f>IF(OR(Table3[[#This Row],[weekday]]=0,Table3[[#This Row],[weekday]]=6),"Weekend","Weekday")</f>
        <v>Weekend</v>
      </c>
    </row>
    <row r="331" spans="1:14" ht="15" thickBot="1" x14ac:dyDescent="0.35">
      <c r="A331" s="5">
        <v>330</v>
      </c>
      <c r="B331" s="3">
        <f>_xlfn.XLOOKUP(Table3[[#This Row],[instant]],DatSet1!A331:A940,DatSet1!B331:B940,_xlfn.XLOOKUP(Table3[[#This Row],[instant]],'Final Data'!A331:A720,'Final Data'!B331:B720, ,0,1),0,1)</f>
        <v>40558</v>
      </c>
      <c r="C331" s="1">
        <f>_xlfn.XLOOKUP(Table3[[#This Row],[instant]],Table1[instant],Table1[hr], ,0,1)</f>
        <v>5</v>
      </c>
      <c r="D331" s="2" t="b">
        <f>_xlfn.XLOOKUP(Table3[[#This Row],[instant]],Table1[instant],Table1[holiday], ,0,1)</f>
        <v>0</v>
      </c>
      <c r="E331" s="2">
        <f>_xlfn.XLOOKUP(Table3[[#This Row],[instant]],Table1[instant],Table1[weekday], ,0,1)</f>
        <v>6</v>
      </c>
      <c r="F331" s="2">
        <f>_xlfn.XLOOKUP(Table3[[#This Row],[instant]],Table1[instant],Table1[weathersit], ,0,1)</f>
        <v>1</v>
      </c>
      <c r="G331" s="2">
        <f>_xlfn.XLOOKUP(Table3[[#This Row],[instant]],Table1[instant],Table1[temp], ,0,1)</f>
        <v>0.16</v>
      </c>
      <c r="H331" s="24">
        <f>_xlfn.XLOOKUP(Table3[[#This Row],[instant]],Table2[instant],Table2[atemp], ,0,1)</f>
        <v>0.2273</v>
      </c>
      <c r="I331" s="1">
        <f>_xlfn.XLOOKUP(Table3[[#This Row],[instant]],Table2[instant],Table2[hum], ,0,1)</f>
        <v>0.59</v>
      </c>
      <c r="J331" s="1">
        <f>_xlfn.XLOOKUP(Table3[[#This Row],[instant]],Table2[instant],Table2[windspeed], ,0,1)</f>
        <v>0</v>
      </c>
      <c r="K331" s="1">
        <f>_xlfn.XLOOKUP(Table3[[#This Row],[instant]],Table2[instant],Table2[casual], ,0,1)</f>
        <v>0</v>
      </c>
      <c r="L331" s="1">
        <f>_xlfn.XLOOKUP(Table3[[#This Row],[instant]],Table2[instant],Table2[registered], ,0,1)</f>
        <v>1</v>
      </c>
      <c r="M331" s="6">
        <f>_xlfn.XLOOKUP(Table3[[#This Row],[instant]],Table2[instant],Table2[cnt], ,0,1)</f>
        <v>1</v>
      </c>
      <c r="N331" s="6" t="str">
        <f>IF(OR(Table3[[#This Row],[weekday]]=0,Table3[[#This Row],[weekday]]=6),"Weekend","Weekday")</f>
        <v>Weekend</v>
      </c>
    </row>
    <row r="332" spans="1:14" ht="15" thickBot="1" x14ac:dyDescent="0.35">
      <c r="A332" s="5">
        <v>331</v>
      </c>
      <c r="B332" s="3">
        <f>_xlfn.XLOOKUP(Table3[[#This Row],[instant]],DatSet1!A332:A941,DatSet1!B332:B941,_xlfn.XLOOKUP(Table3[[#This Row],[instant]],'Final Data'!A332:A721,'Final Data'!B332:B721, ,0,1),0,1)</f>
        <v>40558</v>
      </c>
      <c r="C332" s="1">
        <f>_xlfn.XLOOKUP(Table3[[#This Row],[instant]],Table1[instant],Table1[hr], ,0,1)</f>
        <v>6</v>
      </c>
      <c r="D332" s="2" t="b">
        <f>_xlfn.XLOOKUP(Table3[[#This Row],[instant]],Table1[instant],Table1[holiday], ,0,1)</f>
        <v>0</v>
      </c>
      <c r="E332" s="2">
        <f>_xlfn.XLOOKUP(Table3[[#This Row],[instant]],Table1[instant],Table1[weekday], ,0,1)</f>
        <v>6</v>
      </c>
      <c r="F332" s="2">
        <f>_xlfn.XLOOKUP(Table3[[#This Row],[instant]],Table1[instant],Table1[weathersit], ,0,1)</f>
        <v>1</v>
      </c>
      <c r="G332" s="2">
        <f>_xlfn.XLOOKUP(Table3[[#This Row],[instant]],Table1[instant],Table1[temp], ,0,1)</f>
        <v>0.14000000000000001</v>
      </c>
      <c r="H332" s="24">
        <f>_xlfn.XLOOKUP(Table3[[#This Row],[instant]],Table2[instant],Table2[atemp], ,0,1)</f>
        <v>0.16669999999999999</v>
      </c>
      <c r="I332" s="1">
        <f>_xlfn.XLOOKUP(Table3[[#This Row],[instant]],Table2[instant],Table2[hum], ,0,1)</f>
        <v>0.63</v>
      </c>
      <c r="J332" s="1">
        <f>_xlfn.XLOOKUP(Table3[[#This Row],[instant]],Table2[instant],Table2[windspeed], ,0,1)</f>
        <v>0.1045</v>
      </c>
      <c r="K332" s="1">
        <f>_xlfn.XLOOKUP(Table3[[#This Row],[instant]],Table2[instant],Table2[casual], ,0,1)</f>
        <v>1</v>
      </c>
      <c r="L332" s="1">
        <f>_xlfn.XLOOKUP(Table3[[#This Row],[instant]],Table2[instant],Table2[registered], ,0,1)</f>
        <v>2</v>
      </c>
      <c r="M332" s="6">
        <f>_xlfn.XLOOKUP(Table3[[#This Row],[instant]],Table2[instant],Table2[cnt], ,0,1)</f>
        <v>3</v>
      </c>
      <c r="N332" s="6" t="str">
        <f>IF(OR(Table3[[#This Row],[weekday]]=0,Table3[[#This Row],[weekday]]=6),"Weekend","Weekday")</f>
        <v>Weekend</v>
      </c>
    </row>
    <row r="333" spans="1:14" ht="15" thickBot="1" x14ac:dyDescent="0.35">
      <c r="A333" s="5">
        <v>332</v>
      </c>
      <c r="B333" s="3">
        <f>_xlfn.XLOOKUP(Table3[[#This Row],[instant]],DatSet1!A333:A942,DatSet1!B333:B942,_xlfn.XLOOKUP(Table3[[#This Row],[instant]],'Final Data'!A333:A722,'Final Data'!B333:B722, ,0,1),0,1)</f>
        <v>40558</v>
      </c>
      <c r="C333" s="1">
        <f>_xlfn.XLOOKUP(Table3[[#This Row],[instant]],Table1[instant],Table1[hr], ,0,1)</f>
        <v>7</v>
      </c>
      <c r="D333" s="2" t="b">
        <f>_xlfn.XLOOKUP(Table3[[#This Row],[instant]],Table1[instant],Table1[holiday], ,0,1)</f>
        <v>0</v>
      </c>
      <c r="E333" s="2">
        <f>_xlfn.XLOOKUP(Table3[[#This Row],[instant]],Table1[instant],Table1[weekday], ,0,1)</f>
        <v>6</v>
      </c>
      <c r="F333" s="2">
        <f>_xlfn.XLOOKUP(Table3[[#This Row],[instant]],Table1[instant],Table1[weathersit], ,0,1)</f>
        <v>1</v>
      </c>
      <c r="G333" s="2">
        <f>_xlfn.XLOOKUP(Table3[[#This Row],[instant]],Table1[instant],Table1[temp], ,0,1)</f>
        <v>0.14000000000000001</v>
      </c>
      <c r="H333" s="24">
        <f>_xlfn.XLOOKUP(Table3[[#This Row],[instant]],Table2[instant],Table2[atemp], ,0,1)</f>
        <v>0.21210000000000001</v>
      </c>
      <c r="I333" s="1">
        <f>_xlfn.XLOOKUP(Table3[[#This Row],[instant]],Table2[instant],Table2[hum], ,0,1)</f>
        <v>0.63</v>
      </c>
      <c r="J333" s="1">
        <f>_xlfn.XLOOKUP(Table3[[#This Row],[instant]],Table2[instant],Table2[windspeed], ,0,1)</f>
        <v>0</v>
      </c>
      <c r="K333" s="1">
        <f>_xlfn.XLOOKUP(Table3[[#This Row],[instant]],Table2[instant],Table2[casual], ,0,1)</f>
        <v>1</v>
      </c>
      <c r="L333" s="1">
        <f>_xlfn.XLOOKUP(Table3[[#This Row],[instant]],Table2[instant],Table2[registered], ,0,1)</f>
        <v>9</v>
      </c>
      <c r="M333" s="6">
        <f>_xlfn.XLOOKUP(Table3[[#This Row],[instant]],Table2[instant],Table2[cnt], ,0,1)</f>
        <v>10</v>
      </c>
      <c r="N333" s="6" t="str">
        <f>IF(OR(Table3[[#This Row],[weekday]]=0,Table3[[#This Row],[weekday]]=6),"Weekend","Weekday")</f>
        <v>Weekend</v>
      </c>
    </row>
    <row r="334" spans="1:14" ht="15" thickBot="1" x14ac:dyDescent="0.35">
      <c r="A334" s="5">
        <v>333</v>
      </c>
      <c r="B334" s="3">
        <f>_xlfn.XLOOKUP(Table3[[#This Row],[instant]],DatSet1!A334:A943,DatSet1!B334:B943,_xlfn.XLOOKUP(Table3[[#This Row],[instant]],'Final Data'!A334:A723,'Final Data'!B334:B723, ,0,1),0,1)</f>
        <v>40558</v>
      </c>
      <c r="C334" s="1">
        <f>_xlfn.XLOOKUP(Table3[[#This Row],[instant]],Table1[instant],Table1[hr], ,0,1)</f>
        <v>8</v>
      </c>
      <c r="D334" s="2" t="b">
        <f>_xlfn.XLOOKUP(Table3[[#This Row],[instant]],Table1[instant],Table1[holiday], ,0,1)</f>
        <v>0</v>
      </c>
      <c r="E334" s="2">
        <f>_xlfn.XLOOKUP(Table3[[#This Row],[instant]],Table1[instant],Table1[weekday], ,0,1)</f>
        <v>6</v>
      </c>
      <c r="F334" s="2">
        <f>_xlfn.XLOOKUP(Table3[[#This Row],[instant]],Table1[instant],Table1[weathersit], ,0,1)</f>
        <v>1</v>
      </c>
      <c r="G334" s="2">
        <f>_xlfn.XLOOKUP(Table3[[#This Row],[instant]],Table1[instant],Table1[temp], ,0,1)</f>
        <v>0.14000000000000001</v>
      </c>
      <c r="H334" s="24">
        <f>_xlfn.XLOOKUP(Table3[[#This Row],[instant]],Table2[instant],Table2[atemp], ,0,1)</f>
        <v>0.1515</v>
      </c>
      <c r="I334" s="1">
        <f>_xlfn.XLOOKUP(Table3[[#This Row],[instant]],Table2[instant],Table2[hum], ,0,1)</f>
        <v>0.63</v>
      </c>
      <c r="J334" s="1">
        <f>_xlfn.XLOOKUP(Table3[[#This Row],[instant]],Table2[instant],Table2[windspeed], ,0,1)</f>
        <v>0.1343</v>
      </c>
      <c r="K334" s="1">
        <f>_xlfn.XLOOKUP(Table3[[#This Row],[instant]],Table2[instant],Table2[casual], ,0,1)</f>
        <v>1</v>
      </c>
      <c r="L334" s="1">
        <f>_xlfn.XLOOKUP(Table3[[#This Row],[instant]],Table2[instant],Table2[registered], ,0,1)</f>
        <v>22</v>
      </c>
      <c r="M334" s="6">
        <f>_xlfn.XLOOKUP(Table3[[#This Row],[instant]],Table2[instant],Table2[cnt], ,0,1)</f>
        <v>23</v>
      </c>
      <c r="N334" s="6" t="str">
        <f>IF(OR(Table3[[#This Row],[weekday]]=0,Table3[[#This Row],[weekday]]=6),"Weekend","Weekday")</f>
        <v>Weekend</v>
      </c>
    </row>
    <row r="335" spans="1:14" ht="15" thickBot="1" x14ac:dyDescent="0.35">
      <c r="A335" s="5">
        <v>334</v>
      </c>
      <c r="B335" s="3">
        <f>_xlfn.XLOOKUP(Table3[[#This Row],[instant]],DatSet1!A335:A944,DatSet1!B335:B944,_xlfn.XLOOKUP(Table3[[#This Row],[instant]],'Final Data'!A335:A724,'Final Data'!B335:B724, ,0,1),0,1)</f>
        <v>40558</v>
      </c>
      <c r="C335" s="1">
        <f>_xlfn.XLOOKUP(Table3[[#This Row],[instant]],Table1[instant],Table1[hr], ,0,1)</f>
        <v>9</v>
      </c>
      <c r="D335" s="2" t="b">
        <f>_xlfn.XLOOKUP(Table3[[#This Row],[instant]],Table1[instant],Table1[holiday], ,0,1)</f>
        <v>0</v>
      </c>
      <c r="E335" s="2">
        <f>_xlfn.XLOOKUP(Table3[[#This Row],[instant]],Table1[instant],Table1[weekday], ,0,1)</f>
        <v>6</v>
      </c>
      <c r="F335" s="2">
        <f>_xlfn.XLOOKUP(Table3[[#This Row],[instant]],Table1[instant],Table1[weathersit], ,0,1)</f>
        <v>1</v>
      </c>
      <c r="G335" s="2">
        <f>_xlfn.XLOOKUP(Table3[[#This Row],[instant]],Table1[instant],Table1[temp], ,0,1)</f>
        <v>0.16</v>
      </c>
      <c r="H335" s="24">
        <f>_xlfn.XLOOKUP(Table3[[#This Row],[instant]],Table2[instant],Table2[atemp], ,0,1)</f>
        <v>0.18179999999999999</v>
      </c>
      <c r="I335" s="1">
        <f>_xlfn.XLOOKUP(Table3[[#This Row],[instant]],Table2[instant],Table2[hum], ,0,1)</f>
        <v>0.64</v>
      </c>
      <c r="J335" s="1">
        <f>_xlfn.XLOOKUP(Table3[[#This Row],[instant]],Table2[instant],Table2[windspeed], ,0,1)</f>
        <v>0.1343</v>
      </c>
      <c r="K335" s="1">
        <f>_xlfn.XLOOKUP(Table3[[#This Row],[instant]],Table2[instant],Table2[casual], ,0,1)</f>
        <v>2</v>
      </c>
      <c r="L335" s="1">
        <f>_xlfn.XLOOKUP(Table3[[#This Row],[instant]],Table2[instant],Table2[registered], ,0,1)</f>
        <v>31</v>
      </c>
      <c r="M335" s="6">
        <f>_xlfn.XLOOKUP(Table3[[#This Row],[instant]],Table2[instant],Table2[cnt], ,0,1)</f>
        <v>33</v>
      </c>
      <c r="N335" s="6" t="str">
        <f>IF(OR(Table3[[#This Row],[weekday]]=0,Table3[[#This Row],[weekday]]=6),"Weekend","Weekday")</f>
        <v>Weekend</v>
      </c>
    </row>
    <row r="336" spans="1:14" ht="15" thickBot="1" x14ac:dyDescent="0.35">
      <c r="A336" s="5">
        <v>335</v>
      </c>
      <c r="B336" s="3">
        <f>_xlfn.XLOOKUP(Table3[[#This Row],[instant]],DatSet1!A336:A945,DatSet1!B336:B945,_xlfn.XLOOKUP(Table3[[#This Row],[instant]],'Final Data'!A336:A725,'Final Data'!B336:B725, ,0,1),0,1)</f>
        <v>40558</v>
      </c>
      <c r="C336" s="1">
        <f>_xlfn.XLOOKUP(Table3[[#This Row],[instant]],Table1[instant],Table1[hr], ,0,1)</f>
        <v>10</v>
      </c>
      <c r="D336" s="2" t="b">
        <f>_xlfn.XLOOKUP(Table3[[#This Row],[instant]],Table1[instant],Table1[holiday], ,0,1)</f>
        <v>0</v>
      </c>
      <c r="E336" s="2">
        <f>_xlfn.XLOOKUP(Table3[[#This Row],[instant]],Table1[instant],Table1[weekday], ,0,1)</f>
        <v>6</v>
      </c>
      <c r="F336" s="2">
        <f>_xlfn.XLOOKUP(Table3[[#This Row],[instant]],Table1[instant],Table1[weathersit], ,0,1)</f>
        <v>1</v>
      </c>
      <c r="G336" s="2">
        <f>_xlfn.XLOOKUP(Table3[[#This Row],[instant]],Table1[instant],Table1[temp], ,0,1)</f>
        <v>0.18</v>
      </c>
      <c r="H336" s="24">
        <f>_xlfn.XLOOKUP(Table3[[#This Row],[instant]],Table2[instant],Table2[atemp], ,0,1)</f>
        <v>0.19700000000000001</v>
      </c>
      <c r="I336" s="1">
        <f>_xlfn.XLOOKUP(Table3[[#This Row],[instant]],Table2[instant],Table2[hum], ,0,1)</f>
        <v>0.59</v>
      </c>
      <c r="J336" s="1">
        <f>_xlfn.XLOOKUP(Table3[[#This Row],[instant]],Table2[instant],Table2[windspeed], ,0,1)</f>
        <v>0.16420000000000001</v>
      </c>
      <c r="K336" s="1">
        <f>_xlfn.XLOOKUP(Table3[[#This Row],[instant]],Table2[instant],Table2[casual], ,0,1)</f>
        <v>2</v>
      </c>
      <c r="L336" s="1">
        <f>_xlfn.XLOOKUP(Table3[[#This Row],[instant]],Table2[instant],Table2[registered], ,0,1)</f>
        <v>57</v>
      </c>
      <c r="M336" s="6">
        <f>_xlfn.XLOOKUP(Table3[[#This Row],[instant]],Table2[instant],Table2[cnt], ,0,1)</f>
        <v>59</v>
      </c>
      <c r="N336" s="6" t="str">
        <f>IF(OR(Table3[[#This Row],[weekday]]=0,Table3[[#This Row],[weekday]]=6),"Weekend","Weekday")</f>
        <v>Weekend</v>
      </c>
    </row>
    <row r="337" spans="1:14" ht="15" thickBot="1" x14ac:dyDescent="0.35">
      <c r="A337" s="5">
        <v>336</v>
      </c>
      <c r="B337" s="3">
        <f>_xlfn.XLOOKUP(Table3[[#This Row],[instant]],DatSet1!A337:A946,DatSet1!B337:B946,_xlfn.XLOOKUP(Table3[[#This Row],[instant]],'Final Data'!A337:A726,'Final Data'!B337:B726, ,0,1),0,1)</f>
        <v>40558</v>
      </c>
      <c r="C337" s="1">
        <f>_xlfn.XLOOKUP(Table3[[#This Row],[instant]],Table1[instant],Table1[hr], ,0,1)</f>
        <v>11</v>
      </c>
      <c r="D337" s="2" t="b">
        <f>_xlfn.XLOOKUP(Table3[[#This Row],[instant]],Table1[instant],Table1[holiday], ,0,1)</f>
        <v>0</v>
      </c>
      <c r="E337" s="2">
        <f>_xlfn.XLOOKUP(Table3[[#This Row],[instant]],Table1[instant],Table1[weekday], ,0,1)</f>
        <v>6</v>
      </c>
      <c r="F337" s="2">
        <f>_xlfn.XLOOKUP(Table3[[#This Row],[instant]],Table1[instant],Table1[weathersit], ,0,1)</f>
        <v>1</v>
      </c>
      <c r="G337" s="2">
        <f>_xlfn.XLOOKUP(Table3[[#This Row],[instant]],Table1[instant],Table1[temp], ,0,1)</f>
        <v>0.2</v>
      </c>
      <c r="H337" s="24">
        <f>_xlfn.XLOOKUP(Table3[[#This Row],[instant]],Table2[instant],Table2[atemp], ,0,1)</f>
        <v>0.19700000000000001</v>
      </c>
      <c r="I337" s="1">
        <f>_xlfn.XLOOKUP(Table3[[#This Row],[instant]],Table2[instant],Table2[hum], ,0,1)</f>
        <v>0.55000000000000004</v>
      </c>
      <c r="J337" s="1">
        <f>_xlfn.XLOOKUP(Table3[[#This Row],[instant]],Table2[instant],Table2[windspeed], ,0,1)</f>
        <v>0.22389999999999999</v>
      </c>
      <c r="K337" s="1">
        <f>_xlfn.XLOOKUP(Table3[[#This Row],[instant]],Table2[instant],Table2[casual], ,0,1)</f>
        <v>18</v>
      </c>
      <c r="L337" s="1">
        <f>_xlfn.XLOOKUP(Table3[[#This Row],[instant]],Table2[instant],Table2[registered], ,0,1)</f>
        <v>54</v>
      </c>
      <c r="M337" s="6">
        <f>_xlfn.XLOOKUP(Table3[[#This Row],[instant]],Table2[instant],Table2[cnt], ,0,1)</f>
        <v>72</v>
      </c>
      <c r="N337" s="6" t="str">
        <f>IF(OR(Table3[[#This Row],[weekday]]=0,Table3[[#This Row],[weekday]]=6),"Weekend","Weekday")</f>
        <v>Weekend</v>
      </c>
    </row>
    <row r="338" spans="1:14" ht="15" thickBot="1" x14ac:dyDescent="0.35">
      <c r="A338" s="5">
        <v>337</v>
      </c>
      <c r="B338" s="3">
        <f>_xlfn.XLOOKUP(Table3[[#This Row],[instant]],DatSet1!A338:A947,DatSet1!B338:B947,_xlfn.XLOOKUP(Table3[[#This Row],[instant]],'Final Data'!A338:A727,'Final Data'!B338:B727, ,0,1),0,1)</f>
        <v>40558</v>
      </c>
      <c r="C338" s="1">
        <f>_xlfn.XLOOKUP(Table3[[#This Row],[instant]],Table1[instant],Table1[hr], ,0,1)</f>
        <v>12</v>
      </c>
      <c r="D338" s="2" t="b">
        <f>_xlfn.XLOOKUP(Table3[[#This Row],[instant]],Table1[instant],Table1[holiday], ,0,1)</f>
        <v>0</v>
      </c>
      <c r="E338" s="2">
        <f>_xlfn.XLOOKUP(Table3[[#This Row],[instant]],Table1[instant],Table1[weekday], ,0,1)</f>
        <v>6</v>
      </c>
      <c r="F338" s="2">
        <f>_xlfn.XLOOKUP(Table3[[#This Row],[instant]],Table1[instant],Table1[weathersit], ,0,1)</f>
        <v>1</v>
      </c>
      <c r="G338" s="2">
        <f>_xlfn.XLOOKUP(Table3[[#This Row],[instant]],Table1[instant],Table1[temp], ,0,1)</f>
        <v>0.24</v>
      </c>
      <c r="H338" s="24">
        <f>_xlfn.XLOOKUP(Table3[[#This Row],[instant]],Table2[instant],Table2[atemp], ,0,1)</f>
        <v>0.2273</v>
      </c>
      <c r="I338" s="1">
        <f>_xlfn.XLOOKUP(Table3[[#This Row],[instant]],Table2[instant],Table2[hum], ,0,1)</f>
        <v>0.48</v>
      </c>
      <c r="J338" s="1">
        <f>_xlfn.XLOOKUP(Table3[[#This Row],[instant]],Table2[instant],Table2[windspeed], ,0,1)</f>
        <v>0.22389999999999999</v>
      </c>
      <c r="K338" s="1">
        <f>_xlfn.XLOOKUP(Table3[[#This Row],[instant]],Table2[instant],Table2[casual], ,0,1)</f>
        <v>15</v>
      </c>
      <c r="L338" s="1">
        <f>_xlfn.XLOOKUP(Table3[[#This Row],[instant]],Table2[instant],Table2[registered], ,0,1)</f>
        <v>74</v>
      </c>
      <c r="M338" s="6">
        <f>_xlfn.XLOOKUP(Table3[[#This Row],[instant]],Table2[instant],Table2[cnt], ,0,1)</f>
        <v>89</v>
      </c>
      <c r="N338" s="6" t="str">
        <f>IF(OR(Table3[[#This Row],[weekday]]=0,Table3[[#This Row],[weekday]]=6),"Weekend","Weekday")</f>
        <v>Weekend</v>
      </c>
    </row>
    <row r="339" spans="1:14" ht="15" thickBot="1" x14ac:dyDescent="0.35">
      <c r="A339" s="5">
        <v>338</v>
      </c>
      <c r="B339" s="3">
        <f>_xlfn.XLOOKUP(Table3[[#This Row],[instant]],DatSet1!A339:A948,DatSet1!B339:B948,_xlfn.XLOOKUP(Table3[[#This Row],[instant]],'Final Data'!A339:A728,'Final Data'!B339:B728, ,0,1),0,1)</f>
        <v>40558</v>
      </c>
      <c r="C339" s="1">
        <f>_xlfn.XLOOKUP(Table3[[#This Row],[instant]],Table1[instant],Table1[hr], ,0,1)</f>
        <v>13</v>
      </c>
      <c r="D339" s="2" t="b">
        <f>_xlfn.XLOOKUP(Table3[[#This Row],[instant]],Table1[instant],Table1[holiday], ,0,1)</f>
        <v>0</v>
      </c>
      <c r="E339" s="2">
        <f>_xlfn.XLOOKUP(Table3[[#This Row],[instant]],Table1[instant],Table1[weekday], ,0,1)</f>
        <v>6</v>
      </c>
      <c r="F339" s="2">
        <f>_xlfn.XLOOKUP(Table3[[#This Row],[instant]],Table1[instant],Table1[weathersit], ,0,1)</f>
        <v>1</v>
      </c>
      <c r="G339" s="2">
        <f>_xlfn.XLOOKUP(Table3[[#This Row],[instant]],Table1[instant],Table1[temp], ,0,1)</f>
        <v>0.28000000000000003</v>
      </c>
      <c r="H339" s="24">
        <f>_xlfn.XLOOKUP(Table3[[#This Row],[instant]],Table2[instant],Table2[atemp], ,0,1)</f>
        <v>0.2576</v>
      </c>
      <c r="I339" s="1">
        <f>_xlfn.XLOOKUP(Table3[[#This Row],[instant]],Table2[instant],Table2[hum], ,0,1)</f>
        <v>0.38</v>
      </c>
      <c r="J339" s="1">
        <f>_xlfn.XLOOKUP(Table3[[#This Row],[instant]],Table2[instant],Table2[windspeed], ,0,1)</f>
        <v>0.29849999999999999</v>
      </c>
      <c r="K339" s="1">
        <f>_xlfn.XLOOKUP(Table3[[#This Row],[instant]],Table2[instant],Table2[casual], ,0,1)</f>
        <v>21</v>
      </c>
      <c r="L339" s="1">
        <f>_xlfn.XLOOKUP(Table3[[#This Row],[instant]],Table2[instant],Table2[registered], ,0,1)</f>
        <v>80</v>
      </c>
      <c r="M339" s="6">
        <f>_xlfn.XLOOKUP(Table3[[#This Row],[instant]],Table2[instant],Table2[cnt], ,0,1)</f>
        <v>101</v>
      </c>
      <c r="N339" s="6" t="str">
        <f>IF(OR(Table3[[#This Row],[weekday]]=0,Table3[[#This Row],[weekday]]=6),"Weekend","Weekday")</f>
        <v>Weekend</v>
      </c>
    </row>
    <row r="340" spans="1:14" ht="15" thickBot="1" x14ac:dyDescent="0.35">
      <c r="A340" s="5">
        <v>339</v>
      </c>
      <c r="B340" s="3">
        <f>_xlfn.XLOOKUP(Table3[[#This Row],[instant]],DatSet1!A340:A949,DatSet1!B340:B949,_xlfn.XLOOKUP(Table3[[#This Row],[instant]],'Final Data'!A340:A729,'Final Data'!B340:B729, ,0,1),0,1)</f>
        <v>40558</v>
      </c>
      <c r="C340" s="1">
        <f>_xlfn.XLOOKUP(Table3[[#This Row],[instant]],Table1[instant],Table1[hr], ,0,1)</f>
        <v>14</v>
      </c>
      <c r="D340" s="2" t="b">
        <f>_xlfn.XLOOKUP(Table3[[#This Row],[instant]],Table1[instant],Table1[holiday], ,0,1)</f>
        <v>0</v>
      </c>
      <c r="E340" s="2">
        <f>_xlfn.XLOOKUP(Table3[[#This Row],[instant]],Table1[instant],Table1[weekday], ,0,1)</f>
        <v>6</v>
      </c>
      <c r="F340" s="2">
        <f>_xlfn.XLOOKUP(Table3[[#This Row],[instant]],Table1[instant],Table1[weathersit], ,0,1)</f>
        <v>1</v>
      </c>
      <c r="G340" s="2">
        <f>_xlfn.XLOOKUP(Table3[[#This Row],[instant]],Table1[instant],Table1[temp], ,0,1)</f>
        <v>0.3</v>
      </c>
      <c r="H340" s="24">
        <f>_xlfn.XLOOKUP(Table3[[#This Row],[instant]],Table2[instant],Table2[atemp], ,0,1)</f>
        <v>0.28789999999999999</v>
      </c>
      <c r="I340" s="1">
        <f>_xlfn.XLOOKUP(Table3[[#This Row],[instant]],Table2[instant],Table2[hum], ,0,1)</f>
        <v>0.39</v>
      </c>
      <c r="J340" s="1">
        <f>_xlfn.XLOOKUP(Table3[[#This Row],[instant]],Table2[instant],Table2[windspeed], ,0,1)</f>
        <v>0.28360000000000002</v>
      </c>
      <c r="K340" s="1">
        <f>_xlfn.XLOOKUP(Table3[[#This Row],[instant]],Table2[instant],Table2[casual], ,0,1)</f>
        <v>26</v>
      </c>
      <c r="L340" s="1">
        <f>_xlfn.XLOOKUP(Table3[[#This Row],[instant]],Table2[instant],Table2[registered], ,0,1)</f>
        <v>92</v>
      </c>
      <c r="M340" s="6">
        <f>_xlfn.XLOOKUP(Table3[[#This Row],[instant]],Table2[instant],Table2[cnt], ,0,1)</f>
        <v>118</v>
      </c>
      <c r="N340" s="6" t="str">
        <f>IF(OR(Table3[[#This Row],[weekday]]=0,Table3[[#This Row],[weekday]]=6),"Weekend","Weekday")</f>
        <v>Weekend</v>
      </c>
    </row>
    <row r="341" spans="1:14" ht="15" thickBot="1" x14ac:dyDescent="0.35">
      <c r="A341" s="5">
        <v>340</v>
      </c>
      <c r="B341" s="3">
        <f>_xlfn.XLOOKUP(Table3[[#This Row],[instant]],DatSet1!A341:A950,DatSet1!B341:B950,_xlfn.XLOOKUP(Table3[[#This Row],[instant]],'Final Data'!A341:A730,'Final Data'!B341:B730, ,0,1),0,1)</f>
        <v>40558</v>
      </c>
      <c r="C341" s="1">
        <f>_xlfn.XLOOKUP(Table3[[#This Row],[instant]],Table1[instant],Table1[hr], ,0,1)</f>
        <v>15</v>
      </c>
      <c r="D341" s="2" t="b">
        <f>_xlfn.XLOOKUP(Table3[[#This Row],[instant]],Table1[instant],Table1[holiday], ,0,1)</f>
        <v>0</v>
      </c>
      <c r="E341" s="2">
        <f>_xlfn.XLOOKUP(Table3[[#This Row],[instant]],Table1[instant],Table1[weekday], ,0,1)</f>
        <v>6</v>
      </c>
      <c r="F341" s="2">
        <f>_xlfn.XLOOKUP(Table3[[#This Row],[instant]],Table1[instant],Table1[weathersit], ,0,1)</f>
        <v>2</v>
      </c>
      <c r="G341" s="2">
        <f>_xlfn.XLOOKUP(Table3[[#This Row],[instant]],Table1[instant],Table1[temp], ,0,1)</f>
        <v>0.32</v>
      </c>
      <c r="H341" s="24">
        <f>_xlfn.XLOOKUP(Table3[[#This Row],[instant]],Table2[instant],Table2[atemp], ,0,1)</f>
        <v>0.31819999999999998</v>
      </c>
      <c r="I341" s="1">
        <f>_xlfn.XLOOKUP(Table3[[#This Row],[instant]],Table2[instant],Table2[hum], ,0,1)</f>
        <v>0.36</v>
      </c>
      <c r="J341" s="1">
        <f>_xlfn.XLOOKUP(Table3[[#This Row],[instant]],Table2[instant],Table2[windspeed], ,0,1)</f>
        <v>0.19400000000000001</v>
      </c>
      <c r="K341" s="1">
        <f>_xlfn.XLOOKUP(Table3[[#This Row],[instant]],Table2[instant],Table2[casual], ,0,1)</f>
        <v>21</v>
      </c>
      <c r="L341" s="1">
        <f>_xlfn.XLOOKUP(Table3[[#This Row],[instant]],Table2[instant],Table2[registered], ,0,1)</f>
        <v>108</v>
      </c>
      <c r="M341" s="6">
        <f>_xlfn.XLOOKUP(Table3[[#This Row],[instant]],Table2[instant],Table2[cnt], ,0,1)</f>
        <v>129</v>
      </c>
      <c r="N341" s="6" t="str">
        <f>IF(OR(Table3[[#This Row],[weekday]]=0,Table3[[#This Row],[weekday]]=6),"Weekend","Weekday")</f>
        <v>Weekend</v>
      </c>
    </row>
    <row r="342" spans="1:14" ht="15" thickBot="1" x14ac:dyDescent="0.35">
      <c r="A342" s="5">
        <v>341</v>
      </c>
      <c r="B342" s="3">
        <f>_xlfn.XLOOKUP(Table3[[#This Row],[instant]],DatSet1!A342:A951,DatSet1!B342:B951,_xlfn.XLOOKUP(Table3[[#This Row],[instant]],'Final Data'!A342:A731,'Final Data'!B342:B731, ,0,1),0,1)</f>
        <v>40558</v>
      </c>
      <c r="C342" s="1">
        <f>_xlfn.XLOOKUP(Table3[[#This Row],[instant]],Table1[instant],Table1[hr], ,0,1)</f>
        <v>16</v>
      </c>
      <c r="D342" s="2" t="b">
        <f>_xlfn.XLOOKUP(Table3[[#This Row],[instant]],Table1[instant],Table1[holiday], ,0,1)</f>
        <v>0</v>
      </c>
      <c r="E342" s="2">
        <f>_xlfn.XLOOKUP(Table3[[#This Row],[instant]],Table1[instant],Table1[weekday], ,0,1)</f>
        <v>6</v>
      </c>
      <c r="F342" s="2">
        <f>_xlfn.XLOOKUP(Table3[[#This Row],[instant]],Table1[instant],Table1[weathersit], ,0,1)</f>
        <v>2</v>
      </c>
      <c r="G342" s="2">
        <f>_xlfn.XLOOKUP(Table3[[#This Row],[instant]],Table1[instant],Table1[temp], ,0,1)</f>
        <v>0.34</v>
      </c>
      <c r="H342" s="24">
        <f>_xlfn.XLOOKUP(Table3[[#This Row],[instant]],Table2[instant],Table2[atemp], ,0,1)</f>
        <v>0.33329999999999999</v>
      </c>
      <c r="I342" s="1">
        <f>_xlfn.XLOOKUP(Table3[[#This Row],[instant]],Table2[instant],Table2[hum], ,0,1)</f>
        <v>0.34</v>
      </c>
      <c r="J342" s="1">
        <f>_xlfn.XLOOKUP(Table3[[#This Row],[instant]],Table2[instant],Table2[windspeed], ,0,1)</f>
        <v>0.19400000000000001</v>
      </c>
      <c r="K342" s="1">
        <f>_xlfn.XLOOKUP(Table3[[#This Row],[instant]],Table2[instant],Table2[casual], ,0,1)</f>
        <v>33</v>
      </c>
      <c r="L342" s="1">
        <f>_xlfn.XLOOKUP(Table3[[#This Row],[instant]],Table2[instant],Table2[registered], ,0,1)</f>
        <v>95</v>
      </c>
      <c r="M342" s="6">
        <f>_xlfn.XLOOKUP(Table3[[#This Row],[instant]],Table2[instant],Table2[cnt], ,0,1)</f>
        <v>128</v>
      </c>
      <c r="N342" s="6" t="str">
        <f>IF(OR(Table3[[#This Row],[weekday]]=0,Table3[[#This Row],[weekday]]=6),"Weekend","Weekday")</f>
        <v>Weekend</v>
      </c>
    </row>
    <row r="343" spans="1:14" ht="15" thickBot="1" x14ac:dyDescent="0.35">
      <c r="A343" s="5">
        <v>342</v>
      </c>
      <c r="B343" s="3">
        <f>_xlfn.XLOOKUP(Table3[[#This Row],[instant]],DatSet1!A343:A952,DatSet1!B343:B952,_xlfn.XLOOKUP(Table3[[#This Row],[instant]],'Final Data'!A343:A732,'Final Data'!B343:B732, ,0,1),0,1)</f>
        <v>40558</v>
      </c>
      <c r="C343" s="1">
        <f>_xlfn.XLOOKUP(Table3[[#This Row],[instant]],Table1[instant],Table1[hr], ,0,1)</f>
        <v>17</v>
      </c>
      <c r="D343" s="2" t="b">
        <f>_xlfn.XLOOKUP(Table3[[#This Row],[instant]],Table1[instant],Table1[holiday], ,0,1)</f>
        <v>0</v>
      </c>
      <c r="E343" s="2">
        <f>_xlfn.XLOOKUP(Table3[[#This Row],[instant]],Table1[instant],Table1[weekday], ,0,1)</f>
        <v>6</v>
      </c>
      <c r="F343" s="2">
        <f>_xlfn.XLOOKUP(Table3[[#This Row],[instant]],Table1[instant],Table1[weathersit], ,0,1)</f>
        <v>2</v>
      </c>
      <c r="G343" s="2">
        <f>_xlfn.XLOOKUP(Table3[[#This Row],[instant]],Table1[instant],Table1[temp], ,0,1)</f>
        <v>0.32</v>
      </c>
      <c r="H343" s="24">
        <f>_xlfn.XLOOKUP(Table3[[#This Row],[instant]],Table2[instant],Table2[atemp], ,0,1)</f>
        <v>0.30299999999999999</v>
      </c>
      <c r="I343" s="1">
        <f>_xlfn.XLOOKUP(Table3[[#This Row],[instant]],Table2[instant],Table2[hum], ,0,1)</f>
        <v>0.36</v>
      </c>
      <c r="J343" s="1">
        <f>_xlfn.XLOOKUP(Table3[[#This Row],[instant]],Table2[instant],Table2[windspeed], ,0,1)</f>
        <v>0.28360000000000002</v>
      </c>
      <c r="K343" s="1">
        <f>_xlfn.XLOOKUP(Table3[[#This Row],[instant]],Table2[instant],Table2[casual], ,0,1)</f>
        <v>29</v>
      </c>
      <c r="L343" s="1">
        <f>_xlfn.XLOOKUP(Table3[[#This Row],[instant]],Table2[instant],Table2[registered], ,0,1)</f>
        <v>54</v>
      </c>
      <c r="M343" s="6">
        <f>_xlfn.XLOOKUP(Table3[[#This Row],[instant]],Table2[instant],Table2[cnt], ,0,1)</f>
        <v>83</v>
      </c>
      <c r="N343" s="6" t="str">
        <f>IF(OR(Table3[[#This Row],[weekday]]=0,Table3[[#This Row],[weekday]]=6),"Weekend","Weekday")</f>
        <v>Weekend</v>
      </c>
    </row>
    <row r="344" spans="1:14" ht="15" thickBot="1" x14ac:dyDescent="0.35">
      <c r="A344" s="5">
        <v>343</v>
      </c>
      <c r="B344" s="3">
        <f>_xlfn.XLOOKUP(Table3[[#This Row],[instant]],DatSet1!A344:A953,DatSet1!B344:B953,_xlfn.XLOOKUP(Table3[[#This Row],[instant]],'Final Data'!A344:A733,'Final Data'!B344:B733, ,0,1),0,1)</f>
        <v>40558</v>
      </c>
      <c r="C344" s="1">
        <f>_xlfn.XLOOKUP(Table3[[#This Row],[instant]],Table1[instant],Table1[hr], ,0,1)</f>
        <v>18</v>
      </c>
      <c r="D344" s="2" t="b">
        <f>_xlfn.XLOOKUP(Table3[[#This Row],[instant]],Table1[instant],Table1[holiday], ,0,1)</f>
        <v>0</v>
      </c>
      <c r="E344" s="2">
        <f>_xlfn.XLOOKUP(Table3[[#This Row],[instant]],Table1[instant],Table1[weekday], ,0,1)</f>
        <v>6</v>
      </c>
      <c r="F344" s="2">
        <f>_xlfn.XLOOKUP(Table3[[#This Row],[instant]],Table1[instant],Table1[weathersit], ,0,1)</f>
        <v>2</v>
      </c>
      <c r="G344" s="2">
        <f>_xlfn.XLOOKUP(Table3[[#This Row],[instant]],Table1[instant],Table1[temp], ,0,1)</f>
        <v>0.3</v>
      </c>
      <c r="H344" s="24">
        <f>_xlfn.XLOOKUP(Table3[[#This Row],[instant]],Table2[instant],Table2[atemp], ,0,1)</f>
        <v>0.28789999999999999</v>
      </c>
      <c r="I344" s="1">
        <f>_xlfn.XLOOKUP(Table3[[#This Row],[instant]],Table2[instant],Table2[hum], ,0,1)</f>
        <v>0.45</v>
      </c>
      <c r="J344" s="1">
        <f>_xlfn.XLOOKUP(Table3[[#This Row],[instant]],Table2[instant],Table2[windspeed], ,0,1)</f>
        <v>0.25369999999999998</v>
      </c>
      <c r="K344" s="1">
        <f>_xlfn.XLOOKUP(Table3[[#This Row],[instant]],Table2[instant],Table2[casual], ,0,1)</f>
        <v>15</v>
      </c>
      <c r="L344" s="1">
        <f>_xlfn.XLOOKUP(Table3[[#This Row],[instant]],Table2[instant],Table2[registered], ,0,1)</f>
        <v>69</v>
      </c>
      <c r="M344" s="6">
        <f>_xlfn.XLOOKUP(Table3[[#This Row],[instant]],Table2[instant],Table2[cnt], ,0,1)</f>
        <v>84</v>
      </c>
      <c r="N344" s="6" t="str">
        <f>IF(OR(Table3[[#This Row],[weekday]]=0,Table3[[#This Row],[weekday]]=6),"Weekend","Weekday")</f>
        <v>Weekend</v>
      </c>
    </row>
    <row r="345" spans="1:14" ht="15" thickBot="1" x14ac:dyDescent="0.35">
      <c r="A345" s="5">
        <v>344</v>
      </c>
      <c r="B345" s="3">
        <f>_xlfn.XLOOKUP(Table3[[#This Row],[instant]],DatSet1!A345:A954,DatSet1!B345:B954,_xlfn.XLOOKUP(Table3[[#This Row],[instant]],'Final Data'!A345:A734,'Final Data'!B345:B734, ,0,1),0,1)</f>
        <v>40558</v>
      </c>
      <c r="C345" s="1">
        <f>_xlfn.XLOOKUP(Table3[[#This Row],[instant]],Table1[instant],Table1[hr], ,0,1)</f>
        <v>19</v>
      </c>
      <c r="D345" s="2" t="b">
        <f>_xlfn.XLOOKUP(Table3[[#This Row],[instant]],Table1[instant],Table1[holiday], ,0,1)</f>
        <v>0</v>
      </c>
      <c r="E345" s="2">
        <f>_xlfn.XLOOKUP(Table3[[#This Row],[instant]],Table1[instant],Table1[weekday], ,0,1)</f>
        <v>6</v>
      </c>
      <c r="F345" s="2">
        <f>_xlfn.XLOOKUP(Table3[[#This Row],[instant]],Table1[instant],Table1[weathersit], ,0,1)</f>
        <v>2</v>
      </c>
      <c r="G345" s="2">
        <f>_xlfn.XLOOKUP(Table3[[#This Row],[instant]],Table1[instant],Table1[temp], ,0,1)</f>
        <v>0.32</v>
      </c>
      <c r="H345" s="24">
        <f>_xlfn.XLOOKUP(Table3[[#This Row],[instant]],Table2[instant],Table2[atemp], ,0,1)</f>
        <v>0.30299999999999999</v>
      </c>
      <c r="I345" s="1">
        <f>_xlfn.XLOOKUP(Table3[[#This Row],[instant]],Table2[instant],Table2[hum], ,0,1)</f>
        <v>0.39</v>
      </c>
      <c r="J345" s="1">
        <f>_xlfn.XLOOKUP(Table3[[#This Row],[instant]],Table2[instant],Table2[windspeed], ,0,1)</f>
        <v>0.25369999999999998</v>
      </c>
      <c r="K345" s="1">
        <f>_xlfn.XLOOKUP(Table3[[#This Row],[instant]],Table2[instant],Table2[casual], ,0,1)</f>
        <v>14</v>
      </c>
      <c r="L345" s="1">
        <f>_xlfn.XLOOKUP(Table3[[#This Row],[instant]],Table2[instant],Table2[registered], ,0,1)</f>
        <v>60</v>
      </c>
      <c r="M345" s="6">
        <f>_xlfn.XLOOKUP(Table3[[#This Row],[instant]],Table2[instant],Table2[cnt], ,0,1)</f>
        <v>74</v>
      </c>
      <c r="N345" s="6" t="str">
        <f>IF(OR(Table3[[#This Row],[weekday]]=0,Table3[[#This Row],[weekday]]=6),"Weekend","Weekday")</f>
        <v>Weekend</v>
      </c>
    </row>
    <row r="346" spans="1:14" ht="15" thickBot="1" x14ac:dyDescent="0.35">
      <c r="A346" s="5">
        <v>345</v>
      </c>
      <c r="B346" s="3">
        <f>_xlfn.XLOOKUP(Table3[[#This Row],[instant]],DatSet1!A346:A955,DatSet1!B346:B955,_xlfn.XLOOKUP(Table3[[#This Row],[instant]],'Final Data'!A346:A735,'Final Data'!B346:B735, ,0,1),0,1)</f>
        <v>40558</v>
      </c>
      <c r="C346" s="1">
        <f>_xlfn.XLOOKUP(Table3[[#This Row],[instant]],Table1[instant],Table1[hr], ,0,1)</f>
        <v>20</v>
      </c>
      <c r="D346" s="2" t="b">
        <f>_xlfn.XLOOKUP(Table3[[#This Row],[instant]],Table1[instant],Table1[holiday], ,0,1)</f>
        <v>0</v>
      </c>
      <c r="E346" s="2">
        <f>_xlfn.XLOOKUP(Table3[[#This Row],[instant]],Table1[instant],Table1[weekday], ,0,1)</f>
        <v>6</v>
      </c>
      <c r="F346" s="2">
        <f>_xlfn.XLOOKUP(Table3[[#This Row],[instant]],Table1[instant],Table1[weathersit], ,0,1)</f>
        <v>2</v>
      </c>
      <c r="G346" s="2">
        <f>_xlfn.XLOOKUP(Table3[[#This Row],[instant]],Table1[instant],Table1[temp], ,0,1)</f>
        <v>0.32</v>
      </c>
      <c r="H346" s="24">
        <f>_xlfn.XLOOKUP(Table3[[#This Row],[instant]],Table2[instant],Table2[atemp], ,0,1)</f>
        <v>0.30299999999999999</v>
      </c>
      <c r="I346" s="1">
        <f>_xlfn.XLOOKUP(Table3[[#This Row],[instant]],Table2[instant],Table2[hum], ,0,1)</f>
        <v>0.39</v>
      </c>
      <c r="J346" s="1">
        <f>_xlfn.XLOOKUP(Table3[[#This Row],[instant]],Table2[instant],Table2[windspeed], ,0,1)</f>
        <v>0.25369999999999998</v>
      </c>
      <c r="K346" s="1">
        <f>_xlfn.XLOOKUP(Table3[[#This Row],[instant]],Table2[instant],Table2[casual], ,0,1)</f>
        <v>6</v>
      </c>
      <c r="L346" s="1">
        <f>_xlfn.XLOOKUP(Table3[[#This Row],[instant]],Table2[instant],Table2[registered], ,0,1)</f>
        <v>35</v>
      </c>
      <c r="M346" s="6">
        <f>_xlfn.XLOOKUP(Table3[[#This Row],[instant]],Table2[instant],Table2[cnt], ,0,1)</f>
        <v>41</v>
      </c>
      <c r="N346" s="6" t="str">
        <f>IF(OR(Table3[[#This Row],[weekday]]=0,Table3[[#This Row],[weekday]]=6),"Weekend","Weekday")</f>
        <v>Weekend</v>
      </c>
    </row>
    <row r="347" spans="1:14" ht="15" thickBot="1" x14ac:dyDescent="0.35">
      <c r="A347" s="5">
        <v>346</v>
      </c>
      <c r="B347" s="3">
        <f>_xlfn.XLOOKUP(Table3[[#This Row],[instant]],DatSet1!A347:A956,DatSet1!B347:B956,_xlfn.XLOOKUP(Table3[[#This Row],[instant]],'Final Data'!A347:A736,'Final Data'!B347:B736, ,0,1),0,1)</f>
        <v>40558</v>
      </c>
      <c r="C347" s="1">
        <f>_xlfn.XLOOKUP(Table3[[#This Row],[instant]],Table1[instant],Table1[hr], ,0,1)</f>
        <v>21</v>
      </c>
      <c r="D347" s="2" t="b">
        <f>_xlfn.XLOOKUP(Table3[[#This Row],[instant]],Table1[instant],Table1[holiday], ,0,1)</f>
        <v>0</v>
      </c>
      <c r="E347" s="2">
        <f>_xlfn.XLOOKUP(Table3[[#This Row],[instant]],Table1[instant],Table1[weekday], ,0,1)</f>
        <v>6</v>
      </c>
      <c r="F347" s="2">
        <f>_xlfn.XLOOKUP(Table3[[#This Row],[instant]],Table1[instant],Table1[weathersit], ,0,1)</f>
        <v>2</v>
      </c>
      <c r="G347" s="2">
        <f>_xlfn.XLOOKUP(Table3[[#This Row],[instant]],Table1[instant],Table1[temp], ,0,1)</f>
        <v>0.32</v>
      </c>
      <c r="H347" s="24">
        <f>_xlfn.XLOOKUP(Table3[[#This Row],[instant]],Table2[instant],Table2[atemp], ,0,1)</f>
        <v>0.30299999999999999</v>
      </c>
      <c r="I347" s="1">
        <f>_xlfn.XLOOKUP(Table3[[#This Row],[instant]],Table2[instant],Table2[hum], ,0,1)</f>
        <v>0.39</v>
      </c>
      <c r="J347" s="1">
        <f>_xlfn.XLOOKUP(Table3[[#This Row],[instant]],Table2[instant],Table2[windspeed], ,0,1)</f>
        <v>0.22389999999999999</v>
      </c>
      <c r="K347" s="1">
        <f>_xlfn.XLOOKUP(Table3[[#This Row],[instant]],Table2[instant],Table2[casual], ,0,1)</f>
        <v>6</v>
      </c>
      <c r="L347" s="1">
        <f>_xlfn.XLOOKUP(Table3[[#This Row],[instant]],Table2[instant],Table2[registered], ,0,1)</f>
        <v>51</v>
      </c>
      <c r="M347" s="6">
        <f>_xlfn.XLOOKUP(Table3[[#This Row],[instant]],Table2[instant],Table2[cnt], ,0,1)</f>
        <v>57</v>
      </c>
      <c r="N347" s="6" t="str">
        <f>IF(OR(Table3[[#This Row],[weekday]]=0,Table3[[#This Row],[weekday]]=6),"Weekend","Weekday")</f>
        <v>Weekend</v>
      </c>
    </row>
    <row r="348" spans="1:14" ht="15" thickBot="1" x14ac:dyDescent="0.35">
      <c r="A348" s="5">
        <v>347</v>
      </c>
      <c r="B348" s="3">
        <f>_xlfn.XLOOKUP(Table3[[#This Row],[instant]],DatSet1!A348:A957,DatSet1!B348:B957,_xlfn.XLOOKUP(Table3[[#This Row],[instant]],'Final Data'!A348:A737,'Final Data'!B348:B737, ,0,1),0,1)</f>
        <v>40558</v>
      </c>
      <c r="C348" s="1">
        <f>_xlfn.XLOOKUP(Table3[[#This Row],[instant]],Table1[instant],Table1[hr], ,0,1)</f>
        <v>22</v>
      </c>
      <c r="D348" s="2" t="b">
        <f>_xlfn.XLOOKUP(Table3[[#This Row],[instant]],Table1[instant],Table1[holiday], ,0,1)</f>
        <v>0</v>
      </c>
      <c r="E348" s="2">
        <f>_xlfn.XLOOKUP(Table3[[#This Row],[instant]],Table1[instant],Table1[weekday], ,0,1)</f>
        <v>6</v>
      </c>
      <c r="F348" s="2">
        <f>_xlfn.XLOOKUP(Table3[[#This Row],[instant]],Table1[instant],Table1[weathersit], ,0,1)</f>
        <v>2</v>
      </c>
      <c r="G348" s="2">
        <f>_xlfn.XLOOKUP(Table3[[#This Row],[instant]],Table1[instant],Table1[temp], ,0,1)</f>
        <v>0.3</v>
      </c>
      <c r="H348" s="24">
        <f>_xlfn.XLOOKUP(Table3[[#This Row],[instant]],Table2[instant],Table2[atemp], ,0,1)</f>
        <v>0.31819999999999998</v>
      </c>
      <c r="I348" s="1">
        <f>_xlfn.XLOOKUP(Table3[[#This Row],[instant]],Table2[instant],Table2[hum], ,0,1)</f>
        <v>0.42</v>
      </c>
      <c r="J348" s="1">
        <f>_xlfn.XLOOKUP(Table3[[#This Row],[instant]],Table2[instant],Table2[windspeed], ,0,1)</f>
        <v>0.1045</v>
      </c>
      <c r="K348" s="1">
        <f>_xlfn.XLOOKUP(Table3[[#This Row],[instant]],Table2[instant],Table2[casual], ,0,1)</f>
        <v>0</v>
      </c>
      <c r="L348" s="1">
        <f>_xlfn.XLOOKUP(Table3[[#This Row],[instant]],Table2[instant],Table2[registered], ,0,1)</f>
        <v>26</v>
      </c>
      <c r="M348" s="6">
        <f>_xlfn.XLOOKUP(Table3[[#This Row],[instant]],Table2[instant],Table2[cnt], ,0,1)</f>
        <v>26</v>
      </c>
      <c r="N348" s="6" t="str">
        <f>IF(OR(Table3[[#This Row],[weekday]]=0,Table3[[#This Row],[weekday]]=6),"Weekend","Weekday")</f>
        <v>Weekend</v>
      </c>
    </row>
    <row r="349" spans="1:14" ht="15" thickBot="1" x14ac:dyDescent="0.35">
      <c r="A349" s="5">
        <v>348</v>
      </c>
      <c r="B349" s="3">
        <f>_xlfn.XLOOKUP(Table3[[#This Row],[instant]],DatSet1!A349:A958,DatSet1!B349:B958,_xlfn.XLOOKUP(Table3[[#This Row],[instant]],'Final Data'!A349:A738,'Final Data'!B349:B738, ,0,1),0,1)</f>
        <v>40558</v>
      </c>
      <c r="C349" s="1">
        <f>_xlfn.XLOOKUP(Table3[[#This Row],[instant]],Table1[instant],Table1[hr], ,0,1)</f>
        <v>23</v>
      </c>
      <c r="D349" s="2" t="b">
        <f>_xlfn.XLOOKUP(Table3[[#This Row],[instant]],Table1[instant],Table1[holiday], ,0,1)</f>
        <v>0</v>
      </c>
      <c r="E349" s="2">
        <f>_xlfn.XLOOKUP(Table3[[#This Row],[instant]],Table1[instant],Table1[weekday], ,0,1)</f>
        <v>6</v>
      </c>
      <c r="F349" s="2">
        <f>_xlfn.XLOOKUP(Table3[[#This Row],[instant]],Table1[instant],Table1[weathersit], ,0,1)</f>
        <v>1</v>
      </c>
      <c r="G349" s="2">
        <f>_xlfn.XLOOKUP(Table3[[#This Row],[instant]],Table1[instant],Table1[temp], ,0,1)</f>
        <v>0.3</v>
      </c>
      <c r="H349" s="24">
        <f>_xlfn.XLOOKUP(Table3[[#This Row],[instant]],Table2[instant],Table2[atemp], ,0,1)</f>
        <v>0.28789999999999999</v>
      </c>
      <c r="I349" s="1">
        <f>_xlfn.XLOOKUP(Table3[[#This Row],[instant]],Table2[instant],Table2[hum], ,0,1)</f>
        <v>0.45</v>
      </c>
      <c r="J349" s="1">
        <f>_xlfn.XLOOKUP(Table3[[#This Row],[instant]],Table2[instant],Table2[windspeed], ,0,1)</f>
        <v>0.28360000000000002</v>
      </c>
      <c r="K349" s="1">
        <f>_xlfn.XLOOKUP(Table3[[#This Row],[instant]],Table2[instant],Table2[casual], ,0,1)</f>
        <v>5</v>
      </c>
      <c r="L349" s="1">
        <f>_xlfn.XLOOKUP(Table3[[#This Row],[instant]],Table2[instant],Table2[registered], ,0,1)</f>
        <v>39</v>
      </c>
      <c r="M349" s="6">
        <f>_xlfn.XLOOKUP(Table3[[#This Row],[instant]],Table2[instant],Table2[cnt], ,0,1)</f>
        <v>44</v>
      </c>
      <c r="N349" s="6" t="str">
        <f>IF(OR(Table3[[#This Row],[weekday]]=0,Table3[[#This Row],[weekday]]=6),"Weekend","Weekday")</f>
        <v>Weekend</v>
      </c>
    </row>
    <row r="350" spans="1:14" ht="15" thickBot="1" x14ac:dyDescent="0.35">
      <c r="A350" s="5">
        <v>349</v>
      </c>
      <c r="B350" s="3">
        <f>_xlfn.XLOOKUP(Table3[[#This Row],[instant]],DatSet1!A350:A959,DatSet1!B350:B959,_xlfn.XLOOKUP(Table3[[#This Row],[instant]],'Final Data'!A350:A739,'Final Data'!B350:B739, ,0,1),0,1)</f>
        <v>40559</v>
      </c>
      <c r="C350" s="1">
        <f>_xlfn.XLOOKUP(Table3[[#This Row],[instant]],Table1[instant],Table1[hr], ,0,1)</f>
        <v>0</v>
      </c>
      <c r="D350" s="2" t="b">
        <f>_xlfn.XLOOKUP(Table3[[#This Row],[instant]],Table1[instant],Table1[holiday], ,0,1)</f>
        <v>0</v>
      </c>
      <c r="E350" s="2">
        <f>_xlfn.XLOOKUP(Table3[[#This Row],[instant]],Table1[instant],Table1[weekday], ,0,1)</f>
        <v>0</v>
      </c>
      <c r="F350" s="2">
        <f>_xlfn.XLOOKUP(Table3[[#This Row],[instant]],Table1[instant],Table1[weathersit], ,0,1)</f>
        <v>1</v>
      </c>
      <c r="G350" s="2">
        <f>_xlfn.XLOOKUP(Table3[[#This Row],[instant]],Table1[instant],Table1[temp], ,0,1)</f>
        <v>0.26</v>
      </c>
      <c r="H350" s="24">
        <f>_xlfn.XLOOKUP(Table3[[#This Row],[instant]],Table2[instant],Table2[atemp], ,0,1)</f>
        <v>0.30299999999999999</v>
      </c>
      <c r="I350" s="1">
        <f>_xlfn.XLOOKUP(Table3[[#This Row],[instant]],Table2[instant],Table2[hum], ,0,1)</f>
        <v>0.56000000000000005</v>
      </c>
      <c r="J350" s="1">
        <f>_xlfn.XLOOKUP(Table3[[#This Row],[instant]],Table2[instant],Table2[windspeed], ,0,1)</f>
        <v>0</v>
      </c>
      <c r="K350" s="1">
        <f>_xlfn.XLOOKUP(Table3[[#This Row],[instant]],Table2[instant],Table2[casual], ,0,1)</f>
        <v>6</v>
      </c>
      <c r="L350" s="1">
        <f>_xlfn.XLOOKUP(Table3[[#This Row],[instant]],Table2[instant],Table2[registered], ,0,1)</f>
        <v>33</v>
      </c>
      <c r="M350" s="6">
        <f>_xlfn.XLOOKUP(Table3[[#This Row],[instant]],Table2[instant],Table2[cnt], ,0,1)</f>
        <v>39</v>
      </c>
      <c r="N350" s="6" t="str">
        <f>IF(OR(Table3[[#This Row],[weekday]]=0,Table3[[#This Row],[weekday]]=6),"Weekend","Weekday")</f>
        <v>Weekend</v>
      </c>
    </row>
    <row r="351" spans="1:14" ht="15" thickBot="1" x14ac:dyDescent="0.35">
      <c r="A351" s="5">
        <v>350</v>
      </c>
      <c r="B351" s="3">
        <f>_xlfn.XLOOKUP(Table3[[#This Row],[instant]],DatSet1!A351:A960,DatSet1!B351:B960,_xlfn.XLOOKUP(Table3[[#This Row],[instant]],'Final Data'!A351:A740,'Final Data'!B351:B740, ,0,1),0,1)</f>
        <v>40559</v>
      </c>
      <c r="C351" s="1">
        <f>_xlfn.XLOOKUP(Table3[[#This Row],[instant]],Table1[instant],Table1[hr], ,0,1)</f>
        <v>1</v>
      </c>
      <c r="D351" s="2" t="b">
        <f>_xlfn.XLOOKUP(Table3[[#This Row],[instant]],Table1[instant],Table1[holiday], ,0,1)</f>
        <v>0</v>
      </c>
      <c r="E351" s="2">
        <f>_xlfn.XLOOKUP(Table3[[#This Row],[instant]],Table1[instant],Table1[weekday], ,0,1)</f>
        <v>0</v>
      </c>
      <c r="F351" s="2">
        <f>_xlfn.XLOOKUP(Table3[[#This Row],[instant]],Table1[instant],Table1[weathersit], ,0,1)</f>
        <v>1</v>
      </c>
      <c r="G351" s="2">
        <f>_xlfn.XLOOKUP(Table3[[#This Row],[instant]],Table1[instant],Table1[temp], ,0,1)</f>
        <v>0.26</v>
      </c>
      <c r="H351" s="24">
        <f>_xlfn.XLOOKUP(Table3[[#This Row],[instant]],Table2[instant],Table2[atemp], ,0,1)</f>
        <v>0.2727</v>
      </c>
      <c r="I351" s="1">
        <f>_xlfn.XLOOKUP(Table3[[#This Row],[instant]],Table2[instant],Table2[hum], ,0,1)</f>
        <v>0.56000000000000005</v>
      </c>
      <c r="J351" s="1">
        <f>_xlfn.XLOOKUP(Table3[[#This Row],[instant]],Table2[instant],Table2[windspeed], ,0,1)</f>
        <v>0.1343</v>
      </c>
      <c r="K351" s="1">
        <f>_xlfn.XLOOKUP(Table3[[#This Row],[instant]],Table2[instant],Table2[casual], ,0,1)</f>
        <v>4</v>
      </c>
      <c r="L351" s="1">
        <f>_xlfn.XLOOKUP(Table3[[#This Row],[instant]],Table2[instant],Table2[registered], ,0,1)</f>
        <v>19</v>
      </c>
      <c r="M351" s="6">
        <f>_xlfn.XLOOKUP(Table3[[#This Row],[instant]],Table2[instant],Table2[cnt], ,0,1)</f>
        <v>23</v>
      </c>
      <c r="N351" s="6" t="str">
        <f>IF(OR(Table3[[#This Row],[weekday]]=0,Table3[[#This Row],[weekday]]=6),"Weekend","Weekday")</f>
        <v>Weekend</v>
      </c>
    </row>
    <row r="352" spans="1:14" ht="15" thickBot="1" x14ac:dyDescent="0.35">
      <c r="A352" s="5">
        <v>351</v>
      </c>
      <c r="B352" s="3">
        <f>_xlfn.XLOOKUP(Table3[[#This Row],[instant]],DatSet1!A352:A961,DatSet1!B352:B961,_xlfn.XLOOKUP(Table3[[#This Row],[instant]],'Final Data'!A352:A741,'Final Data'!B352:B741, ,0,1),0,1)</f>
        <v>40559</v>
      </c>
      <c r="C352" s="1">
        <f>_xlfn.XLOOKUP(Table3[[#This Row],[instant]],Table1[instant],Table1[hr], ,0,1)</f>
        <v>2</v>
      </c>
      <c r="D352" s="2" t="b">
        <f>_xlfn.XLOOKUP(Table3[[#This Row],[instant]],Table1[instant],Table1[holiday], ,0,1)</f>
        <v>0</v>
      </c>
      <c r="E352" s="2">
        <f>_xlfn.XLOOKUP(Table3[[#This Row],[instant]],Table1[instant],Table1[weekday], ,0,1)</f>
        <v>0</v>
      </c>
      <c r="F352" s="2">
        <f>_xlfn.XLOOKUP(Table3[[#This Row],[instant]],Table1[instant],Table1[weathersit], ,0,1)</f>
        <v>1</v>
      </c>
      <c r="G352" s="2">
        <f>_xlfn.XLOOKUP(Table3[[#This Row],[instant]],Table1[instant],Table1[temp], ,0,1)</f>
        <v>0.26</v>
      </c>
      <c r="H352" s="24">
        <f>_xlfn.XLOOKUP(Table3[[#This Row],[instant]],Table2[instant],Table2[atemp], ,0,1)</f>
        <v>0.28789999999999999</v>
      </c>
      <c r="I352" s="1">
        <f>_xlfn.XLOOKUP(Table3[[#This Row],[instant]],Table2[instant],Table2[hum], ,0,1)</f>
        <v>0.56000000000000005</v>
      </c>
      <c r="J352" s="1">
        <f>_xlfn.XLOOKUP(Table3[[#This Row],[instant]],Table2[instant],Table2[windspeed], ,0,1)</f>
        <v>8.9599999999999999E-2</v>
      </c>
      <c r="K352" s="1">
        <f>_xlfn.XLOOKUP(Table3[[#This Row],[instant]],Table2[instant],Table2[casual], ,0,1)</f>
        <v>3</v>
      </c>
      <c r="L352" s="1">
        <f>_xlfn.XLOOKUP(Table3[[#This Row],[instant]],Table2[instant],Table2[registered], ,0,1)</f>
        <v>13</v>
      </c>
      <c r="M352" s="6">
        <f>_xlfn.XLOOKUP(Table3[[#This Row],[instant]],Table2[instant],Table2[cnt], ,0,1)</f>
        <v>16</v>
      </c>
      <c r="N352" s="6" t="str">
        <f>IF(OR(Table3[[#This Row],[weekday]]=0,Table3[[#This Row],[weekday]]=6),"Weekend","Weekday")</f>
        <v>Weekend</v>
      </c>
    </row>
    <row r="353" spans="1:14" ht="15" thickBot="1" x14ac:dyDescent="0.35">
      <c r="A353" s="5">
        <v>352</v>
      </c>
      <c r="B353" s="3">
        <f>_xlfn.XLOOKUP(Table3[[#This Row],[instant]],DatSet1!A353:A962,DatSet1!B353:B962,_xlfn.XLOOKUP(Table3[[#This Row],[instant]],'Final Data'!A353:A742,'Final Data'!B353:B742, ,0,1),0,1)</f>
        <v>40559</v>
      </c>
      <c r="C353" s="1">
        <f>_xlfn.XLOOKUP(Table3[[#This Row],[instant]],Table1[instant],Table1[hr], ,0,1)</f>
        <v>3</v>
      </c>
      <c r="D353" s="2" t="b">
        <f>_xlfn.XLOOKUP(Table3[[#This Row],[instant]],Table1[instant],Table1[holiday], ,0,1)</f>
        <v>0</v>
      </c>
      <c r="E353" s="2">
        <f>_xlfn.XLOOKUP(Table3[[#This Row],[instant]],Table1[instant],Table1[weekday], ,0,1)</f>
        <v>0</v>
      </c>
      <c r="F353" s="2">
        <f>_xlfn.XLOOKUP(Table3[[#This Row],[instant]],Table1[instant],Table1[weathersit], ,0,1)</f>
        <v>1</v>
      </c>
      <c r="G353" s="2">
        <f>_xlfn.XLOOKUP(Table3[[#This Row],[instant]],Table1[instant],Table1[temp], ,0,1)</f>
        <v>0.22</v>
      </c>
      <c r="H353" s="24">
        <f>_xlfn.XLOOKUP(Table3[[#This Row],[instant]],Table2[instant],Table2[atemp], ,0,1)</f>
        <v>0.2727</v>
      </c>
      <c r="I353" s="1">
        <f>_xlfn.XLOOKUP(Table3[[#This Row],[instant]],Table2[instant],Table2[hum], ,0,1)</f>
        <v>0.69</v>
      </c>
      <c r="J353" s="1">
        <f>_xlfn.XLOOKUP(Table3[[#This Row],[instant]],Table2[instant],Table2[windspeed], ,0,1)</f>
        <v>0</v>
      </c>
      <c r="K353" s="1">
        <f>_xlfn.XLOOKUP(Table3[[#This Row],[instant]],Table2[instant],Table2[casual], ,0,1)</f>
        <v>9</v>
      </c>
      <c r="L353" s="1">
        <f>_xlfn.XLOOKUP(Table3[[#This Row],[instant]],Table2[instant],Table2[registered], ,0,1)</f>
        <v>6</v>
      </c>
      <c r="M353" s="6">
        <f>_xlfn.XLOOKUP(Table3[[#This Row],[instant]],Table2[instant],Table2[cnt], ,0,1)</f>
        <v>15</v>
      </c>
      <c r="N353" s="6" t="str">
        <f>IF(OR(Table3[[#This Row],[weekday]]=0,Table3[[#This Row],[weekday]]=6),"Weekend","Weekday")</f>
        <v>Weekend</v>
      </c>
    </row>
    <row r="354" spans="1:14" ht="15" thickBot="1" x14ac:dyDescent="0.35">
      <c r="A354" s="5">
        <v>353</v>
      </c>
      <c r="B354" s="3">
        <f>_xlfn.XLOOKUP(Table3[[#This Row],[instant]],DatSet1!A354:A963,DatSet1!B354:B963,_xlfn.XLOOKUP(Table3[[#This Row],[instant]],'Final Data'!A354:A743,'Final Data'!B354:B743, ,0,1),0,1)</f>
        <v>40559</v>
      </c>
      <c r="C354" s="1">
        <f>_xlfn.XLOOKUP(Table3[[#This Row],[instant]],Table1[instant],Table1[hr], ,0,1)</f>
        <v>4</v>
      </c>
      <c r="D354" s="2" t="b">
        <f>_xlfn.XLOOKUP(Table3[[#This Row],[instant]],Table1[instant],Table1[holiday], ,0,1)</f>
        <v>0</v>
      </c>
      <c r="E354" s="2">
        <f>_xlfn.XLOOKUP(Table3[[#This Row],[instant]],Table1[instant],Table1[weekday], ,0,1)</f>
        <v>0</v>
      </c>
      <c r="F354" s="2">
        <f>_xlfn.XLOOKUP(Table3[[#This Row],[instant]],Table1[instant],Table1[weathersit], ,0,1)</f>
        <v>1</v>
      </c>
      <c r="G354" s="2">
        <f>_xlfn.XLOOKUP(Table3[[#This Row],[instant]],Table1[instant],Table1[temp], ,0,1)</f>
        <v>0.26</v>
      </c>
      <c r="H354" s="24">
        <f>_xlfn.XLOOKUP(Table3[[#This Row],[instant]],Table2[instant],Table2[atemp], ,0,1)</f>
        <v>0.2576</v>
      </c>
      <c r="I354" s="1">
        <f>_xlfn.XLOOKUP(Table3[[#This Row],[instant]],Table2[instant],Table2[hum], ,0,1)</f>
        <v>0.56000000000000005</v>
      </c>
      <c r="J354" s="1">
        <f>_xlfn.XLOOKUP(Table3[[#This Row],[instant]],Table2[instant],Table2[windspeed], ,0,1)</f>
        <v>0.16420000000000001</v>
      </c>
      <c r="K354" s="1">
        <f>_xlfn.XLOOKUP(Table3[[#This Row],[instant]],Table2[instant],Table2[casual], ,0,1)</f>
        <v>0</v>
      </c>
      <c r="L354" s="1">
        <f>_xlfn.XLOOKUP(Table3[[#This Row],[instant]],Table2[instant],Table2[registered], ,0,1)</f>
        <v>1</v>
      </c>
      <c r="M354" s="6">
        <f>_xlfn.XLOOKUP(Table3[[#This Row],[instant]],Table2[instant],Table2[cnt], ,0,1)</f>
        <v>1</v>
      </c>
      <c r="N354" s="6" t="str">
        <f>IF(OR(Table3[[#This Row],[weekday]]=0,Table3[[#This Row],[weekday]]=6),"Weekend","Weekday")</f>
        <v>Weekend</v>
      </c>
    </row>
    <row r="355" spans="1:14" ht="15" thickBot="1" x14ac:dyDescent="0.35">
      <c r="A355" s="5">
        <v>354</v>
      </c>
      <c r="B355" s="3">
        <f>_xlfn.XLOOKUP(Table3[[#This Row],[instant]],DatSet1!A355:A964,DatSet1!B355:B964,_xlfn.XLOOKUP(Table3[[#This Row],[instant]],'Final Data'!A355:A744,'Final Data'!B355:B744, ,0,1),0,1)</f>
        <v>40559</v>
      </c>
      <c r="C355" s="1">
        <f>_xlfn.XLOOKUP(Table3[[#This Row],[instant]],Table1[instant],Table1[hr], ,0,1)</f>
        <v>5</v>
      </c>
      <c r="D355" s="2" t="b">
        <f>_xlfn.XLOOKUP(Table3[[#This Row],[instant]],Table1[instant],Table1[holiday], ,0,1)</f>
        <v>0</v>
      </c>
      <c r="E355" s="2">
        <f>_xlfn.XLOOKUP(Table3[[#This Row],[instant]],Table1[instant],Table1[weekday], ,0,1)</f>
        <v>0</v>
      </c>
      <c r="F355" s="2">
        <f>_xlfn.XLOOKUP(Table3[[#This Row],[instant]],Table1[instant],Table1[weathersit], ,0,1)</f>
        <v>2</v>
      </c>
      <c r="G355" s="2">
        <f>_xlfn.XLOOKUP(Table3[[#This Row],[instant]],Table1[instant],Table1[temp], ,0,1)</f>
        <v>0.26</v>
      </c>
      <c r="H355" s="24">
        <f>_xlfn.XLOOKUP(Table3[[#This Row],[instant]],Table2[instant],Table2[atemp], ,0,1)</f>
        <v>0.2576</v>
      </c>
      <c r="I355" s="1">
        <f>_xlfn.XLOOKUP(Table3[[#This Row],[instant]],Table2[instant],Table2[hum], ,0,1)</f>
        <v>0.56000000000000005</v>
      </c>
      <c r="J355" s="1">
        <f>_xlfn.XLOOKUP(Table3[[#This Row],[instant]],Table2[instant],Table2[windspeed], ,0,1)</f>
        <v>0.16420000000000001</v>
      </c>
      <c r="K355" s="1">
        <f>_xlfn.XLOOKUP(Table3[[#This Row],[instant]],Table2[instant],Table2[casual], ,0,1)</f>
        <v>1</v>
      </c>
      <c r="L355" s="1">
        <f>_xlfn.XLOOKUP(Table3[[#This Row],[instant]],Table2[instant],Table2[registered], ,0,1)</f>
        <v>1</v>
      </c>
      <c r="M355" s="6">
        <f>_xlfn.XLOOKUP(Table3[[#This Row],[instant]],Table2[instant],Table2[cnt], ,0,1)</f>
        <v>2</v>
      </c>
      <c r="N355" s="6" t="str">
        <f>IF(OR(Table3[[#This Row],[weekday]]=0,Table3[[#This Row],[weekday]]=6),"Weekend","Weekday")</f>
        <v>Weekend</v>
      </c>
    </row>
    <row r="356" spans="1:14" ht="15" thickBot="1" x14ac:dyDescent="0.35">
      <c r="A356" s="5">
        <v>355</v>
      </c>
      <c r="B356" s="3">
        <f>_xlfn.XLOOKUP(Table3[[#This Row],[instant]],DatSet1!A356:A965,DatSet1!B356:B965,_xlfn.XLOOKUP(Table3[[#This Row],[instant]],'Final Data'!A356:A745,'Final Data'!B356:B745, ,0,1),0,1)</f>
        <v>40559</v>
      </c>
      <c r="C356" s="1">
        <f>_xlfn.XLOOKUP(Table3[[#This Row],[instant]],Table1[instant],Table1[hr], ,0,1)</f>
        <v>6</v>
      </c>
      <c r="D356" s="2" t="b">
        <f>_xlfn.XLOOKUP(Table3[[#This Row],[instant]],Table1[instant],Table1[holiday], ,0,1)</f>
        <v>0</v>
      </c>
      <c r="E356" s="2">
        <f>_xlfn.XLOOKUP(Table3[[#This Row],[instant]],Table1[instant],Table1[weekday], ,0,1)</f>
        <v>0</v>
      </c>
      <c r="F356" s="2">
        <f>_xlfn.XLOOKUP(Table3[[#This Row],[instant]],Table1[instant],Table1[weathersit], ,0,1)</f>
        <v>2</v>
      </c>
      <c r="G356" s="2">
        <f>_xlfn.XLOOKUP(Table3[[#This Row],[instant]],Table1[instant],Table1[temp], ,0,1)</f>
        <v>0.26</v>
      </c>
      <c r="H356" s="24">
        <f>_xlfn.XLOOKUP(Table3[[#This Row],[instant]],Table2[instant],Table2[atemp], ,0,1)</f>
        <v>0.2576</v>
      </c>
      <c r="I356" s="1">
        <f>_xlfn.XLOOKUP(Table3[[#This Row],[instant]],Table2[instant],Table2[hum], ,0,1)</f>
        <v>0.56000000000000005</v>
      </c>
      <c r="J356" s="1">
        <f>_xlfn.XLOOKUP(Table3[[#This Row],[instant]],Table2[instant],Table2[windspeed], ,0,1)</f>
        <v>0.16420000000000001</v>
      </c>
      <c r="K356" s="1">
        <f>_xlfn.XLOOKUP(Table3[[#This Row],[instant]],Table2[instant],Table2[casual], ,0,1)</f>
        <v>0</v>
      </c>
      <c r="L356" s="1">
        <f>_xlfn.XLOOKUP(Table3[[#This Row],[instant]],Table2[instant],Table2[registered], ,0,1)</f>
        <v>1</v>
      </c>
      <c r="M356" s="6">
        <f>_xlfn.XLOOKUP(Table3[[#This Row],[instant]],Table2[instant],Table2[cnt], ,0,1)</f>
        <v>1</v>
      </c>
      <c r="N356" s="6" t="str">
        <f>IF(OR(Table3[[#This Row],[weekday]]=0,Table3[[#This Row],[weekday]]=6),"Weekend","Weekday")</f>
        <v>Weekend</v>
      </c>
    </row>
    <row r="357" spans="1:14" ht="15" thickBot="1" x14ac:dyDescent="0.35">
      <c r="A357" s="5">
        <v>356</v>
      </c>
      <c r="B357" s="3">
        <f>_xlfn.XLOOKUP(Table3[[#This Row],[instant]],DatSet1!A357:A966,DatSet1!B357:B966,_xlfn.XLOOKUP(Table3[[#This Row],[instant]],'Final Data'!A357:A746,'Final Data'!B357:B746, ,0,1),0,1)</f>
        <v>40559</v>
      </c>
      <c r="C357" s="1">
        <f>_xlfn.XLOOKUP(Table3[[#This Row],[instant]],Table1[instant],Table1[hr], ,0,1)</f>
        <v>7</v>
      </c>
      <c r="D357" s="2" t="b">
        <f>_xlfn.XLOOKUP(Table3[[#This Row],[instant]],Table1[instant],Table1[holiday], ,0,1)</f>
        <v>0</v>
      </c>
      <c r="E357" s="2">
        <f>_xlfn.XLOOKUP(Table3[[#This Row],[instant]],Table1[instant],Table1[weekday], ,0,1)</f>
        <v>0</v>
      </c>
      <c r="F357" s="2">
        <f>_xlfn.XLOOKUP(Table3[[#This Row],[instant]],Table1[instant],Table1[weathersit], ,0,1)</f>
        <v>2</v>
      </c>
      <c r="G357" s="2">
        <f>_xlfn.XLOOKUP(Table3[[#This Row],[instant]],Table1[instant],Table1[temp], ,0,1)</f>
        <v>0.24</v>
      </c>
      <c r="H357" s="24">
        <f>_xlfn.XLOOKUP(Table3[[#This Row],[instant]],Table2[instant],Table2[atemp], ,0,1)</f>
        <v>0.21210000000000001</v>
      </c>
      <c r="I357" s="1">
        <f>_xlfn.XLOOKUP(Table3[[#This Row],[instant]],Table2[instant],Table2[hum], ,0,1)</f>
        <v>0.56000000000000005</v>
      </c>
      <c r="J357" s="1">
        <f>_xlfn.XLOOKUP(Table3[[#This Row],[instant]],Table2[instant],Table2[windspeed], ,0,1)</f>
        <v>0.29849999999999999</v>
      </c>
      <c r="K357" s="1">
        <f>_xlfn.XLOOKUP(Table3[[#This Row],[instant]],Table2[instant],Table2[casual], ,0,1)</f>
        <v>0</v>
      </c>
      <c r="L357" s="1">
        <f>_xlfn.XLOOKUP(Table3[[#This Row],[instant]],Table2[instant],Table2[registered], ,0,1)</f>
        <v>3</v>
      </c>
      <c r="M357" s="6">
        <f>_xlfn.XLOOKUP(Table3[[#This Row],[instant]],Table2[instant],Table2[cnt], ,0,1)</f>
        <v>3</v>
      </c>
      <c r="N357" s="6" t="str">
        <f>IF(OR(Table3[[#This Row],[weekday]]=0,Table3[[#This Row],[weekday]]=6),"Weekend","Weekday")</f>
        <v>Weekend</v>
      </c>
    </row>
    <row r="358" spans="1:14" ht="15" thickBot="1" x14ac:dyDescent="0.35">
      <c r="A358" s="5">
        <v>357</v>
      </c>
      <c r="B358" s="3">
        <f>_xlfn.XLOOKUP(Table3[[#This Row],[instant]],DatSet1!A358:A967,DatSet1!B358:B967,_xlfn.XLOOKUP(Table3[[#This Row],[instant]],'Final Data'!A358:A747,'Final Data'!B358:B747, ,0,1),0,1)</f>
        <v>40559</v>
      </c>
      <c r="C358" s="1">
        <f>_xlfn.XLOOKUP(Table3[[#This Row],[instant]],Table1[instant],Table1[hr], ,0,1)</f>
        <v>8</v>
      </c>
      <c r="D358" s="2" t="b">
        <f>_xlfn.XLOOKUP(Table3[[#This Row],[instant]],Table1[instant],Table1[holiday], ,0,1)</f>
        <v>0</v>
      </c>
      <c r="E358" s="2">
        <f>_xlfn.XLOOKUP(Table3[[#This Row],[instant]],Table1[instant],Table1[weekday], ,0,1)</f>
        <v>0</v>
      </c>
      <c r="F358" s="2">
        <f>_xlfn.XLOOKUP(Table3[[#This Row],[instant]],Table1[instant],Table1[weathersit], ,0,1)</f>
        <v>1</v>
      </c>
      <c r="G358" s="2">
        <f>_xlfn.XLOOKUP(Table3[[#This Row],[instant]],Table1[instant],Table1[temp], ,0,1)</f>
        <v>0.22</v>
      </c>
      <c r="H358" s="24">
        <f>_xlfn.XLOOKUP(Table3[[#This Row],[instant]],Table2[instant],Table2[atemp], ,0,1)</f>
        <v>0.21210000000000001</v>
      </c>
      <c r="I358" s="1">
        <f>_xlfn.XLOOKUP(Table3[[#This Row],[instant]],Table2[instant],Table2[hum], ,0,1)</f>
        <v>0.55000000000000004</v>
      </c>
      <c r="J358" s="1">
        <f>_xlfn.XLOOKUP(Table3[[#This Row],[instant]],Table2[instant],Table2[windspeed], ,0,1)</f>
        <v>0.28360000000000002</v>
      </c>
      <c r="K358" s="1">
        <f>_xlfn.XLOOKUP(Table3[[#This Row],[instant]],Table2[instant],Table2[casual], ,0,1)</f>
        <v>0</v>
      </c>
      <c r="L358" s="1">
        <f>_xlfn.XLOOKUP(Table3[[#This Row],[instant]],Table2[instant],Table2[registered], ,0,1)</f>
        <v>18</v>
      </c>
      <c r="M358" s="6">
        <f>_xlfn.XLOOKUP(Table3[[#This Row],[instant]],Table2[instant],Table2[cnt], ,0,1)</f>
        <v>18</v>
      </c>
      <c r="N358" s="6" t="str">
        <f>IF(OR(Table3[[#This Row],[weekday]]=0,Table3[[#This Row],[weekday]]=6),"Weekend","Weekday")</f>
        <v>Weekend</v>
      </c>
    </row>
    <row r="359" spans="1:14" ht="15" thickBot="1" x14ac:dyDescent="0.35">
      <c r="A359" s="5">
        <v>358</v>
      </c>
      <c r="B359" s="3">
        <f>_xlfn.XLOOKUP(Table3[[#This Row],[instant]],DatSet1!A359:A968,DatSet1!B359:B968,_xlfn.XLOOKUP(Table3[[#This Row],[instant]],'Final Data'!A359:A748,'Final Data'!B359:B748, ,0,1),0,1)</f>
        <v>40559</v>
      </c>
      <c r="C359" s="1">
        <f>_xlfn.XLOOKUP(Table3[[#This Row],[instant]],Table1[instant],Table1[hr], ,0,1)</f>
        <v>9</v>
      </c>
      <c r="D359" s="2" t="b">
        <f>_xlfn.XLOOKUP(Table3[[#This Row],[instant]],Table1[instant],Table1[holiday], ,0,1)</f>
        <v>0</v>
      </c>
      <c r="E359" s="2">
        <f>_xlfn.XLOOKUP(Table3[[#This Row],[instant]],Table1[instant],Table1[weekday], ,0,1)</f>
        <v>0</v>
      </c>
      <c r="F359" s="2">
        <f>_xlfn.XLOOKUP(Table3[[#This Row],[instant]],Table1[instant],Table1[weathersit], ,0,1)</f>
        <v>1</v>
      </c>
      <c r="G359" s="2">
        <f>_xlfn.XLOOKUP(Table3[[#This Row],[instant]],Table1[instant],Table1[temp], ,0,1)</f>
        <v>0.22</v>
      </c>
      <c r="H359" s="24">
        <f>_xlfn.XLOOKUP(Table3[[#This Row],[instant]],Table2[instant],Table2[atemp], ,0,1)</f>
        <v>0.21210000000000001</v>
      </c>
      <c r="I359" s="1">
        <f>_xlfn.XLOOKUP(Table3[[#This Row],[instant]],Table2[instant],Table2[hum], ,0,1)</f>
        <v>0.51</v>
      </c>
      <c r="J359" s="1">
        <f>_xlfn.XLOOKUP(Table3[[#This Row],[instant]],Table2[instant],Table2[windspeed], ,0,1)</f>
        <v>0.25369999999999998</v>
      </c>
      <c r="K359" s="1">
        <f>_xlfn.XLOOKUP(Table3[[#This Row],[instant]],Table2[instant],Table2[casual], ,0,1)</f>
        <v>3</v>
      </c>
      <c r="L359" s="1">
        <f>_xlfn.XLOOKUP(Table3[[#This Row],[instant]],Table2[instant],Table2[registered], ,0,1)</f>
        <v>29</v>
      </c>
      <c r="M359" s="6">
        <f>_xlfn.XLOOKUP(Table3[[#This Row],[instant]],Table2[instant],Table2[cnt], ,0,1)</f>
        <v>32</v>
      </c>
      <c r="N359" s="6" t="str">
        <f>IF(OR(Table3[[#This Row],[weekday]]=0,Table3[[#This Row],[weekday]]=6),"Weekend","Weekday")</f>
        <v>Weekend</v>
      </c>
    </row>
    <row r="360" spans="1:14" ht="15" thickBot="1" x14ac:dyDescent="0.35">
      <c r="A360" s="5">
        <v>359</v>
      </c>
      <c r="B360" s="3">
        <f>_xlfn.XLOOKUP(Table3[[#This Row],[instant]],DatSet1!A360:A969,DatSet1!B360:B969,_xlfn.XLOOKUP(Table3[[#This Row],[instant]],'Final Data'!A360:A749,'Final Data'!B360:B749, ,0,1),0,1)</f>
        <v>40559</v>
      </c>
      <c r="C360" s="1">
        <f>_xlfn.XLOOKUP(Table3[[#This Row],[instant]],Table1[instant],Table1[hr], ,0,1)</f>
        <v>10</v>
      </c>
      <c r="D360" s="2" t="b">
        <f>_xlfn.XLOOKUP(Table3[[#This Row],[instant]],Table1[instant],Table1[holiday], ,0,1)</f>
        <v>0</v>
      </c>
      <c r="E360" s="2">
        <f>_xlfn.XLOOKUP(Table3[[#This Row],[instant]],Table1[instant],Table1[weekday], ,0,1)</f>
        <v>0</v>
      </c>
      <c r="F360" s="2">
        <f>_xlfn.XLOOKUP(Table3[[#This Row],[instant]],Table1[instant],Table1[weathersit], ,0,1)</f>
        <v>1</v>
      </c>
      <c r="G360" s="2">
        <f>_xlfn.XLOOKUP(Table3[[#This Row],[instant]],Table1[instant],Table1[temp], ,0,1)</f>
        <v>0.22</v>
      </c>
      <c r="H360" s="24">
        <f>_xlfn.XLOOKUP(Table3[[#This Row],[instant]],Table2[instant],Table2[atemp], ,0,1)</f>
        <v>0.21210000000000001</v>
      </c>
      <c r="I360" s="1">
        <f>_xlfn.XLOOKUP(Table3[[#This Row],[instant]],Table2[instant],Table2[hum], ,0,1)</f>
        <v>0.51</v>
      </c>
      <c r="J360" s="1">
        <f>_xlfn.XLOOKUP(Table3[[#This Row],[instant]],Table2[instant],Table2[windspeed], ,0,1)</f>
        <v>0.28360000000000002</v>
      </c>
      <c r="K360" s="1">
        <f>_xlfn.XLOOKUP(Table3[[#This Row],[instant]],Table2[instant],Table2[casual], ,0,1)</f>
        <v>8</v>
      </c>
      <c r="L360" s="1">
        <f>_xlfn.XLOOKUP(Table3[[#This Row],[instant]],Table2[instant],Table2[registered], ,0,1)</f>
        <v>71</v>
      </c>
      <c r="M360" s="6">
        <f>_xlfn.XLOOKUP(Table3[[#This Row],[instant]],Table2[instant],Table2[cnt], ,0,1)</f>
        <v>79</v>
      </c>
      <c r="N360" s="6" t="str">
        <f>IF(OR(Table3[[#This Row],[weekday]]=0,Table3[[#This Row],[weekday]]=6),"Weekend","Weekday")</f>
        <v>Weekend</v>
      </c>
    </row>
    <row r="361" spans="1:14" ht="15" thickBot="1" x14ac:dyDescent="0.35">
      <c r="A361" s="5">
        <v>360</v>
      </c>
      <c r="B361" s="3">
        <f>_xlfn.XLOOKUP(Table3[[#This Row],[instant]],DatSet1!A361:A970,DatSet1!B361:B970,_xlfn.XLOOKUP(Table3[[#This Row],[instant]],'Final Data'!A361:A750,'Final Data'!B361:B750, ,0,1),0,1)</f>
        <v>40559</v>
      </c>
      <c r="C361" s="1">
        <f>_xlfn.XLOOKUP(Table3[[#This Row],[instant]],Table1[instant],Table1[hr], ,0,1)</f>
        <v>11</v>
      </c>
      <c r="D361" s="2" t="b">
        <f>_xlfn.XLOOKUP(Table3[[#This Row],[instant]],Table1[instant],Table1[holiday], ,0,1)</f>
        <v>0</v>
      </c>
      <c r="E361" s="2">
        <f>_xlfn.XLOOKUP(Table3[[#This Row],[instant]],Table1[instant],Table1[weekday], ,0,1)</f>
        <v>0</v>
      </c>
      <c r="F361" s="2">
        <f>_xlfn.XLOOKUP(Table3[[#This Row],[instant]],Table1[instant],Table1[weathersit], ,0,1)</f>
        <v>1</v>
      </c>
      <c r="G361" s="2">
        <f>_xlfn.XLOOKUP(Table3[[#This Row],[instant]],Table1[instant],Table1[temp], ,0,1)</f>
        <v>0.24</v>
      </c>
      <c r="H361" s="24">
        <f>_xlfn.XLOOKUP(Table3[[#This Row],[instant]],Table2[instant],Table2[atemp], ,0,1)</f>
        <v>0.2273</v>
      </c>
      <c r="I361" s="1">
        <f>_xlfn.XLOOKUP(Table3[[#This Row],[instant]],Table2[instant],Table2[hum], ,0,1)</f>
        <v>0.44</v>
      </c>
      <c r="J361" s="1">
        <f>_xlfn.XLOOKUP(Table3[[#This Row],[instant]],Table2[instant],Table2[windspeed], ,0,1)</f>
        <v>0.25369999999999998</v>
      </c>
      <c r="K361" s="1">
        <f>_xlfn.XLOOKUP(Table3[[#This Row],[instant]],Table2[instant],Table2[casual], ,0,1)</f>
        <v>23</v>
      </c>
      <c r="L361" s="1">
        <f>_xlfn.XLOOKUP(Table3[[#This Row],[instant]],Table2[instant],Table2[registered], ,0,1)</f>
        <v>70</v>
      </c>
      <c r="M361" s="6">
        <f>_xlfn.XLOOKUP(Table3[[#This Row],[instant]],Table2[instant],Table2[cnt], ,0,1)</f>
        <v>93</v>
      </c>
      <c r="N361" s="6" t="str">
        <f>IF(OR(Table3[[#This Row],[weekday]]=0,Table3[[#This Row],[weekday]]=6),"Weekend","Weekday")</f>
        <v>Weekend</v>
      </c>
    </row>
    <row r="362" spans="1:14" ht="15" thickBot="1" x14ac:dyDescent="0.35">
      <c r="A362" s="5">
        <v>361</v>
      </c>
      <c r="B362" s="3">
        <f>_xlfn.XLOOKUP(Table3[[#This Row],[instant]],DatSet1!A362:A971,DatSet1!B362:B971,_xlfn.XLOOKUP(Table3[[#This Row],[instant]],'Final Data'!A362:A751,'Final Data'!B362:B751, ,0,1),0,1)</f>
        <v>40559</v>
      </c>
      <c r="C362" s="1">
        <f>_xlfn.XLOOKUP(Table3[[#This Row],[instant]],Table1[instant],Table1[hr], ,0,1)</f>
        <v>12</v>
      </c>
      <c r="D362" s="2" t="b">
        <f>_xlfn.XLOOKUP(Table3[[#This Row],[instant]],Table1[instant],Table1[holiday], ,0,1)</f>
        <v>0</v>
      </c>
      <c r="E362" s="2">
        <f>_xlfn.XLOOKUP(Table3[[#This Row],[instant]],Table1[instant],Table1[weekday], ,0,1)</f>
        <v>0</v>
      </c>
      <c r="F362" s="2">
        <f>_xlfn.XLOOKUP(Table3[[#This Row],[instant]],Table1[instant],Table1[weathersit], ,0,1)</f>
        <v>1</v>
      </c>
      <c r="G362" s="2">
        <f>_xlfn.XLOOKUP(Table3[[#This Row],[instant]],Table1[instant],Table1[temp], ,0,1)</f>
        <v>0.24</v>
      </c>
      <c r="H362" s="24">
        <f>_xlfn.XLOOKUP(Table3[[#This Row],[instant]],Table2[instant],Table2[atemp], ,0,1)</f>
        <v>0.21210000000000001</v>
      </c>
      <c r="I362" s="1">
        <f>_xlfn.XLOOKUP(Table3[[#This Row],[instant]],Table2[instant],Table2[hum], ,0,1)</f>
        <v>0.41</v>
      </c>
      <c r="J362" s="1">
        <f>_xlfn.XLOOKUP(Table3[[#This Row],[instant]],Table2[instant],Table2[windspeed], ,0,1)</f>
        <v>0.28360000000000002</v>
      </c>
      <c r="K362" s="1">
        <f>_xlfn.XLOOKUP(Table3[[#This Row],[instant]],Table2[instant],Table2[casual], ,0,1)</f>
        <v>29</v>
      </c>
      <c r="L362" s="1">
        <f>_xlfn.XLOOKUP(Table3[[#This Row],[instant]],Table2[instant],Table2[registered], ,0,1)</f>
        <v>75</v>
      </c>
      <c r="M362" s="6">
        <f>_xlfn.XLOOKUP(Table3[[#This Row],[instant]],Table2[instant],Table2[cnt], ,0,1)</f>
        <v>104</v>
      </c>
      <c r="N362" s="6" t="str">
        <f>IF(OR(Table3[[#This Row],[weekday]]=0,Table3[[#This Row],[weekday]]=6),"Weekend","Weekday")</f>
        <v>Weekend</v>
      </c>
    </row>
    <row r="363" spans="1:14" ht="15" thickBot="1" x14ac:dyDescent="0.35">
      <c r="A363" s="5">
        <v>362</v>
      </c>
      <c r="B363" s="3">
        <f>_xlfn.XLOOKUP(Table3[[#This Row],[instant]],DatSet1!A363:A972,DatSet1!B363:B972,_xlfn.XLOOKUP(Table3[[#This Row],[instant]],'Final Data'!A363:A752,'Final Data'!B363:B752, ,0,1),0,1)</f>
        <v>40559</v>
      </c>
      <c r="C363" s="1">
        <f>_xlfn.XLOOKUP(Table3[[#This Row],[instant]],Table1[instant],Table1[hr], ,0,1)</f>
        <v>13</v>
      </c>
      <c r="D363" s="2" t="b">
        <f>_xlfn.XLOOKUP(Table3[[#This Row],[instant]],Table1[instant],Table1[holiday], ,0,1)</f>
        <v>0</v>
      </c>
      <c r="E363" s="2">
        <f>_xlfn.XLOOKUP(Table3[[#This Row],[instant]],Table1[instant],Table1[weekday], ,0,1)</f>
        <v>0</v>
      </c>
      <c r="F363" s="2">
        <f>_xlfn.XLOOKUP(Table3[[#This Row],[instant]],Table1[instant],Table1[weathersit], ,0,1)</f>
        <v>1</v>
      </c>
      <c r="G363" s="2">
        <f>_xlfn.XLOOKUP(Table3[[#This Row],[instant]],Table1[instant],Table1[temp], ,0,1)</f>
        <v>0.26</v>
      </c>
      <c r="H363" s="24">
        <f>_xlfn.XLOOKUP(Table3[[#This Row],[instant]],Table2[instant],Table2[atemp], ,0,1)</f>
        <v>0.2273</v>
      </c>
      <c r="I363" s="1">
        <f>_xlfn.XLOOKUP(Table3[[#This Row],[instant]],Table2[instant],Table2[hum], ,0,1)</f>
        <v>0.35</v>
      </c>
      <c r="J363" s="1">
        <f>_xlfn.XLOOKUP(Table3[[#This Row],[instant]],Table2[instant],Table2[windspeed], ,0,1)</f>
        <v>0.29849999999999999</v>
      </c>
      <c r="K363" s="1">
        <f>_xlfn.XLOOKUP(Table3[[#This Row],[instant]],Table2[instant],Table2[casual], ,0,1)</f>
        <v>23</v>
      </c>
      <c r="L363" s="1">
        <f>_xlfn.XLOOKUP(Table3[[#This Row],[instant]],Table2[instant],Table2[registered], ,0,1)</f>
        <v>95</v>
      </c>
      <c r="M363" s="6">
        <f>_xlfn.XLOOKUP(Table3[[#This Row],[instant]],Table2[instant],Table2[cnt], ,0,1)</f>
        <v>118</v>
      </c>
      <c r="N363" s="6" t="str">
        <f>IF(OR(Table3[[#This Row],[weekday]]=0,Table3[[#This Row],[weekday]]=6),"Weekend","Weekday")</f>
        <v>Weekend</v>
      </c>
    </row>
    <row r="364" spans="1:14" ht="15" thickBot="1" x14ac:dyDescent="0.35">
      <c r="A364" s="5">
        <v>363</v>
      </c>
      <c r="B364" s="3">
        <f>_xlfn.XLOOKUP(Table3[[#This Row],[instant]],DatSet1!A364:A973,DatSet1!B364:B973,_xlfn.XLOOKUP(Table3[[#This Row],[instant]],'Final Data'!A364:A753,'Final Data'!B364:B753, ,0,1),0,1)</f>
        <v>40559</v>
      </c>
      <c r="C364" s="1">
        <f>_xlfn.XLOOKUP(Table3[[#This Row],[instant]],Table1[instant],Table1[hr], ,0,1)</f>
        <v>14</v>
      </c>
      <c r="D364" s="2" t="b">
        <f>_xlfn.XLOOKUP(Table3[[#This Row],[instant]],Table1[instant],Table1[holiday], ,0,1)</f>
        <v>0</v>
      </c>
      <c r="E364" s="2">
        <f>_xlfn.XLOOKUP(Table3[[#This Row],[instant]],Table1[instant],Table1[weekday], ,0,1)</f>
        <v>0</v>
      </c>
      <c r="F364" s="2">
        <f>_xlfn.XLOOKUP(Table3[[#This Row],[instant]],Table1[instant],Table1[weathersit], ,0,1)</f>
        <v>1</v>
      </c>
      <c r="G364" s="2">
        <f>_xlfn.XLOOKUP(Table3[[#This Row],[instant]],Table1[instant],Table1[temp], ,0,1)</f>
        <v>0.28000000000000003</v>
      </c>
      <c r="H364" s="24">
        <f>_xlfn.XLOOKUP(Table3[[#This Row],[instant]],Table2[instant],Table2[atemp], ,0,1)</f>
        <v>0.2727</v>
      </c>
      <c r="I364" s="1">
        <f>_xlfn.XLOOKUP(Table3[[#This Row],[instant]],Table2[instant],Table2[hum], ,0,1)</f>
        <v>0.36</v>
      </c>
      <c r="J364" s="1">
        <f>_xlfn.XLOOKUP(Table3[[#This Row],[instant]],Table2[instant],Table2[windspeed], ,0,1)</f>
        <v>0.25369999999999998</v>
      </c>
      <c r="K364" s="1">
        <f>_xlfn.XLOOKUP(Table3[[#This Row],[instant]],Table2[instant],Table2[casual], ,0,1)</f>
        <v>22</v>
      </c>
      <c r="L364" s="1">
        <f>_xlfn.XLOOKUP(Table3[[#This Row],[instant]],Table2[instant],Table2[registered], ,0,1)</f>
        <v>69</v>
      </c>
      <c r="M364" s="6">
        <f>_xlfn.XLOOKUP(Table3[[#This Row],[instant]],Table2[instant],Table2[cnt], ,0,1)</f>
        <v>91</v>
      </c>
      <c r="N364" s="6" t="str">
        <f>IF(OR(Table3[[#This Row],[weekday]]=0,Table3[[#This Row],[weekday]]=6),"Weekend","Weekday")</f>
        <v>Weekend</v>
      </c>
    </row>
    <row r="365" spans="1:14" ht="15" thickBot="1" x14ac:dyDescent="0.35">
      <c r="A365" s="5">
        <v>364</v>
      </c>
      <c r="B365" s="3">
        <f>_xlfn.XLOOKUP(Table3[[#This Row],[instant]],DatSet1!A365:A974,DatSet1!B365:B974,_xlfn.XLOOKUP(Table3[[#This Row],[instant]],'Final Data'!A365:A754,'Final Data'!B365:B754, ,0,1),0,1)</f>
        <v>40559</v>
      </c>
      <c r="C365" s="1">
        <f>_xlfn.XLOOKUP(Table3[[#This Row],[instant]],Table1[instant],Table1[hr], ,0,1)</f>
        <v>15</v>
      </c>
      <c r="D365" s="2" t="b">
        <f>_xlfn.XLOOKUP(Table3[[#This Row],[instant]],Table1[instant],Table1[holiday], ,0,1)</f>
        <v>0</v>
      </c>
      <c r="E365" s="2">
        <f>_xlfn.XLOOKUP(Table3[[#This Row],[instant]],Table1[instant],Table1[weekday], ,0,1)</f>
        <v>0</v>
      </c>
      <c r="F365" s="2">
        <f>_xlfn.XLOOKUP(Table3[[#This Row],[instant]],Table1[instant],Table1[weathersit], ,0,1)</f>
        <v>1</v>
      </c>
      <c r="G365" s="2">
        <f>_xlfn.XLOOKUP(Table3[[#This Row],[instant]],Table1[instant],Table1[temp], ,0,1)</f>
        <v>0.26</v>
      </c>
      <c r="H365" s="24">
        <f>_xlfn.XLOOKUP(Table3[[#This Row],[instant]],Table2[instant],Table2[atemp], ,0,1)</f>
        <v>0.2424</v>
      </c>
      <c r="I365" s="1">
        <f>_xlfn.XLOOKUP(Table3[[#This Row],[instant]],Table2[instant],Table2[hum], ,0,1)</f>
        <v>0.38</v>
      </c>
      <c r="J365" s="1">
        <f>_xlfn.XLOOKUP(Table3[[#This Row],[instant]],Table2[instant],Table2[windspeed], ,0,1)</f>
        <v>0.25369999999999998</v>
      </c>
      <c r="K365" s="1">
        <f>_xlfn.XLOOKUP(Table3[[#This Row],[instant]],Table2[instant],Table2[casual], ,0,1)</f>
        <v>35</v>
      </c>
      <c r="L365" s="1">
        <f>_xlfn.XLOOKUP(Table3[[#This Row],[instant]],Table2[instant],Table2[registered], ,0,1)</f>
        <v>78</v>
      </c>
      <c r="M365" s="6">
        <f>_xlfn.XLOOKUP(Table3[[#This Row],[instant]],Table2[instant],Table2[cnt], ,0,1)</f>
        <v>113</v>
      </c>
      <c r="N365" s="6" t="str">
        <f>IF(OR(Table3[[#This Row],[weekday]]=0,Table3[[#This Row],[weekday]]=6),"Weekend","Weekday")</f>
        <v>Weekend</v>
      </c>
    </row>
    <row r="366" spans="1:14" ht="15" thickBot="1" x14ac:dyDescent="0.35">
      <c r="A366" s="5">
        <v>365</v>
      </c>
      <c r="B366" s="3">
        <f>_xlfn.XLOOKUP(Table3[[#This Row],[instant]],DatSet1!A366:A975,DatSet1!B366:B975,_xlfn.XLOOKUP(Table3[[#This Row],[instant]],'Final Data'!A366:A755,'Final Data'!B366:B755, ,0,1),0,1)</f>
        <v>40559</v>
      </c>
      <c r="C366" s="1">
        <f>_xlfn.XLOOKUP(Table3[[#This Row],[instant]],Table1[instant],Table1[hr], ,0,1)</f>
        <v>16</v>
      </c>
      <c r="D366" s="2" t="b">
        <f>_xlfn.XLOOKUP(Table3[[#This Row],[instant]],Table1[instant],Table1[holiday], ,0,1)</f>
        <v>0</v>
      </c>
      <c r="E366" s="2">
        <f>_xlfn.XLOOKUP(Table3[[#This Row],[instant]],Table1[instant],Table1[weekday], ,0,1)</f>
        <v>0</v>
      </c>
      <c r="F366" s="2">
        <f>_xlfn.XLOOKUP(Table3[[#This Row],[instant]],Table1[instant],Table1[weathersit], ,0,1)</f>
        <v>1</v>
      </c>
      <c r="G366" s="2">
        <f>_xlfn.XLOOKUP(Table3[[#This Row],[instant]],Table1[instant],Table1[temp], ,0,1)</f>
        <v>0.24</v>
      </c>
      <c r="H366" s="24">
        <f>_xlfn.XLOOKUP(Table3[[#This Row],[instant]],Table2[instant],Table2[atemp], ,0,1)</f>
        <v>0.2273</v>
      </c>
      <c r="I366" s="1">
        <f>_xlfn.XLOOKUP(Table3[[#This Row],[instant]],Table2[instant],Table2[hum], ,0,1)</f>
        <v>0.38</v>
      </c>
      <c r="J366" s="1">
        <f>_xlfn.XLOOKUP(Table3[[#This Row],[instant]],Table2[instant],Table2[windspeed], ,0,1)</f>
        <v>0.22389999999999999</v>
      </c>
      <c r="K366" s="1">
        <f>_xlfn.XLOOKUP(Table3[[#This Row],[instant]],Table2[instant],Table2[casual], ,0,1)</f>
        <v>22</v>
      </c>
      <c r="L366" s="1">
        <f>_xlfn.XLOOKUP(Table3[[#This Row],[instant]],Table2[instant],Table2[registered], ,0,1)</f>
        <v>77</v>
      </c>
      <c r="M366" s="6">
        <f>_xlfn.XLOOKUP(Table3[[#This Row],[instant]],Table2[instant],Table2[cnt], ,0,1)</f>
        <v>99</v>
      </c>
      <c r="N366" s="6" t="str">
        <f>IF(OR(Table3[[#This Row],[weekday]]=0,Table3[[#This Row],[weekday]]=6),"Weekend","Weekday")</f>
        <v>Weekend</v>
      </c>
    </row>
    <row r="367" spans="1:14" ht="15" thickBot="1" x14ac:dyDescent="0.35">
      <c r="A367" s="5">
        <v>366</v>
      </c>
      <c r="B367" s="3">
        <f>_xlfn.XLOOKUP(Table3[[#This Row],[instant]],DatSet1!A367:A976,DatSet1!B367:B976,_xlfn.XLOOKUP(Table3[[#This Row],[instant]],'Final Data'!A367:A756,'Final Data'!B367:B756, ,0,1),0,1)</f>
        <v>40559</v>
      </c>
      <c r="C367" s="1">
        <f>_xlfn.XLOOKUP(Table3[[#This Row],[instant]],Table1[instant],Table1[hr], ,0,1)</f>
        <v>17</v>
      </c>
      <c r="D367" s="2" t="b">
        <f>_xlfn.XLOOKUP(Table3[[#This Row],[instant]],Table1[instant],Table1[holiday], ,0,1)</f>
        <v>0</v>
      </c>
      <c r="E367" s="2">
        <f>_xlfn.XLOOKUP(Table3[[#This Row],[instant]],Table1[instant],Table1[weekday], ,0,1)</f>
        <v>0</v>
      </c>
      <c r="F367" s="2">
        <f>_xlfn.XLOOKUP(Table3[[#This Row],[instant]],Table1[instant],Table1[weathersit], ,0,1)</f>
        <v>1</v>
      </c>
      <c r="G367" s="2">
        <f>_xlfn.XLOOKUP(Table3[[#This Row],[instant]],Table1[instant],Table1[temp], ,0,1)</f>
        <v>0.22</v>
      </c>
      <c r="H367" s="24">
        <f>_xlfn.XLOOKUP(Table3[[#This Row],[instant]],Table2[instant],Table2[atemp], ,0,1)</f>
        <v>0.21210000000000001</v>
      </c>
      <c r="I367" s="1">
        <f>_xlfn.XLOOKUP(Table3[[#This Row],[instant]],Table2[instant],Table2[hum], ,0,1)</f>
        <v>0.37</v>
      </c>
      <c r="J367" s="1">
        <f>_xlfn.XLOOKUP(Table3[[#This Row],[instant]],Table2[instant],Table2[windspeed], ,0,1)</f>
        <v>0.25369999999999998</v>
      </c>
      <c r="K367" s="1">
        <f>_xlfn.XLOOKUP(Table3[[#This Row],[instant]],Table2[instant],Table2[casual], ,0,1)</f>
        <v>23</v>
      </c>
      <c r="L367" s="1">
        <f>_xlfn.XLOOKUP(Table3[[#This Row],[instant]],Table2[instant],Table2[registered], ,0,1)</f>
        <v>82</v>
      </c>
      <c r="M367" s="6">
        <f>_xlfn.XLOOKUP(Table3[[#This Row],[instant]],Table2[instant],Table2[cnt], ,0,1)</f>
        <v>105</v>
      </c>
      <c r="N367" s="6" t="str">
        <f>IF(OR(Table3[[#This Row],[weekday]]=0,Table3[[#This Row],[weekday]]=6),"Weekend","Weekday")</f>
        <v>Weekend</v>
      </c>
    </row>
    <row r="368" spans="1:14" ht="15" thickBot="1" x14ac:dyDescent="0.35">
      <c r="A368" s="5">
        <v>367</v>
      </c>
      <c r="B368" s="3">
        <f>_xlfn.XLOOKUP(Table3[[#This Row],[instant]],DatSet1!A368:A977,DatSet1!B368:B977,_xlfn.XLOOKUP(Table3[[#This Row],[instant]],'Final Data'!A368:A757,'Final Data'!B368:B757, ,0,1),0,1)</f>
        <v>40559</v>
      </c>
      <c r="C368" s="1">
        <f>_xlfn.XLOOKUP(Table3[[#This Row],[instant]],Table1[instant],Table1[hr], ,0,1)</f>
        <v>18</v>
      </c>
      <c r="D368" s="2" t="b">
        <f>_xlfn.XLOOKUP(Table3[[#This Row],[instant]],Table1[instant],Table1[holiday], ,0,1)</f>
        <v>0</v>
      </c>
      <c r="E368" s="2">
        <f>_xlfn.XLOOKUP(Table3[[#This Row],[instant]],Table1[instant],Table1[weekday], ,0,1)</f>
        <v>0</v>
      </c>
      <c r="F368" s="2">
        <f>_xlfn.XLOOKUP(Table3[[#This Row],[instant]],Table1[instant],Table1[weathersit], ,0,1)</f>
        <v>1</v>
      </c>
      <c r="G368" s="2">
        <f>_xlfn.XLOOKUP(Table3[[#This Row],[instant]],Table1[instant],Table1[temp], ,0,1)</f>
        <v>0.2</v>
      </c>
      <c r="H368" s="24">
        <f>_xlfn.XLOOKUP(Table3[[#This Row],[instant]],Table2[instant],Table2[atemp], ,0,1)</f>
        <v>0.21210000000000001</v>
      </c>
      <c r="I368" s="1">
        <f>_xlfn.XLOOKUP(Table3[[#This Row],[instant]],Table2[instant],Table2[hum], ,0,1)</f>
        <v>0.4</v>
      </c>
      <c r="J368" s="1">
        <f>_xlfn.XLOOKUP(Table3[[#This Row],[instant]],Table2[instant],Table2[windspeed], ,0,1)</f>
        <v>0.16420000000000001</v>
      </c>
      <c r="K368" s="1">
        <f>_xlfn.XLOOKUP(Table3[[#This Row],[instant]],Table2[instant],Table2[casual], ,0,1)</f>
        <v>11</v>
      </c>
      <c r="L368" s="1">
        <f>_xlfn.XLOOKUP(Table3[[#This Row],[instant]],Table2[instant],Table2[registered], ,0,1)</f>
        <v>56</v>
      </c>
      <c r="M368" s="6">
        <f>_xlfn.XLOOKUP(Table3[[#This Row],[instant]],Table2[instant],Table2[cnt], ,0,1)</f>
        <v>67</v>
      </c>
      <c r="N368" s="6" t="str">
        <f>IF(OR(Table3[[#This Row],[weekday]]=0,Table3[[#This Row],[weekday]]=6),"Weekend","Weekday")</f>
        <v>Weekend</v>
      </c>
    </row>
    <row r="369" spans="1:14" ht="15" thickBot="1" x14ac:dyDescent="0.35">
      <c r="A369" s="5">
        <v>368</v>
      </c>
      <c r="B369" s="3">
        <f>_xlfn.XLOOKUP(Table3[[#This Row],[instant]],DatSet1!A369:A978,DatSet1!B369:B978,_xlfn.XLOOKUP(Table3[[#This Row],[instant]],'Final Data'!A369:A758,'Final Data'!B369:B758, ,0,1),0,1)</f>
        <v>40559</v>
      </c>
      <c r="C369" s="1">
        <f>_xlfn.XLOOKUP(Table3[[#This Row],[instant]],Table1[instant],Table1[hr], ,0,1)</f>
        <v>19</v>
      </c>
      <c r="D369" s="2" t="b">
        <f>_xlfn.XLOOKUP(Table3[[#This Row],[instant]],Table1[instant],Table1[holiday], ,0,1)</f>
        <v>0</v>
      </c>
      <c r="E369" s="2">
        <f>_xlfn.XLOOKUP(Table3[[#This Row],[instant]],Table1[instant],Table1[weekday], ,0,1)</f>
        <v>0</v>
      </c>
      <c r="F369" s="2">
        <f>_xlfn.XLOOKUP(Table3[[#This Row],[instant]],Table1[instant],Table1[weathersit], ,0,1)</f>
        <v>1</v>
      </c>
      <c r="G369" s="2">
        <f>_xlfn.XLOOKUP(Table3[[#This Row],[instant]],Table1[instant],Table1[temp], ,0,1)</f>
        <v>0.18</v>
      </c>
      <c r="H369" s="24">
        <f>_xlfn.XLOOKUP(Table3[[#This Row],[instant]],Table2[instant],Table2[atemp], ,0,1)</f>
        <v>0.19700000000000001</v>
      </c>
      <c r="I369" s="1">
        <f>_xlfn.XLOOKUP(Table3[[#This Row],[instant]],Table2[instant],Table2[hum], ,0,1)</f>
        <v>0.47</v>
      </c>
      <c r="J369" s="1">
        <f>_xlfn.XLOOKUP(Table3[[#This Row],[instant]],Table2[instant],Table2[windspeed], ,0,1)</f>
        <v>0.1343</v>
      </c>
      <c r="K369" s="1">
        <f>_xlfn.XLOOKUP(Table3[[#This Row],[instant]],Table2[instant],Table2[casual], ,0,1)</f>
        <v>14</v>
      </c>
      <c r="L369" s="1">
        <f>_xlfn.XLOOKUP(Table3[[#This Row],[instant]],Table2[instant],Table2[registered], ,0,1)</f>
        <v>47</v>
      </c>
      <c r="M369" s="6">
        <f>_xlfn.XLOOKUP(Table3[[#This Row],[instant]],Table2[instant],Table2[cnt], ,0,1)</f>
        <v>61</v>
      </c>
      <c r="N369" s="6" t="str">
        <f>IF(OR(Table3[[#This Row],[weekday]]=0,Table3[[#This Row],[weekday]]=6),"Weekend","Weekday")</f>
        <v>Weekend</v>
      </c>
    </row>
    <row r="370" spans="1:14" ht="15" thickBot="1" x14ac:dyDescent="0.35">
      <c r="A370" s="5">
        <v>369</v>
      </c>
      <c r="B370" s="3">
        <f>_xlfn.XLOOKUP(Table3[[#This Row],[instant]],DatSet1!A370:A979,DatSet1!B370:B979,_xlfn.XLOOKUP(Table3[[#This Row],[instant]],'Final Data'!A370:A759,'Final Data'!B370:B759, ,0,1),0,1)</f>
        <v>40559</v>
      </c>
      <c r="C370" s="1">
        <f>_xlfn.XLOOKUP(Table3[[#This Row],[instant]],Table1[instant],Table1[hr], ,0,1)</f>
        <v>20</v>
      </c>
      <c r="D370" s="2" t="b">
        <f>_xlfn.XLOOKUP(Table3[[#This Row],[instant]],Table1[instant],Table1[holiday], ,0,1)</f>
        <v>0</v>
      </c>
      <c r="E370" s="2">
        <f>_xlfn.XLOOKUP(Table3[[#This Row],[instant]],Table1[instant],Table1[weekday], ,0,1)</f>
        <v>0</v>
      </c>
      <c r="F370" s="2">
        <f>_xlfn.XLOOKUP(Table3[[#This Row],[instant]],Table1[instant],Table1[weathersit], ,0,1)</f>
        <v>1</v>
      </c>
      <c r="G370" s="2">
        <f>_xlfn.XLOOKUP(Table3[[#This Row],[instant]],Table1[instant],Table1[temp], ,0,1)</f>
        <v>0.18</v>
      </c>
      <c r="H370" s="24">
        <f>_xlfn.XLOOKUP(Table3[[#This Row],[instant]],Table2[instant],Table2[atemp], ,0,1)</f>
        <v>0.19700000000000001</v>
      </c>
      <c r="I370" s="1">
        <f>_xlfn.XLOOKUP(Table3[[#This Row],[instant]],Table2[instant],Table2[hum], ,0,1)</f>
        <v>0.47</v>
      </c>
      <c r="J370" s="1">
        <f>_xlfn.XLOOKUP(Table3[[#This Row],[instant]],Table2[instant],Table2[windspeed], ,0,1)</f>
        <v>0.16420000000000001</v>
      </c>
      <c r="K370" s="1">
        <f>_xlfn.XLOOKUP(Table3[[#This Row],[instant]],Table2[instant],Table2[casual], ,0,1)</f>
        <v>7</v>
      </c>
      <c r="L370" s="1">
        <f>_xlfn.XLOOKUP(Table3[[#This Row],[instant]],Table2[instant],Table2[registered], ,0,1)</f>
        <v>50</v>
      </c>
      <c r="M370" s="6">
        <f>_xlfn.XLOOKUP(Table3[[#This Row],[instant]],Table2[instant],Table2[cnt], ,0,1)</f>
        <v>57</v>
      </c>
      <c r="N370" s="6" t="str">
        <f>IF(OR(Table3[[#This Row],[weekday]]=0,Table3[[#This Row],[weekday]]=6),"Weekend","Weekday")</f>
        <v>Weekend</v>
      </c>
    </row>
    <row r="371" spans="1:14" ht="15" thickBot="1" x14ac:dyDescent="0.35">
      <c r="A371" s="5">
        <v>370</v>
      </c>
      <c r="B371" s="3">
        <f>_xlfn.XLOOKUP(Table3[[#This Row],[instant]],DatSet1!A371:A980,DatSet1!B371:B980,_xlfn.XLOOKUP(Table3[[#This Row],[instant]],'Final Data'!A371:A760,'Final Data'!B371:B760, ,0,1),0,1)</f>
        <v>40559</v>
      </c>
      <c r="C371" s="1">
        <f>_xlfn.XLOOKUP(Table3[[#This Row],[instant]],Table1[instant],Table1[hr], ,0,1)</f>
        <v>21</v>
      </c>
      <c r="D371" s="2" t="b">
        <f>_xlfn.XLOOKUP(Table3[[#This Row],[instant]],Table1[instant],Table1[holiday], ,0,1)</f>
        <v>0</v>
      </c>
      <c r="E371" s="2">
        <f>_xlfn.XLOOKUP(Table3[[#This Row],[instant]],Table1[instant],Table1[weekday], ,0,1)</f>
        <v>0</v>
      </c>
      <c r="F371" s="2">
        <f>_xlfn.XLOOKUP(Table3[[#This Row],[instant]],Table1[instant],Table1[weathersit], ,0,1)</f>
        <v>1</v>
      </c>
      <c r="G371" s="2">
        <f>_xlfn.XLOOKUP(Table3[[#This Row],[instant]],Table1[instant],Table1[temp], ,0,1)</f>
        <v>0.18</v>
      </c>
      <c r="H371" s="24">
        <f>_xlfn.XLOOKUP(Table3[[#This Row],[instant]],Table2[instant],Table2[atemp], ,0,1)</f>
        <v>0.19700000000000001</v>
      </c>
      <c r="I371" s="1">
        <f>_xlfn.XLOOKUP(Table3[[#This Row],[instant]],Table2[instant],Table2[hum], ,0,1)</f>
        <v>0.51</v>
      </c>
      <c r="J371" s="1">
        <f>_xlfn.XLOOKUP(Table3[[#This Row],[instant]],Table2[instant],Table2[windspeed], ,0,1)</f>
        <v>0.16420000000000001</v>
      </c>
      <c r="K371" s="1">
        <f>_xlfn.XLOOKUP(Table3[[#This Row],[instant]],Table2[instant],Table2[casual], ,0,1)</f>
        <v>6</v>
      </c>
      <c r="L371" s="1">
        <f>_xlfn.XLOOKUP(Table3[[#This Row],[instant]],Table2[instant],Table2[registered], ,0,1)</f>
        <v>22</v>
      </c>
      <c r="M371" s="6">
        <f>_xlfn.XLOOKUP(Table3[[#This Row],[instant]],Table2[instant],Table2[cnt], ,0,1)</f>
        <v>28</v>
      </c>
      <c r="N371" s="6" t="str">
        <f>IF(OR(Table3[[#This Row],[weekday]]=0,Table3[[#This Row],[weekday]]=6),"Weekend","Weekday")</f>
        <v>Weekend</v>
      </c>
    </row>
    <row r="372" spans="1:14" ht="15" thickBot="1" x14ac:dyDescent="0.35">
      <c r="A372" s="5">
        <v>371</v>
      </c>
      <c r="B372" s="3">
        <f>_xlfn.XLOOKUP(Table3[[#This Row],[instant]],DatSet1!A372:A981,DatSet1!B372:B981,_xlfn.XLOOKUP(Table3[[#This Row],[instant]],'Final Data'!A372:A761,'Final Data'!B372:B761, ,0,1),0,1)</f>
        <v>40559</v>
      </c>
      <c r="C372" s="1">
        <f>_xlfn.XLOOKUP(Table3[[#This Row],[instant]],Table1[instant],Table1[hr], ,0,1)</f>
        <v>22</v>
      </c>
      <c r="D372" s="2" t="b">
        <f>_xlfn.XLOOKUP(Table3[[#This Row],[instant]],Table1[instant],Table1[holiday], ,0,1)</f>
        <v>0</v>
      </c>
      <c r="E372" s="2">
        <f>_xlfn.XLOOKUP(Table3[[#This Row],[instant]],Table1[instant],Table1[weekday], ,0,1)</f>
        <v>0</v>
      </c>
      <c r="F372" s="2">
        <f>_xlfn.XLOOKUP(Table3[[#This Row],[instant]],Table1[instant],Table1[weathersit], ,0,1)</f>
        <v>2</v>
      </c>
      <c r="G372" s="2">
        <f>_xlfn.XLOOKUP(Table3[[#This Row],[instant]],Table1[instant],Table1[temp], ,0,1)</f>
        <v>0.2</v>
      </c>
      <c r="H372" s="24">
        <f>_xlfn.XLOOKUP(Table3[[#This Row],[instant]],Table2[instant],Table2[atemp], ,0,1)</f>
        <v>0.21210000000000001</v>
      </c>
      <c r="I372" s="1">
        <f>_xlfn.XLOOKUP(Table3[[#This Row],[instant]],Table2[instant],Table2[hum], ,0,1)</f>
        <v>0.49</v>
      </c>
      <c r="J372" s="1">
        <f>_xlfn.XLOOKUP(Table3[[#This Row],[instant]],Table2[instant],Table2[windspeed], ,0,1)</f>
        <v>0.1343</v>
      </c>
      <c r="K372" s="1">
        <f>_xlfn.XLOOKUP(Table3[[#This Row],[instant]],Table2[instant],Table2[casual], ,0,1)</f>
        <v>2</v>
      </c>
      <c r="L372" s="1">
        <f>_xlfn.XLOOKUP(Table3[[#This Row],[instant]],Table2[instant],Table2[registered], ,0,1)</f>
        <v>19</v>
      </c>
      <c r="M372" s="6">
        <f>_xlfn.XLOOKUP(Table3[[#This Row],[instant]],Table2[instant],Table2[cnt], ,0,1)</f>
        <v>21</v>
      </c>
      <c r="N372" s="6" t="str">
        <f>IF(OR(Table3[[#This Row],[weekday]]=0,Table3[[#This Row],[weekday]]=6),"Weekend","Weekday")</f>
        <v>Weekend</v>
      </c>
    </row>
    <row r="373" spans="1:14" ht="15" thickBot="1" x14ac:dyDescent="0.35">
      <c r="A373" s="5">
        <v>372</v>
      </c>
      <c r="B373" s="3">
        <f>_xlfn.XLOOKUP(Table3[[#This Row],[instant]],DatSet1!A373:A982,DatSet1!B373:B982,_xlfn.XLOOKUP(Table3[[#This Row],[instant]],'Final Data'!A373:A762,'Final Data'!B373:B762, ,0,1),0,1)</f>
        <v>40559</v>
      </c>
      <c r="C373" s="1">
        <f>_xlfn.XLOOKUP(Table3[[#This Row],[instant]],Table1[instant],Table1[hr], ,0,1)</f>
        <v>23</v>
      </c>
      <c r="D373" s="2" t="b">
        <f>_xlfn.XLOOKUP(Table3[[#This Row],[instant]],Table1[instant],Table1[holiday], ,0,1)</f>
        <v>0</v>
      </c>
      <c r="E373" s="2">
        <f>_xlfn.XLOOKUP(Table3[[#This Row],[instant]],Table1[instant],Table1[weekday], ,0,1)</f>
        <v>0</v>
      </c>
      <c r="F373" s="2">
        <f>_xlfn.XLOOKUP(Table3[[#This Row],[instant]],Table1[instant],Table1[weathersit], ,0,1)</f>
        <v>2</v>
      </c>
      <c r="G373" s="2">
        <f>_xlfn.XLOOKUP(Table3[[#This Row],[instant]],Table1[instant],Table1[temp], ,0,1)</f>
        <v>0.2</v>
      </c>
      <c r="H373" s="24">
        <f>_xlfn.XLOOKUP(Table3[[#This Row],[instant]],Table2[instant],Table2[atemp], ,0,1)</f>
        <v>0.2273</v>
      </c>
      <c r="I373" s="1">
        <f>_xlfn.XLOOKUP(Table3[[#This Row],[instant]],Table2[instant],Table2[hum], ,0,1)</f>
        <v>0.4</v>
      </c>
      <c r="J373" s="1">
        <f>_xlfn.XLOOKUP(Table3[[#This Row],[instant]],Table2[instant],Table2[windspeed], ,0,1)</f>
        <v>0.1045</v>
      </c>
      <c r="K373" s="1">
        <f>_xlfn.XLOOKUP(Table3[[#This Row],[instant]],Table2[instant],Table2[casual], ,0,1)</f>
        <v>0</v>
      </c>
      <c r="L373" s="1">
        <f>_xlfn.XLOOKUP(Table3[[#This Row],[instant]],Table2[instant],Table2[registered], ,0,1)</f>
        <v>18</v>
      </c>
      <c r="M373" s="6">
        <f>_xlfn.XLOOKUP(Table3[[#This Row],[instant]],Table2[instant],Table2[cnt], ,0,1)</f>
        <v>18</v>
      </c>
      <c r="N373" s="6" t="str">
        <f>IF(OR(Table3[[#This Row],[weekday]]=0,Table3[[#This Row],[weekday]]=6),"Weekend","Weekday")</f>
        <v>Weekend</v>
      </c>
    </row>
    <row r="374" spans="1:14" ht="15" thickBot="1" x14ac:dyDescent="0.35">
      <c r="A374" s="5">
        <v>373</v>
      </c>
      <c r="B374" s="3">
        <f>_xlfn.XLOOKUP(Table3[[#This Row],[instant]],DatSet1!A374:A983,DatSet1!B374:B983,_xlfn.XLOOKUP(Table3[[#This Row],[instant]],'Final Data'!A374:A763,'Final Data'!B374:B763, ,0,1),0,1)</f>
        <v>40560</v>
      </c>
      <c r="C374" s="1">
        <f>_xlfn.XLOOKUP(Table3[[#This Row],[instant]],Table1[instant],Table1[hr], ,0,1)</f>
        <v>0</v>
      </c>
      <c r="D374" s="2" t="b">
        <f>_xlfn.XLOOKUP(Table3[[#This Row],[instant]],Table1[instant],Table1[holiday], ,0,1)</f>
        <v>1</v>
      </c>
      <c r="E374" s="2">
        <f>_xlfn.XLOOKUP(Table3[[#This Row],[instant]],Table1[instant],Table1[weekday], ,0,1)</f>
        <v>1</v>
      </c>
      <c r="F374" s="2">
        <f>_xlfn.XLOOKUP(Table3[[#This Row],[instant]],Table1[instant],Table1[weathersit], ,0,1)</f>
        <v>2</v>
      </c>
      <c r="G374" s="2">
        <f>_xlfn.XLOOKUP(Table3[[#This Row],[instant]],Table1[instant],Table1[temp], ,0,1)</f>
        <v>0.2</v>
      </c>
      <c r="H374" s="24">
        <f>_xlfn.XLOOKUP(Table3[[#This Row],[instant]],Table2[instant],Table2[atemp], ,0,1)</f>
        <v>0.19700000000000001</v>
      </c>
      <c r="I374" s="1">
        <f>_xlfn.XLOOKUP(Table3[[#This Row],[instant]],Table2[instant],Table2[hum], ,0,1)</f>
        <v>0.47</v>
      </c>
      <c r="J374" s="1">
        <f>_xlfn.XLOOKUP(Table3[[#This Row],[instant]],Table2[instant],Table2[windspeed], ,0,1)</f>
        <v>0.22389999999999999</v>
      </c>
      <c r="K374" s="1">
        <f>_xlfn.XLOOKUP(Table3[[#This Row],[instant]],Table2[instant],Table2[casual], ,0,1)</f>
        <v>1</v>
      </c>
      <c r="L374" s="1">
        <f>_xlfn.XLOOKUP(Table3[[#This Row],[instant]],Table2[instant],Table2[registered], ,0,1)</f>
        <v>16</v>
      </c>
      <c r="M374" s="6">
        <f>_xlfn.XLOOKUP(Table3[[#This Row],[instant]],Table2[instant],Table2[cnt], ,0,1)</f>
        <v>17</v>
      </c>
      <c r="N374" s="6" t="str">
        <f>IF(OR(Table3[[#This Row],[weekday]]=0,Table3[[#This Row],[weekday]]=6),"Weekend","Weekday")</f>
        <v>Weekday</v>
      </c>
    </row>
    <row r="375" spans="1:14" ht="15" thickBot="1" x14ac:dyDescent="0.35">
      <c r="A375" s="5">
        <v>374</v>
      </c>
      <c r="B375" s="3">
        <f>_xlfn.XLOOKUP(Table3[[#This Row],[instant]],DatSet1!A375:A984,DatSet1!B375:B984,_xlfn.XLOOKUP(Table3[[#This Row],[instant]],'Final Data'!A375:A764,'Final Data'!B375:B764, ,0,1),0,1)</f>
        <v>40560</v>
      </c>
      <c r="C375" s="1">
        <f>_xlfn.XLOOKUP(Table3[[#This Row],[instant]],Table1[instant],Table1[hr], ,0,1)</f>
        <v>1</v>
      </c>
      <c r="D375" s="2" t="b">
        <f>_xlfn.XLOOKUP(Table3[[#This Row],[instant]],Table1[instant],Table1[holiday], ,0,1)</f>
        <v>1</v>
      </c>
      <c r="E375" s="2">
        <f>_xlfn.XLOOKUP(Table3[[#This Row],[instant]],Table1[instant],Table1[weekday], ,0,1)</f>
        <v>1</v>
      </c>
      <c r="F375" s="2">
        <f>_xlfn.XLOOKUP(Table3[[#This Row],[instant]],Table1[instant],Table1[weathersit], ,0,1)</f>
        <v>2</v>
      </c>
      <c r="G375" s="2">
        <f>_xlfn.XLOOKUP(Table3[[#This Row],[instant]],Table1[instant],Table1[temp], ,0,1)</f>
        <v>0.2</v>
      </c>
      <c r="H375" s="24">
        <f>_xlfn.XLOOKUP(Table3[[#This Row],[instant]],Table2[instant],Table2[atemp], ,0,1)</f>
        <v>0.19700000000000001</v>
      </c>
      <c r="I375" s="1">
        <f>_xlfn.XLOOKUP(Table3[[#This Row],[instant]],Table2[instant],Table2[hum], ,0,1)</f>
        <v>0.44</v>
      </c>
      <c r="J375" s="1">
        <f>_xlfn.XLOOKUP(Table3[[#This Row],[instant]],Table2[instant],Table2[windspeed], ,0,1)</f>
        <v>0.19400000000000001</v>
      </c>
      <c r="K375" s="1">
        <f>_xlfn.XLOOKUP(Table3[[#This Row],[instant]],Table2[instant],Table2[casual], ,0,1)</f>
        <v>1</v>
      </c>
      <c r="L375" s="1">
        <f>_xlfn.XLOOKUP(Table3[[#This Row],[instant]],Table2[instant],Table2[registered], ,0,1)</f>
        <v>15</v>
      </c>
      <c r="M375" s="6">
        <f>_xlfn.XLOOKUP(Table3[[#This Row],[instant]],Table2[instant],Table2[cnt], ,0,1)</f>
        <v>16</v>
      </c>
      <c r="N375" s="6" t="str">
        <f>IF(OR(Table3[[#This Row],[weekday]]=0,Table3[[#This Row],[weekday]]=6),"Weekend","Weekday")</f>
        <v>Weekday</v>
      </c>
    </row>
    <row r="376" spans="1:14" ht="15" thickBot="1" x14ac:dyDescent="0.35">
      <c r="A376" s="5">
        <v>375</v>
      </c>
      <c r="B376" s="3">
        <f>_xlfn.XLOOKUP(Table3[[#This Row],[instant]],DatSet1!A376:A985,DatSet1!B376:B985,_xlfn.XLOOKUP(Table3[[#This Row],[instant]],'Final Data'!A376:A765,'Final Data'!B376:B765, ,0,1),0,1)</f>
        <v>40560</v>
      </c>
      <c r="C376" s="1">
        <f>_xlfn.XLOOKUP(Table3[[#This Row],[instant]],Table1[instant],Table1[hr], ,0,1)</f>
        <v>2</v>
      </c>
      <c r="D376" s="2" t="b">
        <f>_xlfn.XLOOKUP(Table3[[#This Row],[instant]],Table1[instant],Table1[holiday], ,0,1)</f>
        <v>1</v>
      </c>
      <c r="E376" s="2">
        <f>_xlfn.XLOOKUP(Table3[[#This Row],[instant]],Table1[instant],Table1[weekday], ,0,1)</f>
        <v>1</v>
      </c>
      <c r="F376" s="2">
        <f>_xlfn.XLOOKUP(Table3[[#This Row],[instant]],Table1[instant],Table1[weathersit], ,0,1)</f>
        <v>2</v>
      </c>
      <c r="G376" s="2">
        <f>_xlfn.XLOOKUP(Table3[[#This Row],[instant]],Table1[instant],Table1[temp], ,0,1)</f>
        <v>0.18</v>
      </c>
      <c r="H376" s="24">
        <f>_xlfn.XLOOKUP(Table3[[#This Row],[instant]],Table2[instant],Table2[atemp], ,0,1)</f>
        <v>0.16669999999999999</v>
      </c>
      <c r="I376" s="1">
        <f>_xlfn.XLOOKUP(Table3[[#This Row],[instant]],Table2[instant],Table2[hum], ,0,1)</f>
        <v>0.43</v>
      </c>
      <c r="J376" s="1">
        <f>_xlfn.XLOOKUP(Table3[[#This Row],[instant]],Table2[instant],Table2[windspeed], ,0,1)</f>
        <v>0.25369999999999998</v>
      </c>
      <c r="K376" s="1">
        <f>_xlfn.XLOOKUP(Table3[[#This Row],[instant]],Table2[instant],Table2[casual], ,0,1)</f>
        <v>0</v>
      </c>
      <c r="L376" s="1">
        <f>_xlfn.XLOOKUP(Table3[[#This Row],[instant]],Table2[instant],Table2[registered], ,0,1)</f>
        <v>8</v>
      </c>
      <c r="M376" s="6">
        <f>_xlfn.XLOOKUP(Table3[[#This Row],[instant]],Table2[instant],Table2[cnt], ,0,1)</f>
        <v>8</v>
      </c>
      <c r="N376" s="6" t="str">
        <f>IF(OR(Table3[[#This Row],[weekday]]=0,Table3[[#This Row],[weekday]]=6),"Weekend","Weekday")</f>
        <v>Weekday</v>
      </c>
    </row>
    <row r="377" spans="1:14" ht="15" thickBot="1" x14ac:dyDescent="0.35">
      <c r="A377" s="5">
        <v>376</v>
      </c>
      <c r="B377" s="3">
        <f>_xlfn.XLOOKUP(Table3[[#This Row],[instant]],DatSet1!A377:A986,DatSet1!B377:B986,_xlfn.XLOOKUP(Table3[[#This Row],[instant]],'Final Data'!A377:A766,'Final Data'!B377:B766, ,0,1),0,1)</f>
        <v>40560</v>
      </c>
      <c r="C377" s="1">
        <f>_xlfn.XLOOKUP(Table3[[#This Row],[instant]],Table1[instant],Table1[hr], ,0,1)</f>
        <v>3</v>
      </c>
      <c r="D377" s="2" t="b">
        <f>_xlfn.XLOOKUP(Table3[[#This Row],[instant]],Table1[instant],Table1[holiday], ,0,1)</f>
        <v>1</v>
      </c>
      <c r="E377" s="2">
        <f>_xlfn.XLOOKUP(Table3[[#This Row],[instant]],Table1[instant],Table1[weekday], ,0,1)</f>
        <v>1</v>
      </c>
      <c r="F377" s="2">
        <f>_xlfn.XLOOKUP(Table3[[#This Row],[instant]],Table1[instant],Table1[weathersit], ,0,1)</f>
        <v>2</v>
      </c>
      <c r="G377" s="2">
        <f>_xlfn.XLOOKUP(Table3[[#This Row],[instant]],Table1[instant],Table1[temp], ,0,1)</f>
        <v>0.18</v>
      </c>
      <c r="H377" s="24">
        <f>_xlfn.XLOOKUP(Table3[[#This Row],[instant]],Table2[instant],Table2[atemp], ,0,1)</f>
        <v>0.18179999999999999</v>
      </c>
      <c r="I377" s="1">
        <f>_xlfn.XLOOKUP(Table3[[#This Row],[instant]],Table2[instant],Table2[hum], ,0,1)</f>
        <v>0.43</v>
      </c>
      <c r="J377" s="1">
        <f>_xlfn.XLOOKUP(Table3[[#This Row],[instant]],Table2[instant],Table2[windspeed], ,0,1)</f>
        <v>0.19400000000000001</v>
      </c>
      <c r="K377" s="1">
        <f>_xlfn.XLOOKUP(Table3[[#This Row],[instant]],Table2[instant],Table2[casual], ,0,1)</f>
        <v>0</v>
      </c>
      <c r="L377" s="1">
        <f>_xlfn.XLOOKUP(Table3[[#This Row],[instant]],Table2[instant],Table2[registered], ,0,1)</f>
        <v>2</v>
      </c>
      <c r="M377" s="6">
        <f>_xlfn.XLOOKUP(Table3[[#This Row],[instant]],Table2[instant],Table2[cnt], ,0,1)</f>
        <v>2</v>
      </c>
      <c r="N377" s="6" t="str">
        <f>IF(OR(Table3[[#This Row],[weekday]]=0,Table3[[#This Row],[weekday]]=6),"Weekend","Weekday")</f>
        <v>Weekday</v>
      </c>
    </row>
    <row r="378" spans="1:14" ht="15" thickBot="1" x14ac:dyDescent="0.35">
      <c r="A378" s="5">
        <v>377</v>
      </c>
      <c r="B378" s="3">
        <f>_xlfn.XLOOKUP(Table3[[#This Row],[instant]],DatSet1!A378:A987,DatSet1!B378:B987,_xlfn.XLOOKUP(Table3[[#This Row],[instant]],'Final Data'!A378:A767,'Final Data'!B378:B767, ,0,1),0,1)</f>
        <v>40560</v>
      </c>
      <c r="C378" s="1">
        <f>_xlfn.XLOOKUP(Table3[[#This Row],[instant]],Table1[instant],Table1[hr], ,0,1)</f>
        <v>4</v>
      </c>
      <c r="D378" s="2" t="b">
        <f>_xlfn.XLOOKUP(Table3[[#This Row],[instant]],Table1[instant],Table1[holiday], ,0,1)</f>
        <v>1</v>
      </c>
      <c r="E378" s="2">
        <f>_xlfn.XLOOKUP(Table3[[#This Row],[instant]],Table1[instant],Table1[weekday], ,0,1)</f>
        <v>1</v>
      </c>
      <c r="F378" s="2">
        <f>_xlfn.XLOOKUP(Table3[[#This Row],[instant]],Table1[instant],Table1[weathersit], ,0,1)</f>
        <v>2</v>
      </c>
      <c r="G378" s="2">
        <f>_xlfn.XLOOKUP(Table3[[#This Row],[instant]],Table1[instant],Table1[temp], ,0,1)</f>
        <v>0.18</v>
      </c>
      <c r="H378" s="24">
        <f>_xlfn.XLOOKUP(Table3[[#This Row],[instant]],Table2[instant],Table2[atemp], ,0,1)</f>
        <v>0.19700000000000001</v>
      </c>
      <c r="I378" s="1">
        <f>_xlfn.XLOOKUP(Table3[[#This Row],[instant]],Table2[instant],Table2[hum], ,0,1)</f>
        <v>0.43</v>
      </c>
      <c r="J378" s="1">
        <f>_xlfn.XLOOKUP(Table3[[#This Row],[instant]],Table2[instant],Table2[windspeed], ,0,1)</f>
        <v>0.1343</v>
      </c>
      <c r="K378" s="1">
        <f>_xlfn.XLOOKUP(Table3[[#This Row],[instant]],Table2[instant],Table2[casual], ,0,1)</f>
        <v>1</v>
      </c>
      <c r="L378" s="1">
        <f>_xlfn.XLOOKUP(Table3[[#This Row],[instant]],Table2[instant],Table2[registered], ,0,1)</f>
        <v>2</v>
      </c>
      <c r="M378" s="6">
        <f>_xlfn.XLOOKUP(Table3[[#This Row],[instant]],Table2[instant],Table2[cnt], ,0,1)</f>
        <v>3</v>
      </c>
      <c r="N378" s="6" t="str">
        <f>IF(OR(Table3[[#This Row],[weekday]]=0,Table3[[#This Row],[weekday]]=6),"Weekend","Weekday")</f>
        <v>Weekday</v>
      </c>
    </row>
    <row r="379" spans="1:14" ht="15" thickBot="1" x14ac:dyDescent="0.35">
      <c r="A379" s="5">
        <v>378</v>
      </c>
      <c r="B379" s="3">
        <f>_xlfn.XLOOKUP(Table3[[#This Row],[instant]],DatSet1!A379:A988,DatSet1!B379:B988,_xlfn.XLOOKUP(Table3[[#This Row],[instant]],'Final Data'!A379:A768,'Final Data'!B379:B768, ,0,1),0,1)</f>
        <v>40560</v>
      </c>
      <c r="C379" s="1">
        <f>_xlfn.XLOOKUP(Table3[[#This Row],[instant]],Table1[instant],Table1[hr], ,0,1)</f>
        <v>5</v>
      </c>
      <c r="D379" s="2" t="b">
        <f>_xlfn.XLOOKUP(Table3[[#This Row],[instant]],Table1[instant],Table1[holiday], ,0,1)</f>
        <v>1</v>
      </c>
      <c r="E379" s="2">
        <f>_xlfn.XLOOKUP(Table3[[#This Row],[instant]],Table1[instant],Table1[weekday], ,0,1)</f>
        <v>1</v>
      </c>
      <c r="F379" s="2">
        <f>_xlfn.XLOOKUP(Table3[[#This Row],[instant]],Table1[instant],Table1[weathersit], ,0,1)</f>
        <v>2</v>
      </c>
      <c r="G379" s="2">
        <f>_xlfn.XLOOKUP(Table3[[#This Row],[instant]],Table1[instant],Table1[temp], ,0,1)</f>
        <v>0.18</v>
      </c>
      <c r="H379" s="24">
        <f>_xlfn.XLOOKUP(Table3[[#This Row],[instant]],Table2[instant],Table2[atemp], ,0,1)</f>
        <v>0.19700000000000001</v>
      </c>
      <c r="I379" s="1">
        <f>_xlfn.XLOOKUP(Table3[[#This Row],[instant]],Table2[instant],Table2[hum], ,0,1)</f>
        <v>0.43</v>
      </c>
      <c r="J379" s="1">
        <f>_xlfn.XLOOKUP(Table3[[#This Row],[instant]],Table2[instant],Table2[windspeed], ,0,1)</f>
        <v>0.16420000000000001</v>
      </c>
      <c r="K379" s="1">
        <f>_xlfn.XLOOKUP(Table3[[#This Row],[instant]],Table2[instant],Table2[casual], ,0,1)</f>
        <v>0</v>
      </c>
      <c r="L379" s="1">
        <f>_xlfn.XLOOKUP(Table3[[#This Row],[instant]],Table2[instant],Table2[registered], ,0,1)</f>
        <v>1</v>
      </c>
      <c r="M379" s="6">
        <f>_xlfn.XLOOKUP(Table3[[#This Row],[instant]],Table2[instant],Table2[cnt], ,0,1)</f>
        <v>1</v>
      </c>
      <c r="N379" s="6" t="str">
        <f>IF(OR(Table3[[#This Row],[weekday]]=0,Table3[[#This Row],[weekday]]=6),"Weekend","Weekday")</f>
        <v>Weekday</v>
      </c>
    </row>
    <row r="380" spans="1:14" ht="15" thickBot="1" x14ac:dyDescent="0.35">
      <c r="A380" s="5">
        <v>379</v>
      </c>
      <c r="B380" s="3">
        <f>_xlfn.XLOOKUP(Table3[[#This Row],[instant]],DatSet1!A380:A989,DatSet1!B380:B989,_xlfn.XLOOKUP(Table3[[#This Row],[instant]],'Final Data'!A380:A769,'Final Data'!B380:B769, ,0,1),0,1)</f>
        <v>40560</v>
      </c>
      <c r="C380" s="1">
        <f>_xlfn.XLOOKUP(Table3[[#This Row],[instant]],Table1[instant],Table1[hr], ,0,1)</f>
        <v>6</v>
      </c>
      <c r="D380" s="2" t="b">
        <f>_xlfn.XLOOKUP(Table3[[#This Row],[instant]],Table1[instant],Table1[holiday], ,0,1)</f>
        <v>1</v>
      </c>
      <c r="E380" s="2">
        <f>_xlfn.XLOOKUP(Table3[[#This Row],[instant]],Table1[instant],Table1[weekday], ,0,1)</f>
        <v>1</v>
      </c>
      <c r="F380" s="2">
        <f>_xlfn.XLOOKUP(Table3[[#This Row],[instant]],Table1[instant],Table1[weathersit], ,0,1)</f>
        <v>2</v>
      </c>
      <c r="G380" s="2">
        <f>_xlfn.XLOOKUP(Table3[[#This Row],[instant]],Table1[instant],Table1[temp], ,0,1)</f>
        <v>0.18</v>
      </c>
      <c r="H380" s="24">
        <f>_xlfn.XLOOKUP(Table3[[#This Row],[instant]],Table2[instant],Table2[atemp], ,0,1)</f>
        <v>0.18179999999999999</v>
      </c>
      <c r="I380" s="1">
        <f>_xlfn.XLOOKUP(Table3[[#This Row],[instant]],Table2[instant],Table2[hum], ,0,1)</f>
        <v>0.43</v>
      </c>
      <c r="J380" s="1">
        <f>_xlfn.XLOOKUP(Table3[[#This Row],[instant]],Table2[instant],Table2[windspeed], ,0,1)</f>
        <v>0.19400000000000001</v>
      </c>
      <c r="K380" s="1">
        <f>_xlfn.XLOOKUP(Table3[[#This Row],[instant]],Table2[instant],Table2[casual], ,0,1)</f>
        <v>0</v>
      </c>
      <c r="L380" s="1">
        <f>_xlfn.XLOOKUP(Table3[[#This Row],[instant]],Table2[instant],Table2[registered], ,0,1)</f>
        <v>5</v>
      </c>
      <c r="M380" s="6">
        <f>_xlfn.XLOOKUP(Table3[[#This Row],[instant]],Table2[instant],Table2[cnt], ,0,1)</f>
        <v>5</v>
      </c>
      <c r="N380" s="6" t="str">
        <f>IF(OR(Table3[[#This Row],[weekday]]=0,Table3[[#This Row],[weekday]]=6),"Weekend","Weekday")</f>
        <v>Weekday</v>
      </c>
    </row>
    <row r="381" spans="1:14" ht="15" thickBot="1" x14ac:dyDescent="0.35">
      <c r="A381" s="5">
        <v>380</v>
      </c>
      <c r="B381" s="3">
        <f>_xlfn.XLOOKUP(Table3[[#This Row],[instant]],DatSet1!A381:A990,DatSet1!B381:B990,_xlfn.XLOOKUP(Table3[[#This Row],[instant]],'Final Data'!A381:A770,'Final Data'!B381:B770, ,0,1),0,1)</f>
        <v>40560</v>
      </c>
      <c r="C381" s="1">
        <f>_xlfn.XLOOKUP(Table3[[#This Row],[instant]],Table1[instant],Table1[hr], ,0,1)</f>
        <v>7</v>
      </c>
      <c r="D381" s="2" t="b">
        <f>_xlfn.XLOOKUP(Table3[[#This Row],[instant]],Table1[instant],Table1[holiday], ,0,1)</f>
        <v>1</v>
      </c>
      <c r="E381" s="2">
        <f>_xlfn.XLOOKUP(Table3[[#This Row],[instant]],Table1[instant],Table1[weekday], ,0,1)</f>
        <v>1</v>
      </c>
      <c r="F381" s="2">
        <f>_xlfn.XLOOKUP(Table3[[#This Row],[instant]],Table1[instant],Table1[weathersit], ,0,1)</f>
        <v>2</v>
      </c>
      <c r="G381" s="2">
        <f>_xlfn.XLOOKUP(Table3[[#This Row],[instant]],Table1[instant],Table1[temp], ,0,1)</f>
        <v>0.16</v>
      </c>
      <c r="H381" s="24">
        <f>_xlfn.XLOOKUP(Table3[[#This Row],[instant]],Table2[instant],Table2[atemp], ,0,1)</f>
        <v>0.18179999999999999</v>
      </c>
      <c r="I381" s="1">
        <f>_xlfn.XLOOKUP(Table3[[#This Row],[instant]],Table2[instant],Table2[hum], ,0,1)</f>
        <v>0.5</v>
      </c>
      <c r="J381" s="1">
        <f>_xlfn.XLOOKUP(Table3[[#This Row],[instant]],Table2[instant],Table2[windspeed], ,0,1)</f>
        <v>0.1343</v>
      </c>
      <c r="K381" s="1">
        <f>_xlfn.XLOOKUP(Table3[[#This Row],[instant]],Table2[instant],Table2[casual], ,0,1)</f>
        <v>4</v>
      </c>
      <c r="L381" s="1">
        <f>_xlfn.XLOOKUP(Table3[[#This Row],[instant]],Table2[instant],Table2[registered], ,0,1)</f>
        <v>9</v>
      </c>
      <c r="M381" s="6">
        <f>_xlfn.XLOOKUP(Table3[[#This Row],[instant]],Table2[instant],Table2[cnt], ,0,1)</f>
        <v>13</v>
      </c>
      <c r="N381" s="6" t="str">
        <f>IF(OR(Table3[[#This Row],[weekday]]=0,Table3[[#This Row],[weekday]]=6),"Weekend","Weekday")</f>
        <v>Weekday</v>
      </c>
    </row>
    <row r="382" spans="1:14" ht="15" thickBot="1" x14ac:dyDescent="0.35">
      <c r="A382" s="5">
        <v>381</v>
      </c>
      <c r="B382" s="3">
        <f>_xlfn.XLOOKUP(Table3[[#This Row],[instant]],DatSet1!A382:A991,DatSet1!B382:B991,_xlfn.XLOOKUP(Table3[[#This Row],[instant]],'Final Data'!A382:A771,'Final Data'!B382:B771, ,0,1),0,1)</f>
        <v>40560</v>
      </c>
      <c r="C382" s="1">
        <f>_xlfn.XLOOKUP(Table3[[#This Row],[instant]],Table1[instant],Table1[hr], ,0,1)</f>
        <v>8</v>
      </c>
      <c r="D382" s="2" t="b">
        <f>_xlfn.XLOOKUP(Table3[[#This Row],[instant]],Table1[instant],Table1[holiday], ,0,1)</f>
        <v>1</v>
      </c>
      <c r="E382" s="2">
        <f>_xlfn.XLOOKUP(Table3[[#This Row],[instant]],Table1[instant],Table1[weekday], ,0,1)</f>
        <v>1</v>
      </c>
      <c r="F382" s="2">
        <f>_xlfn.XLOOKUP(Table3[[#This Row],[instant]],Table1[instant],Table1[weathersit], ,0,1)</f>
        <v>2</v>
      </c>
      <c r="G382" s="2">
        <f>_xlfn.XLOOKUP(Table3[[#This Row],[instant]],Table1[instant],Table1[temp], ,0,1)</f>
        <v>0.16</v>
      </c>
      <c r="H382" s="24">
        <f>_xlfn.XLOOKUP(Table3[[#This Row],[instant]],Table2[instant],Table2[atemp], ,0,1)</f>
        <v>0.1515</v>
      </c>
      <c r="I382" s="1">
        <f>_xlfn.XLOOKUP(Table3[[#This Row],[instant]],Table2[instant],Table2[hum], ,0,1)</f>
        <v>0.47</v>
      </c>
      <c r="J382" s="1">
        <f>_xlfn.XLOOKUP(Table3[[#This Row],[instant]],Table2[instant],Table2[windspeed], ,0,1)</f>
        <v>0.22389999999999999</v>
      </c>
      <c r="K382" s="1">
        <f>_xlfn.XLOOKUP(Table3[[#This Row],[instant]],Table2[instant],Table2[casual], ,0,1)</f>
        <v>3</v>
      </c>
      <c r="L382" s="1">
        <f>_xlfn.XLOOKUP(Table3[[#This Row],[instant]],Table2[instant],Table2[registered], ,0,1)</f>
        <v>30</v>
      </c>
      <c r="M382" s="6">
        <f>_xlfn.XLOOKUP(Table3[[#This Row],[instant]],Table2[instant],Table2[cnt], ,0,1)</f>
        <v>33</v>
      </c>
      <c r="N382" s="6" t="str">
        <f>IF(OR(Table3[[#This Row],[weekday]]=0,Table3[[#This Row],[weekday]]=6),"Weekend","Weekday")</f>
        <v>Weekday</v>
      </c>
    </row>
    <row r="383" spans="1:14" ht="15" thickBot="1" x14ac:dyDescent="0.35">
      <c r="A383" s="5">
        <v>382</v>
      </c>
      <c r="B383" s="3">
        <f>_xlfn.XLOOKUP(Table3[[#This Row],[instant]],DatSet1!A383:A992,DatSet1!B383:B992,_xlfn.XLOOKUP(Table3[[#This Row],[instant]],'Final Data'!A383:A772,'Final Data'!B383:B772, ,0,1),0,1)</f>
        <v>40560</v>
      </c>
      <c r="C383" s="1">
        <f>_xlfn.XLOOKUP(Table3[[#This Row],[instant]],Table1[instant],Table1[hr], ,0,1)</f>
        <v>9</v>
      </c>
      <c r="D383" s="2" t="b">
        <f>_xlfn.XLOOKUP(Table3[[#This Row],[instant]],Table1[instant],Table1[holiday], ,0,1)</f>
        <v>1</v>
      </c>
      <c r="E383" s="2">
        <f>_xlfn.XLOOKUP(Table3[[#This Row],[instant]],Table1[instant],Table1[weekday], ,0,1)</f>
        <v>1</v>
      </c>
      <c r="F383" s="2">
        <f>_xlfn.XLOOKUP(Table3[[#This Row],[instant]],Table1[instant],Table1[weathersit], ,0,1)</f>
        <v>2</v>
      </c>
      <c r="G383" s="2">
        <f>_xlfn.XLOOKUP(Table3[[#This Row],[instant]],Table1[instant],Table1[temp], ,0,1)</f>
        <v>0.16</v>
      </c>
      <c r="H383" s="24">
        <f>_xlfn.XLOOKUP(Table3[[#This Row],[instant]],Table2[instant],Table2[atemp], ,0,1)</f>
        <v>0.1515</v>
      </c>
      <c r="I383" s="1">
        <f>_xlfn.XLOOKUP(Table3[[#This Row],[instant]],Table2[instant],Table2[hum], ,0,1)</f>
        <v>0.47</v>
      </c>
      <c r="J383" s="1">
        <f>_xlfn.XLOOKUP(Table3[[#This Row],[instant]],Table2[instant],Table2[windspeed], ,0,1)</f>
        <v>0.22389999999999999</v>
      </c>
      <c r="K383" s="1">
        <f>_xlfn.XLOOKUP(Table3[[#This Row],[instant]],Table2[instant],Table2[casual], ,0,1)</f>
        <v>8</v>
      </c>
      <c r="L383" s="1">
        <f>_xlfn.XLOOKUP(Table3[[#This Row],[instant]],Table2[instant],Table2[registered], ,0,1)</f>
        <v>39</v>
      </c>
      <c r="M383" s="6">
        <f>_xlfn.XLOOKUP(Table3[[#This Row],[instant]],Table2[instant],Table2[cnt], ,0,1)</f>
        <v>47</v>
      </c>
      <c r="N383" s="6" t="str">
        <f>IF(OR(Table3[[#This Row],[weekday]]=0,Table3[[#This Row],[weekday]]=6),"Weekend","Weekday")</f>
        <v>Weekday</v>
      </c>
    </row>
    <row r="384" spans="1:14" ht="15" thickBot="1" x14ac:dyDescent="0.35">
      <c r="A384" s="5">
        <v>383</v>
      </c>
      <c r="B384" s="3">
        <f>_xlfn.XLOOKUP(Table3[[#This Row],[instant]],DatSet1!A384:A993,DatSet1!B384:B993,_xlfn.XLOOKUP(Table3[[#This Row],[instant]],'Final Data'!A384:A773,'Final Data'!B384:B773, ,0,1),0,1)</f>
        <v>40560</v>
      </c>
      <c r="C384" s="1">
        <f>_xlfn.XLOOKUP(Table3[[#This Row],[instant]],Table1[instant],Table1[hr], ,0,1)</f>
        <v>10</v>
      </c>
      <c r="D384" s="2" t="b">
        <f>_xlfn.XLOOKUP(Table3[[#This Row],[instant]],Table1[instant],Table1[holiday], ,0,1)</f>
        <v>1</v>
      </c>
      <c r="E384" s="2">
        <f>_xlfn.XLOOKUP(Table3[[#This Row],[instant]],Table1[instant],Table1[weekday], ,0,1)</f>
        <v>1</v>
      </c>
      <c r="F384" s="2">
        <f>_xlfn.XLOOKUP(Table3[[#This Row],[instant]],Table1[instant],Table1[weathersit], ,0,1)</f>
        <v>2</v>
      </c>
      <c r="G384" s="2">
        <f>_xlfn.XLOOKUP(Table3[[#This Row],[instant]],Table1[instant],Table1[temp], ,0,1)</f>
        <v>0.16</v>
      </c>
      <c r="H384" s="24">
        <f>_xlfn.XLOOKUP(Table3[[#This Row],[instant]],Table2[instant],Table2[atemp], ,0,1)</f>
        <v>0.1515</v>
      </c>
      <c r="I384" s="1">
        <f>_xlfn.XLOOKUP(Table3[[#This Row],[instant]],Table2[instant],Table2[hum], ,0,1)</f>
        <v>0.5</v>
      </c>
      <c r="J384" s="1">
        <f>_xlfn.XLOOKUP(Table3[[#This Row],[instant]],Table2[instant],Table2[windspeed], ,0,1)</f>
        <v>0.25369999999999998</v>
      </c>
      <c r="K384" s="1">
        <f>_xlfn.XLOOKUP(Table3[[#This Row],[instant]],Table2[instant],Table2[casual], ,0,1)</f>
        <v>7</v>
      </c>
      <c r="L384" s="1">
        <f>_xlfn.XLOOKUP(Table3[[#This Row],[instant]],Table2[instant],Table2[registered], ,0,1)</f>
        <v>50</v>
      </c>
      <c r="M384" s="6">
        <f>_xlfn.XLOOKUP(Table3[[#This Row],[instant]],Table2[instant],Table2[cnt], ,0,1)</f>
        <v>57</v>
      </c>
      <c r="N384" s="6" t="str">
        <f>IF(OR(Table3[[#This Row],[weekday]]=0,Table3[[#This Row],[weekday]]=6),"Weekend","Weekday")</f>
        <v>Weekday</v>
      </c>
    </row>
    <row r="385" spans="1:14" ht="15" thickBot="1" x14ac:dyDescent="0.35">
      <c r="A385" s="5">
        <v>384</v>
      </c>
      <c r="B385" s="3">
        <f>_xlfn.XLOOKUP(Table3[[#This Row],[instant]],DatSet1!A385:A994,DatSet1!B385:B994,_xlfn.XLOOKUP(Table3[[#This Row],[instant]],'Final Data'!A385:A774,'Final Data'!B385:B774, ,0,1),0,1)</f>
        <v>40560</v>
      </c>
      <c r="C385" s="1">
        <f>_xlfn.XLOOKUP(Table3[[#This Row],[instant]],Table1[instant],Table1[hr], ,0,1)</f>
        <v>11</v>
      </c>
      <c r="D385" s="2" t="b">
        <f>_xlfn.XLOOKUP(Table3[[#This Row],[instant]],Table1[instant],Table1[holiday], ,0,1)</f>
        <v>1</v>
      </c>
      <c r="E385" s="2">
        <f>_xlfn.XLOOKUP(Table3[[#This Row],[instant]],Table1[instant],Table1[weekday], ,0,1)</f>
        <v>1</v>
      </c>
      <c r="F385" s="2">
        <f>_xlfn.XLOOKUP(Table3[[#This Row],[instant]],Table1[instant],Table1[weathersit], ,0,1)</f>
        <v>2</v>
      </c>
      <c r="G385" s="2">
        <f>_xlfn.XLOOKUP(Table3[[#This Row],[instant]],Table1[instant],Table1[temp], ,0,1)</f>
        <v>0.16</v>
      </c>
      <c r="H385" s="24">
        <f>_xlfn.XLOOKUP(Table3[[#This Row],[instant]],Table2[instant],Table2[atemp], ,0,1)</f>
        <v>0.1515</v>
      </c>
      <c r="I385" s="1">
        <f>_xlfn.XLOOKUP(Table3[[#This Row],[instant]],Table2[instant],Table2[hum], ,0,1)</f>
        <v>0.55000000000000004</v>
      </c>
      <c r="J385" s="1">
        <f>_xlfn.XLOOKUP(Table3[[#This Row],[instant]],Table2[instant],Table2[windspeed], ,0,1)</f>
        <v>0.19400000000000001</v>
      </c>
      <c r="K385" s="1">
        <f>_xlfn.XLOOKUP(Table3[[#This Row],[instant]],Table2[instant],Table2[casual], ,0,1)</f>
        <v>9</v>
      </c>
      <c r="L385" s="1">
        <f>_xlfn.XLOOKUP(Table3[[#This Row],[instant]],Table2[instant],Table2[registered], ,0,1)</f>
        <v>55</v>
      </c>
      <c r="M385" s="6">
        <f>_xlfn.XLOOKUP(Table3[[#This Row],[instant]],Table2[instant],Table2[cnt], ,0,1)</f>
        <v>64</v>
      </c>
      <c r="N385" s="6" t="str">
        <f>IF(OR(Table3[[#This Row],[weekday]]=0,Table3[[#This Row],[weekday]]=6),"Weekend","Weekday")</f>
        <v>Weekday</v>
      </c>
    </row>
    <row r="386" spans="1:14" ht="15" thickBot="1" x14ac:dyDescent="0.35">
      <c r="A386" s="5">
        <v>385</v>
      </c>
      <c r="B386" s="3">
        <f>_xlfn.XLOOKUP(Table3[[#This Row],[instant]],DatSet1!A386:A995,DatSet1!B386:B995,_xlfn.XLOOKUP(Table3[[#This Row],[instant]],'Final Data'!A386:A775,'Final Data'!B386:B775, ,0,1),0,1)</f>
        <v>40560</v>
      </c>
      <c r="C386" s="1">
        <f>_xlfn.XLOOKUP(Table3[[#This Row],[instant]],Table1[instant],Table1[hr], ,0,1)</f>
        <v>12</v>
      </c>
      <c r="D386" s="2" t="b">
        <f>_xlfn.XLOOKUP(Table3[[#This Row],[instant]],Table1[instant],Table1[holiday], ,0,1)</f>
        <v>1</v>
      </c>
      <c r="E386" s="2">
        <f>_xlfn.XLOOKUP(Table3[[#This Row],[instant]],Table1[instant],Table1[weekday], ,0,1)</f>
        <v>1</v>
      </c>
      <c r="F386" s="2">
        <f>_xlfn.XLOOKUP(Table3[[#This Row],[instant]],Table1[instant],Table1[weathersit], ,0,1)</f>
        <v>2</v>
      </c>
      <c r="G386" s="2">
        <f>_xlfn.XLOOKUP(Table3[[#This Row],[instant]],Table1[instant],Table1[temp], ,0,1)</f>
        <v>0.18</v>
      </c>
      <c r="H386" s="24">
        <f>_xlfn.XLOOKUP(Table3[[#This Row],[instant]],Table2[instant],Table2[atemp], ,0,1)</f>
        <v>0.19700000000000001</v>
      </c>
      <c r="I386" s="1">
        <f>_xlfn.XLOOKUP(Table3[[#This Row],[instant]],Table2[instant],Table2[hum], ,0,1)</f>
        <v>0.47</v>
      </c>
      <c r="J386" s="1">
        <f>_xlfn.XLOOKUP(Table3[[#This Row],[instant]],Table2[instant],Table2[windspeed], ,0,1)</f>
        <v>0.1343</v>
      </c>
      <c r="K386" s="1">
        <f>_xlfn.XLOOKUP(Table3[[#This Row],[instant]],Table2[instant],Table2[casual], ,0,1)</f>
        <v>10</v>
      </c>
      <c r="L386" s="1">
        <f>_xlfn.XLOOKUP(Table3[[#This Row],[instant]],Table2[instant],Table2[registered], ,0,1)</f>
        <v>70</v>
      </c>
      <c r="M386" s="6">
        <f>_xlfn.XLOOKUP(Table3[[#This Row],[instant]],Table2[instant],Table2[cnt], ,0,1)</f>
        <v>80</v>
      </c>
      <c r="N386" s="6" t="str">
        <f>IF(OR(Table3[[#This Row],[weekday]]=0,Table3[[#This Row],[weekday]]=6),"Weekend","Weekday")</f>
        <v>Weekday</v>
      </c>
    </row>
    <row r="387" spans="1:14" ht="15" thickBot="1" x14ac:dyDescent="0.35">
      <c r="A387" s="5">
        <v>386</v>
      </c>
      <c r="B387" s="3">
        <f>_xlfn.XLOOKUP(Table3[[#This Row],[instant]],DatSet1!A387:A996,DatSet1!B387:B996,_xlfn.XLOOKUP(Table3[[#This Row],[instant]],'Final Data'!A387:A776,'Final Data'!B387:B776, ,0,1),0,1)</f>
        <v>40560</v>
      </c>
      <c r="C387" s="1">
        <f>_xlfn.XLOOKUP(Table3[[#This Row],[instant]],Table1[instant],Table1[hr], ,0,1)</f>
        <v>13</v>
      </c>
      <c r="D387" s="2" t="b">
        <f>_xlfn.XLOOKUP(Table3[[#This Row],[instant]],Table1[instant],Table1[holiday], ,0,1)</f>
        <v>1</v>
      </c>
      <c r="E387" s="2">
        <f>_xlfn.XLOOKUP(Table3[[#This Row],[instant]],Table1[instant],Table1[weekday], ,0,1)</f>
        <v>1</v>
      </c>
      <c r="F387" s="2">
        <f>_xlfn.XLOOKUP(Table3[[#This Row],[instant]],Table1[instant],Table1[weathersit], ,0,1)</f>
        <v>2</v>
      </c>
      <c r="G387" s="2">
        <f>_xlfn.XLOOKUP(Table3[[#This Row],[instant]],Table1[instant],Table1[temp], ,0,1)</f>
        <v>0.18</v>
      </c>
      <c r="H387" s="24">
        <f>_xlfn.XLOOKUP(Table3[[#This Row],[instant]],Table2[instant],Table2[atemp], ,0,1)</f>
        <v>0.19700000000000001</v>
      </c>
      <c r="I387" s="1">
        <f>_xlfn.XLOOKUP(Table3[[#This Row],[instant]],Table2[instant],Table2[hum], ,0,1)</f>
        <v>0.47</v>
      </c>
      <c r="J387" s="1">
        <f>_xlfn.XLOOKUP(Table3[[#This Row],[instant]],Table2[instant],Table2[windspeed], ,0,1)</f>
        <v>0.1343</v>
      </c>
      <c r="K387" s="1">
        <f>_xlfn.XLOOKUP(Table3[[#This Row],[instant]],Table2[instant],Table2[casual], ,0,1)</f>
        <v>13</v>
      </c>
      <c r="L387" s="1">
        <f>_xlfn.XLOOKUP(Table3[[#This Row],[instant]],Table2[instant],Table2[registered], ,0,1)</f>
        <v>80</v>
      </c>
      <c r="M387" s="6">
        <f>_xlfn.XLOOKUP(Table3[[#This Row],[instant]],Table2[instant],Table2[cnt], ,0,1)</f>
        <v>93</v>
      </c>
      <c r="N387" s="6" t="str">
        <f>IF(OR(Table3[[#This Row],[weekday]]=0,Table3[[#This Row],[weekday]]=6),"Weekend","Weekday")</f>
        <v>Weekday</v>
      </c>
    </row>
    <row r="388" spans="1:14" ht="15" thickBot="1" x14ac:dyDescent="0.35">
      <c r="A388" s="5">
        <v>387</v>
      </c>
      <c r="B388" s="3">
        <f>_xlfn.XLOOKUP(Table3[[#This Row],[instant]],DatSet1!A388:A997,DatSet1!B388:B997,_xlfn.XLOOKUP(Table3[[#This Row],[instant]],'Final Data'!A388:A777,'Final Data'!B388:B777, ,0,1),0,1)</f>
        <v>40560</v>
      </c>
      <c r="C388" s="1">
        <f>_xlfn.XLOOKUP(Table3[[#This Row],[instant]],Table1[instant],Table1[hr], ,0,1)</f>
        <v>14</v>
      </c>
      <c r="D388" s="2" t="b">
        <f>_xlfn.XLOOKUP(Table3[[#This Row],[instant]],Table1[instant],Table1[holiday], ,0,1)</f>
        <v>1</v>
      </c>
      <c r="E388" s="2">
        <f>_xlfn.XLOOKUP(Table3[[#This Row],[instant]],Table1[instant],Table1[weekday], ,0,1)</f>
        <v>1</v>
      </c>
      <c r="F388" s="2">
        <f>_xlfn.XLOOKUP(Table3[[#This Row],[instant]],Table1[instant],Table1[weathersit], ,0,1)</f>
        <v>2</v>
      </c>
      <c r="G388" s="2">
        <f>_xlfn.XLOOKUP(Table3[[#This Row],[instant]],Table1[instant],Table1[temp], ,0,1)</f>
        <v>0.18</v>
      </c>
      <c r="H388" s="24">
        <f>_xlfn.XLOOKUP(Table3[[#This Row],[instant]],Table2[instant],Table2[atemp], ,0,1)</f>
        <v>0.21210000000000001</v>
      </c>
      <c r="I388" s="1">
        <f>_xlfn.XLOOKUP(Table3[[#This Row],[instant]],Table2[instant],Table2[hum], ,0,1)</f>
        <v>0.43</v>
      </c>
      <c r="J388" s="1">
        <f>_xlfn.XLOOKUP(Table3[[#This Row],[instant]],Table2[instant],Table2[windspeed], ,0,1)</f>
        <v>0.1045</v>
      </c>
      <c r="K388" s="1">
        <f>_xlfn.XLOOKUP(Table3[[#This Row],[instant]],Table2[instant],Table2[casual], ,0,1)</f>
        <v>12</v>
      </c>
      <c r="L388" s="1">
        <f>_xlfn.XLOOKUP(Table3[[#This Row],[instant]],Table2[instant],Table2[registered], ,0,1)</f>
        <v>74</v>
      </c>
      <c r="M388" s="6">
        <f>_xlfn.XLOOKUP(Table3[[#This Row],[instant]],Table2[instant],Table2[cnt], ,0,1)</f>
        <v>86</v>
      </c>
      <c r="N388" s="6" t="str">
        <f>IF(OR(Table3[[#This Row],[weekday]]=0,Table3[[#This Row],[weekday]]=6),"Weekend","Weekday")</f>
        <v>Weekday</v>
      </c>
    </row>
    <row r="389" spans="1:14" ht="15" thickBot="1" x14ac:dyDescent="0.35">
      <c r="A389" s="5">
        <v>388</v>
      </c>
      <c r="B389" s="3">
        <f>_xlfn.XLOOKUP(Table3[[#This Row],[instant]],DatSet1!A389:A998,DatSet1!B389:B998,_xlfn.XLOOKUP(Table3[[#This Row],[instant]],'Final Data'!A389:A778,'Final Data'!B389:B778, ,0,1),0,1)</f>
        <v>40560</v>
      </c>
      <c r="C389" s="1">
        <f>_xlfn.XLOOKUP(Table3[[#This Row],[instant]],Table1[instant],Table1[hr], ,0,1)</f>
        <v>15</v>
      </c>
      <c r="D389" s="2" t="b">
        <f>_xlfn.XLOOKUP(Table3[[#This Row],[instant]],Table1[instant],Table1[holiday], ,0,1)</f>
        <v>1</v>
      </c>
      <c r="E389" s="2">
        <f>_xlfn.XLOOKUP(Table3[[#This Row],[instant]],Table1[instant],Table1[weekday], ,0,1)</f>
        <v>1</v>
      </c>
      <c r="F389" s="2">
        <f>_xlfn.XLOOKUP(Table3[[#This Row],[instant]],Table1[instant],Table1[weathersit], ,0,1)</f>
        <v>2</v>
      </c>
      <c r="G389" s="2">
        <f>_xlfn.XLOOKUP(Table3[[#This Row],[instant]],Table1[instant],Table1[temp], ,0,1)</f>
        <v>0.2</v>
      </c>
      <c r="H389" s="24">
        <f>_xlfn.XLOOKUP(Table3[[#This Row],[instant]],Table2[instant],Table2[atemp], ,0,1)</f>
        <v>0.21210000000000001</v>
      </c>
      <c r="I389" s="1">
        <f>_xlfn.XLOOKUP(Table3[[#This Row],[instant]],Table2[instant],Table2[hum], ,0,1)</f>
        <v>0.47</v>
      </c>
      <c r="J389" s="1">
        <f>_xlfn.XLOOKUP(Table3[[#This Row],[instant]],Table2[instant],Table2[windspeed], ,0,1)</f>
        <v>0.16420000000000001</v>
      </c>
      <c r="K389" s="1">
        <f>_xlfn.XLOOKUP(Table3[[#This Row],[instant]],Table2[instant],Table2[casual], ,0,1)</f>
        <v>21</v>
      </c>
      <c r="L389" s="1">
        <f>_xlfn.XLOOKUP(Table3[[#This Row],[instant]],Table2[instant],Table2[registered], ,0,1)</f>
        <v>72</v>
      </c>
      <c r="M389" s="6">
        <f>_xlfn.XLOOKUP(Table3[[#This Row],[instant]],Table2[instant],Table2[cnt], ,0,1)</f>
        <v>93</v>
      </c>
      <c r="N389" s="6" t="str">
        <f>IF(OR(Table3[[#This Row],[weekday]]=0,Table3[[#This Row],[weekday]]=6),"Weekend","Weekday")</f>
        <v>Weekday</v>
      </c>
    </row>
    <row r="390" spans="1:14" ht="15" thickBot="1" x14ac:dyDescent="0.35">
      <c r="A390" s="5">
        <v>389</v>
      </c>
      <c r="B390" s="3">
        <f>_xlfn.XLOOKUP(Table3[[#This Row],[instant]],DatSet1!A390:A999,DatSet1!B390:B999,_xlfn.XLOOKUP(Table3[[#This Row],[instant]],'Final Data'!A390:A779,'Final Data'!B390:B779, ,0,1),0,1)</f>
        <v>40560</v>
      </c>
      <c r="C390" s="1">
        <f>_xlfn.XLOOKUP(Table3[[#This Row],[instant]],Table1[instant],Table1[hr], ,0,1)</f>
        <v>16</v>
      </c>
      <c r="D390" s="2" t="b">
        <f>_xlfn.XLOOKUP(Table3[[#This Row],[instant]],Table1[instant],Table1[holiday], ,0,1)</f>
        <v>1</v>
      </c>
      <c r="E390" s="2">
        <f>_xlfn.XLOOKUP(Table3[[#This Row],[instant]],Table1[instant],Table1[weekday], ,0,1)</f>
        <v>1</v>
      </c>
      <c r="F390" s="2">
        <f>_xlfn.XLOOKUP(Table3[[#This Row],[instant]],Table1[instant],Table1[weathersit], ,0,1)</f>
        <v>2</v>
      </c>
      <c r="G390" s="2">
        <f>_xlfn.XLOOKUP(Table3[[#This Row],[instant]],Table1[instant],Table1[temp], ,0,1)</f>
        <v>0.2</v>
      </c>
      <c r="H390" s="24">
        <f>_xlfn.XLOOKUP(Table3[[#This Row],[instant]],Table2[instant],Table2[atemp], ,0,1)</f>
        <v>0.21210000000000001</v>
      </c>
      <c r="I390" s="1">
        <f>_xlfn.XLOOKUP(Table3[[#This Row],[instant]],Table2[instant],Table2[hum], ,0,1)</f>
        <v>0.47</v>
      </c>
      <c r="J390" s="1">
        <f>_xlfn.XLOOKUP(Table3[[#This Row],[instant]],Table2[instant],Table2[windspeed], ,0,1)</f>
        <v>0.16420000000000001</v>
      </c>
      <c r="K390" s="1">
        <f>_xlfn.XLOOKUP(Table3[[#This Row],[instant]],Table2[instant],Table2[casual], ,0,1)</f>
        <v>6</v>
      </c>
      <c r="L390" s="1">
        <f>_xlfn.XLOOKUP(Table3[[#This Row],[instant]],Table2[instant],Table2[registered], ,0,1)</f>
        <v>76</v>
      </c>
      <c r="M390" s="6">
        <f>_xlfn.XLOOKUP(Table3[[#This Row],[instant]],Table2[instant],Table2[cnt], ,0,1)</f>
        <v>82</v>
      </c>
      <c r="N390" s="6" t="str">
        <f>IF(OR(Table3[[#This Row],[weekday]]=0,Table3[[#This Row],[weekday]]=6),"Weekend","Weekday")</f>
        <v>Weekday</v>
      </c>
    </row>
    <row r="391" spans="1:14" ht="15" thickBot="1" x14ac:dyDescent="0.35">
      <c r="A391" s="10">
        <v>390</v>
      </c>
      <c r="B391" s="11">
        <f>_xlfn.XLOOKUP(Table3[[#This Row],[instant]],DatSet1!A391:A1000,DatSet1!B391:B1000,_xlfn.XLOOKUP(Table3[[#This Row],[instant]],'Final Data'!A391:A780,'Final Data'!B391:B780, ,0,1),0,1)</f>
        <v>40560</v>
      </c>
      <c r="C391" s="12">
        <f>_xlfn.XLOOKUP(Table3[[#This Row],[instant]],Table1[instant],Table1[hr], ,0,1)</f>
        <v>17</v>
      </c>
      <c r="D391" s="13" t="b">
        <f>_xlfn.XLOOKUP(Table3[[#This Row],[instant]],Table1[instant],Table1[holiday], ,0,1)</f>
        <v>1</v>
      </c>
      <c r="E391" s="2">
        <f>_xlfn.XLOOKUP(Table3[[#This Row],[instant]],Table1[instant],Table1[weekday], ,0,1)</f>
        <v>1</v>
      </c>
      <c r="F391" s="2">
        <f>_xlfn.XLOOKUP(Table3[[#This Row],[instant]],Table1[instant],Table1[weathersit], ,0,1)</f>
        <v>1</v>
      </c>
      <c r="G391" s="2">
        <f>_xlfn.XLOOKUP(Table3[[#This Row],[instant]],Table1[instant],Table1[temp], ,0,1)</f>
        <v>0.2</v>
      </c>
      <c r="H391" s="24">
        <f>_xlfn.XLOOKUP(Table3[[#This Row],[instant]],Table2[instant],Table2[atemp], ,0,1)</f>
        <v>0.19700000000000001</v>
      </c>
      <c r="I391" s="1">
        <f>_xlfn.XLOOKUP(Table3[[#This Row],[instant]],Table2[instant],Table2[hum], ,0,1)</f>
        <v>0.51</v>
      </c>
      <c r="J391" s="1">
        <f>_xlfn.XLOOKUP(Table3[[#This Row],[instant]],Table2[instant],Table2[windspeed], ,0,1)</f>
        <v>0.19400000000000001</v>
      </c>
      <c r="K391" s="1">
        <f>_xlfn.XLOOKUP(Table3[[#This Row],[instant]],Table2[instant],Table2[casual], ,0,1)</f>
        <v>4</v>
      </c>
      <c r="L391" s="1">
        <f>_xlfn.XLOOKUP(Table3[[#This Row],[instant]],Table2[instant],Table2[registered], ,0,1)</f>
        <v>67</v>
      </c>
      <c r="M391" s="6">
        <f>_xlfn.XLOOKUP(Table3[[#This Row],[instant]],Table2[instant],Table2[cnt], ,0,1)</f>
        <v>71</v>
      </c>
      <c r="N391" s="6" t="str">
        <f>IF(OR(Table3[[#This Row],[weekday]]=0,Table3[[#This Row],[weekday]]=6),"Weekend","Weekday")</f>
        <v>Weekday</v>
      </c>
    </row>
    <row r="392" spans="1:14" ht="15" thickBot="1" x14ac:dyDescent="0.35">
      <c r="A392" s="10">
        <v>391</v>
      </c>
      <c r="B392" s="11">
        <f>_xlfn.XLOOKUP(Table3[[#This Row],[instant]],DatSet1!A392:A1001,DatSet1!B392:B1001,_xlfn.XLOOKUP(Table3[[#This Row],[instant]],'Final Data'!A392:A781,'Final Data'!B392:B781, ,0,1),0,1)</f>
        <v>40560</v>
      </c>
      <c r="C392" s="12">
        <f>_xlfn.XLOOKUP(Table3[[#This Row],[instant]],Table1[instant],Table1[hr], ,0,1)</f>
        <v>18</v>
      </c>
      <c r="D392" s="13" t="b">
        <f>_xlfn.XLOOKUP(Table3[[#This Row],[instant]],Table1[instant],Table1[holiday], ,0,1)</f>
        <v>1</v>
      </c>
      <c r="E392" s="2">
        <f>_xlfn.XLOOKUP(Table3[[#This Row],[instant]],Table1[instant],Table1[weekday], ,0,1)</f>
        <v>1</v>
      </c>
      <c r="F392" s="2">
        <f>_xlfn.XLOOKUP(Table3[[#This Row],[instant]],Table1[instant],Table1[weathersit], ,0,1)</f>
        <v>2</v>
      </c>
      <c r="G392" s="2">
        <f>_xlfn.XLOOKUP(Table3[[#This Row],[instant]],Table1[instant],Table1[temp], ,0,1)</f>
        <v>0.18</v>
      </c>
      <c r="H392" s="24">
        <f>_xlfn.XLOOKUP(Table3[[#This Row],[instant]],Table2[instant],Table2[atemp], ,0,1)</f>
        <v>0.16669999999999999</v>
      </c>
      <c r="I392" s="1">
        <f>_xlfn.XLOOKUP(Table3[[#This Row],[instant]],Table2[instant],Table2[hum], ,0,1)</f>
        <v>0.55000000000000004</v>
      </c>
      <c r="J392" s="1">
        <f>_xlfn.XLOOKUP(Table3[[#This Row],[instant]],Table2[instant],Table2[windspeed], ,0,1)</f>
        <v>0.25369999999999998</v>
      </c>
      <c r="K392" s="1">
        <f>_xlfn.XLOOKUP(Table3[[#This Row],[instant]],Table2[instant],Table2[casual], ,0,1)</f>
        <v>7</v>
      </c>
      <c r="L392" s="1">
        <f>_xlfn.XLOOKUP(Table3[[#This Row],[instant]],Table2[instant],Table2[registered], ,0,1)</f>
        <v>85</v>
      </c>
      <c r="M392" s="6">
        <f>_xlfn.XLOOKUP(Table3[[#This Row],[instant]],Table2[instant],Table2[cnt], ,0,1)</f>
        <v>92</v>
      </c>
      <c r="N392" s="6" t="str">
        <f>IF(OR(Table3[[#This Row],[weekday]]=0,Table3[[#This Row],[weekday]]=6),"Weekend","Weekday")</f>
        <v>Weekday</v>
      </c>
    </row>
    <row r="393" spans="1:14" ht="15" thickBot="1" x14ac:dyDescent="0.35">
      <c r="A393" s="10">
        <v>392</v>
      </c>
      <c r="B393" s="11">
        <f>_xlfn.XLOOKUP(Table3[[#This Row],[instant]],DatSet1!A393:A1002,DatSet1!B393:B1002,_xlfn.XLOOKUP(Table3[[#This Row],[instant]],'Final Data'!A393:A782,'Final Data'!B393:B782, ,0,1),0,1)</f>
        <v>40560</v>
      </c>
      <c r="C393" s="12">
        <f>_xlfn.XLOOKUP(Table3[[#This Row],[instant]],Table1[instant],Table1[hr], ,0,1)</f>
        <v>19</v>
      </c>
      <c r="D393" s="13" t="b">
        <f>_xlfn.XLOOKUP(Table3[[#This Row],[instant]],Table1[instant],Table1[holiday], ,0,1)</f>
        <v>1</v>
      </c>
      <c r="E393" s="2">
        <f>_xlfn.XLOOKUP(Table3[[#This Row],[instant]],Table1[instant],Table1[weekday], ,0,1)</f>
        <v>1</v>
      </c>
      <c r="F393" s="2">
        <f>_xlfn.XLOOKUP(Table3[[#This Row],[instant]],Table1[instant],Table1[weathersit], ,0,1)</f>
        <v>3</v>
      </c>
      <c r="G393" s="2">
        <f>_xlfn.XLOOKUP(Table3[[#This Row],[instant]],Table1[instant],Table1[temp], ,0,1)</f>
        <v>0.18</v>
      </c>
      <c r="H393" s="24">
        <f>_xlfn.XLOOKUP(Table3[[#This Row],[instant]],Table2[instant],Table2[atemp], ,0,1)</f>
        <v>0.18179999999999999</v>
      </c>
      <c r="I393" s="1">
        <f>_xlfn.XLOOKUP(Table3[[#This Row],[instant]],Table2[instant],Table2[hum], ,0,1)</f>
        <v>0.59</v>
      </c>
      <c r="J393" s="1">
        <f>_xlfn.XLOOKUP(Table3[[#This Row],[instant]],Table2[instant],Table2[windspeed], ,0,1)</f>
        <v>0.19400000000000001</v>
      </c>
      <c r="K393" s="1">
        <f>_xlfn.XLOOKUP(Table3[[#This Row],[instant]],Table2[instant],Table2[casual], ,0,1)</f>
        <v>2</v>
      </c>
      <c r="L393" s="1">
        <f>_xlfn.XLOOKUP(Table3[[#This Row],[instant]],Table2[instant],Table2[registered], ,0,1)</f>
        <v>58</v>
      </c>
      <c r="M393" s="6">
        <f>_xlfn.XLOOKUP(Table3[[#This Row],[instant]],Table2[instant],Table2[cnt], ,0,1)</f>
        <v>60</v>
      </c>
      <c r="N393" s="6" t="str">
        <f>IF(OR(Table3[[#This Row],[weekday]]=0,Table3[[#This Row],[weekday]]=6),"Weekend","Weekday")</f>
        <v>Weekday</v>
      </c>
    </row>
    <row r="394" spans="1:14" ht="15" thickBot="1" x14ac:dyDescent="0.35">
      <c r="A394" s="10">
        <v>393</v>
      </c>
      <c r="B394" s="11">
        <f>_xlfn.XLOOKUP(Table3[[#This Row],[instant]],DatSet1!A394:A1003,DatSet1!B394:B1003,_xlfn.XLOOKUP(Table3[[#This Row],[instant]],'Final Data'!A394:A783,'Final Data'!B394:B783, ,0,1),0,1)</f>
        <v>40560</v>
      </c>
      <c r="C394" s="12">
        <f>_xlfn.XLOOKUP(Table3[[#This Row],[instant]],Table1[instant],Table1[hr], ,0,1)</f>
        <v>20</v>
      </c>
      <c r="D394" s="13" t="b">
        <f>_xlfn.XLOOKUP(Table3[[#This Row],[instant]],Table1[instant],Table1[holiday], ,0,1)</f>
        <v>1</v>
      </c>
      <c r="E394" s="2">
        <f>_xlfn.XLOOKUP(Table3[[#This Row],[instant]],Table1[instant],Table1[weekday], ,0,1)</f>
        <v>1</v>
      </c>
      <c r="F394" s="2">
        <f>_xlfn.XLOOKUP(Table3[[#This Row],[instant]],Table1[instant],Table1[weathersit], ,0,1)</f>
        <v>3</v>
      </c>
      <c r="G394" s="2">
        <f>_xlfn.XLOOKUP(Table3[[#This Row],[instant]],Table1[instant],Table1[temp], ,0,1)</f>
        <v>0.16</v>
      </c>
      <c r="H394" s="24">
        <f>_xlfn.XLOOKUP(Table3[[#This Row],[instant]],Table2[instant],Table2[atemp], ,0,1)</f>
        <v>0.1515</v>
      </c>
      <c r="I394" s="1">
        <f>_xlfn.XLOOKUP(Table3[[#This Row],[instant]],Table2[instant],Table2[hum], ,0,1)</f>
        <v>0.8</v>
      </c>
      <c r="J394" s="1">
        <f>_xlfn.XLOOKUP(Table3[[#This Row],[instant]],Table2[instant],Table2[windspeed], ,0,1)</f>
        <v>0.19400000000000001</v>
      </c>
      <c r="K394" s="1">
        <f>_xlfn.XLOOKUP(Table3[[#This Row],[instant]],Table2[instant],Table2[casual], ,0,1)</f>
        <v>4</v>
      </c>
      <c r="L394" s="1">
        <f>_xlfn.XLOOKUP(Table3[[#This Row],[instant]],Table2[instant],Table2[registered], ,0,1)</f>
        <v>29</v>
      </c>
      <c r="M394" s="6">
        <f>_xlfn.XLOOKUP(Table3[[#This Row],[instant]],Table2[instant],Table2[cnt], ,0,1)</f>
        <v>33</v>
      </c>
      <c r="N394" s="6" t="str">
        <f>IF(OR(Table3[[#This Row],[weekday]]=0,Table3[[#This Row],[weekday]]=6),"Weekend","Weekday")</f>
        <v>Weekday</v>
      </c>
    </row>
    <row r="395" spans="1:14" ht="15" thickBot="1" x14ac:dyDescent="0.35">
      <c r="A395" s="10">
        <v>394</v>
      </c>
      <c r="B395" s="11">
        <f>_xlfn.XLOOKUP(Table3[[#This Row],[instant]],DatSet1!A395:A1004,DatSet1!B395:B1004,_xlfn.XLOOKUP(Table3[[#This Row],[instant]],'Final Data'!A395:A784,'Final Data'!B395:B784, ,0,1),0,1)</f>
        <v>40560</v>
      </c>
      <c r="C395" s="12">
        <f>_xlfn.XLOOKUP(Table3[[#This Row],[instant]],Table1[instant],Table1[hr], ,0,1)</f>
        <v>21</v>
      </c>
      <c r="D395" s="13" t="b">
        <f>_xlfn.XLOOKUP(Table3[[#This Row],[instant]],Table1[instant],Table1[holiday], ,0,1)</f>
        <v>1</v>
      </c>
      <c r="E395" s="2">
        <f>_xlfn.XLOOKUP(Table3[[#This Row],[instant]],Table1[instant],Table1[weekday], ,0,1)</f>
        <v>1</v>
      </c>
      <c r="F395" s="2">
        <f>_xlfn.XLOOKUP(Table3[[#This Row],[instant]],Table1[instant],Table1[weathersit], ,0,1)</f>
        <v>3</v>
      </c>
      <c r="G395" s="2">
        <f>_xlfn.XLOOKUP(Table3[[#This Row],[instant]],Table1[instant],Table1[temp], ,0,1)</f>
        <v>0.16</v>
      </c>
      <c r="H395" s="24">
        <f>_xlfn.XLOOKUP(Table3[[#This Row],[instant]],Table2[instant],Table2[atemp], ,0,1)</f>
        <v>0.1515</v>
      </c>
      <c r="I395" s="1">
        <f>_xlfn.XLOOKUP(Table3[[#This Row],[instant]],Table2[instant],Table2[hum], ,0,1)</f>
        <v>0.8</v>
      </c>
      <c r="J395" s="1">
        <f>_xlfn.XLOOKUP(Table3[[#This Row],[instant]],Table2[instant],Table2[windspeed], ,0,1)</f>
        <v>0.19400000000000001</v>
      </c>
      <c r="K395" s="1">
        <f>_xlfn.XLOOKUP(Table3[[#This Row],[instant]],Table2[instant],Table2[casual], ,0,1)</f>
        <v>3</v>
      </c>
      <c r="L395" s="1">
        <f>_xlfn.XLOOKUP(Table3[[#This Row],[instant]],Table2[instant],Table2[registered], ,0,1)</f>
        <v>24</v>
      </c>
      <c r="M395" s="6">
        <f>_xlfn.XLOOKUP(Table3[[#This Row],[instant]],Table2[instant],Table2[cnt], ,0,1)</f>
        <v>27</v>
      </c>
      <c r="N395" s="6" t="str">
        <f>IF(OR(Table3[[#This Row],[weekday]]=0,Table3[[#This Row],[weekday]]=6),"Weekend","Weekday")</f>
        <v>Weekday</v>
      </c>
    </row>
    <row r="396" spans="1:14" ht="15" thickBot="1" x14ac:dyDescent="0.35">
      <c r="A396" s="10">
        <v>395</v>
      </c>
      <c r="B396" s="11">
        <f>_xlfn.XLOOKUP(Table3[[#This Row],[instant]],DatSet1!A396:A1005,DatSet1!B396:B1005,_xlfn.XLOOKUP(Table3[[#This Row],[instant]],'Final Data'!A396:A785,'Final Data'!B396:B785, ,0,1),0,1)</f>
        <v>40560</v>
      </c>
      <c r="C396" s="12">
        <f>_xlfn.XLOOKUP(Table3[[#This Row],[instant]],Table1[instant],Table1[hr], ,0,1)</f>
        <v>22</v>
      </c>
      <c r="D396" s="13" t="b">
        <f>_xlfn.XLOOKUP(Table3[[#This Row],[instant]],Table1[instant],Table1[holiday], ,0,1)</f>
        <v>1</v>
      </c>
      <c r="E396" s="2">
        <f>_xlfn.XLOOKUP(Table3[[#This Row],[instant]],Table1[instant],Table1[weekday], ,0,1)</f>
        <v>1</v>
      </c>
      <c r="F396" s="2">
        <f>_xlfn.XLOOKUP(Table3[[#This Row],[instant]],Table1[instant],Table1[weathersit], ,0,1)</f>
        <v>3</v>
      </c>
      <c r="G396" s="2">
        <f>_xlfn.XLOOKUP(Table3[[#This Row],[instant]],Table1[instant],Table1[temp], ,0,1)</f>
        <v>0.14000000000000001</v>
      </c>
      <c r="H396" s="24">
        <f>_xlfn.XLOOKUP(Table3[[#This Row],[instant]],Table2[instant],Table2[atemp], ,0,1)</f>
        <v>0.1212</v>
      </c>
      <c r="I396" s="1">
        <f>_xlfn.XLOOKUP(Table3[[#This Row],[instant]],Table2[instant],Table2[hum], ,0,1)</f>
        <v>0.93</v>
      </c>
      <c r="J396" s="1">
        <f>_xlfn.XLOOKUP(Table3[[#This Row],[instant]],Table2[instant],Table2[windspeed], ,0,1)</f>
        <v>0.25369999999999998</v>
      </c>
      <c r="K396" s="1">
        <f>_xlfn.XLOOKUP(Table3[[#This Row],[instant]],Table2[instant],Table2[casual], ,0,1)</f>
        <v>0</v>
      </c>
      <c r="L396" s="1">
        <f>_xlfn.XLOOKUP(Table3[[#This Row],[instant]],Table2[instant],Table2[registered], ,0,1)</f>
        <v>13</v>
      </c>
      <c r="M396" s="6">
        <f>_xlfn.XLOOKUP(Table3[[#This Row],[instant]],Table2[instant],Table2[cnt], ,0,1)</f>
        <v>13</v>
      </c>
      <c r="N396" s="6" t="str">
        <f>IF(OR(Table3[[#This Row],[weekday]]=0,Table3[[#This Row],[weekday]]=6),"Weekend","Weekday")</f>
        <v>Weekday</v>
      </c>
    </row>
    <row r="397" spans="1:14" ht="15" thickBot="1" x14ac:dyDescent="0.35">
      <c r="A397" s="10">
        <v>396</v>
      </c>
      <c r="B397" s="11">
        <f>_xlfn.XLOOKUP(Table3[[#This Row],[instant]],DatSet1!A397:A1006,DatSet1!B397:B1006,_xlfn.XLOOKUP(Table3[[#This Row],[instant]],'Final Data'!A397:A786,'Final Data'!B397:B786, ,0,1),0,1)</f>
        <v>40560</v>
      </c>
      <c r="C397" s="12">
        <f>_xlfn.XLOOKUP(Table3[[#This Row],[instant]],Table1[instant],Table1[hr], ,0,1)</f>
        <v>23</v>
      </c>
      <c r="D397" s="13" t="b">
        <f>_xlfn.XLOOKUP(Table3[[#This Row],[instant]],Table1[instant],Table1[holiday], ,0,1)</f>
        <v>1</v>
      </c>
      <c r="E397" s="2">
        <f>_xlfn.XLOOKUP(Table3[[#This Row],[instant]],Table1[instant],Table1[weekday], ,0,1)</f>
        <v>1</v>
      </c>
      <c r="F397" s="2">
        <f>_xlfn.XLOOKUP(Table3[[#This Row],[instant]],Table1[instant],Table1[weathersit], ,0,1)</f>
        <v>3</v>
      </c>
      <c r="G397" s="2">
        <f>_xlfn.XLOOKUP(Table3[[#This Row],[instant]],Table1[instant],Table1[temp], ,0,1)</f>
        <v>0.16</v>
      </c>
      <c r="H397" s="24">
        <f>_xlfn.XLOOKUP(Table3[[#This Row],[instant]],Table2[instant],Table2[atemp], ,0,1)</f>
        <v>0.13639999999999999</v>
      </c>
      <c r="I397" s="1">
        <f>_xlfn.XLOOKUP(Table3[[#This Row],[instant]],Table2[instant],Table2[hum], ,0,1)</f>
        <v>0.86</v>
      </c>
      <c r="J397" s="1">
        <f>_xlfn.XLOOKUP(Table3[[#This Row],[instant]],Table2[instant],Table2[windspeed], ,0,1)</f>
        <v>0.28360000000000002</v>
      </c>
      <c r="K397" s="1">
        <f>_xlfn.XLOOKUP(Table3[[#This Row],[instant]],Table2[instant],Table2[casual], ,0,1)</f>
        <v>1</v>
      </c>
      <c r="L397" s="1">
        <f>_xlfn.XLOOKUP(Table3[[#This Row],[instant]],Table2[instant],Table2[registered], ,0,1)</f>
        <v>3</v>
      </c>
      <c r="M397" s="6">
        <f>_xlfn.XLOOKUP(Table3[[#This Row],[instant]],Table2[instant],Table2[cnt], ,0,1)</f>
        <v>4</v>
      </c>
      <c r="N397" s="6" t="str">
        <f>IF(OR(Table3[[#This Row],[weekday]]=0,Table3[[#This Row],[weekday]]=6),"Weekend","Weekday")</f>
        <v>Weekday</v>
      </c>
    </row>
    <row r="398" spans="1:14" ht="15" thickBot="1" x14ac:dyDescent="0.35">
      <c r="A398" s="10">
        <v>397</v>
      </c>
      <c r="B398" s="11">
        <f>_xlfn.XLOOKUP(Table3[[#This Row],[instant]],DatSet1!A398:A1007,DatSet1!B398:B1007,_xlfn.XLOOKUP(Table3[[#This Row],[instant]],'Final Data'!A398:A787,'Final Data'!B398:B787, ,0,1),0,1)</f>
        <v>40561</v>
      </c>
      <c r="C398" s="12">
        <f>_xlfn.XLOOKUP(Table3[[#This Row],[instant]],Table1[instant],Table1[hr], ,0,1)</f>
        <v>12</v>
      </c>
      <c r="D398" s="13" t="b">
        <f>_xlfn.XLOOKUP(Table3[[#This Row],[instant]],Table1[instant],Table1[holiday], ,0,1)</f>
        <v>0</v>
      </c>
      <c r="E398" s="2">
        <f>_xlfn.XLOOKUP(Table3[[#This Row],[instant]],Table1[instant],Table1[weekday], ,0,1)</f>
        <v>2</v>
      </c>
      <c r="F398" s="2">
        <f>_xlfn.XLOOKUP(Table3[[#This Row],[instant]],Table1[instant],Table1[weathersit], ,0,1)</f>
        <v>2</v>
      </c>
      <c r="G398" s="2">
        <f>_xlfn.XLOOKUP(Table3[[#This Row],[instant]],Table1[instant],Table1[temp], ,0,1)</f>
        <v>0.2</v>
      </c>
      <c r="H398" s="24">
        <f>_xlfn.XLOOKUP(Table3[[#This Row],[instant]],Table2[instant],Table2[atemp], ,0,1)</f>
        <v>0.18179999999999999</v>
      </c>
      <c r="I398" s="1">
        <f>_xlfn.XLOOKUP(Table3[[#This Row],[instant]],Table2[instant],Table2[hum], ,0,1)</f>
        <v>0.86</v>
      </c>
      <c r="J398" s="1">
        <f>_xlfn.XLOOKUP(Table3[[#This Row],[instant]],Table2[instant],Table2[windspeed], ,0,1)</f>
        <v>0.32840000000000003</v>
      </c>
      <c r="K398" s="1">
        <f>_xlfn.XLOOKUP(Table3[[#This Row],[instant]],Table2[instant],Table2[casual], ,0,1)</f>
        <v>0</v>
      </c>
      <c r="L398" s="1">
        <f>_xlfn.XLOOKUP(Table3[[#This Row],[instant]],Table2[instant],Table2[registered], ,0,1)</f>
        <v>3</v>
      </c>
      <c r="M398" s="6">
        <f>_xlfn.XLOOKUP(Table3[[#This Row],[instant]],Table2[instant],Table2[cnt], ,0,1)</f>
        <v>3</v>
      </c>
      <c r="N398" s="6" t="str">
        <f>IF(OR(Table3[[#This Row],[weekday]]=0,Table3[[#This Row],[weekday]]=6),"Weekend","Weekday")</f>
        <v>Weekday</v>
      </c>
    </row>
    <row r="399" spans="1:14" ht="15" thickBot="1" x14ac:dyDescent="0.35">
      <c r="A399" s="10">
        <v>398</v>
      </c>
      <c r="B399" s="11">
        <f>_xlfn.XLOOKUP(Table3[[#This Row],[instant]],DatSet1!A399:A1008,DatSet1!B399:B1008,_xlfn.XLOOKUP(Table3[[#This Row],[instant]],'Final Data'!A399:A788,'Final Data'!B399:B788, ,0,1),0,1)</f>
        <v>40561</v>
      </c>
      <c r="C399" s="12">
        <f>_xlfn.XLOOKUP(Table3[[#This Row],[instant]],Table1[instant],Table1[hr], ,0,1)</f>
        <v>13</v>
      </c>
      <c r="D399" s="13" t="b">
        <f>_xlfn.XLOOKUP(Table3[[#This Row],[instant]],Table1[instant],Table1[holiday], ,0,1)</f>
        <v>0</v>
      </c>
      <c r="E399" s="2">
        <f>_xlfn.XLOOKUP(Table3[[#This Row],[instant]],Table1[instant],Table1[weekday], ,0,1)</f>
        <v>2</v>
      </c>
      <c r="F399" s="2">
        <f>_xlfn.XLOOKUP(Table3[[#This Row],[instant]],Table1[instant],Table1[weathersit], ,0,1)</f>
        <v>2</v>
      </c>
      <c r="G399" s="2">
        <f>_xlfn.XLOOKUP(Table3[[#This Row],[instant]],Table1[instant],Table1[temp], ,0,1)</f>
        <v>0.2</v>
      </c>
      <c r="H399" s="24">
        <f>_xlfn.XLOOKUP(Table3[[#This Row],[instant]],Table2[instant],Table2[atemp], ,0,1)</f>
        <v>0.19700000000000001</v>
      </c>
      <c r="I399" s="1">
        <f>_xlfn.XLOOKUP(Table3[[#This Row],[instant]],Table2[instant],Table2[hum], ,0,1)</f>
        <v>0.86</v>
      </c>
      <c r="J399" s="1">
        <f>_xlfn.XLOOKUP(Table3[[#This Row],[instant]],Table2[instant],Table2[windspeed], ,0,1)</f>
        <v>0.22389999999999999</v>
      </c>
      <c r="K399" s="1">
        <f>_xlfn.XLOOKUP(Table3[[#This Row],[instant]],Table2[instant],Table2[casual], ,0,1)</f>
        <v>0</v>
      </c>
      <c r="L399" s="1">
        <f>_xlfn.XLOOKUP(Table3[[#This Row],[instant]],Table2[instant],Table2[registered], ,0,1)</f>
        <v>22</v>
      </c>
      <c r="M399" s="6">
        <f>_xlfn.XLOOKUP(Table3[[#This Row],[instant]],Table2[instant],Table2[cnt], ,0,1)</f>
        <v>22</v>
      </c>
      <c r="N399" s="6" t="str">
        <f>IF(OR(Table3[[#This Row],[weekday]]=0,Table3[[#This Row],[weekday]]=6),"Weekend","Weekday")</f>
        <v>Weekday</v>
      </c>
    </row>
    <row r="400" spans="1:14" ht="15" thickBot="1" x14ac:dyDescent="0.35">
      <c r="A400" s="10">
        <v>399</v>
      </c>
      <c r="B400" s="11">
        <f>_xlfn.XLOOKUP(Table3[[#This Row],[instant]],DatSet1!A400:A1009,DatSet1!B400:B1009,_xlfn.XLOOKUP(Table3[[#This Row],[instant]],'Final Data'!A400:A789,'Final Data'!B400:B789, ,0,1),0,1)</f>
        <v>40561</v>
      </c>
      <c r="C400" s="12">
        <f>_xlfn.XLOOKUP(Table3[[#This Row],[instant]],Table1[instant],Table1[hr], ,0,1)</f>
        <v>14</v>
      </c>
      <c r="D400" s="13" t="b">
        <f>_xlfn.XLOOKUP(Table3[[#This Row],[instant]],Table1[instant],Table1[holiday], ,0,1)</f>
        <v>0</v>
      </c>
      <c r="E400" s="2">
        <f>_xlfn.XLOOKUP(Table3[[#This Row],[instant]],Table1[instant],Table1[weekday], ,0,1)</f>
        <v>2</v>
      </c>
      <c r="F400" s="2">
        <f>_xlfn.XLOOKUP(Table3[[#This Row],[instant]],Table1[instant],Table1[weathersit], ,0,1)</f>
        <v>2</v>
      </c>
      <c r="G400" s="2">
        <f>_xlfn.XLOOKUP(Table3[[#This Row],[instant]],Table1[instant],Table1[temp], ,0,1)</f>
        <v>0.22</v>
      </c>
      <c r="H400" s="24">
        <f>_xlfn.XLOOKUP(Table3[[#This Row],[instant]],Table2[instant],Table2[atemp], ,0,1)</f>
        <v>0.2273</v>
      </c>
      <c r="I400" s="1">
        <f>_xlfn.XLOOKUP(Table3[[#This Row],[instant]],Table2[instant],Table2[hum], ,0,1)</f>
        <v>0.8</v>
      </c>
      <c r="J400" s="1">
        <f>_xlfn.XLOOKUP(Table3[[#This Row],[instant]],Table2[instant],Table2[windspeed], ,0,1)</f>
        <v>0.16420000000000001</v>
      </c>
      <c r="K400" s="1">
        <f>_xlfn.XLOOKUP(Table3[[#This Row],[instant]],Table2[instant],Table2[casual], ,0,1)</f>
        <v>2</v>
      </c>
      <c r="L400" s="1">
        <f>_xlfn.XLOOKUP(Table3[[#This Row],[instant]],Table2[instant],Table2[registered], ,0,1)</f>
        <v>26</v>
      </c>
      <c r="M400" s="6">
        <f>_xlfn.XLOOKUP(Table3[[#This Row],[instant]],Table2[instant],Table2[cnt], ,0,1)</f>
        <v>28</v>
      </c>
      <c r="N400" s="6" t="str">
        <f>IF(OR(Table3[[#This Row],[weekday]]=0,Table3[[#This Row],[weekday]]=6),"Weekend","Weekday")</f>
        <v>Weekday</v>
      </c>
    </row>
    <row r="401" spans="1:14" ht="15" thickBot="1" x14ac:dyDescent="0.35">
      <c r="A401" s="10">
        <v>400</v>
      </c>
      <c r="B401" s="11">
        <f>_xlfn.XLOOKUP(Table3[[#This Row],[instant]],DatSet1!A401:A1010,DatSet1!B401:B1010,_xlfn.XLOOKUP(Table3[[#This Row],[instant]],'Final Data'!A401:A790,'Final Data'!B401:B790, ,0,1),0,1)</f>
        <v>40561</v>
      </c>
      <c r="C401" s="12">
        <f>_xlfn.XLOOKUP(Table3[[#This Row],[instant]],Table1[instant],Table1[hr], ,0,1)</f>
        <v>15</v>
      </c>
      <c r="D401" s="13" t="b">
        <f>_xlfn.XLOOKUP(Table3[[#This Row],[instant]],Table1[instant],Table1[holiday], ,0,1)</f>
        <v>0</v>
      </c>
      <c r="E401" s="2">
        <f>_xlfn.XLOOKUP(Table3[[#This Row],[instant]],Table1[instant],Table1[weekday], ,0,1)</f>
        <v>2</v>
      </c>
      <c r="F401" s="2">
        <f>_xlfn.XLOOKUP(Table3[[#This Row],[instant]],Table1[instant],Table1[weathersit], ,0,1)</f>
        <v>2</v>
      </c>
      <c r="G401" s="2">
        <f>_xlfn.XLOOKUP(Table3[[#This Row],[instant]],Table1[instant],Table1[temp], ,0,1)</f>
        <v>0.22</v>
      </c>
      <c r="H401" s="24">
        <f>_xlfn.XLOOKUP(Table3[[#This Row],[instant]],Table2[instant],Table2[atemp], ,0,1)</f>
        <v>0.2273</v>
      </c>
      <c r="I401" s="1">
        <f>_xlfn.XLOOKUP(Table3[[#This Row],[instant]],Table2[instant],Table2[hum], ,0,1)</f>
        <v>0.87</v>
      </c>
      <c r="J401" s="1">
        <f>_xlfn.XLOOKUP(Table3[[#This Row],[instant]],Table2[instant],Table2[windspeed], ,0,1)</f>
        <v>0.16420000000000001</v>
      </c>
      <c r="K401" s="1">
        <f>_xlfn.XLOOKUP(Table3[[#This Row],[instant]],Table2[instant],Table2[casual], ,0,1)</f>
        <v>3</v>
      </c>
      <c r="L401" s="1">
        <f>_xlfn.XLOOKUP(Table3[[#This Row],[instant]],Table2[instant],Table2[registered], ,0,1)</f>
        <v>32</v>
      </c>
      <c r="M401" s="6">
        <f>_xlfn.XLOOKUP(Table3[[#This Row],[instant]],Table2[instant],Table2[cnt], ,0,1)</f>
        <v>35</v>
      </c>
      <c r="N401" s="6" t="str">
        <f>IF(OR(Table3[[#This Row],[weekday]]=0,Table3[[#This Row],[weekday]]=6),"Weekend","Weekday")</f>
        <v>Weekday</v>
      </c>
    </row>
    <row r="402" spans="1:14" ht="15" thickBot="1" x14ac:dyDescent="0.35">
      <c r="A402" s="10">
        <v>401</v>
      </c>
      <c r="B402" s="11">
        <f>_xlfn.XLOOKUP(Table3[[#This Row],[instant]],DatSet1!A402:A1011,DatSet1!B402:B1011,_xlfn.XLOOKUP(Table3[[#This Row],[instant]],'Final Data'!A402:A791,'Final Data'!B402:B791, ,0,1),0,1)</f>
        <v>40561</v>
      </c>
      <c r="C402" s="12">
        <f>_xlfn.XLOOKUP(Table3[[#This Row],[instant]],Table1[instant],Table1[hr], ,0,1)</f>
        <v>16</v>
      </c>
      <c r="D402" s="13" t="b">
        <f>_xlfn.XLOOKUP(Table3[[#This Row],[instant]],Table1[instant],Table1[holiday], ,0,1)</f>
        <v>0</v>
      </c>
      <c r="E402" s="2">
        <f>_xlfn.XLOOKUP(Table3[[#This Row],[instant]],Table1[instant],Table1[weekday], ,0,1)</f>
        <v>2</v>
      </c>
      <c r="F402" s="2">
        <f>_xlfn.XLOOKUP(Table3[[#This Row],[instant]],Table1[instant],Table1[weathersit], ,0,1)</f>
        <v>2</v>
      </c>
      <c r="G402" s="2">
        <f>_xlfn.XLOOKUP(Table3[[#This Row],[instant]],Table1[instant],Table1[temp], ,0,1)</f>
        <v>0.22</v>
      </c>
      <c r="H402" s="24">
        <f>_xlfn.XLOOKUP(Table3[[#This Row],[instant]],Table2[instant],Table2[atemp], ,0,1)</f>
        <v>0.2273</v>
      </c>
      <c r="I402" s="1">
        <f>_xlfn.XLOOKUP(Table3[[#This Row],[instant]],Table2[instant],Table2[hum], ,0,1)</f>
        <v>0.87</v>
      </c>
      <c r="J402" s="1">
        <f>_xlfn.XLOOKUP(Table3[[#This Row],[instant]],Table2[instant],Table2[windspeed], ,0,1)</f>
        <v>0.19400000000000001</v>
      </c>
      <c r="K402" s="1">
        <f>_xlfn.XLOOKUP(Table3[[#This Row],[instant]],Table2[instant],Table2[casual], ,0,1)</f>
        <v>0</v>
      </c>
      <c r="L402" s="1">
        <f>_xlfn.XLOOKUP(Table3[[#This Row],[instant]],Table2[instant],Table2[registered], ,0,1)</f>
        <v>61</v>
      </c>
      <c r="M402" s="6">
        <f>_xlfn.XLOOKUP(Table3[[#This Row],[instant]],Table2[instant],Table2[cnt], ,0,1)</f>
        <v>61</v>
      </c>
      <c r="N402" s="6" t="str">
        <f>IF(OR(Table3[[#This Row],[weekday]]=0,Table3[[#This Row],[weekday]]=6),"Weekend","Weekday")</f>
        <v>Weekday</v>
      </c>
    </row>
    <row r="403" spans="1:14" ht="15" thickBot="1" x14ac:dyDescent="0.35">
      <c r="A403" s="10">
        <v>402</v>
      </c>
      <c r="B403" s="11">
        <f>_xlfn.XLOOKUP(Table3[[#This Row],[instant]],DatSet1!A403:A1012,DatSet1!B403:B1012,_xlfn.XLOOKUP(Table3[[#This Row],[instant]],'Final Data'!A403:A792,'Final Data'!B403:B792, ,0,1),0,1)</f>
        <v>40561</v>
      </c>
      <c r="C403" s="12">
        <f>_xlfn.XLOOKUP(Table3[[#This Row],[instant]],Table1[instant],Table1[hr], ,0,1)</f>
        <v>17</v>
      </c>
      <c r="D403" s="13" t="b">
        <f>_xlfn.XLOOKUP(Table3[[#This Row],[instant]],Table1[instant],Table1[holiday], ,0,1)</f>
        <v>0</v>
      </c>
      <c r="E403" s="2">
        <f>_xlfn.XLOOKUP(Table3[[#This Row],[instant]],Table1[instant],Table1[weekday], ,0,1)</f>
        <v>2</v>
      </c>
      <c r="F403" s="2">
        <f>_xlfn.XLOOKUP(Table3[[#This Row],[instant]],Table1[instant],Table1[weathersit], ,0,1)</f>
        <v>2</v>
      </c>
      <c r="G403" s="2">
        <f>_xlfn.XLOOKUP(Table3[[#This Row],[instant]],Table1[instant],Table1[temp], ,0,1)</f>
        <v>0.22</v>
      </c>
      <c r="H403" s="24">
        <f>_xlfn.XLOOKUP(Table3[[#This Row],[instant]],Table2[instant],Table2[atemp], ,0,1)</f>
        <v>0.2273</v>
      </c>
      <c r="I403" s="1">
        <f>_xlfn.XLOOKUP(Table3[[#This Row],[instant]],Table2[instant],Table2[hum], ,0,1)</f>
        <v>0.82</v>
      </c>
      <c r="J403" s="1">
        <f>_xlfn.XLOOKUP(Table3[[#This Row],[instant]],Table2[instant],Table2[windspeed], ,0,1)</f>
        <v>0.19400000000000001</v>
      </c>
      <c r="K403" s="1">
        <f>_xlfn.XLOOKUP(Table3[[#This Row],[instant]],Table2[instant],Table2[casual], ,0,1)</f>
        <v>1</v>
      </c>
      <c r="L403" s="1">
        <f>_xlfn.XLOOKUP(Table3[[#This Row],[instant]],Table2[instant],Table2[registered], ,0,1)</f>
        <v>124</v>
      </c>
      <c r="M403" s="6">
        <f>_xlfn.XLOOKUP(Table3[[#This Row],[instant]],Table2[instant],Table2[cnt], ,0,1)</f>
        <v>125</v>
      </c>
      <c r="N403" s="6" t="str">
        <f>IF(OR(Table3[[#This Row],[weekday]]=0,Table3[[#This Row],[weekday]]=6),"Weekend","Weekday")</f>
        <v>Weekday</v>
      </c>
    </row>
    <row r="404" spans="1:14" ht="15" thickBot="1" x14ac:dyDescent="0.35">
      <c r="A404" s="10">
        <v>403</v>
      </c>
      <c r="B404" s="11">
        <f>_xlfn.XLOOKUP(Table3[[#This Row],[instant]],DatSet1!A404:A1013,DatSet1!B404:B1013,_xlfn.XLOOKUP(Table3[[#This Row],[instant]],'Final Data'!A404:A793,'Final Data'!B404:B793, ,0,1),0,1)</f>
        <v>40561</v>
      </c>
      <c r="C404" s="12">
        <f>_xlfn.XLOOKUP(Table3[[#This Row],[instant]],Table1[instant],Table1[hr], ,0,1)</f>
        <v>18</v>
      </c>
      <c r="D404" s="13" t="b">
        <f>_xlfn.XLOOKUP(Table3[[#This Row],[instant]],Table1[instant],Table1[holiday], ,0,1)</f>
        <v>0</v>
      </c>
      <c r="E404" s="2">
        <f>_xlfn.XLOOKUP(Table3[[#This Row],[instant]],Table1[instant],Table1[weekday], ,0,1)</f>
        <v>2</v>
      </c>
      <c r="F404" s="2">
        <f>_xlfn.XLOOKUP(Table3[[#This Row],[instant]],Table1[instant],Table1[weathersit], ,0,1)</f>
        <v>2</v>
      </c>
      <c r="G404" s="2">
        <f>_xlfn.XLOOKUP(Table3[[#This Row],[instant]],Table1[instant],Table1[temp], ,0,1)</f>
        <v>0.22</v>
      </c>
      <c r="H404" s="24">
        <f>_xlfn.XLOOKUP(Table3[[#This Row],[instant]],Table2[instant],Table2[atemp], ,0,1)</f>
        <v>0.2273</v>
      </c>
      <c r="I404" s="1">
        <f>_xlfn.XLOOKUP(Table3[[#This Row],[instant]],Table2[instant],Table2[hum], ,0,1)</f>
        <v>0.8</v>
      </c>
      <c r="J404" s="1">
        <f>_xlfn.XLOOKUP(Table3[[#This Row],[instant]],Table2[instant],Table2[windspeed], ,0,1)</f>
        <v>0.16420000000000001</v>
      </c>
      <c r="K404" s="1">
        <f>_xlfn.XLOOKUP(Table3[[#This Row],[instant]],Table2[instant],Table2[casual], ,0,1)</f>
        <v>1</v>
      </c>
      <c r="L404" s="1">
        <f>_xlfn.XLOOKUP(Table3[[#This Row],[instant]],Table2[instant],Table2[registered], ,0,1)</f>
        <v>132</v>
      </c>
      <c r="M404" s="6">
        <f>_xlfn.XLOOKUP(Table3[[#This Row],[instant]],Table2[instant],Table2[cnt], ,0,1)</f>
        <v>133</v>
      </c>
      <c r="N404" s="6" t="str">
        <f>IF(OR(Table3[[#This Row],[weekday]]=0,Table3[[#This Row],[weekday]]=6),"Weekend","Weekday")</f>
        <v>Weekday</v>
      </c>
    </row>
    <row r="405" spans="1:14" ht="15" thickBot="1" x14ac:dyDescent="0.35">
      <c r="A405" s="10">
        <v>404</v>
      </c>
      <c r="B405" s="11">
        <f>_xlfn.XLOOKUP(Table3[[#This Row],[instant]],DatSet1!A405:A1014,DatSet1!B405:B1014,_xlfn.XLOOKUP(Table3[[#This Row],[instant]],'Final Data'!A405:A794,'Final Data'!B405:B794, ,0,1),0,1)</f>
        <v>40561</v>
      </c>
      <c r="C405" s="12">
        <f>_xlfn.XLOOKUP(Table3[[#This Row],[instant]],Table1[instant],Table1[hr], ,0,1)</f>
        <v>19</v>
      </c>
      <c r="D405" s="13" t="b">
        <f>_xlfn.XLOOKUP(Table3[[#This Row],[instant]],Table1[instant],Table1[holiday], ,0,1)</f>
        <v>0</v>
      </c>
      <c r="E405" s="2">
        <f>_xlfn.XLOOKUP(Table3[[#This Row],[instant]],Table1[instant],Table1[weekday], ,0,1)</f>
        <v>2</v>
      </c>
      <c r="F405" s="2">
        <f>_xlfn.XLOOKUP(Table3[[#This Row],[instant]],Table1[instant],Table1[weathersit], ,0,1)</f>
        <v>2</v>
      </c>
      <c r="G405" s="2">
        <f>_xlfn.XLOOKUP(Table3[[#This Row],[instant]],Table1[instant],Table1[temp], ,0,1)</f>
        <v>0.22</v>
      </c>
      <c r="H405" s="24">
        <f>_xlfn.XLOOKUP(Table3[[#This Row],[instant]],Table2[instant],Table2[atemp], ,0,1)</f>
        <v>0.2273</v>
      </c>
      <c r="I405" s="1">
        <f>_xlfn.XLOOKUP(Table3[[#This Row],[instant]],Table2[instant],Table2[hum], ,0,1)</f>
        <v>0.8</v>
      </c>
      <c r="J405" s="1">
        <f>_xlfn.XLOOKUP(Table3[[#This Row],[instant]],Table2[instant],Table2[windspeed], ,0,1)</f>
        <v>0.1343</v>
      </c>
      <c r="K405" s="1">
        <f>_xlfn.XLOOKUP(Table3[[#This Row],[instant]],Table2[instant],Table2[casual], ,0,1)</f>
        <v>1</v>
      </c>
      <c r="L405" s="1">
        <f>_xlfn.XLOOKUP(Table3[[#This Row],[instant]],Table2[instant],Table2[registered], ,0,1)</f>
        <v>98</v>
      </c>
      <c r="M405" s="6">
        <f>_xlfn.XLOOKUP(Table3[[#This Row],[instant]],Table2[instant],Table2[cnt], ,0,1)</f>
        <v>99</v>
      </c>
      <c r="N405" s="6" t="str">
        <f>IF(OR(Table3[[#This Row],[weekday]]=0,Table3[[#This Row],[weekday]]=6),"Weekend","Weekday")</f>
        <v>Weekday</v>
      </c>
    </row>
    <row r="406" spans="1:14" ht="15" thickBot="1" x14ac:dyDescent="0.35">
      <c r="A406" s="10">
        <v>405</v>
      </c>
      <c r="B406" s="11">
        <f>_xlfn.XLOOKUP(Table3[[#This Row],[instant]],DatSet1!A406:A1015,DatSet1!B406:B1015,_xlfn.XLOOKUP(Table3[[#This Row],[instant]],'Final Data'!A406:A795,'Final Data'!B406:B795, ,0,1),0,1)</f>
        <v>40561</v>
      </c>
      <c r="C406" s="12">
        <f>_xlfn.XLOOKUP(Table3[[#This Row],[instant]],Table1[instant],Table1[hr], ,0,1)</f>
        <v>20</v>
      </c>
      <c r="D406" s="13" t="b">
        <f>_xlfn.XLOOKUP(Table3[[#This Row],[instant]],Table1[instant],Table1[holiday], ,0,1)</f>
        <v>0</v>
      </c>
      <c r="E406" s="2">
        <f>_xlfn.XLOOKUP(Table3[[#This Row],[instant]],Table1[instant],Table1[weekday], ,0,1)</f>
        <v>2</v>
      </c>
      <c r="F406" s="2">
        <f>_xlfn.XLOOKUP(Table3[[#This Row],[instant]],Table1[instant],Table1[weathersit], ,0,1)</f>
        <v>2</v>
      </c>
      <c r="G406" s="2">
        <f>_xlfn.XLOOKUP(Table3[[#This Row],[instant]],Table1[instant],Table1[temp], ,0,1)</f>
        <v>0.22</v>
      </c>
      <c r="H406" s="24">
        <f>_xlfn.XLOOKUP(Table3[[#This Row],[instant]],Table2[instant],Table2[atemp], ,0,1)</f>
        <v>0.2727</v>
      </c>
      <c r="I406" s="1">
        <f>_xlfn.XLOOKUP(Table3[[#This Row],[instant]],Table2[instant],Table2[hum], ,0,1)</f>
        <v>0.87</v>
      </c>
      <c r="J406" s="1">
        <f>_xlfn.XLOOKUP(Table3[[#This Row],[instant]],Table2[instant],Table2[windspeed], ,0,1)</f>
        <v>0</v>
      </c>
      <c r="K406" s="1">
        <f>_xlfn.XLOOKUP(Table3[[#This Row],[instant]],Table2[instant],Table2[casual], ,0,1)</f>
        <v>0</v>
      </c>
      <c r="L406" s="1">
        <f>_xlfn.XLOOKUP(Table3[[#This Row],[instant]],Table2[instant],Table2[registered], ,0,1)</f>
        <v>83</v>
      </c>
      <c r="M406" s="6">
        <f>_xlfn.XLOOKUP(Table3[[#This Row],[instant]],Table2[instant],Table2[cnt], ,0,1)</f>
        <v>83</v>
      </c>
      <c r="N406" s="6" t="str">
        <f>IF(OR(Table3[[#This Row],[weekday]]=0,Table3[[#This Row],[weekday]]=6),"Weekend","Weekday")</f>
        <v>Weekday</v>
      </c>
    </row>
    <row r="407" spans="1:14" ht="15" thickBot="1" x14ac:dyDescent="0.35">
      <c r="A407" s="10">
        <v>406</v>
      </c>
      <c r="B407" s="11">
        <f>_xlfn.XLOOKUP(Table3[[#This Row],[instant]],DatSet1!A407:A1016,DatSet1!B407:B1016,_xlfn.XLOOKUP(Table3[[#This Row],[instant]],'Final Data'!A407:A796,'Final Data'!B407:B796, ,0,1),0,1)</f>
        <v>40561</v>
      </c>
      <c r="C407" s="12">
        <f>_xlfn.XLOOKUP(Table3[[#This Row],[instant]],Table1[instant],Table1[hr], ,0,1)</f>
        <v>21</v>
      </c>
      <c r="D407" s="13" t="b">
        <f>_xlfn.XLOOKUP(Table3[[#This Row],[instant]],Table1[instant],Table1[holiday], ,0,1)</f>
        <v>0</v>
      </c>
      <c r="E407" s="2">
        <f>_xlfn.XLOOKUP(Table3[[#This Row],[instant]],Table1[instant],Table1[weekday], ,0,1)</f>
        <v>2</v>
      </c>
      <c r="F407" s="2">
        <f>_xlfn.XLOOKUP(Table3[[#This Row],[instant]],Table1[instant],Table1[weathersit], ,0,1)</f>
        <v>2</v>
      </c>
      <c r="G407" s="2">
        <f>_xlfn.XLOOKUP(Table3[[#This Row],[instant]],Table1[instant],Table1[temp], ,0,1)</f>
        <v>0.22</v>
      </c>
      <c r="H407" s="24">
        <f>_xlfn.XLOOKUP(Table3[[#This Row],[instant]],Table2[instant],Table2[atemp], ,0,1)</f>
        <v>0.2424</v>
      </c>
      <c r="I407" s="1">
        <f>_xlfn.XLOOKUP(Table3[[#This Row],[instant]],Table2[instant],Table2[hum], ,0,1)</f>
        <v>0.93</v>
      </c>
      <c r="J407" s="1">
        <f>_xlfn.XLOOKUP(Table3[[#This Row],[instant]],Table2[instant],Table2[windspeed], ,0,1)</f>
        <v>0.1045</v>
      </c>
      <c r="K407" s="1">
        <f>_xlfn.XLOOKUP(Table3[[#This Row],[instant]],Table2[instant],Table2[casual], ,0,1)</f>
        <v>0</v>
      </c>
      <c r="L407" s="1">
        <f>_xlfn.XLOOKUP(Table3[[#This Row],[instant]],Table2[instant],Table2[registered], ,0,1)</f>
        <v>41</v>
      </c>
      <c r="M407" s="6">
        <f>_xlfn.XLOOKUP(Table3[[#This Row],[instant]],Table2[instant],Table2[cnt], ,0,1)</f>
        <v>41</v>
      </c>
      <c r="N407" s="6" t="str">
        <f>IF(OR(Table3[[#This Row],[weekday]]=0,Table3[[#This Row],[weekday]]=6),"Weekend","Weekday")</f>
        <v>Weekday</v>
      </c>
    </row>
    <row r="408" spans="1:14" ht="15" thickBot="1" x14ac:dyDescent="0.35">
      <c r="A408" s="10">
        <v>407</v>
      </c>
      <c r="B408" s="11">
        <f>_xlfn.XLOOKUP(Table3[[#This Row],[instant]],DatSet1!A408:A1017,DatSet1!B408:B1017,_xlfn.XLOOKUP(Table3[[#This Row],[instant]],'Final Data'!A408:A797,'Final Data'!B408:B797, ,0,1),0,1)</f>
        <v>40561</v>
      </c>
      <c r="C408" s="12">
        <f>_xlfn.XLOOKUP(Table3[[#This Row],[instant]],Table1[instant],Table1[hr], ,0,1)</f>
        <v>22</v>
      </c>
      <c r="D408" s="13" t="b">
        <f>_xlfn.XLOOKUP(Table3[[#This Row],[instant]],Table1[instant],Table1[holiday], ,0,1)</f>
        <v>0</v>
      </c>
      <c r="E408" s="2">
        <f>_xlfn.XLOOKUP(Table3[[#This Row],[instant]],Table1[instant],Table1[weekday], ,0,1)</f>
        <v>2</v>
      </c>
      <c r="F408" s="2">
        <f>_xlfn.XLOOKUP(Table3[[#This Row],[instant]],Table1[instant],Table1[weathersit], ,0,1)</f>
        <v>2</v>
      </c>
      <c r="G408" s="2">
        <f>_xlfn.XLOOKUP(Table3[[#This Row],[instant]],Table1[instant],Table1[temp], ,0,1)</f>
        <v>0.22</v>
      </c>
      <c r="H408" s="24">
        <f>_xlfn.XLOOKUP(Table3[[#This Row],[instant]],Table2[instant],Table2[atemp], ,0,1)</f>
        <v>0.2576</v>
      </c>
      <c r="I408" s="1">
        <f>_xlfn.XLOOKUP(Table3[[#This Row],[instant]],Table2[instant],Table2[hum], ,0,1)</f>
        <v>0.93</v>
      </c>
      <c r="J408" s="1">
        <f>_xlfn.XLOOKUP(Table3[[#This Row],[instant]],Table2[instant],Table2[windspeed], ,0,1)</f>
        <v>8.9599999999999999E-2</v>
      </c>
      <c r="K408" s="1">
        <f>_xlfn.XLOOKUP(Table3[[#This Row],[instant]],Table2[instant],Table2[casual], ,0,1)</f>
        <v>0</v>
      </c>
      <c r="L408" s="1">
        <f>_xlfn.XLOOKUP(Table3[[#This Row],[instant]],Table2[instant],Table2[registered], ,0,1)</f>
        <v>33</v>
      </c>
      <c r="M408" s="6">
        <f>_xlfn.XLOOKUP(Table3[[#This Row],[instant]],Table2[instant],Table2[cnt], ,0,1)</f>
        <v>33</v>
      </c>
      <c r="N408" s="6" t="str">
        <f>IF(OR(Table3[[#This Row],[weekday]]=0,Table3[[#This Row],[weekday]]=6),"Weekend","Weekday")</f>
        <v>Weekday</v>
      </c>
    </row>
    <row r="409" spans="1:14" ht="15" thickBot="1" x14ac:dyDescent="0.35">
      <c r="A409" s="10">
        <v>408</v>
      </c>
      <c r="B409" s="11">
        <f>_xlfn.XLOOKUP(Table3[[#This Row],[instant]],DatSet1!A409:A1018,DatSet1!B409:B1018,_xlfn.XLOOKUP(Table3[[#This Row],[instant]],'Final Data'!A409:A798,'Final Data'!B409:B798, ,0,1),0,1)</f>
        <v>40561</v>
      </c>
      <c r="C409" s="12">
        <f>_xlfn.XLOOKUP(Table3[[#This Row],[instant]],Table1[instant],Table1[hr], ,0,1)</f>
        <v>23</v>
      </c>
      <c r="D409" s="13" t="b">
        <f>_xlfn.XLOOKUP(Table3[[#This Row],[instant]],Table1[instant],Table1[holiday], ,0,1)</f>
        <v>0</v>
      </c>
      <c r="E409" s="2">
        <f>_xlfn.XLOOKUP(Table3[[#This Row],[instant]],Table1[instant],Table1[weekday], ,0,1)</f>
        <v>2</v>
      </c>
      <c r="F409" s="2">
        <f>_xlfn.XLOOKUP(Table3[[#This Row],[instant]],Table1[instant],Table1[weathersit], ,0,1)</f>
        <v>2</v>
      </c>
      <c r="G409" s="2">
        <f>_xlfn.XLOOKUP(Table3[[#This Row],[instant]],Table1[instant],Table1[temp], ,0,1)</f>
        <v>0.22</v>
      </c>
      <c r="H409" s="24">
        <f>_xlfn.XLOOKUP(Table3[[#This Row],[instant]],Table2[instant],Table2[atemp], ,0,1)</f>
        <v>0.2727</v>
      </c>
      <c r="I409" s="1">
        <f>_xlfn.XLOOKUP(Table3[[#This Row],[instant]],Table2[instant],Table2[hum], ,0,1)</f>
        <v>0.93</v>
      </c>
      <c r="J409" s="1">
        <f>_xlfn.XLOOKUP(Table3[[#This Row],[instant]],Table2[instant],Table2[windspeed], ,0,1)</f>
        <v>0</v>
      </c>
      <c r="K409" s="1">
        <f>_xlfn.XLOOKUP(Table3[[#This Row],[instant]],Table2[instant],Table2[casual], ,0,1)</f>
        <v>1</v>
      </c>
      <c r="L409" s="1">
        <f>_xlfn.XLOOKUP(Table3[[#This Row],[instant]],Table2[instant],Table2[registered], ,0,1)</f>
        <v>19</v>
      </c>
      <c r="M409" s="6">
        <f>_xlfn.XLOOKUP(Table3[[#This Row],[instant]],Table2[instant],Table2[cnt], ,0,1)</f>
        <v>20</v>
      </c>
      <c r="N409" s="6" t="str">
        <f>IF(OR(Table3[[#This Row],[weekday]]=0,Table3[[#This Row],[weekday]]=6),"Weekend","Weekday")</f>
        <v>Weekday</v>
      </c>
    </row>
    <row r="410" spans="1:14" ht="15" thickBot="1" x14ac:dyDescent="0.35">
      <c r="A410" s="10">
        <v>409</v>
      </c>
      <c r="B410" s="11">
        <f>_xlfn.XLOOKUP(Table3[[#This Row],[instant]],DatSet1!A410:A1019,DatSet1!B410:B1019,_xlfn.XLOOKUP(Table3[[#This Row],[instant]],'Final Data'!A410:A799,'Final Data'!B410:B799, ,0,1),0,1)</f>
        <v>40562</v>
      </c>
      <c r="C410" s="12">
        <f>_xlfn.XLOOKUP(Table3[[#This Row],[instant]],Table1[instant],Table1[hr], ,0,1)</f>
        <v>0</v>
      </c>
      <c r="D410" s="13" t="b">
        <f>_xlfn.XLOOKUP(Table3[[#This Row],[instant]],Table1[instant],Table1[holiday], ,0,1)</f>
        <v>0</v>
      </c>
      <c r="E410" s="2">
        <f>_xlfn.XLOOKUP(Table3[[#This Row],[instant]],Table1[instant],Table1[weekday], ,0,1)</f>
        <v>3</v>
      </c>
      <c r="F410" s="2">
        <f>_xlfn.XLOOKUP(Table3[[#This Row],[instant]],Table1[instant],Table1[weathersit], ,0,1)</f>
        <v>2</v>
      </c>
      <c r="G410" s="2">
        <f>_xlfn.XLOOKUP(Table3[[#This Row],[instant]],Table1[instant],Table1[temp], ,0,1)</f>
        <v>0.22</v>
      </c>
      <c r="H410" s="24">
        <f>_xlfn.XLOOKUP(Table3[[#This Row],[instant]],Table2[instant],Table2[atemp], ,0,1)</f>
        <v>0.2727</v>
      </c>
      <c r="I410" s="1">
        <f>_xlfn.XLOOKUP(Table3[[#This Row],[instant]],Table2[instant],Table2[hum], ,0,1)</f>
        <v>0.93</v>
      </c>
      <c r="J410" s="1">
        <f>_xlfn.XLOOKUP(Table3[[#This Row],[instant]],Table2[instant],Table2[windspeed], ,0,1)</f>
        <v>0</v>
      </c>
      <c r="K410" s="1">
        <f>_xlfn.XLOOKUP(Table3[[#This Row],[instant]],Table2[instant],Table2[casual], ,0,1)</f>
        <v>0</v>
      </c>
      <c r="L410" s="1">
        <f>_xlfn.XLOOKUP(Table3[[#This Row],[instant]],Table2[instant],Table2[registered], ,0,1)</f>
        <v>3</v>
      </c>
      <c r="M410" s="6">
        <f>_xlfn.XLOOKUP(Table3[[#This Row],[instant]],Table2[instant],Table2[cnt], ,0,1)</f>
        <v>3</v>
      </c>
      <c r="N410" s="6" t="str">
        <f>IF(OR(Table3[[#This Row],[weekday]]=0,Table3[[#This Row],[weekday]]=6),"Weekend","Weekday")</f>
        <v>Weekday</v>
      </c>
    </row>
    <row r="411" spans="1:14" ht="15" thickBot="1" x14ac:dyDescent="0.35">
      <c r="A411" s="10">
        <v>410</v>
      </c>
      <c r="B411" s="11">
        <f>_xlfn.XLOOKUP(Table3[[#This Row],[instant]],DatSet1!A411:A1020,DatSet1!B411:B1020,_xlfn.XLOOKUP(Table3[[#This Row],[instant]],'Final Data'!A411:A800,'Final Data'!B411:B800, ,0,1),0,1)</f>
        <v>40562</v>
      </c>
      <c r="C411" s="12">
        <f>_xlfn.XLOOKUP(Table3[[#This Row],[instant]],Table1[instant],Table1[hr], ,0,1)</f>
        <v>1</v>
      </c>
      <c r="D411" s="13" t="b">
        <f>_xlfn.XLOOKUP(Table3[[#This Row],[instant]],Table1[instant],Table1[holiday], ,0,1)</f>
        <v>0</v>
      </c>
      <c r="E411" s="2">
        <f>_xlfn.XLOOKUP(Table3[[#This Row],[instant]],Table1[instant],Table1[weekday], ,0,1)</f>
        <v>3</v>
      </c>
      <c r="F411" s="2">
        <f>_xlfn.XLOOKUP(Table3[[#This Row],[instant]],Table1[instant],Table1[weathersit], ,0,1)</f>
        <v>3</v>
      </c>
      <c r="G411" s="2">
        <f>_xlfn.XLOOKUP(Table3[[#This Row],[instant]],Table1[instant],Table1[temp], ,0,1)</f>
        <v>0.22</v>
      </c>
      <c r="H411" s="24">
        <f>_xlfn.XLOOKUP(Table3[[#This Row],[instant]],Table2[instant],Table2[atemp], ,0,1)</f>
        <v>0.2273</v>
      </c>
      <c r="I411" s="1">
        <f>_xlfn.XLOOKUP(Table3[[#This Row],[instant]],Table2[instant],Table2[hum], ,0,1)</f>
        <v>0.93</v>
      </c>
      <c r="J411" s="1">
        <f>_xlfn.XLOOKUP(Table3[[#This Row],[instant]],Table2[instant],Table2[windspeed], ,0,1)</f>
        <v>0.1343</v>
      </c>
      <c r="K411" s="1">
        <f>_xlfn.XLOOKUP(Table3[[#This Row],[instant]],Table2[instant],Table2[casual], ,0,1)</f>
        <v>1</v>
      </c>
      <c r="L411" s="1">
        <f>_xlfn.XLOOKUP(Table3[[#This Row],[instant]],Table2[instant],Table2[registered], ,0,1)</f>
        <v>6</v>
      </c>
      <c r="M411" s="6">
        <f>_xlfn.XLOOKUP(Table3[[#This Row],[instant]],Table2[instant],Table2[cnt], ,0,1)</f>
        <v>7</v>
      </c>
      <c r="N411" s="6" t="str">
        <f>IF(OR(Table3[[#This Row],[weekday]]=0,Table3[[#This Row],[weekday]]=6),"Weekend","Weekday")</f>
        <v>Weekday</v>
      </c>
    </row>
    <row r="412" spans="1:14" ht="15" thickBot="1" x14ac:dyDescent="0.35">
      <c r="A412" s="10">
        <v>411</v>
      </c>
      <c r="B412" s="11">
        <f>_xlfn.XLOOKUP(Table3[[#This Row],[instant]],DatSet1!A412:A1021,DatSet1!B412:B1021,_xlfn.XLOOKUP(Table3[[#This Row],[instant]],'Final Data'!A412:A801,'Final Data'!B412:B801, ,0,1),0,1)</f>
        <v>40562</v>
      </c>
      <c r="C412" s="12">
        <f>_xlfn.XLOOKUP(Table3[[#This Row],[instant]],Table1[instant],Table1[hr], ,0,1)</f>
        <v>2</v>
      </c>
      <c r="D412" s="13" t="b">
        <f>_xlfn.XLOOKUP(Table3[[#This Row],[instant]],Table1[instant],Table1[holiday], ,0,1)</f>
        <v>0</v>
      </c>
      <c r="E412" s="2">
        <f>_xlfn.XLOOKUP(Table3[[#This Row],[instant]],Table1[instant],Table1[weekday], ,0,1)</f>
        <v>3</v>
      </c>
      <c r="F412" s="2">
        <f>_xlfn.XLOOKUP(Table3[[#This Row],[instant]],Table1[instant],Table1[weathersit], ,0,1)</f>
        <v>3</v>
      </c>
      <c r="G412" s="2">
        <f>_xlfn.XLOOKUP(Table3[[#This Row],[instant]],Table1[instant],Table1[temp], ,0,1)</f>
        <v>0.22</v>
      </c>
      <c r="H412" s="24">
        <f>_xlfn.XLOOKUP(Table3[[#This Row],[instant]],Table2[instant],Table2[atemp], ,0,1)</f>
        <v>0.2273</v>
      </c>
      <c r="I412" s="1">
        <f>_xlfn.XLOOKUP(Table3[[#This Row],[instant]],Table2[instant],Table2[hum], ,0,1)</f>
        <v>0.93</v>
      </c>
      <c r="J412" s="1">
        <f>_xlfn.XLOOKUP(Table3[[#This Row],[instant]],Table2[instant],Table2[windspeed], ,0,1)</f>
        <v>0.1343</v>
      </c>
      <c r="K412" s="1">
        <f>_xlfn.XLOOKUP(Table3[[#This Row],[instant]],Table2[instant],Table2[casual], ,0,1)</f>
        <v>0</v>
      </c>
      <c r="L412" s="1">
        <f>_xlfn.XLOOKUP(Table3[[#This Row],[instant]],Table2[instant],Table2[registered], ,0,1)</f>
        <v>3</v>
      </c>
      <c r="M412" s="6">
        <f>_xlfn.XLOOKUP(Table3[[#This Row],[instant]],Table2[instant],Table2[cnt], ,0,1)</f>
        <v>3</v>
      </c>
      <c r="N412" s="6" t="str">
        <f>IF(OR(Table3[[#This Row],[weekday]]=0,Table3[[#This Row],[weekday]]=6),"Weekend","Weekday")</f>
        <v>Weekday</v>
      </c>
    </row>
    <row r="413" spans="1:14" ht="15" thickBot="1" x14ac:dyDescent="0.35">
      <c r="A413" s="10">
        <v>412</v>
      </c>
      <c r="B413" s="11">
        <f>_xlfn.XLOOKUP(Table3[[#This Row],[instant]],DatSet1!A413:A1022,DatSet1!B413:B1022,_xlfn.XLOOKUP(Table3[[#This Row],[instant]],'Final Data'!A413:A802,'Final Data'!B413:B802, ,0,1),0,1)</f>
        <v>40562</v>
      </c>
      <c r="C413" s="12">
        <f>_xlfn.XLOOKUP(Table3[[#This Row],[instant]],Table1[instant],Table1[hr], ,0,1)</f>
        <v>4</v>
      </c>
      <c r="D413" s="13" t="b">
        <f>_xlfn.XLOOKUP(Table3[[#This Row],[instant]],Table1[instant],Table1[holiday], ,0,1)</f>
        <v>0</v>
      </c>
      <c r="E413" s="2">
        <f>_xlfn.XLOOKUP(Table3[[#This Row],[instant]],Table1[instant],Table1[weekday], ,0,1)</f>
        <v>3</v>
      </c>
      <c r="F413" s="2">
        <f>_xlfn.XLOOKUP(Table3[[#This Row],[instant]],Table1[instant],Table1[weathersit], ,0,1)</f>
        <v>3</v>
      </c>
      <c r="G413" s="2">
        <f>_xlfn.XLOOKUP(Table3[[#This Row],[instant]],Table1[instant],Table1[temp], ,0,1)</f>
        <v>0.22</v>
      </c>
      <c r="H413" s="24">
        <f>_xlfn.XLOOKUP(Table3[[#This Row],[instant]],Table2[instant],Table2[atemp], ,0,1)</f>
        <v>0.2273</v>
      </c>
      <c r="I413" s="1">
        <f>_xlfn.XLOOKUP(Table3[[#This Row],[instant]],Table2[instant],Table2[hum], ,0,1)</f>
        <v>0.93</v>
      </c>
      <c r="J413" s="1">
        <f>_xlfn.XLOOKUP(Table3[[#This Row],[instant]],Table2[instant],Table2[windspeed], ,0,1)</f>
        <v>0.1343</v>
      </c>
      <c r="K413" s="1">
        <f>_xlfn.XLOOKUP(Table3[[#This Row],[instant]],Table2[instant],Table2[casual], ,0,1)</f>
        <v>1</v>
      </c>
      <c r="L413" s="1">
        <f>_xlfn.XLOOKUP(Table3[[#This Row],[instant]],Table2[instant],Table2[registered], ,0,1)</f>
        <v>1</v>
      </c>
      <c r="M413" s="6">
        <f>_xlfn.XLOOKUP(Table3[[#This Row],[instant]],Table2[instant],Table2[cnt], ,0,1)</f>
        <v>2</v>
      </c>
      <c r="N413" s="6" t="str">
        <f>IF(OR(Table3[[#This Row],[weekday]]=0,Table3[[#This Row],[weekday]]=6),"Weekend","Weekday")</f>
        <v>Weekday</v>
      </c>
    </row>
    <row r="414" spans="1:14" ht="15" thickBot="1" x14ac:dyDescent="0.35">
      <c r="A414" s="10">
        <v>413</v>
      </c>
      <c r="B414" s="11">
        <f>_xlfn.XLOOKUP(Table3[[#This Row],[instant]],DatSet1!A414:A1023,DatSet1!B414:B1023,_xlfn.XLOOKUP(Table3[[#This Row],[instant]],'Final Data'!A414:A803,'Final Data'!B414:B803, ,0,1),0,1)</f>
        <v>40562</v>
      </c>
      <c r="C414" s="12">
        <f>_xlfn.XLOOKUP(Table3[[#This Row],[instant]],Table1[instant],Table1[hr], ,0,1)</f>
        <v>5</v>
      </c>
      <c r="D414" s="13" t="b">
        <f>_xlfn.XLOOKUP(Table3[[#This Row],[instant]],Table1[instant],Table1[holiday], ,0,1)</f>
        <v>0</v>
      </c>
      <c r="E414" s="2">
        <f>_xlfn.XLOOKUP(Table3[[#This Row],[instant]],Table1[instant],Table1[weekday], ,0,1)</f>
        <v>3</v>
      </c>
      <c r="F414" s="2">
        <f>_xlfn.XLOOKUP(Table3[[#This Row],[instant]],Table1[instant],Table1[weathersit], ,0,1)</f>
        <v>2</v>
      </c>
      <c r="G414" s="2">
        <f>_xlfn.XLOOKUP(Table3[[#This Row],[instant]],Table1[instant],Table1[temp], ,0,1)</f>
        <v>0.22</v>
      </c>
      <c r="H414" s="24">
        <f>_xlfn.XLOOKUP(Table3[[#This Row],[instant]],Table2[instant],Table2[atemp], ,0,1)</f>
        <v>0.2576</v>
      </c>
      <c r="I414" s="1">
        <f>_xlfn.XLOOKUP(Table3[[#This Row],[instant]],Table2[instant],Table2[hum], ,0,1)</f>
        <v>0.93</v>
      </c>
      <c r="J414" s="1">
        <f>_xlfn.XLOOKUP(Table3[[#This Row],[instant]],Table2[instant],Table2[windspeed], ,0,1)</f>
        <v>8.9599999999999999E-2</v>
      </c>
      <c r="K414" s="1">
        <f>_xlfn.XLOOKUP(Table3[[#This Row],[instant]],Table2[instant],Table2[casual], ,0,1)</f>
        <v>0</v>
      </c>
      <c r="L414" s="1">
        <f>_xlfn.XLOOKUP(Table3[[#This Row],[instant]],Table2[instant],Table2[registered], ,0,1)</f>
        <v>7</v>
      </c>
      <c r="M414" s="6">
        <f>_xlfn.XLOOKUP(Table3[[#This Row],[instant]],Table2[instant],Table2[cnt], ,0,1)</f>
        <v>7</v>
      </c>
      <c r="N414" s="6" t="str">
        <f>IF(OR(Table3[[#This Row],[weekday]]=0,Table3[[#This Row],[weekday]]=6),"Weekend","Weekday")</f>
        <v>Weekday</v>
      </c>
    </row>
    <row r="415" spans="1:14" ht="15" thickBot="1" x14ac:dyDescent="0.35">
      <c r="A415" s="10">
        <v>414</v>
      </c>
      <c r="B415" s="11">
        <f>_xlfn.XLOOKUP(Table3[[#This Row],[instant]],DatSet1!A415:A1024,DatSet1!B415:B1024,_xlfn.XLOOKUP(Table3[[#This Row],[instant]],'Final Data'!A415:A804,'Final Data'!B415:B804, ,0,1),0,1)</f>
        <v>40562</v>
      </c>
      <c r="C415" s="12">
        <f>_xlfn.XLOOKUP(Table3[[#This Row],[instant]],Table1[instant],Table1[hr], ,0,1)</f>
        <v>6</v>
      </c>
      <c r="D415" s="13" t="b">
        <f>_xlfn.XLOOKUP(Table3[[#This Row],[instant]],Table1[instant],Table1[holiday], ,0,1)</f>
        <v>0</v>
      </c>
      <c r="E415" s="2">
        <f>_xlfn.XLOOKUP(Table3[[#This Row],[instant]],Table1[instant],Table1[weekday], ,0,1)</f>
        <v>3</v>
      </c>
      <c r="F415" s="2">
        <f>_xlfn.XLOOKUP(Table3[[#This Row],[instant]],Table1[instant],Table1[weathersit], ,0,1)</f>
        <v>2</v>
      </c>
      <c r="G415" s="2">
        <f>_xlfn.XLOOKUP(Table3[[#This Row],[instant]],Table1[instant],Table1[temp], ,0,1)</f>
        <v>0.22</v>
      </c>
      <c r="H415" s="24">
        <f>_xlfn.XLOOKUP(Table3[[#This Row],[instant]],Table2[instant],Table2[atemp], ,0,1)</f>
        <v>0.2576</v>
      </c>
      <c r="I415" s="1">
        <f>_xlfn.XLOOKUP(Table3[[#This Row],[instant]],Table2[instant],Table2[hum], ,0,1)</f>
        <v>0.93</v>
      </c>
      <c r="J415" s="1">
        <f>_xlfn.XLOOKUP(Table3[[#This Row],[instant]],Table2[instant],Table2[windspeed], ,0,1)</f>
        <v>8.9599999999999999E-2</v>
      </c>
      <c r="K415" s="1">
        <f>_xlfn.XLOOKUP(Table3[[#This Row],[instant]],Table2[instant],Table2[casual], ,0,1)</f>
        <v>0</v>
      </c>
      <c r="L415" s="1">
        <f>_xlfn.XLOOKUP(Table3[[#This Row],[instant]],Table2[instant],Table2[registered], ,0,1)</f>
        <v>32</v>
      </c>
      <c r="M415" s="6">
        <f>_xlfn.XLOOKUP(Table3[[#This Row],[instant]],Table2[instant],Table2[cnt], ,0,1)</f>
        <v>32</v>
      </c>
      <c r="N415" s="6" t="str">
        <f>IF(OR(Table3[[#This Row],[weekday]]=0,Table3[[#This Row],[weekday]]=6),"Weekend","Weekday")</f>
        <v>Weekday</v>
      </c>
    </row>
    <row r="416" spans="1:14" ht="15" thickBot="1" x14ac:dyDescent="0.35">
      <c r="A416" s="10">
        <v>415</v>
      </c>
      <c r="B416" s="11">
        <f>_xlfn.XLOOKUP(Table3[[#This Row],[instant]],DatSet1!A416:A1025,DatSet1!B416:B1025,_xlfn.XLOOKUP(Table3[[#This Row],[instant]],'Final Data'!A416:A805,'Final Data'!B416:B805, ,0,1),0,1)</f>
        <v>40562</v>
      </c>
      <c r="C416" s="12">
        <f>_xlfn.XLOOKUP(Table3[[#This Row],[instant]],Table1[instant],Table1[hr], ,0,1)</f>
        <v>7</v>
      </c>
      <c r="D416" s="13" t="b">
        <f>_xlfn.XLOOKUP(Table3[[#This Row],[instant]],Table1[instant],Table1[holiday], ,0,1)</f>
        <v>0</v>
      </c>
      <c r="E416" s="2">
        <f>_xlfn.XLOOKUP(Table3[[#This Row],[instant]],Table1[instant],Table1[weekday], ,0,1)</f>
        <v>3</v>
      </c>
      <c r="F416" s="2">
        <f>_xlfn.XLOOKUP(Table3[[#This Row],[instant]],Table1[instant],Table1[weathersit], ,0,1)</f>
        <v>2</v>
      </c>
      <c r="G416" s="2">
        <f>_xlfn.XLOOKUP(Table3[[#This Row],[instant]],Table1[instant],Table1[temp], ,0,1)</f>
        <v>0.24</v>
      </c>
      <c r="H416" s="24">
        <f>_xlfn.XLOOKUP(Table3[[#This Row],[instant]],Table2[instant],Table2[atemp], ,0,1)</f>
        <v>0.2576</v>
      </c>
      <c r="I416" s="1">
        <f>_xlfn.XLOOKUP(Table3[[#This Row],[instant]],Table2[instant],Table2[hum], ,0,1)</f>
        <v>0.92</v>
      </c>
      <c r="J416" s="1">
        <f>_xlfn.XLOOKUP(Table3[[#This Row],[instant]],Table2[instant],Table2[windspeed], ,0,1)</f>
        <v>0.1045</v>
      </c>
      <c r="K416" s="1">
        <f>_xlfn.XLOOKUP(Table3[[#This Row],[instant]],Table2[instant],Table2[casual], ,0,1)</f>
        <v>1</v>
      </c>
      <c r="L416" s="1">
        <f>_xlfn.XLOOKUP(Table3[[#This Row],[instant]],Table2[instant],Table2[registered], ,0,1)</f>
        <v>89</v>
      </c>
      <c r="M416" s="6">
        <f>_xlfn.XLOOKUP(Table3[[#This Row],[instant]],Table2[instant],Table2[cnt], ,0,1)</f>
        <v>90</v>
      </c>
      <c r="N416" s="6" t="str">
        <f>IF(OR(Table3[[#This Row],[weekday]]=0,Table3[[#This Row],[weekday]]=6),"Weekend","Weekday")</f>
        <v>Weekday</v>
      </c>
    </row>
    <row r="417" spans="1:14" ht="15" thickBot="1" x14ac:dyDescent="0.35">
      <c r="A417" s="10">
        <v>416</v>
      </c>
      <c r="B417" s="11">
        <f>_xlfn.XLOOKUP(Table3[[#This Row],[instant]],DatSet1!A417:A1026,DatSet1!B417:B1026,_xlfn.XLOOKUP(Table3[[#This Row],[instant]],'Final Data'!A417:A806,'Final Data'!B417:B806, ,0,1),0,1)</f>
        <v>40562</v>
      </c>
      <c r="C417" s="12">
        <f>_xlfn.XLOOKUP(Table3[[#This Row],[instant]],Table1[instant],Table1[hr], ,0,1)</f>
        <v>8</v>
      </c>
      <c r="D417" s="13" t="b">
        <f>_xlfn.XLOOKUP(Table3[[#This Row],[instant]],Table1[instant],Table1[holiday], ,0,1)</f>
        <v>0</v>
      </c>
      <c r="E417" s="2">
        <f>_xlfn.XLOOKUP(Table3[[#This Row],[instant]],Table1[instant],Table1[weekday], ,0,1)</f>
        <v>3</v>
      </c>
      <c r="F417" s="2">
        <f>_xlfn.XLOOKUP(Table3[[#This Row],[instant]],Table1[instant],Table1[weathersit], ,0,1)</f>
        <v>2</v>
      </c>
      <c r="G417" s="2">
        <f>_xlfn.XLOOKUP(Table3[[#This Row],[instant]],Table1[instant],Table1[temp], ,0,1)</f>
        <v>0.24</v>
      </c>
      <c r="H417" s="24">
        <f>_xlfn.XLOOKUP(Table3[[#This Row],[instant]],Table2[instant],Table2[atemp], ,0,1)</f>
        <v>0.2576</v>
      </c>
      <c r="I417" s="1">
        <f>_xlfn.XLOOKUP(Table3[[#This Row],[instant]],Table2[instant],Table2[hum], ,0,1)</f>
        <v>0.93</v>
      </c>
      <c r="J417" s="1">
        <f>_xlfn.XLOOKUP(Table3[[#This Row],[instant]],Table2[instant],Table2[windspeed], ,0,1)</f>
        <v>0.1045</v>
      </c>
      <c r="K417" s="1">
        <f>_xlfn.XLOOKUP(Table3[[#This Row],[instant]],Table2[instant],Table2[casual], ,0,1)</f>
        <v>1</v>
      </c>
      <c r="L417" s="1">
        <f>_xlfn.XLOOKUP(Table3[[#This Row],[instant]],Table2[instant],Table2[registered], ,0,1)</f>
        <v>196</v>
      </c>
      <c r="M417" s="6">
        <f>_xlfn.XLOOKUP(Table3[[#This Row],[instant]],Table2[instant],Table2[cnt], ,0,1)</f>
        <v>197</v>
      </c>
      <c r="N417" s="6" t="str">
        <f>IF(OR(Table3[[#This Row],[weekday]]=0,Table3[[#This Row],[weekday]]=6),"Weekend","Weekday")</f>
        <v>Weekday</v>
      </c>
    </row>
    <row r="418" spans="1:14" ht="15" thickBot="1" x14ac:dyDescent="0.35">
      <c r="A418" s="10">
        <v>417</v>
      </c>
      <c r="B418" s="11">
        <f>_xlfn.XLOOKUP(Table3[[#This Row],[instant]],DatSet1!A418:A1027,DatSet1!B418:B1027,_xlfn.XLOOKUP(Table3[[#This Row],[instant]],'Final Data'!A418:A807,'Final Data'!B418:B807, ,0,1),0,1)</f>
        <v>40562</v>
      </c>
      <c r="C418" s="12">
        <f>_xlfn.XLOOKUP(Table3[[#This Row],[instant]],Table1[instant],Table1[hr], ,0,1)</f>
        <v>9</v>
      </c>
      <c r="D418" s="13" t="b">
        <f>_xlfn.XLOOKUP(Table3[[#This Row],[instant]],Table1[instant],Table1[holiday], ,0,1)</f>
        <v>0</v>
      </c>
      <c r="E418" s="2">
        <f>_xlfn.XLOOKUP(Table3[[#This Row],[instant]],Table1[instant],Table1[weekday], ,0,1)</f>
        <v>3</v>
      </c>
      <c r="F418" s="2">
        <f>_xlfn.XLOOKUP(Table3[[#This Row],[instant]],Table1[instant],Table1[weathersit], ,0,1)</f>
        <v>2</v>
      </c>
      <c r="G418" s="2">
        <f>_xlfn.XLOOKUP(Table3[[#This Row],[instant]],Table1[instant],Table1[temp], ,0,1)</f>
        <v>0.24</v>
      </c>
      <c r="H418" s="24">
        <f>_xlfn.XLOOKUP(Table3[[#This Row],[instant]],Table2[instant],Table2[atemp], ,0,1)</f>
        <v>0.2576</v>
      </c>
      <c r="I418" s="1">
        <f>_xlfn.XLOOKUP(Table3[[#This Row],[instant]],Table2[instant],Table2[hum], ,0,1)</f>
        <v>0.93</v>
      </c>
      <c r="J418" s="1">
        <f>_xlfn.XLOOKUP(Table3[[#This Row],[instant]],Table2[instant],Table2[windspeed], ,0,1)</f>
        <v>0.1045</v>
      </c>
      <c r="K418" s="1">
        <f>_xlfn.XLOOKUP(Table3[[#This Row],[instant]],Table2[instant],Table2[casual], ,0,1)</f>
        <v>2</v>
      </c>
      <c r="L418" s="1">
        <f>_xlfn.XLOOKUP(Table3[[#This Row],[instant]],Table2[instant],Table2[registered], ,0,1)</f>
        <v>107</v>
      </c>
      <c r="M418" s="6">
        <f>_xlfn.XLOOKUP(Table3[[#This Row],[instant]],Table2[instant],Table2[cnt], ,0,1)</f>
        <v>109</v>
      </c>
      <c r="N418" s="6" t="str">
        <f>IF(OR(Table3[[#This Row],[weekday]]=0,Table3[[#This Row],[weekday]]=6),"Weekend","Weekday")</f>
        <v>Weekday</v>
      </c>
    </row>
    <row r="419" spans="1:14" ht="15" thickBot="1" x14ac:dyDescent="0.35">
      <c r="A419" s="10">
        <v>418</v>
      </c>
      <c r="B419" s="11">
        <f>_xlfn.XLOOKUP(Table3[[#This Row],[instant]],DatSet1!A419:A1028,DatSet1!B419:B1028,_xlfn.XLOOKUP(Table3[[#This Row],[instant]],'Final Data'!A419:A808,'Final Data'!B419:B808, ,0,1),0,1)</f>
        <v>40562</v>
      </c>
      <c r="C419" s="12">
        <f>_xlfn.XLOOKUP(Table3[[#This Row],[instant]],Table1[instant],Table1[hr], ,0,1)</f>
        <v>10</v>
      </c>
      <c r="D419" s="13" t="b">
        <f>_xlfn.XLOOKUP(Table3[[#This Row],[instant]],Table1[instant],Table1[holiday], ,0,1)</f>
        <v>0</v>
      </c>
      <c r="E419" s="2">
        <f>_xlfn.XLOOKUP(Table3[[#This Row],[instant]],Table1[instant],Table1[weekday], ,0,1)</f>
        <v>3</v>
      </c>
      <c r="F419" s="2">
        <f>_xlfn.XLOOKUP(Table3[[#This Row],[instant]],Table1[instant],Table1[weathersit], ,0,1)</f>
        <v>2</v>
      </c>
      <c r="G419" s="2">
        <f>_xlfn.XLOOKUP(Table3[[#This Row],[instant]],Table1[instant],Table1[temp], ,0,1)</f>
        <v>0.26</v>
      </c>
      <c r="H419" s="24">
        <f>_xlfn.XLOOKUP(Table3[[#This Row],[instant]],Table2[instant],Table2[atemp], ,0,1)</f>
        <v>0.2727</v>
      </c>
      <c r="I419" s="1">
        <f>_xlfn.XLOOKUP(Table3[[#This Row],[instant]],Table2[instant],Table2[hum], ,0,1)</f>
        <v>0.93</v>
      </c>
      <c r="J419" s="1">
        <f>_xlfn.XLOOKUP(Table3[[#This Row],[instant]],Table2[instant],Table2[windspeed], ,0,1)</f>
        <v>0.1343</v>
      </c>
      <c r="K419" s="1">
        <f>_xlfn.XLOOKUP(Table3[[#This Row],[instant]],Table2[instant],Table2[casual], ,0,1)</f>
        <v>1</v>
      </c>
      <c r="L419" s="1">
        <f>_xlfn.XLOOKUP(Table3[[#This Row],[instant]],Table2[instant],Table2[registered], ,0,1)</f>
        <v>46</v>
      </c>
      <c r="M419" s="6">
        <f>_xlfn.XLOOKUP(Table3[[#This Row],[instant]],Table2[instant],Table2[cnt], ,0,1)</f>
        <v>47</v>
      </c>
      <c r="N419" s="6" t="str">
        <f>IF(OR(Table3[[#This Row],[weekday]]=0,Table3[[#This Row],[weekday]]=6),"Weekend","Weekday")</f>
        <v>Weekday</v>
      </c>
    </row>
    <row r="420" spans="1:14" ht="15" thickBot="1" x14ac:dyDescent="0.35">
      <c r="A420" s="10">
        <v>419</v>
      </c>
      <c r="B420" s="11">
        <f>_xlfn.XLOOKUP(Table3[[#This Row],[instant]],DatSet1!A420:A1029,DatSet1!B420:B1029,_xlfn.XLOOKUP(Table3[[#This Row],[instant]],'Final Data'!A420:A809,'Final Data'!B420:B809, ,0,1),0,1)</f>
        <v>40562</v>
      </c>
      <c r="C420" s="12">
        <f>_xlfn.XLOOKUP(Table3[[#This Row],[instant]],Table1[instant],Table1[hr], ,0,1)</f>
        <v>11</v>
      </c>
      <c r="D420" s="13" t="b">
        <f>_xlfn.XLOOKUP(Table3[[#This Row],[instant]],Table1[instant],Table1[holiday], ,0,1)</f>
        <v>0</v>
      </c>
      <c r="E420" s="2">
        <f>_xlfn.XLOOKUP(Table3[[#This Row],[instant]],Table1[instant],Table1[weekday], ,0,1)</f>
        <v>3</v>
      </c>
      <c r="F420" s="2">
        <f>_xlfn.XLOOKUP(Table3[[#This Row],[instant]],Table1[instant],Table1[weathersit], ,0,1)</f>
        <v>2</v>
      </c>
      <c r="G420" s="2">
        <f>_xlfn.XLOOKUP(Table3[[#This Row],[instant]],Table1[instant],Table1[temp], ,0,1)</f>
        <v>0.28000000000000003</v>
      </c>
      <c r="H420" s="24">
        <f>_xlfn.XLOOKUP(Table3[[#This Row],[instant]],Table2[instant],Table2[atemp], ,0,1)</f>
        <v>0.30299999999999999</v>
      </c>
      <c r="I420" s="1">
        <f>_xlfn.XLOOKUP(Table3[[#This Row],[instant]],Table2[instant],Table2[hum], ,0,1)</f>
        <v>0.87</v>
      </c>
      <c r="J420" s="1">
        <f>_xlfn.XLOOKUP(Table3[[#This Row],[instant]],Table2[instant],Table2[windspeed], ,0,1)</f>
        <v>8.9599999999999999E-2</v>
      </c>
      <c r="K420" s="1">
        <f>_xlfn.XLOOKUP(Table3[[#This Row],[instant]],Table2[instant],Table2[casual], ,0,1)</f>
        <v>5</v>
      </c>
      <c r="L420" s="1">
        <f>_xlfn.XLOOKUP(Table3[[#This Row],[instant]],Table2[instant],Table2[registered], ,0,1)</f>
        <v>47</v>
      </c>
      <c r="M420" s="6">
        <f>_xlfn.XLOOKUP(Table3[[#This Row],[instant]],Table2[instant],Table2[cnt], ,0,1)</f>
        <v>52</v>
      </c>
      <c r="N420" s="6" t="str">
        <f>IF(OR(Table3[[#This Row],[weekday]]=0,Table3[[#This Row],[weekday]]=6),"Weekend","Weekday")</f>
        <v>Weekday</v>
      </c>
    </row>
    <row r="421" spans="1:14" ht="15" thickBot="1" x14ac:dyDescent="0.35">
      <c r="A421" s="10">
        <v>420</v>
      </c>
      <c r="B421" s="11">
        <f>_xlfn.XLOOKUP(Table3[[#This Row],[instant]],DatSet1!A421:A1030,DatSet1!B421:B1030,_xlfn.XLOOKUP(Table3[[#This Row],[instant]],'Final Data'!A421:A810,'Final Data'!B421:B810, ,0,1),0,1)</f>
        <v>40562</v>
      </c>
      <c r="C421" s="12">
        <f>_xlfn.XLOOKUP(Table3[[#This Row],[instant]],Table1[instant],Table1[hr], ,0,1)</f>
        <v>12</v>
      </c>
      <c r="D421" s="13" t="b">
        <f>_xlfn.XLOOKUP(Table3[[#This Row],[instant]],Table1[instant],Table1[holiday], ,0,1)</f>
        <v>0</v>
      </c>
      <c r="E421" s="2">
        <f>_xlfn.XLOOKUP(Table3[[#This Row],[instant]],Table1[instant],Table1[weekday], ,0,1)</f>
        <v>3</v>
      </c>
      <c r="F421" s="2">
        <f>_xlfn.XLOOKUP(Table3[[#This Row],[instant]],Table1[instant],Table1[weathersit], ,0,1)</f>
        <v>2</v>
      </c>
      <c r="G421" s="2">
        <f>_xlfn.XLOOKUP(Table3[[#This Row],[instant]],Table1[instant],Table1[temp], ,0,1)</f>
        <v>0.3</v>
      </c>
      <c r="H421" s="24">
        <f>_xlfn.XLOOKUP(Table3[[#This Row],[instant]],Table2[instant],Table2[atemp], ,0,1)</f>
        <v>0.31819999999999998</v>
      </c>
      <c r="I421" s="1">
        <f>_xlfn.XLOOKUP(Table3[[#This Row],[instant]],Table2[instant],Table2[hum], ,0,1)</f>
        <v>0.81</v>
      </c>
      <c r="J421" s="1">
        <f>_xlfn.XLOOKUP(Table3[[#This Row],[instant]],Table2[instant],Table2[windspeed], ,0,1)</f>
        <v>8.9599999999999999E-2</v>
      </c>
      <c r="K421" s="1">
        <f>_xlfn.XLOOKUP(Table3[[#This Row],[instant]],Table2[instant],Table2[casual], ,0,1)</f>
        <v>5</v>
      </c>
      <c r="L421" s="1">
        <f>_xlfn.XLOOKUP(Table3[[#This Row],[instant]],Table2[instant],Table2[registered], ,0,1)</f>
        <v>65</v>
      </c>
      <c r="M421" s="6">
        <f>_xlfn.XLOOKUP(Table3[[#This Row],[instant]],Table2[instant],Table2[cnt], ,0,1)</f>
        <v>70</v>
      </c>
      <c r="N421" s="6" t="str">
        <f>IF(OR(Table3[[#This Row],[weekday]]=0,Table3[[#This Row],[weekday]]=6),"Weekend","Weekday")</f>
        <v>Weekday</v>
      </c>
    </row>
    <row r="422" spans="1:14" ht="15" thickBot="1" x14ac:dyDescent="0.35">
      <c r="A422" s="10">
        <v>421</v>
      </c>
      <c r="B422" s="11">
        <f>_xlfn.XLOOKUP(Table3[[#This Row],[instant]],DatSet1!A422:A1031,DatSet1!B422:B1031,_xlfn.XLOOKUP(Table3[[#This Row],[instant]],'Final Data'!A422:A811,'Final Data'!B422:B811, ,0,1),0,1)</f>
        <v>40562</v>
      </c>
      <c r="C422" s="12">
        <f>_xlfn.XLOOKUP(Table3[[#This Row],[instant]],Table1[instant],Table1[hr], ,0,1)</f>
        <v>13</v>
      </c>
      <c r="D422" s="13" t="b">
        <f>_xlfn.XLOOKUP(Table3[[#This Row],[instant]],Table1[instant],Table1[holiday], ,0,1)</f>
        <v>0</v>
      </c>
      <c r="E422" s="2">
        <f>_xlfn.XLOOKUP(Table3[[#This Row],[instant]],Table1[instant],Table1[weekday], ,0,1)</f>
        <v>3</v>
      </c>
      <c r="F422" s="2">
        <f>_xlfn.XLOOKUP(Table3[[#This Row],[instant]],Table1[instant],Table1[weathersit], ,0,1)</f>
        <v>1</v>
      </c>
      <c r="G422" s="2">
        <f>_xlfn.XLOOKUP(Table3[[#This Row],[instant]],Table1[instant],Table1[temp], ,0,1)</f>
        <v>0.4</v>
      </c>
      <c r="H422" s="24">
        <f>_xlfn.XLOOKUP(Table3[[#This Row],[instant]],Table2[instant],Table2[atemp], ,0,1)</f>
        <v>0.40910000000000002</v>
      </c>
      <c r="I422" s="1">
        <f>_xlfn.XLOOKUP(Table3[[#This Row],[instant]],Table2[instant],Table2[hum], ,0,1)</f>
        <v>0.62</v>
      </c>
      <c r="J422" s="1">
        <f>_xlfn.XLOOKUP(Table3[[#This Row],[instant]],Table2[instant],Table2[windspeed], ,0,1)</f>
        <v>0.28360000000000002</v>
      </c>
      <c r="K422" s="1">
        <f>_xlfn.XLOOKUP(Table3[[#This Row],[instant]],Table2[instant],Table2[casual], ,0,1)</f>
        <v>11</v>
      </c>
      <c r="L422" s="1">
        <f>_xlfn.XLOOKUP(Table3[[#This Row],[instant]],Table2[instant],Table2[registered], ,0,1)</f>
        <v>67</v>
      </c>
      <c r="M422" s="6">
        <f>_xlfn.XLOOKUP(Table3[[#This Row],[instant]],Table2[instant],Table2[cnt], ,0,1)</f>
        <v>78</v>
      </c>
      <c r="N422" s="6" t="str">
        <f>IF(OR(Table3[[#This Row],[weekday]]=0,Table3[[#This Row],[weekday]]=6),"Weekend","Weekday")</f>
        <v>Weekday</v>
      </c>
    </row>
    <row r="423" spans="1:14" ht="15" thickBot="1" x14ac:dyDescent="0.35">
      <c r="A423" s="10">
        <v>422</v>
      </c>
      <c r="B423" s="11">
        <f>_xlfn.XLOOKUP(Table3[[#This Row],[instant]],DatSet1!A423:A1032,DatSet1!B423:B1032,_xlfn.XLOOKUP(Table3[[#This Row],[instant]],'Final Data'!A423:A812,'Final Data'!B423:B812, ,0,1),0,1)</f>
        <v>40562</v>
      </c>
      <c r="C423" s="12">
        <f>_xlfn.XLOOKUP(Table3[[#This Row],[instant]],Table1[instant],Table1[hr], ,0,1)</f>
        <v>14</v>
      </c>
      <c r="D423" s="13" t="b">
        <f>_xlfn.XLOOKUP(Table3[[#This Row],[instant]],Table1[instant],Table1[holiday], ,0,1)</f>
        <v>0</v>
      </c>
      <c r="E423" s="2">
        <f>_xlfn.XLOOKUP(Table3[[#This Row],[instant]],Table1[instant],Table1[weekday], ,0,1)</f>
        <v>3</v>
      </c>
      <c r="F423" s="2">
        <f>_xlfn.XLOOKUP(Table3[[#This Row],[instant]],Table1[instant],Table1[weathersit], ,0,1)</f>
        <v>1</v>
      </c>
      <c r="G423" s="2">
        <f>_xlfn.XLOOKUP(Table3[[#This Row],[instant]],Table1[instant],Table1[temp], ,0,1)</f>
        <v>0.4</v>
      </c>
      <c r="H423" s="24">
        <f>_xlfn.XLOOKUP(Table3[[#This Row],[instant]],Table2[instant],Table2[atemp], ,0,1)</f>
        <v>0.40910000000000002</v>
      </c>
      <c r="I423" s="1">
        <f>_xlfn.XLOOKUP(Table3[[#This Row],[instant]],Table2[instant],Table2[hum], ,0,1)</f>
        <v>0.57999999999999996</v>
      </c>
      <c r="J423" s="1">
        <f>_xlfn.XLOOKUP(Table3[[#This Row],[instant]],Table2[instant],Table2[windspeed], ,0,1)</f>
        <v>0.25369999999999998</v>
      </c>
      <c r="K423" s="1">
        <f>_xlfn.XLOOKUP(Table3[[#This Row],[instant]],Table2[instant],Table2[casual], ,0,1)</f>
        <v>7</v>
      </c>
      <c r="L423" s="1">
        <f>_xlfn.XLOOKUP(Table3[[#This Row],[instant]],Table2[instant],Table2[registered], ,0,1)</f>
        <v>68</v>
      </c>
      <c r="M423" s="6">
        <f>_xlfn.XLOOKUP(Table3[[#This Row],[instant]],Table2[instant],Table2[cnt], ,0,1)</f>
        <v>75</v>
      </c>
      <c r="N423" s="6" t="str">
        <f>IF(OR(Table3[[#This Row],[weekday]]=0,Table3[[#This Row],[weekday]]=6),"Weekend","Weekday")</f>
        <v>Weekday</v>
      </c>
    </row>
    <row r="424" spans="1:14" ht="15" thickBot="1" x14ac:dyDescent="0.35">
      <c r="A424" s="10">
        <v>423</v>
      </c>
      <c r="B424" s="11">
        <f>_xlfn.XLOOKUP(Table3[[#This Row],[instant]],DatSet1!A424:A1033,DatSet1!B424:B1033,_xlfn.XLOOKUP(Table3[[#This Row],[instant]],'Final Data'!A424:A813,'Final Data'!B424:B813, ,0,1),0,1)</f>
        <v>40562</v>
      </c>
      <c r="C424" s="12">
        <f>_xlfn.XLOOKUP(Table3[[#This Row],[instant]],Table1[instant],Table1[hr], ,0,1)</f>
        <v>15</v>
      </c>
      <c r="D424" s="13" t="b">
        <f>_xlfn.XLOOKUP(Table3[[#This Row],[instant]],Table1[instant],Table1[holiday], ,0,1)</f>
        <v>0</v>
      </c>
      <c r="E424" s="2">
        <f>_xlfn.XLOOKUP(Table3[[#This Row],[instant]],Table1[instant],Table1[weekday], ,0,1)</f>
        <v>3</v>
      </c>
      <c r="F424" s="2">
        <f>_xlfn.XLOOKUP(Table3[[#This Row],[instant]],Table1[instant],Table1[weathersit], ,0,1)</f>
        <v>1</v>
      </c>
      <c r="G424" s="2">
        <f>_xlfn.XLOOKUP(Table3[[#This Row],[instant]],Table1[instant],Table1[temp], ,0,1)</f>
        <v>0.4</v>
      </c>
      <c r="H424" s="24">
        <f>_xlfn.XLOOKUP(Table3[[#This Row],[instant]],Table2[instant],Table2[atemp], ,0,1)</f>
        <v>0.40910000000000002</v>
      </c>
      <c r="I424" s="1">
        <f>_xlfn.XLOOKUP(Table3[[#This Row],[instant]],Table2[instant],Table2[hum], ,0,1)</f>
        <v>0.54</v>
      </c>
      <c r="J424" s="1">
        <f>_xlfn.XLOOKUP(Table3[[#This Row],[instant]],Table2[instant],Table2[windspeed], ,0,1)</f>
        <v>0.28360000000000002</v>
      </c>
      <c r="K424" s="1">
        <f>_xlfn.XLOOKUP(Table3[[#This Row],[instant]],Table2[instant],Table2[casual], ,0,1)</f>
        <v>4</v>
      </c>
      <c r="L424" s="1">
        <f>_xlfn.XLOOKUP(Table3[[#This Row],[instant]],Table2[instant],Table2[registered], ,0,1)</f>
        <v>78</v>
      </c>
      <c r="M424" s="6">
        <f>_xlfn.XLOOKUP(Table3[[#This Row],[instant]],Table2[instant],Table2[cnt], ,0,1)</f>
        <v>82</v>
      </c>
      <c r="N424" s="6" t="str">
        <f>IF(OR(Table3[[#This Row],[weekday]]=0,Table3[[#This Row],[weekday]]=6),"Weekend","Weekday")</f>
        <v>Weekday</v>
      </c>
    </row>
    <row r="425" spans="1:14" ht="15" thickBot="1" x14ac:dyDescent="0.35">
      <c r="A425" s="10">
        <v>424</v>
      </c>
      <c r="B425" s="11">
        <f>_xlfn.XLOOKUP(Table3[[#This Row],[instant]],DatSet1!A425:A1034,DatSet1!B425:B1034,_xlfn.XLOOKUP(Table3[[#This Row],[instant]],'Final Data'!A425:A814,'Final Data'!B425:B814, ,0,1),0,1)</f>
        <v>40562</v>
      </c>
      <c r="C425" s="12">
        <f>_xlfn.XLOOKUP(Table3[[#This Row],[instant]],Table1[instant],Table1[hr], ,0,1)</f>
        <v>16</v>
      </c>
      <c r="D425" s="13" t="b">
        <f>_xlfn.XLOOKUP(Table3[[#This Row],[instant]],Table1[instant],Table1[holiday], ,0,1)</f>
        <v>0</v>
      </c>
      <c r="E425" s="2">
        <f>_xlfn.XLOOKUP(Table3[[#This Row],[instant]],Table1[instant],Table1[weekday], ,0,1)</f>
        <v>3</v>
      </c>
      <c r="F425" s="2">
        <f>_xlfn.XLOOKUP(Table3[[#This Row],[instant]],Table1[instant],Table1[weathersit], ,0,1)</f>
        <v>1</v>
      </c>
      <c r="G425" s="2">
        <f>_xlfn.XLOOKUP(Table3[[#This Row],[instant]],Table1[instant],Table1[temp], ,0,1)</f>
        <v>0.38</v>
      </c>
      <c r="H425" s="24">
        <f>_xlfn.XLOOKUP(Table3[[#This Row],[instant]],Table2[instant],Table2[atemp], ,0,1)</f>
        <v>0.39389999999999997</v>
      </c>
      <c r="I425" s="1">
        <f>_xlfn.XLOOKUP(Table3[[#This Row],[instant]],Table2[instant],Table2[hum], ,0,1)</f>
        <v>0.57999999999999996</v>
      </c>
      <c r="J425" s="1">
        <f>_xlfn.XLOOKUP(Table3[[#This Row],[instant]],Table2[instant],Table2[windspeed], ,0,1)</f>
        <v>0.3881</v>
      </c>
      <c r="K425" s="1">
        <f>_xlfn.XLOOKUP(Table3[[#This Row],[instant]],Table2[instant],Table2[casual], ,0,1)</f>
        <v>10</v>
      </c>
      <c r="L425" s="1">
        <f>_xlfn.XLOOKUP(Table3[[#This Row],[instant]],Table2[instant],Table2[registered], ,0,1)</f>
        <v>94</v>
      </c>
      <c r="M425" s="6">
        <f>_xlfn.XLOOKUP(Table3[[#This Row],[instant]],Table2[instant],Table2[cnt], ,0,1)</f>
        <v>104</v>
      </c>
      <c r="N425" s="6" t="str">
        <f>IF(OR(Table3[[#This Row],[weekday]]=0,Table3[[#This Row],[weekday]]=6),"Weekend","Weekday")</f>
        <v>Weekday</v>
      </c>
    </row>
    <row r="426" spans="1:14" ht="15" thickBot="1" x14ac:dyDescent="0.35">
      <c r="A426" s="10">
        <v>425</v>
      </c>
      <c r="B426" s="11">
        <f>_xlfn.XLOOKUP(Table3[[#This Row],[instant]],DatSet1!A426:A1035,DatSet1!B426:B1035,_xlfn.XLOOKUP(Table3[[#This Row],[instant]],'Final Data'!A426:A815,'Final Data'!B426:B815, ,0,1),0,1)</f>
        <v>40562</v>
      </c>
      <c r="C426" s="12">
        <f>_xlfn.XLOOKUP(Table3[[#This Row],[instant]],Table1[instant],Table1[hr], ,0,1)</f>
        <v>17</v>
      </c>
      <c r="D426" s="13" t="b">
        <f>_xlfn.XLOOKUP(Table3[[#This Row],[instant]],Table1[instant],Table1[holiday], ,0,1)</f>
        <v>0</v>
      </c>
      <c r="E426" s="2">
        <f>_xlfn.XLOOKUP(Table3[[#This Row],[instant]],Table1[instant],Table1[weekday], ,0,1)</f>
        <v>3</v>
      </c>
      <c r="F426" s="2">
        <f>_xlfn.XLOOKUP(Table3[[#This Row],[instant]],Table1[instant],Table1[weathersit], ,0,1)</f>
        <v>1</v>
      </c>
      <c r="G426" s="2">
        <f>_xlfn.XLOOKUP(Table3[[#This Row],[instant]],Table1[instant],Table1[temp], ,0,1)</f>
        <v>0.36</v>
      </c>
      <c r="H426" s="24">
        <f>_xlfn.XLOOKUP(Table3[[#This Row],[instant]],Table2[instant],Table2[atemp], ,0,1)</f>
        <v>0.33329999999999999</v>
      </c>
      <c r="I426" s="1">
        <f>_xlfn.XLOOKUP(Table3[[#This Row],[instant]],Table2[instant],Table2[hum], ,0,1)</f>
        <v>0.56999999999999995</v>
      </c>
      <c r="J426" s="1">
        <f>_xlfn.XLOOKUP(Table3[[#This Row],[instant]],Table2[instant],Table2[windspeed], ,0,1)</f>
        <v>0.32840000000000003</v>
      </c>
      <c r="K426" s="1">
        <f>_xlfn.XLOOKUP(Table3[[#This Row],[instant]],Table2[instant],Table2[casual], ,0,1)</f>
        <v>7</v>
      </c>
      <c r="L426" s="1">
        <f>_xlfn.XLOOKUP(Table3[[#This Row],[instant]],Table2[instant],Table2[registered], ,0,1)</f>
        <v>190</v>
      </c>
      <c r="M426" s="6">
        <f>_xlfn.XLOOKUP(Table3[[#This Row],[instant]],Table2[instant],Table2[cnt], ,0,1)</f>
        <v>197</v>
      </c>
      <c r="N426" s="6" t="str">
        <f>IF(OR(Table3[[#This Row],[weekday]]=0,Table3[[#This Row],[weekday]]=6),"Weekend","Weekday")</f>
        <v>Weekday</v>
      </c>
    </row>
    <row r="427" spans="1:14" ht="15" thickBot="1" x14ac:dyDescent="0.35">
      <c r="A427" s="10">
        <v>426</v>
      </c>
      <c r="B427" s="11">
        <f>_xlfn.XLOOKUP(Table3[[#This Row],[instant]],DatSet1!A427:A1036,DatSet1!B427:B1036,_xlfn.XLOOKUP(Table3[[#This Row],[instant]],'Final Data'!A427:A816,'Final Data'!B427:B816, ,0,1),0,1)</f>
        <v>40562</v>
      </c>
      <c r="C427" s="12">
        <f>_xlfn.XLOOKUP(Table3[[#This Row],[instant]],Table1[instant],Table1[hr], ,0,1)</f>
        <v>18</v>
      </c>
      <c r="D427" s="13" t="b">
        <f>_xlfn.XLOOKUP(Table3[[#This Row],[instant]],Table1[instant],Table1[holiday], ,0,1)</f>
        <v>0</v>
      </c>
      <c r="E427" s="2">
        <f>_xlfn.XLOOKUP(Table3[[#This Row],[instant]],Table1[instant],Table1[weekday], ,0,1)</f>
        <v>3</v>
      </c>
      <c r="F427" s="2">
        <f>_xlfn.XLOOKUP(Table3[[#This Row],[instant]],Table1[instant],Table1[weathersit], ,0,1)</f>
        <v>1</v>
      </c>
      <c r="G427" s="2">
        <f>_xlfn.XLOOKUP(Table3[[#This Row],[instant]],Table1[instant],Table1[temp], ,0,1)</f>
        <v>0.34</v>
      </c>
      <c r="H427" s="24">
        <f>_xlfn.XLOOKUP(Table3[[#This Row],[instant]],Table2[instant],Table2[atemp], ,0,1)</f>
        <v>0.31819999999999998</v>
      </c>
      <c r="I427" s="1">
        <f>_xlfn.XLOOKUP(Table3[[#This Row],[instant]],Table2[instant],Table2[hum], ,0,1)</f>
        <v>0.61</v>
      </c>
      <c r="J427" s="1">
        <f>_xlfn.XLOOKUP(Table3[[#This Row],[instant]],Table2[instant],Table2[windspeed], ,0,1)</f>
        <v>0.28360000000000002</v>
      </c>
      <c r="K427" s="1">
        <f>_xlfn.XLOOKUP(Table3[[#This Row],[instant]],Table2[instant],Table2[casual], ,0,1)</f>
        <v>5</v>
      </c>
      <c r="L427" s="1">
        <f>_xlfn.XLOOKUP(Table3[[#This Row],[instant]],Table2[instant],Table2[registered], ,0,1)</f>
        <v>156</v>
      </c>
      <c r="M427" s="6">
        <f>_xlfn.XLOOKUP(Table3[[#This Row],[instant]],Table2[instant],Table2[cnt], ,0,1)</f>
        <v>161</v>
      </c>
      <c r="N427" s="6" t="str">
        <f>IF(OR(Table3[[#This Row],[weekday]]=0,Table3[[#This Row],[weekday]]=6),"Weekend","Weekday")</f>
        <v>Weekday</v>
      </c>
    </row>
    <row r="428" spans="1:14" ht="15" thickBot="1" x14ac:dyDescent="0.35">
      <c r="A428" s="10">
        <v>427</v>
      </c>
      <c r="B428" s="11">
        <f>_xlfn.XLOOKUP(Table3[[#This Row],[instant]],DatSet1!A428:A1037,DatSet1!B428:B1037,_xlfn.XLOOKUP(Table3[[#This Row],[instant]],'Final Data'!A428:A817,'Final Data'!B428:B817, ,0,1),0,1)</f>
        <v>40562</v>
      </c>
      <c r="C428" s="12">
        <f>_xlfn.XLOOKUP(Table3[[#This Row],[instant]],Table1[instant],Table1[hr], ,0,1)</f>
        <v>19</v>
      </c>
      <c r="D428" s="13" t="b">
        <f>_xlfn.XLOOKUP(Table3[[#This Row],[instant]],Table1[instant],Table1[holiday], ,0,1)</f>
        <v>0</v>
      </c>
      <c r="E428" s="2">
        <f>_xlfn.XLOOKUP(Table3[[#This Row],[instant]],Table1[instant],Table1[weekday], ,0,1)</f>
        <v>3</v>
      </c>
      <c r="F428" s="2">
        <f>_xlfn.XLOOKUP(Table3[[#This Row],[instant]],Table1[instant],Table1[weathersit], ,0,1)</f>
        <v>1</v>
      </c>
      <c r="G428" s="2">
        <f>_xlfn.XLOOKUP(Table3[[#This Row],[instant]],Table1[instant],Table1[temp], ,0,1)</f>
        <v>0.32</v>
      </c>
      <c r="H428" s="24">
        <f>_xlfn.XLOOKUP(Table3[[#This Row],[instant]],Table2[instant],Table2[atemp], ,0,1)</f>
        <v>0.28789999999999999</v>
      </c>
      <c r="I428" s="1">
        <f>_xlfn.XLOOKUP(Table3[[#This Row],[instant]],Table2[instant],Table2[hum], ,0,1)</f>
        <v>0.56999999999999995</v>
      </c>
      <c r="J428" s="1">
        <f>_xlfn.XLOOKUP(Table3[[#This Row],[instant]],Table2[instant],Table2[windspeed], ,0,1)</f>
        <v>0.41789999999999999</v>
      </c>
      <c r="K428" s="1">
        <f>_xlfn.XLOOKUP(Table3[[#This Row],[instant]],Table2[instant],Table2[casual], ,0,1)</f>
        <v>4</v>
      </c>
      <c r="L428" s="1">
        <f>_xlfn.XLOOKUP(Table3[[#This Row],[instant]],Table2[instant],Table2[registered], ,0,1)</f>
        <v>108</v>
      </c>
      <c r="M428" s="6">
        <f>_xlfn.XLOOKUP(Table3[[#This Row],[instant]],Table2[instant],Table2[cnt], ,0,1)</f>
        <v>112</v>
      </c>
      <c r="N428" s="6" t="str">
        <f>IF(OR(Table3[[#This Row],[weekday]]=0,Table3[[#This Row],[weekday]]=6),"Weekend","Weekday")</f>
        <v>Weekday</v>
      </c>
    </row>
    <row r="429" spans="1:14" ht="15" thickBot="1" x14ac:dyDescent="0.35">
      <c r="A429" s="10">
        <v>428</v>
      </c>
      <c r="B429" s="11">
        <f>_xlfn.XLOOKUP(Table3[[#This Row],[instant]],DatSet1!A429:A1038,DatSet1!B429:B1038,_xlfn.XLOOKUP(Table3[[#This Row],[instant]],'Final Data'!A429:A818,'Final Data'!B429:B818, ,0,1),0,1)</f>
        <v>40562</v>
      </c>
      <c r="C429" s="12">
        <f>_xlfn.XLOOKUP(Table3[[#This Row],[instant]],Table1[instant],Table1[hr], ,0,1)</f>
        <v>20</v>
      </c>
      <c r="D429" s="13" t="b">
        <f>_xlfn.XLOOKUP(Table3[[#This Row],[instant]],Table1[instant],Table1[holiday], ,0,1)</f>
        <v>0</v>
      </c>
      <c r="E429" s="2">
        <f>_xlfn.XLOOKUP(Table3[[#This Row],[instant]],Table1[instant],Table1[weekday], ,0,1)</f>
        <v>3</v>
      </c>
      <c r="F429" s="2">
        <f>_xlfn.XLOOKUP(Table3[[#This Row],[instant]],Table1[instant],Table1[weathersit], ,0,1)</f>
        <v>1</v>
      </c>
      <c r="G429" s="2">
        <f>_xlfn.XLOOKUP(Table3[[#This Row],[instant]],Table1[instant],Table1[temp], ,0,1)</f>
        <v>0.32</v>
      </c>
      <c r="H429" s="24">
        <f>_xlfn.XLOOKUP(Table3[[#This Row],[instant]],Table2[instant],Table2[atemp], ,0,1)</f>
        <v>0.30299999999999999</v>
      </c>
      <c r="I429" s="1">
        <f>_xlfn.XLOOKUP(Table3[[#This Row],[instant]],Table2[instant],Table2[hum], ,0,1)</f>
        <v>0.49</v>
      </c>
      <c r="J429" s="1">
        <f>_xlfn.XLOOKUP(Table3[[#This Row],[instant]],Table2[instant],Table2[windspeed], ,0,1)</f>
        <v>0.29849999999999999</v>
      </c>
      <c r="K429" s="1">
        <f>_xlfn.XLOOKUP(Table3[[#This Row],[instant]],Table2[instant],Table2[casual], ,0,1)</f>
        <v>2</v>
      </c>
      <c r="L429" s="1">
        <f>_xlfn.XLOOKUP(Table3[[#This Row],[instant]],Table2[instant],Table2[registered], ,0,1)</f>
        <v>74</v>
      </c>
      <c r="M429" s="6">
        <f>_xlfn.XLOOKUP(Table3[[#This Row],[instant]],Table2[instant],Table2[cnt], ,0,1)</f>
        <v>76</v>
      </c>
      <c r="N429" s="6" t="str">
        <f>IF(OR(Table3[[#This Row],[weekday]]=0,Table3[[#This Row],[weekday]]=6),"Weekend","Weekday")</f>
        <v>Weekday</v>
      </c>
    </row>
    <row r="430" spans="1:14" ht="15" thickBot="1" x14ac:dyDescent="0.35">
      <c r="A430" s="10">
        <v>429</v>
      </c>
      <c r="B430" s="11">
        <f>_xlfn.XLOOKUP(Table3[[#This Row],[instant]],DatSet1!A430:A1039,DatSet1!B430:B1039,_xlfn.XLOOKUP(Table3[[#This Row],[instant]],'Final Data'!A430:A819,'Final Data'!B430:B819, ,0,1),0,1)</f>
        <v>40562</v>
      </c>
      <c r="C430" s="12">
        <f>_xlfn.XLOOKUP(Table3[[#This Row],[instant]],Table1[instant],Table1[hr], ,0,1)</f>
        <v>21</v>
      </c>
      <c r="D430" s="13" t="b">
        <f>_xlfn.XLOOKUP(Table3[[#This Row],[instant]],Table1[instant],Table1[holiday], ,0,1)</f>
        <v>0</v>
      </c>
      <c r="E430" s="2">
        <f>_xlfn.XLOOKUP(Table3[[#This Row],[instant]],Table1[instant],Table1[weekday], ,0,1)</f>
        <v>3</v>
      </c>
      <c r="F430" s="2">
        <f>_xlfn.XLOOKUP(Table3[[#This Row],[instant]],Table1[instant],Table1[weathersit], ,0,1)</f>
        <v>1</v>
      </c>
      <c r="G430" s="2">
        <f>_xlfn.XLOOKUP(Table3[[#This Row],[instant]],Table1[instant],Table1[temp], ,0,1)</f>
        <v>0.32</v>
      </c>
      <c r="H430" s="24">
        <f>_xlfn.XLOOKUP(Table3[[#This Row],[instant]],Table2[instant],Table2[atemp], ,0,1)</f>
        <v>0.28789999999999999</v>
      </c>
      <c r="I430" s="1">
        <f>_xlfn.XLOOKUP(Table3[[#This Row],[instant]],Table2[instant],Table2[hum], ,0,1)</f>
        <v>0.49</v>
      </c>
      <c r="J430" s="1">
        <f>_xlfn.XLOOKUP(Table3[[#This Row],[instant]],Table2[instant],Table2[windspeed], ,0,1)</f>
        <v>0.41789999999999999</v>
      </c>
      <c r="K430" s="1">
        <f>_xlfn.XLOOKUP(Table3[[#This Row],[instant]],Table2[instant],Table2[casual], ,0,1)</f>
        <v>4</v>
      </c>
      <c r="L430" s="1">
        <f>_xlfn.XLOOKUP(Table3[[#This Row],[instant]],Table2[instant],Table2[registered], ,0,1)</f>
        <v>55</v>
      </c>
      <c r="M430" s="6">
        <f>_xlfn.XLOOKUP(Table3[[#This Row],[instant]],Table2[instant],Table2[cnt], ,0,1)</f>
        <v>59</v>
      </c>
      <c r="N430" s="6" t="str">
        <f>IF(OR(Table3[[#This Row],[weekday]]=0,Table3[[#This Row],[weekday]]=6),"Weekend","Weekday")</f>
        <v>Weekday</v>
      </c>
    </row>
    <row r="431" spans="1:14" ht="15" thickBot="1" x14ac:dyDescent="0.35">
      <c r="A431" s="10">
        <v>430</v>
      </c>
      <c r="B431" s="11">
        <f>_xlfn.XLOOKUP(Table3[[#This Row],[instant]],DatSet1!A431:A1040,DatSet1!B431:B1040,_xlfn.XLOOKUP(Table3[[#This Row],[instant]],'Final Data'!A431:A820,'Final Data'!B431:B820, ,0,1),0,1)</f>
        <v>40562</v>
      </c>
      <c r="C431" s="12">
        <f>_xlfn.XLOOKUP(Table3[[#This Row],[instant]],Table1[instant],Table1[hr], ,0,1)</f>
        <v>22</v>
      </c>
      <c r="D431" s="13" t="b">
        <f>_xlfn.XLOOKUP(Table3[[#This Row],[instant]],Table1[instant],Table1[holiday], ,0,1)</f>
        <v>0</v>
      </c>
      <c r="E431" s="2">
        <f>_xlfn.XLOOKUP(Table3[[#This Row],[instant]],Table1[instant],Table1[weekday], ,0,1)</f>
        <v>3</v>
      </c>
      <c r="F431" s="2">
        <f>_xlfn.XLOOKUP(Table3[[#This Row],[instant]],Table1[instant],Table1[weathersit], ,0,1)</f>
        <v>1</v>
      </c>
      <c r="G431" s="2">
        <f>_xlfn.XLOOKUP(Table3[[#This Row],[instant]],Table1[instant],Table1[temp], ,0,1)</f>
        <v>0.3</v>
      </c>
      <c r="H431" s="24">
        <f>_xlfn.XLOOKUP(Table3[[#This Row],[instant]],Table2[instant],Table2[atemp], ,0,1)</f>
        <v>0.30299999999999999</v>
      </c>
      <c r="I431" s="1">
        <f>_xlfn.XLOOKUP(Table3[[#This Row],[instant]],Table2[instant],Table2[hum], ,0,1)</f>
        <v>0.52</v>
      </c>
      <c r="J431" s="1">
        <f>_xlfn.XLOOKUP(Table3[[#This Row],[instant]],Table2[instant],Table2[windspeed], ,0,1)</f>
        <v>0.16420000000000001</v>
      </c>
      <c r="K431" s="1">
        <f>_xlfn.XLOOKUP(Table3[[#This Row],[instant]],Table2[instant],Table2[casual], ,0,1)</f>
        <v>6</v>
      </c>
      <c r="L431" s="1">
        <f>_xlfn.XLOOKUP(Table3[[#This Row],[instant]],Table2[instant],Table2[registered], ,0,1)</f>
        <v>53</v>
      </c>
      <c r="M431" s="6">
        <f>_xlfn.XLOOKUP(Table3[[#This Row],[instant]],Table2[instant],Table2[cnt], ,0,1)</f>
        <v>59</v>
      </c>
      <c r="N431" s="6" t="str">
        <f>IF(OR(Table3[[#This Row],[weekday]]=0,Table3[[#This Row],[weekday]]=6),"Weekend","Weekday")</f>
        <v>Weekday</v>
      </c>
    </row>
    <row r="432" spans="1:14" ht="15" thickBot="1" x14ac:dyDescent="0.35">
      <c r="A432" s="10">
        <v>431</v>
      </c>
      <c r="B432" s="11">
        <f>_xlfn.XLOOKUP(Table3[[#This Row],[instant]],DatSet1!A432:A1041,DatSet1!B432:B1041,_xlfn.XLOOKUP(Table3[[#This Row],[instant]],'Final Data'!A432:A821,'Final Data'!B432:B821, ,0,1),0,1)</f>
        <v>40562</v>
      </c>
      <c r="C432" s="12">
        <f>_xlfn.XLOOKUP(Table3[[#This Row],[instant]],Table1[instant],Table1[hr], ,0,1)</f>
        <v>23</v>
      </c>
      <c r="D432" s="13" t="b">
        <f>_xlfn.XLOOKUP(Table3[[#This Row],[instant]],Table1[instant],Table1[holiday], ,0,1)</f>
        <v>0</v>
      </c>
      <c r="E432" s="2">
        <f>_xlfn.XLOOKUP(Table3[[#This Row],[instant]],Table1[instant],Table1[weekday], ,0,1)</f>
        <v>3</v>
      </c>
      <c r="F432" s="2">
        <f>_xlfn.XLOOKUP(Table3[[#This Row],[instant]],Table1[instant],Table1[weathersit], ,0,1)</f>
        <v>1</v>
      </c>
      <c r="G432" s="2">
        <f>_xlfn.XLOOKUP(Table3[[#This Row],[instant]],Table1[instant],Table1[temp], ,0,1)</f>
        <v>0.3</v>
      </c>
      <c r="H432" s="24">
        <f>_xlfn.XLOOKUP(Table3[[#This Row],[instant]],Table2[instant],Table2[atemp], ,0,1)</f>
        <v>0.2727</v>
      </c>
      <c r="I432" s="1">
        <f>_xlfn.XLOOKUP(Table3[[#This Row],[instant]],Table2[instant],Table2[hum], ,0,1)</f>
        <v>0.52</v>
      </c>
      <c r="J432" s="1">
        <f>_xlfn.XLOOKUP(Table3[[#This Row],[instant]],Table2[instant],Table2[windspeed], ,0,1)</f>
        <v>0.4627</v>
      </c>
      <c r="K432" s="1">
        <f>_xlfn.XLOOKUP(Table3[[#This Row],[instant]],Table2[instant],Table2[casual], ,0,1)</f>
        <v>1</v>
      </c>
      <c r="L432" s="1">
        <f>_xlfn.XLOOKUP(Table3[[#This Row],[instant]],Table2[instant],Table2[registered], ,0,1)</f>
        <v>27</v>
      </c>
      <c r="M432" s="6">
        <f>_xlfn.XLOOKUP(Table3[[#This Row],[instant]],Table2[instant],Table2[cnt], ,0,1)</f>
        <v>28</v>
      </c>
      <c r="N432" s="6" t="str">
        <f>IF(OR(Table3[[#This Row],[weekday]]=0,Table3[[#This Row],[weekday]]=6),"Weekend","Weekday")</f>
        <v>Weekday</v>
      </c>
    </row>
    <row r="433" spans="1:14" ht="15" thickBot="1" x14ac:dyDescent="0.35">
      <c r="A433" s="10">
        <v>432</v>
      </c>
      <c r="B433" s="11">
        <f>_xlfn.XLOOKUP(Table3[[#This Row],[instant]],DatSet1!A433:A1042,DatSet1!B433:B1042,_xlfn.XLOOKUP(Table3[[#This Row],[instant]],'Final Data'!A433:A822,'Final Data'!B433:B822, ,0,1),0,1)</f>
        <v>40563</v>
      </c>
      <c r="C433" s="12">
        <f>_xlfn.XLOOKUP(Table3[[#This Row],[instant]],Table1[instant],Table1[hr], ,0,1)</f>
        <v>0</v>
      </c>
      <c r="D433" s="13" t="b">
        <f>_xlfn.XLOOKUP(Table3[[#This Row],[instant]],Table1[instant],Table1[holiday], ,0,1)</f>
        <v>0</v>
      </c>
      <c r="E433" s="2">
        <f>_xlfn.XLOOKUP(Table3[[#This Row],[instant]],Table1[instant],Table1[weekday], ,0,1)</f>
        <v>4</v>
      </c>
      <c r="F433" s="2">
        <f>_xlfn.XLOOKUP(Table3[[#This Row],[instant]],Table1[instant],Table1[weathersit], ,0,1)</f>
        <v>1</v>
      </c>
      <c r="G433" s="2">
        <f>_xlfn.XLOOKUP(Table3[[#This Row],[instant]],Table1[instant],Table1[temp], ,0,1)</f>
        <v>0.26</v>
      </c>
      <c r="H433" s="24">
        <f>_xlfn.XLOOKUP(Table3[[#This Row],[instant]],Table2[instant],Table2[atemp], ,0,1)</f>
        <v>0.2273</v>
      </c>
      <c r="I433" s="1">
        <f>_xlfn.XLOOKUP(Table3[[#This Row],[instant]],Table2[instant],Table2[hum], ,0,1)</f>
        <v>0.56000000000000005</v>
      </c>
      <c r="J433" s="1">
        <f>_xlfn.XLOOKUP(Table3[[#This Row],[instant]],Table2[instant],Table2[windspeed], ,0,1)</f>
        <v>0.3881</v>
      </c>
      <c r="K433" s="1">
        <f>_xlfn.XLOOKUP(Table3[[#This Row],[instant]],Table2[instant],Table2[casual], ,0,1)</f>
        <v>5</v>
      </c>
      <c r="L433" s="1">
        <f>_xlfn.XLOOKUP(Table3[[#This Row],[instant]],Table2[instant],Table2[registered], ,0,1)</f>
        <v>8</v>
      </c>
      <c r="M433" s="6">
        <f>_xlfn.XLOOKUP(Table3[[#This Row],[instant]],Table2[instant],Table2[cnt], ,0,1)</f>
        <v>13</v>
      </c>
      <c r="N433" s="6" t="str">
        <f>IF(OR(Table3[[#This Row],[weekday]]=0,Table3[[#This Row],[weekday]]=6),"Weekend","Weekday")</f>
        <v>Weekday</v>
      </c>
    </row>
    <row r="434" spans="1:14" ht="15" thickBot="1" x14ac:dyDescent="0.35">
      <c r="A434" s="10">
        <v>433</v>
      </c>
      <c r="B434" s="11">
        <f>_xlfn.XLOOKUP(Table3[[#This Row],[instant]],DatSet1!A434:A1043,DatSet1!B434:B1043,_xlfn.XLOOKUP(Table3[[#This Row],[instant]],'Final Data'!A434:A823,'Final Data'!B434:B823, ,0,1),0,1)</f>
        <v>40563</v>
      </c>
      <c r="C434" s="12">
        <f>_xlfn.XLOOKUP(Table3[[#This Row],[instant]],Table1[instant],Table1[hr], ,0,1)</f>
        <v>1</v>
      </c>
      <c r="D434" s="13" t="b">
        <f>_xlfn.XLOOKUP(Table3[[#This Row],[instant]],Table1[instant],Table1[holiday], ,0,1)</f>
        <v>0</v>
      </c>
      <c r="E434" s="2">
        <f>_xlfn.XLOOKUP(Table3[[#This Row],[instant]],Table1[instant],Table1[weekday], ,0,1)</f>
        <v>4</v>
      </c>
      <c r="F434" s="2">
        <f>_xlfn.XLOOKUP(Table3[[#This Row],[instant]],Table1[instant],Table1[weathersit], ,0,1)</f>
        <v>1</v>
      </c>
      <c r="G434" s="2">
        <f>_xlfn.XLOOKUP(Table3[[#This Row],[instant]],Table1[instant],Table1[temp], ,0,1)</f>
        <v>0.26</v>
      </c>
      <c r="H434" s="24">
        <f>_xlfn.XLOOKUP(Table3[[#This Row],[instant]],Table2[instant],Table2[atemp], ,0,1)</f>
        <v>0.2727</v>
      </c>
      <c r="I434" s="1">
        <f>_xlfn.XLOOKUP(Table3[[#This Row],[instant]],Table2[instant],Table2[hum], ,0,1)</f>
        <v>0.56000000000000005</v>
      </c>
      <c r="J434" s="1">
        <f>_xlfn.XLOOKUP(Table3[[#This Row],[instant]],Table2[instant],Table2[windspeed], ,0,1)</f>
        <v>0</v>
      </c>
      <c r="K434" s="1">
        <f>_xlfn.XLOOKUP(Table3[[#This Row],[instant]],Table2[instant],Table2[casual], ,0,1)</f>
        <v>2</v>
      </c>
      <c r="L434" s="1">
        <f>_xlfn.XLOOKUP(Table3[[#This Row],[instant]],Table2[instant],Table2[registered], ,0,1)</f>
        <v>3</v>
      </c>
      <c r="M434" s="6">
        <f>_xlfn.XLOOKUP(Table3[[#This Row],[instant]],Table2[instant],Table2[cnt], ,0,1)</f>
        <v>5</v>
      </c>
      <c r="N434" s="6" t="str">
        <f>IF(OR(Table3[[#This Row],[weekday]]=0,Table3[[#This Row],[weekday]]=6),"Weekend","Weekday")</f>
        <v>Weekday</v>
      </c>
    </row>
    <row r="435" spans="1:14" ht="15" thickBot="1" x14ac:dyDescent="0.35">
      <c r="A435" s="10">
        <v>434</v>
      </c>
      <c r="B435" s="11">
        <f>_xlfn.XLOOKUP(Table3[[#This Row],[instant]],DatSet1!A435:A1044,DatSet1!B435:B1044,_xlfn.XLOOKUP(Table3[[#This Row],[instant]],'Final Data'!A435:A824,'Final Data'!B435:B824, ,0,1),0,1)</f>
        <v>40563</v>
      </c>
      <c r="C435" s="12">
        <f>_xlfn.XLOOKUP(Table3[[#This Row],[instant]],Table1[instant],Table1[hr], ,0,1)</f>
        <v>2</v>
      </c>
      <c r="D435" s="13" t="b">
        <f>_xlfn.XLOOKUP(Table3[[#This Row],[instant]],Table1[instant],Table1[holiday], ,0,1)</f>
        <v>0</v>
      </c>
      <c r="E435" s="2">
        <f>_xlfn.XLOOKUP(Table3[[#This Row],[instant]],Table1[instant],Table1[weekday], ,0,1)</f>
        <v>4</v>
      </c>
      <c r="F435" s="2">
        <f>_xlfn.XLOOKUP(Table3[[#This Row],[instant]],Table1[instant],Table1[weathersit], ,0,1)</f>
        <v>1</v>
      </c>
      <c r="G435" s="2">
        <f>_xlfn.XLOOKUP(Table3[[#This Row],[instant]],Table1[instant],Table1[temp], ,0,1)</f>
        <v>0.26</v>
      </c>
      <c r="H435" s="24">
        <f>_xlfn.XLOOKUP(Table3[[#This Row],[instant]],Table2[instant],Table2[atemp], ,0,1)</f>
        <v>0.2727</v>
      </c>
      <c r="I435" s="1">
        <f>_xlfn.XLOOKUP(Table3[[#This Row],[instant]],Table2[instant],Table2[hum], ,0,1)</f>
        <v>0.56000000000000005</v>
      </c>
      <c r="J435" s="1">
        <f>_xlfn.XLOOKUP(Table3[[#This Row],[instant]],Table2[instant],Table2[windspeed], ,0,1)</f>
        <v>0</v>
      </c>
      <c r="K435" s="1">
        <f>_xlfn.XLOOKUP(Table3[[#This Row],[instant]],Table2[instant],Table2[casual], ,0,1)</f>
        <v>0</v>
      </c>
      <c r="L435" s="1">
        <f>_xlfn.XLOOKUP(Table3[[#This Row],[instant]],Table2[instant],Table2[registered], ,0,1)</f>
        <v>2</v>
      </c>
      <c r="M435" s="6">
        <f>_xlfn.XLOOKUP(Table3[[#This Row],[instant]],Table2[instant],Table2[cnt], ,0,1)</f>
        <v>2</v>
      </c>
      <c r="N435" s="6" t="str">
        <f>IF(OR(Table3[[#This Row],[weekday]]=0,Table3[[#This Row],[weekday]]=6),"Weekend","Weekday")</f>
        <v>Weekday</v>
      </c>
    </row>
    <row r="436" spans="1:14" ht="15" thickBot="1" x14ac:dyDescent="0.35">
      <c r="A436" s="10">
        <v>435</v>
      </c>
      <c r="B436" s="11">
        <f>_xlfn.XLOOKUP(Table3[[#This Row],[instant]],DatSet1!A436:A1045,DatSet1!B436:B1045,_xlfn.XLOOKUP(Table3[[#This Row],[instant]],'Final Data'!A436:A825,'Final Data'!B436:B825, ,0,1),0,1)</f>
        <v>40563</v>
      </c>
      <c r="C436" s="12">
        <f>_xlfn.XLOOKUP(Table3[[#This Row],[instant]],Table1[instant],Table1[hr], ,0,1)</f>
        <v>3</v>
      </c>
      <c r="D436" s="13" t="b">
        <f>_xlfn.XLOOKUP(Table3[[#This Row],[instant]],Table1[instant],Table1[holiday], ,0,1)</f>
        <v>0</v>
      </c>
      <c r="E436" s="2">
        <f>_xlfn.XLOOKUP(Table3[[#This Row],[instant]],Table1[instant],Table1[weekday], ,0,1)</f>
        <v>4</v>
      </c>
      <c r="F436" s="2">
        <f>_xlfn.XLOOKUP(Table3[[#This Row],[instant]],Table1[instant],Table1[weathersit], ,0,1)</f>
        <v>1</v>
      </c>
      <c r="G436" s="2">
        <f>_xlfn.XLOOKUP(Table3[[#This Row],[instant]],Table1[instant],Table1[temp], ,0,1)</f>
        <v>0.26</v>
      </c>
      <c r="H436" s="24">
        <f>_xlfn.XLOOKUP(Table3[[#This Row],[instant]],Table2[instant],Table2[atemp], ,0,1)</f>
        <v>0.2576</v>
      </c>
      <c r="I436" s="1">
        <f>_xlfn.XLOOKUP(Table3[[#This Row],[instant]],Table2[instant],Table2[hum], ,0,1)</f>
        <v>0.56000000000000005</v>
      </c>
      <c r="J436" s="1">
        <f>_xlfn.XLOOKUP(Table3[[#This Row],[instant]],Table2[instant],Table2[windspeed], ,0,1)</f>
        <v>0.16420000000000001</v>
      </c>
      <c r="K436" s="1">
        <f>_xlfn.XLOOKUP(Table3[[#This Row],[instant]],Table2[instant],Table2[casual], ,0,1)</f>
        <v>0</v>
      </c>
      <c r="L436" s="1">
        <f>_xlfn.XLOOKUP(Table3[[#This Row],[instant]],Table2[instant],Table2[registered], ,0,1)</f>
        <v>1</v>
      </c>
      <c r="M436" s="6">
        <f>_xlfn.XLOOKUP(Table3[[#This Row],[instant]],Table2[instant],Table2[cnt], ,0,1)</f>
        <v>1</v>
      </c>
      <c r="N436" s="6" t="str">
        <f>IF(OR(Table3[[#This Row],[weekday]]=0,Table3[[#This Row],[weekday]]=6),"Weekend","Weekday")</f>
        <v>Weekday</v>
      </c>
    </row>
    <row r="437" spans="1:14" ht="15" thickBot="1" x14ac:dyDescent="0.35">
      <c r="A437" s="10">
        <v>436</v>
      </c>
      <c r="B437" s="11">
        <f>_xlfn.XLOOKUP(Table3[[#This Row],[instant]],DatSet1!A437:A1046,DatSet1!B437:B1046,_xlfn.XLOOKUP(Table3[[#This Row],[instant]],'Final Data'!A437:A826,'Final Data'!B437:B826, ,0,1),0,1)</f>
        <v>40563</v>
      </c>
      <c r="C437" s="12">
        <f>_xlfn.XLOOKUP(Table3[[#This Row],[instant]],Table1[instant],Table1[hr], ,0,1)</f>
        <v>4</v>
      </c>
      <c r="D437" s="13" t="b">
        <f>_xlfn.XLOOKUP(Table3[[#This Row],[instant]],Table1[instant],Table1[holiday], ,0,1)</f>
        <v>0</v>
      </c>
      <c r="E437" s="2">
        <f>_xlfn.XLOOKUP(Table3[[#This Row],[instant]],Table1[instant],Table1[weekday], ,0,1)</f>
        <v>4</v>
      </c>
      <c r="F437" s="2">
        <f>_xlfn.XLOOKUP(Table3[[#This Row],[instant]],Table1[instant],Table1[weathersit], ,0,1)</f>
        <v>1</v>
      </c>
      <c r="G437" s="2">
        <f>_xlfn.XLOOKUP(Table3[[#This Row],[instant]],Table1[instant],Table1[temp], ,0,1)</f>
        <v>0.26</v>
      </c>
      <c r="H437" s="24">
        <f>_xlfn.XLOOKUP(Table3[[#This Row],[instant]],Table2[instant],Table2[atemp], ,0,1)</f>
        <v>0.2576</v>
      </c>
      <c r="I437" s="1">
        <f>_xlfn.XLOOKUP(Table3[[#This Row],[instant]],Table2[instant],Table2[hum], ,0,1)</f>
        <v>0.56000000000000005</v>
      </c>
      <c r="J437" s="1">
        <f>_xlfn.XLOOKUP(Table3[[#This Row],[instant]],Table2[instant],Table2[windspeed], ,0,1)</f>
        <v>0.16420000000000001</v>
      </c>
      <c r="K437" s="1">
        <f>_xlfn.XLOOKUP(Table3[[#This Row],[instant]],Table2[instant],Table2[casual], ,0,1)</f>
        <v>0</v>
      </c>
      <c r="L437" s="1">
        <f>_xlfn.XLOOKUP(Table3[[#This Row],[instant]],Table2[instant],Table2[registered], ,0,1)</f>
        <v>1</v>
      </c>
      <c r="M437" s="6">
        <f>_xlfn.XLOOKUP(Table3[[#This Row],[instant]],Table2[instant],Table2[cnt], ,0,1)</f>
        <v>1</v>
      </c>
      <c r="N437" s="6" t="str">
        <f>IF(OR(Table3[[#This Row],[weekday]]=0,Table3[[#This Row],[weekday]]=6),"Weekend","Weekday")</f>
        <v>Weekday</v>
      </c>
    </row>
    <row r="438" spans="1:14" ht="15" thickBot="1" x14ac:dyDescent="0.35">
      <c r="A438" s="10">
        <v>437</v>
      </c>
      <c r="B438" s="11">
        <f>_xlfn.XLOOKUP(Table3[[#This Row],[instant]],DatSet1!A438:A1047,DatSet1!B438:B1047,_xlfn.XLOOKUP(Table3[[#This Row],[instant]],'Final Data'!A438:A827,'Final Data'!B438:B827, ,0,1),0,1)</f>
        <v>40563</v>
      </c>
      <c r="C438" s="12">
        <f>_xlfn.XLOOKUP(Table3[[#This Row],[instant]],Table1[instant],Table1[hr], ,0,1)</f>
        <v>5</v>
      </c>
      <c r="D438" s="13" t="b">
        <f>_xlfn.XLOOKUP(Table3[[#This Row],[instant]],Table1[instant],Table1[holiday], ,0,1)</f>
        <v>0</v>
      </c>
      <c r="E438" s="2">
        <f>_xlfn.XLOOKUP(Table3[[#This Row],[instant]],Table1[instant],Table1[weekday], ,0,1)</f>
        <v>4</v>
      </c>
      <c r="F438" s="2">
        <f>_xlfn.XLOOKUP(Table3[[#This Row],[instant]],Table1[instant],Table1[weathersit], ,0,1)</f>
        <v>1</v>
      </c>
      <c r="G438" s="2">
        <f>_xlfn.XLOOKUP(Table3[[#This Row],[instant]],Table1[instant],Table1[temp], ,0,1)</f>
        <v>0.24</v>
      </c>
      <c r="H438" s="24">
        <f>_xlfn.XLOOKUP(Table3[[#This Row],[instant]],Table2[instant],Table2[atemp], ,0,1)</f>
        <v>0.2273</v>
      </c>
      <c r="I438" s="1">
        <f>_xlfn.XLOOKUP(Table3[[#This Row],[instant]],Table2[instant],Table2[hum], ,0,1)</f>
        <v>0.6</v>
      </c>
      <c r="J438" s="1">
        <f>_xlfn.XLOOKUP(Table3[[#This Row],[instant]],Table2[instant],Table2[windspeed], ,0,1)</f>
        <v>0.22389999999999999</v>
      </c>
      <c r="K438" s="1">
        <f>_xlfn.XLOOKUP(Table3[[#This Row],[instant]],Table2[instant],Table2[casual], ,0,1)</f>
        <v>0</v>
      </c>
      <c r="L438" s="1">
        <f>_xlfn.XLOOKUP(Table3[[#This Row],[instant]],Table2[instant],Table2[registered], ,0,1)</f>
        <v>6</v>
      </c>
      <c r="M438" s="6">
        <f>_xlfn.XLOOKUP(Table3[[#This Row],[instant]],Table2[instant],Table2[cnt], ,0,1)</f>
        <v>6</v>
      </c>
      <c r="N438" s="6" t="str">
        <f>IF(OR(Table3[[#This Row],[weekday]]=0,Table3[[#This Row],[weekday]]=6),"Weekend","Weekday")</f>
        <v>Weekday</v>
      </c>
    </row>
    <row r="439" spans="1:14" ht="15" thickBot="1" x14ac:dyDescent="0.35">
      <c r="A439" s="10">
        <v>438</v>
      </c>
      <c r="B439" s="11">
        <f>_xlfn.XLOOKUP(Table3[[#This Row],[instant]],DatSet1!A439:A1048,DatSet1!B439:B1048,_xlfn.XLOOKUP(Table3[[#This Row],[instant]],'Final Data'!A439:A828,'Final Data'!B439:B828, ,0,1),0,1)</f>
        <v>40563</v>
      </c>
      <c r="C439" s="12">
        <f>_xlfn.XLOOKUP(Table3[[#This Row],[instant]],Table1[instant],Table1[hr], ,0,1)</f>
        <v>6</v>
      </c>
      <c r="D439" s="13" t="b">
        <f>_xlfn.XLOOKUP(Table3[[#This Row],[instant]],Table1[instant],Table1[holiday], ,0,1)</f>
        <v>0</v>
      </c>
      <c r="E439" s="2">
        <f>_xlfn.XLOOKUP(Table3[[#This Row],[instant]],Table1[instant],Table1[weekday], ,0,1)</f>
        <v>4</v>
      </c>
      <c r="F439" s="2">
        <f>_xlfn.XLOOKUP(Table3[[#This Row],[instant]],Table1[instant],Table1[weathersit], ,0,1)</f>
        <v>1</v>
      </c>
      <c r="G439" s="2">
        <f>_xlfn.XLOOKUP(Table3[[#This Row],[instant]],Table1[instant],Table1[temp], ,0,1)</f>
        <v>0.22</v>
      </c>
      <c r="H439" s="24">
        <f>_xlfn.XLOOKUP(Table3[[#This Row],[instant]],Table2[instant],Table2[atemp], ,0,1)</f>
        <v>0.21210000000000001</v>
      </c>
      <c r="I439" s="1">
        <f>_xlfn.XLOOKUP(Table3[[#This Row],[instant]],Table2[instant],Table2[hum], ,0,1)</f>
        <v>0.6</v>
      </c>
      <c r="J439" s="1">
        <f>_xlfn.XLOOKUP(Table3[[#This Row],[instant]],Table2[instant],Table2[windspeed], ,0,1)</f>
        <v>0.22389999999999999</v>
      </c>
      <c r="K439" s="1">
        <f>_xlfn.XLOOKUP(Table3[[#This Row],[instant]],Table2[instant],Table2[casual], ,0,1)</f>
        <v>0</v>
      </c>
      <c r="L439" s="1">
        <f>_xlfn.XLOOKUP(Table3[[#This Row],[instant]],Table2[instant],Table2[registered], ,0,1)</f>
        <v>35</v>
      </c>
      <c r="M439" s="6">
        <f>_xlfn.XLOOKUP(Table3[[#This Row],[instant]],Table2[instant],Table2[cnt], ,0,1)</f>
        <v>35</v>
      </c>
      <c r="N439" s="6" t="str">
        <f>IF(OR(Table3[[#This Row],[weekday]]=0,Table3[[#This Row],[weekday]]=6),"Weekend","Weekday")</f>
        <v>Weekday</v>
      </c>
    </row>
    <row r="440" spans="1:14" ht="15" thickBot="1" x14ac:dyDescent="0.35">
      <c r="A440" s="10">
        <v>439</v>
      </c>
      <c r="B440" s="11">
        <f>_xlfn.XLOOKUP(Table3[[#This Row],[instant]],DatSet1!A440:A1049,DatSet1!B440:B1049,_xlfn.XLOOKUP(Table3[[#This Row],[instant]],'Final Data'!A440:A829,'Final Data'!B440:B829, ,0,1),0,1)</f>
        <v>40563</v>
      </c>
      <c r="C440" s="12">
        <f>_xlfn.XLOOKUP(Table3[[#This Row],[instant]],Table1[instant],Table1[hr], ,0,1)</f>
        <v>7</v>
      </c>
      <c r="D440" s="13" t="b">
        <f>_xlfn.XLOOKUP(Table3[[#This Row],[instant]],Table1[instant],Table1[holiday], ,0,1)</f>
        <v>0</v>
      </c>
      <c r="E440" s="2">
        <f>_xlfn.XLOOKUP(Table3[[#This Row],[instant]],Table1[instant],Table1[weekday], ,0,1)</f>
        <v>4</v>
      </c>
      <c r="F440" s="2">
        <f>_xlfn.XLOOKUP(Table3[[#This Row],[instant]],Table1[instant],Table1[weathersit], ,0,1)</f>
        <v>1</v>
      </c>
      <c r="G440" s="2">
        <f>_xlfn.XLOOKUP(Table3[[#This Row],[instant]],Table1[instant],Table1[temp], ,0,1)</f>
        <v>0.22</v>
      </c>
      <c r="H440" s="24">
        <f>_xlfn.XLOOKUP(Table3[[#This Row],[instant]],Table2[instant],Table2[atemp], ,0,1)</f>
        <v>0.21210000000000001</v>
      </c>
      <c r="I440" s="1">
        <f>_xlfn.XLOOKUP(Table3[[#This Row],[instant]],Table2[instant],Table2[hum], ,0,1)</f>
        <v>0.55000000000000004</v>
      </c>
      <c r="J440" s="1">
        <f>_xlfn.XLOOKUP(Table3[[#This Row],[instant]],Table2[instant],Table2[windspeed], ,0,1)</f>
        <v>0.22389999999999999</v>
      </c>
      <c r="K440" s="1">
        <f>_xlfn.XLOOKUP(Table3[[#This Row],[instant]],Table2[instant],Table2[casual], ,0,1)</f>
        <v>1</v>
      </c>
      <c r="L440" s="1">
        <f>_xlfn.XLOOKUP(Table3[[#This Row],[instant]],Table2[instant],Table2[registered], ,0,1)</f>
        <v>100</v>
      </c>
      <c r="M440" s="6">
        <f>_xlfn.XLOOKUP(Table3[[#This Row],[instant]],Table2[instant],Table2[cnt], ,0,1)</f>
        <v>101</v>
      </c>
      <c r="N440" s="6" t="str">
        <f>IF(OR(Table3[[#This Row],[weekday]]=0,Table3[[#This Row],[weekday]]=6),"Weekend","Weekday")</f>
        <v>Weekday</v>
      </c>
    </row>
    <row r="441" spans="1:14" ht="15" thickBot="1" x14ac:dyDescent="0.35">
      <c r="A441" s="10">
        <v>440</v>
      </c>
      <c r="B441" s="11">
        <f>_xlfn.XLOOKUP(Table3[[#This Row],[instant]],DatSet1!A441:A1050,DatSet1!B441:B1050,_xlfn.XLOOKUP(Table3[[#This Row],[instant]],'Final Data'!A441:A830,'Final Data'!B441:B830, ,0,1),0,1)</f>
        <v>40563</v>
      </c>
      <c r="C441" s="12">
        <f>_xlfn.XLOOKUP(Table3[[#This Row],[instant]],Table1[instant],Table1[hr], ,0,1)</f>
        <v>8</v>
      </c>
      <c r="D441" s="13" t="b">
        <f>_xlfn.XLOOKUP(Table3[[#This Row],[instant]],Table1[instant],Table1[holiday], ,0,1)</f>
        <v>0</v>
      </c>
      <c r="E441" s="2">
        <f>_xlfn.XLOOKUP(Table3[[#This Row],[instant]],Table1[instant],Table1[weekday], ,0,1)</f>
        <v>4</v>
      </c>
      <c r="F441" s="2">
        <f>_xlfn.XLOOKUP(Table3[[#This Row],[instant]],Table1[instant],Table1[weathersit], ,0,1)</f>
        <v>1</v>
      </c>
      <c r="G441" s="2">
        <f>_xlfn.XLOOKUP(Table3[[#This Row],[instant]],Table1[instant],Table1[temp], ,0,1)</f>
        <v>0.22</v>
      </c>
      <c r="H441" s="24">
        <f>_xlfn.XLOOKUP(Table3[[#This Row],[instant]],Table2[instant],Table2[atemp], ,0,1)</f>
        <v>0.21210000000000001</v>
      </c>
      <c r="I441" s="1">
        <f>_xlfn.XLOOKUP(Table3[[#This Row],[instant]],Table2[instant],Table2[hum], ,0,1)</f>
        <v>0.55000000000000004</v>
      </c>
      <c r="J441" s="1">
        <f>_xlfn.XLOOKUP(Table3[[#This Row],[instant]],Table2[instant],Table2[windspeed], ,0,1)</f>
        <v>0.28360000000000002</v>
      </c>
      <c r="K441" s="1">
        <f>_xlfn.XLOOKUP(Table3[[#This Row],[instant]],Table2[instant],Table2[casual], ,0,1)</f>
        <v>2</v>
      </c>
      <c r="L441" s="1">
        <f>_xlfn.XLOOKUP(Table3[[#This Row],[instant]],Table2[instant],Table2[registered], ,0,1)</f>
        <v>247</v>
      </c>
      <c r="M441" s="6">
        <f>_xlfn.XLOOKUP(Table3[[#This Row],[instant]],Table2[instant],Table2[cnt], ,0,1)</f>
        <v>249</v>
      </c>
      <c r="N441" s="6" t="str">
        <f>IF(OR(Table3[[#This Row],[weekday]]=0,Table3[[#This Row],[weekday]]=6),"Weekend","Weekday")</f>
        <v>Weekday</v>
      </c>
    </row>
    <row r="442" spans="1:14" ht="15" thickBot="1" x14ac:dyDescent="0.35">
      <c r="A442" s="10">
        <v>441</v>
      </c>
      <c r="B442" s="11">
        <f>_xlfn.XLOOKUP(Table3[[#This Row],[instant]],DatSet1!A442:A1051,DatSet1!B442:B1051,_xlfn.XLOOKUP(Table3[[#This Row],[instant]],'Final Data'!A442:A831,'Final Data'!B442:B831, ,0,1),0,1)</f>
        <v>40563</v>
      </c>
      <c r="C442" s="12">
        <f>_xlfn.XLOOKUP(Table3[[#This Row],[instant]],Table1[instant],Table1[hr], ,0,1)</f>
        <v>9</v>
      </c>
      <c r="D442" s="13" t="b">
        <f>_xlfn.XLOOKUP(Table3[[#This Row],[instant]],Table1[instant],Table1[holiday], ,0,1)</f>
        <v>0</v>
      </c>
      <c r="E442" s="2">
        <f>_xlfn.XLOOKUP(Table3[[#This Row],[instant]],Table1[instant],Table1[weekday], ,0,1)</f>
        <v>4</v>
      </c>
      <c r="F442" s="2">
        <f>_xlfn.XLOOKUP(Table3[[#This Row],[instant]],Table1[instant],Table1[weathersit], ,0,1)</f>
        <v>2</v>
      </c>
      <c r="G442" s="2">
        <f>_xlfn.XLOOKUP(Table3[[#This Row],[instant]],Table1[instant],Table1[temp], ,0,1)</f>
        <v>0.24</v>
      </c>
      <c r="H442" s="24">
        <f>_xlfn.XLOOKUP(Table3[[#This Row],[instant]],Table2[instant],Table2[atemp], ,0,1)</f>
        <v>0.2273</v>
      </c>
      <c r="I442" s="1">
        <f>_xlfn.XLOOKUP(Table3[[#This Row],[instant]],Table2[instant],Table2[hum], ,0,1)</f>
        <v>0.52</v>
      </c>
      <c r="J442" s="1">
        <f>_xlfn.XLOOKUP(Table3[[#This Row],[instant]],Table2[instant],Table2[windspeed], ,0,1)</f>
        <v>0.22389999999999999</v>
      </c>
      <c r="K442" s="1">
        <f>_xlfn.XLOOKUP(Table3[[#This Row],[instant]],Table2[instant],Table2[casual], ,0,1)</f>
        <v>3</v>
      </c>
      <c r="L442" s="1">
        <f>_xlfn.XLOOKUP(Table3[[#This Row],[instant]],Table2[instant],Table2[registered], ,0,1)</f>
        <v>140</v>
      </c>
      <c r="M442" s="6">
        <f>_xlfn.XLOOKUP(Table3[[#This Row],[instant]],Table2[instant],Table2[cnt], ,0,1)</f>
        <v>143</v>
      </c>
      <c r="N442" s="6" t="str">
        <f>IF(OR(Table3[[#This Row],[weekday]]=0,Table3[[#This Row],[weekday]]=6),"Weekend","Weekday")</f>
        <v>Weekday</v>
      </c>
    </row>
    <row r="443" spans="1:14" ht="15" thickBot="1" x14ac:dyDescent="0.35">
      <c r="A443" s="10">
        <v>442</v>
      </c>
      <c r="B443" s="11">
        <f>_xlfn.XLOOKUP(Table3[[#This Row],[instant]],DatSet1!A443:A1052,DatSet1!B443:B1052,_xlfn.XLOOKUP(Table3[[#This Row],[instant]],'Final Data'!A443:A832,'Final Data'!B443:B832, ,0,1),0,1)</f>
        <v>40563</v>
      </c>
      <c r="C443" s="12">
        <f>_xlfn.XLOOKUP(Table3[[#This Row],[instant]],Table1[instant],Table1[hr], ,0,1)</f>
        <v>10</v>
      </c>
      <c r="D443" s="13" t="b">
        <f>_xlfn.XLOOKUP(Table3[[#This Row],[instant]],Table1[instant],Table1[holiday], ,0,1)</f>
        <v>0</v>
      </c>
      <c r="E443" s="2">
        <f>_xlfn.XLOOKUP(Table3[[#This Row],[instant]],Table1[instant],Table1[weekday], ,0,1)</f>
        <v>4</v>
      </c>
      <c r="F443" s="2">
        <f>_xlfn.XLOOKUP(Table3[[#This Row],[instant]],Table1[instant],Table1[weathersit], ,0,1)</f>
        <v>1</v>
      </c>
      <c r="G443" s="2">
        <f>_xlfn.XLOOKUP(Table3[[#This Row],[instant]],Table1[instant],Table1[temp], ,0,1)</f>
        <v>0.26</v>
      </c>
      <c r="H443" s="24">
        <f>_xlfn.XLOOKUP(Table3[[#This Row],[instant]],Table2[instant],Table2[atemp], ,0,1)</f>
        <v>0.2273</v>
      </c>
      <c r="I443" s="1">
        <f>_xlfn.XLOOKUP(Table3[[#This Row],[instant]],Table2[instant],Table2[hum], ,0,1)</f>
        <v>0.48</v>
      </c>
      <c r="J443" s="1">
        <f>_xlfn.XLOOKUP(Table3[[#This Row],[instant]],Table2[instant],Table2[windspeed], ,0,1)</f>
        <v>0.29849999999999999</v>
      </c>
      <c r="K443" s="1">
        <f>_xlfn.XLOOKUP(Table3[[#This Row],[instant]],Table2[instant],Table2[casual], ,0,1)</f>
        <v>1</v>
      </c>
      <c r="L443" s="1">
        <f>_xlfn.XLOOKUP(Table3[[#This Row],[instant]],Table2[instant],Table2[registered], ,0,1)</f>
        <v>56</v>
      </c>
      <c r="M443" s="6">
        <f>_xlfn.XLOOKUP(Table3[[#This Row],[instant]],Table2[instant],Table2[cnt], ,0,1)</f>
        <v>57</v>
      </c>
      <c r="N443" s="6" t="str">
        <f>IF(OR(Table3[[#This Row],[weekday]]=0,Table3[[#This Row],[weekday]]=6),"Weekend","Weekday")</f>
        <v>Weekday</v>
      </c>
    </row>
    <row r="444" spans="1:14" ht="15" thickBot="1" x14ac:dyDescent="0.35">
      <c r="A444" s="10">
        <v>443</v>
      </c>
      <c r="B444" s="11">
        <f>_xlfn.XLOOKUP(Table3[[#This Row],[instant]],DatSet1!A444:A1053,DatSet1!B444:B1053,_xlfn.XLOOKUP(Table3[[#This Row],[instant]],'Final Data'!A444:A833,'Final Data'!B444:B833, ,0,1),0,1)</f>
        <v>40563</v>
      </c>
      <c r="C444" s="12">
        <f>_xlfn.XLOOKUP(Table3[[#This Row],[instant]],Table1[instant],Table1[hr], ,0,1)</f>
        <v>11</v>
      </c>
      <c r="D444" s="13" t="b">
        <f>_xlfn.XLOOKUP(Table3[[#This Row],[instant]],Table1[instant],Table1[holiday], ,0,1)</f>
        <v>0</v>
      </c>
      <c r="E444" s="2">
        <f>_xlfn.XLOOKUP(Table3[[#This Row],[instant]],Table1[instant],Table1[weekday], ,0,1)</f>
        <v>4</v>
      </c>
      <c r="F444" s="2">
        <f>_xlfn.XLOOKUP(Table3[[#This Row],[instant]],Table1[instant],Table1[weathersit], ,0,1)</f>
        <v>2</v>
      </c>
      <c r="G444" s="2">
        <f>_xlfn.XLOOKUP(Table3[[#This Row],[instant]],Table1[instant],Table1[temp], ,0,1)</f>
        <v>0.28000000000000003</v>
      </c>
      <c r="H444" s="24">
        <f>_xlfn.XLOOKUP(Table3[[#This Row],[instant]],Table2[instant],Table2[atemp], ,0,1)</f>
        <v>0.2727</v>
      </c>
      <c r="I444" s="1">
        <f>_xlfn.XLOOKUP(Table3[[#This Row],[instant]],Table2[instant],Table2[hum], ,0,1)</f>
        <v>0.45</v>
      </c>
      <c r="J444" s="1">
        <f>_xlfn.XLOOKUP(Table3[[#This Row],[instant]],Table2[instant],Table2[windspeed], ,0,1)</f>
        <v>0.16420000000000001</v>
      </c>
      <c r="K444" s="1">
        <f>_xlfn.XLOOKUP(Table3[[#This Row],[instant]],Table2[instant],Table2[casual], ,0,1)</f>
        <v>5</v>
      </c>
      <c r="L444" s="1">
        <f>_xlfn.XLOOKUP(Table3[[#This Row],[instant]],Table2[instant],Table2[registered], ,0,1)</f>
        <v>63</v>
      </c>
      <c r="M444" s="6">
        <f>_xlfn.XLOOKUP(Table3[[#This Row],[instant]],Table2[instant],Table2[cnt], ,0,1)</f>
        <v>68</v>
      </c>
      <c r="N444" s="6" t="str">
        <f>IF(OR(Table3[[#This Row],[weekday]]=0,Table3[[#This Row],[weekday]]=6),"Weekend","Weekday")</f>
        <v>Weekday</v>
      </c>
    </row>
    <row r="445" spans="1:14" ht="15" thickBot="1" x14ac:dyDescent="0.35">
      <c r="A445" s="10">
        <v>444</v>
      </c>
      <c r="B445" s="11">
        <f>_xlfn.XLOOKUP(Table3[[#This Row],[instant]],DatSet1!A445:A1054,DatSet1!B445:B1054,_xlfn.XLOOKUP(Table3[[#This Row],[instant]],'Final Data'!A445:A834,'Final Data'!B445:B834, ,0,1),0,1)</f>
        <v>40563</v>
      </c>
      <c r="C445" s="12">
        <f>_xlfn.XLOOKUP(Table3[[#This Row],[instant]],Table1[instant],Table1[hr], ,0,1)</f>
        <v>12</v>
      </c>
      <c r="D445" s="13" t="b">
        <f>_xlfn.XLOOKUP(Table3[[#This Row],[instant]],Table1[instant],Table1[holiday], ,0,1)</f>
        <v>0</v>
      </c>
      <c r="E445" s="2">
        <f>_xlfn.XLOOKUP(Table3[[#This Row],[instant]],Table1[instant],Table1[weekday], ,0,1)</f>
        <v>4</v>
      </c>
      <c r="F445" s="2">
        <f>_xlfn.XLOOKUP(Table3[[#This Row],[instant]],Table1[instant],Table1[weathersit], ,0,1)</f>
        <v>2</v>
      </c>
      <c r="G445" s="2">
        <f>_xlfn.XLOOKUP(Table3[[#This Row],[instant]],Table1[instant],Table1[temp], ,0,1)</f>
        <v>0.3</v>
      </c>
      <c r="H445" s="24">
        <f>_xlfn.XLOOKUP(Table3[[#This Row],[instant]],Table2[instant],Table2[atemp], ,0,1)</f>
        <v>0.33329999999999999</v>
      </c>
      <c r="I445" s="1">
        <f>_xlfn.XLOOKUP(Table3[[#This Row],[instant]],Table2[instant],Table2[hum], ,0,1)</f>
        <v>0.42</v>
      </c>
      <c r="J445" s="1">
        <f>_xlfn.XLOOKUP(Table3[[#This Row],[instant]],Table2[instant],Table2[windspeed], ,0,1)</f>
        <v>0</v>
      </c>
      <c r="K445" s="1">
        <f>_xlfn.XLOOKUP(Table3[[#This Row],[instant]],Table2[instant],Table2[casual], ,0,1)</f>
        <v>7</v>
      </c>
      <c r="L445" s="1">
        <f>_xlfn.XLOOKUP(Table3[[#This Row],[instant]],Table2[instant],Table2[registered], ,0,1)</f>
        <v>77</v>
      </c>
      <c r="M445" s="6">
        <f>_xlfn.XLOOKUP(Table3[[#This Row],[instant]],Table2[instant],Table2[cnt], ,0,1)</f>
        <v>84</v>
      </c>
      <c r="N445" s="6" t="str">
        <f>IF(OR(Table3[[#This Row],[weekday]]=0,Table3[[#This Row],[weekday]]=6),"Weekend","Weekday")</f>
        <v>Weekday</v>
      </c>
    </row>
    <row r="446" spans="1:14" ht="15" thickBot="1" x14ac:dyDescent="0.35">
      <c r="A446" s="10">
        <v>445</v>
      </c>
      <c r="B446" s="11">
        <f>_xlfn.XLOOKUP(Table3[[#This Row],[instant]],DatSet1!A446:A1055,DatSet1!B446:B1055,_xlfn.XLOOKUP(Table3[[#This Row],[instant]],'Final Data'!A446:A835,'Final Data'!B446:B835, ,0,1),0,1)</f>
        <v>40563</v>
      </c>
      <c r="C446" s="12">
        <f>_xlfn.XLOOKUP(Table3[[#This Row],[instant]],Table1[instant],Table1[hr], ,0,1)</f>
        <v>13</v>
      </c>
      <c r="D446" s="13" t="b">
        <f>_xlfn.XLOOKUP(Table3[[#This Row],[instant]],Table1[instant],Table1[holiday], ,0,1)</f>
        <v>0</v>
      </c>
      <c r="E446" s="2">
        <f>_xlfn.XLOOKUP(Table3[[#This Row],[instant]],Table1[instant],Table1[weekday], ,0,1)</f>
        <v>4</v>
      </c>
      <c r="F446" s="2">
        <f>_xlfn.XLOOKUP(Table3[[#This Row],[instant]],Table1[instant],Table1[weathersit], ,0,1)</f>
        <v>2</v>
      </c>
      <c r="G446" s="2">
        <f>_xlfn.XLOOKUP(Table3[[#This Row],[instant]],Table1[instant],Table1[temp], ,0,1)</f>
        <v>0.28000000000000003</v>
      </c>
      <c r="H446" s="24">
        <f>_xlfn.XLOOKUP(Table3[[#This Row],[instant]],Table2[instant],Table2[atemp], ,0,1)</f>
        <v>0.28789999999999999</v>
      </c>
      <c r="I446" s="1">
        <f>_xlfn.XLOOKUP(Table3[[#This Row],[instant]],Table2[instant],Table2[hum], ,0,1)</f>
        <v>0.45</v>
      </c>
      <c r="J446" s="1">
        <f>_xlfn.XLOOKUP(Table3[[#This Row],[instant]],Table2[instant],Table2[windspeed], ,0,1)</f>
        <v>0.1045</v>
      </c>
      <c r="K446" s="1">
        <f>_xlfn.XLOOKUP(Table3[[#This Row],[instant]],Table2[instant],Table2[casual], ,0,1)</f>
        <v>12</v>
      </c>
      <c r="L446" s="1">
        <f>_xlfn.XLOOKUP(Table3[[#This Row],[instant]],Table2[instant],Table2[registered], ,0,1)</f>
        <v>86</v>
      </c>
      <c r="M446" s="6">
        <f>_xlfn.XLOOKUP(Table3[[#This Row],[instant]],Table2[instant],Table2[cnt], ,0,1)</f>
        <v>98</v>
      </c>
      <c r="N446" s="6" t="str">
        <f>IF(OR(Table3[[#This Row],[weekday]]=0,Table3[[#This Row],[weekday]]=6),"Weekend","Weekday")</f>
        <v>Weekday</v>
      </c>
    </row>
    <row r="447" spans="1:14" ht="15" thickBot="1" x14ac:dyDescent="0.35">
      <c r="A447" s="10">
        <v>446</v>
      </c>
      <c r="B447" s="11">
        <f>_xlfn.XLOOKUP(Table3[[#This Row],[instant]],DatSet1!A447:A1056,DatSet1!B447:B1056,_xlfn.XLOOKUP(Table3[[#This Row],[instant]],'Final Data'!A447:A836,'Final Data'!B447:B836, ,0,1),0,1)</f>
        <v>40563</v>
      </c>
      <c r="C447" s="12">
        <f>_xlfn.XLOOKUP(Table3[[#This Row],[instant]],Table1[instant],Table1[hr], ,0,1)</f>
        <v>14</v>
      </c>
      <c r="D447" s="13" t="b">
        <f>_xlfn.XLOOKUP(Table3[[#This Row],[instant]],Table1[instant],Table1[holiday], ,0,1)</f>
        <v>0</v>
      </c>
      <c r="E447" s="2">
        <f>_xlfn.XLOOKUP(Table3[[#This Row],[instant]],Table1[instant],Table1[weekday], ,0,1)</f>
        <v>4</v>
      </c>
      <c r="F447" s="2">
        <f>_xlfn.XLOOKUP(Table3[[#This Row],[instant]],Table1[instant],Table1[weathersit], ,0,1)</f>
        <v>2</v>
      </c>
      <c r="G447" s="2">
        <f>_xlfn.XLOOKUP(Table3[[#This Row],[instant]],Table1[instant],Table1[temp], ,0,1)</f>
        <v>0.3</v>
      </c>
      <c r="H447" s="24">
        <f>_xlfn.XLOOKUP(Table3[[#This Row],[instant]],Table2[instant],Table2[atemp], ,0,1)</f>
        <v>0.30299999999999999</v>
      </c>
      <c r="I447" s="1">
        <f>_xlfn.XLOOKUP(Table3[[#This Row],[instant]],Table2[instant],Table2[hum], ,0,1)</f>
        <v>0.45</v>
      </c>
      <c r="J447" s="1">
        <f>_xlfn.XLOOKUP(Table3[[#This Row],[instant]],Table2[instant],Table2[windspeed], ,0,1)</f>
        <v>0.1343</v>
      </c>
      <c r="K447" s="1">
        <f>_xlfn.XLOOKUP(Table3[[#This Row],[instant]],Table2[instant],Table2[casual], ,0,1)</f>
        <v>6</v>
      </c>
      <c r="L447" s="1">
        <f>_xlfn.XLOOKUP(Table3[[#This Row],[instant]],Table2[instant],Table2[registered], ,0,1)</f>
        <v>75</v>
      </c>
      <c r="M447" s="6">
        <f>_xlfn.XLOOKUP(Table3[[#This Row],[instant]],Table2[instant],Table2[cnt], ,0,1)</f>
        <v>81</v>
      </c>
      <c r="N447" s="6" t="str">
        <f>IF(OR(Table3[[#This Row],[weekday]]=0,Table3[[#This Row],[weekday]]=6),"Weekend","Weekday")</f>
        <v>Weekday</v>
      </c>
    </row>
    <row r="448" spans="1:14" ht="15" thickBot="1" x14ac:dyDescent="0.35">
      <c r="A448" s="10">
        <v>447</v>
      </c>
      <c r="B448" s="11">
        <f>_xlfn.XLOOKUP(Table3[[#This Row],[instant]],DatSet1!A448:A1057,DatSet1!B448:B1057,_xlfn.XLOOKUP(Table3[[#This Row],[instant]],'Final Data'!A448:A837,'Final Data'!B448:B837, ,0,1),0,1)</f>
        <v>40563</v>
      </c>
      <c r="C448" s="12">
        <f>_xlfn.XLOOKUP(Table3[[#This Row],[instant]],Table1[instant],Table1[hr], ,0,1)</f>
        <v>15</v>
      </c>
      <c r="D448" s="13" t="b">
        <f>_xlfn.XLOOKUP(Table3[[#This Row],[instant]],Table1[instant],Table1[holiday], ,0,1)</f>
        <v>0</v>
      </c>
      <c r="E448" s="2">
        <f>_xlfn.XLOOKUP(Table3[[#This Row],[instant]],Table1[instant],Table1[weekday], ,0,1)</f>
        <v>4</v>
      </c>
      <c r="F448" s="2">
        <f>_xlfn.XLOOKUP(Table3[[#This Row],[instant]],Table1[instant],Table1[weathersit], ,0,1)</f>
        <v>2</v>
      </c>
      <c r="G448" s="2">
        <f>_xlfn.XLOOKUP(Table3[[#This Row],[instant]],Table1[instant],Table1[temp], ,0,1)</f>
        <v>0.32</v>
      </c>
      <c r="H448" s="24">
        <f>_xlfn.XLOOKUP(Table3[[#This Row],[instant]],Table2[instant],Table2[atemp], ,0,1)</f>
        <v>0.31819999999999998</v>
      </c>
      <c r="I448" s="1">
        <f>_xlfn.XLOOKUP(Table3[[#This Row],[instant]],Table2[instant],Table2[hum], ,0,1)</f>
        <v>0.45</v>
      </c>
      <c r="J448" s="1">
        <f>_xlfn.XLOOKUP(Table3[[#This Row],[instant]],Table2[instant],Table2[windspeed], ,0,1)</f>
        <v>0.19400000000000001</v>
      </c>
      <c r="K448" s="1">
        <f>_xlfn.XLOOKUP(Table3[[#This Row],[instant]],Table2[instant],Table2[casual], ,0,1)</f>
        <v>8</v>
      </c>
      <c r="L448" s="1">
        <f>_xlfn.XLOOKUP(Table3[[#This Row],[instant]],Table2[instant],Table2[registered], ,0,1)</f>
        <v>62</v>
      </c>
      <c r="M448" s="6">
        <f>_xlfn.XLOOKUP(Table3[[#This Row],[instant]],Table2[instant],Table2[cnt], ,0,1)</f>
        <v>70</v>
      </c>
      <c r="N448" s="6" t="str">
        <f>IF(OR(Table3[[#This Row],[weekday]]=0,Table3[[#This Row],[weekday]]=6),"Weekend","Weekday")</f>
        <v>Weekday</v>
      </c>
    </row>
    <row r="449" spans="1:14" ht="15" thickBot="1" x14ac:dyDescent="0.35">
      <c r="A449" s="10">
        <v>448</v>
      </c>
      <c r="B449" s="11">
        <f>_xlfn.XLOOKUP(Table3[[#This Row],[instant]],DatSet1!A449:A1058,DatSet1!B449:B1058,_xlfn.XLOOKUP(Table3[[#This Row],[instant]],'Final Data'!A449:A838,'Final Data'!B449:B838, ,0,1),0,1)</f>
        <v>40563</v>
      </c>
      <c r="C449" s="12">
        <f>_xlfn.XLOOKUP(Table3[[#This Row],[instant]],Table1[instant],Table1[hr], ,0,1)</f>
        <v>16</v>
      </c>
      <c r="D449" s="13" t="b">
        <f>_xlfn.XLOOKUP(Table3[[#This Row],[instant]],Table1[instant],Table1[holiday], ,0,1)</f>
        <v>0</v>
      </c>
      <c r="E449" s="2">
        <f>_xlfn.XLOOKUP(Table3[[#This Row],[instant]],Table1[instant],Table1[weekday], ,0,1)</f>
        <v>4</v>
      </c>
      <c r="F449" s="2">
        <f>_xlfn.XLOOKUP(Table3[[#This Row],[instant]],Table1[instant],Table1[weathersit], ,0,1)</f>
        <v>2</v>
      </c>
      <c r="G449" s="2">
        <f>_xlfn.XLOOKUP(Table3[[#This Row],[instant]],Table1[instant],Table1[temp], ,0,1)</f>
        <v>0.3</v>
      </c>
      <c r="H449" s="24">
        <f>_xlfn.XLOOKUP(Table3[[#This Row],[instant]],Table2[instant],Table2[atemp], ,0,1)</f>
        <v>0.30299999999999999</v>
      </c>
      <c r="I449" s="1">
        <f>_xlfn.XLOOKUP(Table3[[#This Row],[instant]],Table2[instant],Table2[hum], ,0,1)</f>
        <v>0.49</v>
      </c>
      <c r="J449" s="1">
        <f>_xlfn.XLOOKUP(Table3[[#This Row],[instant]],Table2[instant],Table2[windspeed], ,0,1)</f>
        <v>0.1343</v>
      </c>
      <c r="K449" s="1">
        <f>_xlfn.XLOOKUP(Table3[[#This Row],[instant]],Table2[instant],Table2[casual], ,0,1)</f>
        <v>8</v>
      </c>
      <c r="L449" s="1">
        <f>_xlfn.XLOOKUP(Table3[[#This Row],[instant]],Table2[instant],Table2[registered], ,0,1)</f>
        <v>83</v>
      </c>
      <c r="M449" s="6">
        <f>_xlfn.XLOOKUP(Table3[[#This Row],[instant]],Table2[instant],Table2[cnt], ,0,1)</f>
        <v>91</v>
      </c>
      <c r="N449" s="6" t="str">
        <f>IF(OR(Table3[[#This Row],[weekday]]=0,Table3[[#This Row],[weekday]]=6),"Weekend","Weekday")</f>
        <v>Weekday</v>
      </c>
    </row>
    <row r="450" spans="1:14" ht="15" thickBot="1" x14ac:dyDescent="0.35">
      <c r="A450" s="10">
        <v>449</v>
      </c>
      <c r="B450" s="11">
        <f>_xlfn.XLOOKUP(Table3[[#This Row],[instant]],DatSet1!A450:A1059,DatSet1!B450:B1059,_xlfn.XLOOKUP(Table3[[#This Row],[instant]],'Final Data'!A450:A839,'Final Data'!B450:B839, ,0,1),0,1)</f>
        <v>40563</v>
      </c>
      <c r="C450" s="12">
        <f>_xlfn.XLOOKUP(Table3[[#This Row],[instant]],Table1[instant],Table1[hr], ,0,1)</f>
        <v>17</v>
      </c>
      <c r="D450" s="13" t="b">
        <f>_xlfn.XLOOKUP(Table3[[#This Row],[instant]],Table1[instant],Table1[holiday], ,0,1)</f>
        <v>0</v>
      </c>
      <c r="E450" s="2">
        <f>_xlfn.XLOOKUP(Table3[[#This Row],[instant]],Table1[instant],Table1[weekday], ,0,1)</f>
        <v>4</v>
      </c>
      <c r="F450" s="2">
        <f>_xlfn.XLOOKUP(Table3[[#This Row],[instant]],Table1[instant],Table1[weathersit], ,0,1)</f>
        <v>2</v>
      </c>
      <c r="G450" s="2">
        <f>_xlfn.XLOOKUP(Table3[[#This Row],[instant]],Table1[instant],Table1[temp], ,0,1)</f>
        <v>0.3</v>
      </c>
      <c r="H450" s="24">
        <f>_xlfn.XLOOKUP(Table3[[#This Row],[instant]],Table2[instant],Table2[atemp], ,0,1)</f>
        <v>0.31819999999999998</v>
      </c>
      <c r="I450" s="1">
        <f>_xlfn.XLOOKUP(Table3[[#This Row],[instant]],Table2[instant],Table2[hum], ,0,1)</f>
        <v>0.49</v>
      </c>
      <c r="J450" s="1">
        <f>_xlfn.XLOOKUP(Table3[[#This Row],[instant]],Table2[instant],Table2[windspeed], ,0,1)</f>
        <v>0.1045</v>
      </c>
      <c r="K450" s="1">
        <f>_xlfn.XLOOKUP(Table3[[#This Row],[instant]],Table2[instant],Table2[casual], ,0,1)</f>
        <v>8</v>
      </c>
      <c r="L450" s="1">
        <f>_xlfn.XLOOKUP(Table3[[#This Row],[instant]],Table2[instant],Table2[registered], ,0,1)</f>
        <v>207</v>
      </c>
      <c r="M450" s="6">
        <f>_xlfn.XLOOKUP(Table3[[#This Row],[instant]],Table2[instant],Table2[cnt], ,0,1)</f>
        <v>215</v>
      </c>
      <c r="N450" s="6" t="str">
        <f>IF(OR(Table3[[#This Row],[weekday]]=0,Table3[[#This Row],[weekday]]=6),"Weekend","Weekday")</f>
        <v>Weekday</v>
      </c>
    </row>
    <row r="451" spans="1:14" ht="15" thickBot="1" x14ac:dyDescent="0.35">
      <c r="A451" s="10">
        <v>450</v>
      </c>
      <c r="B451" s="11">
        <f>_xlfn.XLOOKUP(Table3[[#This Row],[instant]],DatSet1!A451:A1060,DatSet1!B451:B1060,_xlfn.XLOOKUP(Table3[[#This Row],[instant]],'Final Data'!A451:A840,'Final Data'!B451:B840, ,0,1),0,1)</f>
        <v>40563</v>
      </c>
      <c r="C451" s="12">
        <f>_xlfn.XLOOKUP(Table3[[#This Row],[instant]],Table1[instant],Table1[hr], ,0,1)</f>
        <v>18</v>
      </c>
      <c r="D451" s="13" t="b">
        <f>_xlfn.XLOOKUP(Table3[[#This Row],[instant]],Table1[instant],Table1[holiday], ,0,1)</f>
        <v>0</v>
      </c>
      <c r="E451" s="2">
        <f>_xlfn.XLOOKUP(Table3[[#This Row],[instant]],Table1[instant],Table1[weekday], ,0,1)</f>
        <v>4</v>
      </c>
      <c r="F451" s="2">
        <f>_xlfn.XLOOKUP(Table3[[#This Row],[instant]],Table1[instant],Table1[weathersit], ,0,1)</f>
        <v>2</v>
      </c>
      <c r="G451" s="2">
        <f>_xlfn.XLOOKUP(Table3[[#This Row],[instant]],Table1[instant],Table1[temp], ,0,1)</f>
        <v>0.26</v>
      </c>
      <c r="H451" s="24">
        <f>_xlfn.XLOOKUP(Table3[[#This Row],[instant]],Table2[instant],Table2[atemp], ,0,1)</f>
        <v>0.2576</v>
      </c>
      <c r="I451" s="1">
        <f>_xlfn.XLOOKUP(Table3[[#This Row],[instant]],Table2[instant],Table2[hum], ,0,1)</f>
        <v>0.56000000000000005</v>
      </c>
      <c r="J451" s="1">
        <f>_xlfn.XLOOKUP(Table3[[#This Row],[instant]],Table2[instant],Table2[windspeed], ,0,1)</f>
        <v>0.19400000000000001</v>
      </c>
      <c r="K451" s="1">
        <f>_xlfn.XLOOKUP(Table3[[#This Row],[instant]],Table2[instant],Table2[casual], ,0,1)</f>
        <v>1</v>
      </c>
      <c r="L451" s="1">
        <f>_xlfn.XLOOKUP(Table3[[#This Row],[instant]],Table2[instant],Table2[registered], ,0,1)</f>
        <v>184</v>
      </c>
      <c r="M451" s="6">
        <f>_xlfn.XLOOKUP(Table3[[#This Row],[instant]],Table2[instant],Table2[cnt], ,0,1)</f>
        <v>185</v>
      </c>
      <c r="N451" s="6" t="str">
        <f>IF(OR(Table3[[#This Row],[weekday]]=0,Table3[[#This Row],[weekday]]=6),"Weekend","Weekday")</f>
        <v>Weekday</v>
      </c>
    </row>
    <row r="452" spans="1:14" ht="15" thickBot="1" x14ac:dyDescent="0.35">
      <c r="A452" s="10">
        <v>451</v>
      </c>
      <c r="B452" s="11">
        <f>_xlfn.XLOOKUP(Table3[[#This Row],[instant]],DatSet1!A452:A1061,DatSet1!B452:B1061,_xlfn.XLOOKUP(Table3[[#This Row],[instant]],'Final Data'!A452:A841,'Final Data'!B452:B841, ,0,1),0,1)</f>
        <v>40563</v>
      </c>
      <c r="C452" s="12">
        <f>_xlfn.XLOOKUP(Table3[[#This Row],[instant]],Table1[instant],Table1[hr], ,0,1)</f>
        <v>19</v>
      </c>
      <c r="D452" s="13" t="b">
        <f>_xlfn.XLOOKUP(Table3[[#This Row],[instant]],Table1[instant],Table1[holiday], ,0,1)</f>
        <v>0</v>
      </c>
      <c r="E452" s="2">
        <f>_xlfn.XLOOKUP(Table3[[#This Row],[instant]],Table1[instant],Table1[weekday], ,0,1)</f>
        <v>4</v>
      </c>
      <c r="F452" s="2">
        <f>_xlfn.XLOOKUP(Table3[[#This Row],[instant]],Table1[instant],Table1[weathersit], ,0,1)</f>
        <v>1</v>
      </c>
      <c r="G452" s="2">
        <f>_xlfn.XLOOKUP(Table3[[#This Row],[instant]],Table1[instant],Table1[temp], ,0,1)</f>
        <v>0.26</v>
      </c>
      <c r="H452" s="24">
        <f>_xlfn.XLOOKUP(Table3[[#This Row],[instant]],Table2[instant],Table2[atemp], ,0,1)</f>
        <v>0.2273</v>
      </c>
      <c r="I452" s="1">
        <f>_xlfn.XLOOKUP(Table3[[#This Row],[instant]],Table2[instant],Table2[hum], ,0,1)</f>
        <v>0.56000000000000005</v>
      </c>
      <c r="J452" s="1">
        <f>_xlfn.XLOOKUP(Table3[[#This Row],[instant]],Table2[instant],Table2[windspeed], ,0,1)</f>
        <v>0.32840000000000003</v>
      </c>
      <c r="K452" s="1">
        <f>_xlfn.XLOOKUP(Table3[[#This Row],[instant]],Table2[instant],Table2[casual], ,0,1)</f>
        <v>6</v>
      </c>
      <c r="L452" s="1">
        <f>_xlfn.XLOOKUP(Table3[[#This Row],[instant]],Table2[instant],Table2[registered], ,0,1)</f>
        <v>146</v>
      </c>
      <c r="M452" s="6">
        <f>_xlfn.XLOOKUP(Table3[[#This Row],[instant]],Table2[instant],Table2[cnt], ,0,1)</f>
        <v>152</v>
      </c>
      <c r="N452" s="6" t="str">
        <f>IF(OR(Table3[[#This Row],[weekday]]=0,Table3[[#This Row],[weekday]]=6),"Weekend","Weekday")</f>
        <v>Weekday</v>
      </c>
    </row>
    <row r="453" spans="1:14" ht="15" thickBot="1" x14ac:dyDescent="0.35">
      <c r="A453" s="10">
        <v>452</v>
      </c>
      <c r="B453" s="11">
        <f>_xlfn.XLOOKUP(Table3[[#This Row],[instant]],DatSet1!A453:A1062,DatSet1!B453:B1062,_xlfn.XLOOKUP(Table3[[#This Row],[instant]],'Final Data'!A453:A842,'Final Data'!B453:B842, ,0,1),0,1)</f>
        <v>40563</v>
      </c>
      <c r="C453" s="12">
        <f>_xlfn.XLOOKUP(Table3[[#This Row],[instant]],Table1[instant],Table1[hr], ,0,1)</f>
        <v>20</v>
      </c>
      <c r="D453" s="13" t="b">
        <f>_xlfn.XLOOKUP(Table3[[#This Row],[instant]],Table1[instant],Table1[holiday], ,0,1)</f>
        <v>0</v>
      </c>
      <c r="E453" s="2">
        <f>_xlfn.XLOOKUP(Table3[[#This Row],[instant]],Table1[instant],Table1[weekday], ,0,1)</f>
        <v>4</v>
      </c>
      <c r="F453" s="2">
        <f>_xlfn.XLOOKUP(Table3[[#This Row],[instant]],Table1[instant],Table1[weathersit], ,0,1)</f>
        <v>2</v>
      </c>
      <c r="G453" s="2">
        <f>_xlfn.XLOOKUP(Table3[[#This Row],[instant]],Table1[instant],Table1[temp], ,0,1)</f>
        <v>0.26</v>
      </c>
      <c r="H453" s="24">
        <f>_xlfn.XLOOKUP(Table3[[#This Row],[instant]],Table2[instant],Table2[atemp], ,0,1)</f>
        <v>0.2424</v>
      </c>
      <c r="I453" s="1">
        <f>_xlfn.XLOOKUP(Table3[[#This Row],[instant]],Table2[instant],Table2[hum], ,0,1)</f>
        <v>0.6</v>
      </c>
      <c r="J453" s="1">
        <f>_xlfn.XLOOKUP(Table3[[#This Row],[instant]],Table2[instant],Table2[windspeed], ,0,1)</f>
        <v>0.28360000000000002</v>
      </c>
      <c r="K453" s="1">
        <f>_xlfn.XLOOKUP(Table3[[#This Row],[instant]],Table2[instant],Table2[casual], ,0,1)</f>
        <v>2</v>
      </c>
      <c r="L453" s="1">
        <f>_xlfn.XLOOKUP(Table3[[#This Row],[instant]],Table2[instant],Table2[registered], ,0,1)</f>
        <v>124</v>
      </c>
      <c r="M453" s="6">
        <f>_xlfn.XLOOKUP(Table3[[#This Row],[instant]],Table2[instant],Table2[cnt], ,0,1)</f>
        <v>126</v>
      </c>
      <c r="N453" s="6" t="str">
        <f>IF(OR(Table3[[#This Row],[weekday]]=0,Table3[[#This Row],[weekday]]=6),"Weekend","Weekday")</f>
        <v>Weekday</v>
      </c>
    </row>
    <row r="454" spans="1:14" ht="15" thickBot="1" x14ac:dyDescent="0.35">
      <c r="A454" s="10">
        <v>453</v>
      </c>
      <c r="B454" s="11">
        <f>_xlfn.XLOOKUP(Table3[[#This Row],[instant]],DatSet1!A454:A1063,DatSet1!B454:B1063,_xlfn.XLOOKUP(Table3[[#This Row],[instant]],'Final Data'!A454:A843,'Final Data'!B454:B843, ,0,1),0,1)</f>
        <v>40563</v>
      </c>
      <c r="C454" s="12">
        <f>_xlfn.XLOOKUP(Table3[[#This Row],[instant]],Table1[instant],Table1[hr], ,0,1)</f>
        <v>21</v>
      </c>
      <c r="D454" s="13" t="b">
        <f>_xlfn.XLOOKUP(Table3[[#This Row],[instant]],Table1[instant],Table1[holiday], ,0,1)</f>
        <v>0</v>
      </c>
      <c r="E454" s="2">
        <f>_xlfn.XLOOKUP(Table3[[#This Row],[instant]],Table1[instant],Table1[weekday], ,0,1)</f>
        <v>4</v>
      </c>
      <c r="F454" s="2">
        <f>_xlfn.XLOOKUP(Table3[[#This Row],[instant]],Table1[instant],Table1[weathersit], ,0,1)</f>
        <v>2</v>
      </c>
      <c r="G454" s="2">
        <f>_xlfn.XLOOKUP(Table3[[#This Row],[instant]],Table1[instant],Table1[temp], ,0,1)</f>
        <v>0.24</v>
      </c>
      <c r="H454" s="24">
        <f>_xlfn.XLOOKUP(Table3[[#This Row],[instant]],Table2[instant],Table2[atemp], ,0,1)</f>
        <v>0.2273</v>
      </c>
      <c r="I454" s="1">
        <f>_xlfn.XLOOKUP(Table3[[#This Row],[instant]],Table2[instant],Table2[hum], ,0,1)</f>
        <v>0.6</v>
      </c>
      <c r="J454" s="1">
        <f>_xlfn.XLOOKUP(Table3[[#This Row],[instant]],Table2[instant],Table2[windspeed], ,0,1)</f>
        <v>0.25369999999999998</v>
      </c>
      <c r="K454" s="1">
        <f>_xlfn.XLOOKUP(Table3[[#This Row],[instant]],Table2[instant],Table2[casual], ,0,1)</f>
        <v>3</v>
      </c>
      <c r="L454" s="1">
        <f>_xlfn.XLOOKUP(Table3[[#This Row],[instant]],Table2[instant],Table2[registered], ,0,1)</f>
        <v>54</v>
      </c>
      <c r="M454" s="6">
        <f>_xlfn.XLOOKUP(Table3[[#This Row],[instant]],Table2[instant],Table2[cnt], ,0,1)</f>
        <v>57</v>
      </c>
      <c r="N454" s="6" t="str">
        <f>IF(OR(Table3[[#This Row],[weekday]]=0,Table3[[#This Row],[weekday]]=6),"Weekend","Weekday")</f>
        <v>Weekday</v>
      </c>
    </row>
    <row r="455" spans="1:14" ht="15" thickBot="1" x14ac:dyDescent="0.35">
      <c r="A455" s="10">
        <v>454</v>
      </c>
      <c r="B455" s="11">
        <f>_xlfn.XLOOKUP(Table3[[#This Row],[instant]],DatSet1!A455:A1064,DatSet1!B455:B1064,_xlfn.XLOOKUP(Table3[[#This Row],[instant]],'Final Data'!A455:A844,'Final Data'!B455:B844, ,0,1),0,1)</f>
        <v>40563</v>
      </c>
      <c r="C455" s="12">
        <f>_xlfn.XLOOKUP(Table3[[#This Row],[instant]],Table1[instant],Table1[hr], ,0,1)</f>
        <v>22</v>
      </c>
      <c r="D455" s="13" t="b">
        <f>_xlfn.XLOOKUP(Table3[[#This Row],[instant]],Table1[instant],Table1[holiday], ,0,1)</f>
        <v>0</v>
      </c>
      <c r="E455" s="2">
        <f>_xlfn.XLOOKUP(Table3[[#This Row],[instant]],Table1[instant],Table1[weekday], ,0,1)</f>
        <v>4</v>
      </c>
      <c r="F455" s="2">
        <f>_xlfn.XLOOKUP(Table3[[#This Row],[instant]],Table1[instant],Table1[weathersit], ,0,1)</f>
        <v>2</v>
      </c>
      <c r="G455" s="2">
        <f>_xlfn.XLOOKUP(Table3[[#This Row],[instant]],Table1[instant],Table1[temp], ,0,1)</f>
        <v>0.24</v>
      </c>
      <c r="H455" s="24">
        <f>_xlfn.XLOOKUP(Table3[[#This Row],[instant]],Table2[instant],Table2[atemp], ,0,1)</f>
        <v>0.21210000000000001</v>
      </c>
      <c r="I455" s="1">
        <f>_xlfn.XLOOKUP(Table3[[#This Row],[instant]],Table2[instant],Table2[hum], ,0,1)</f>
        <v>0.65</v>
      </c>
      <c r="J455" s="1">
        <f>_xlfn.XLOOKUP(Table3[[#This Row],[instant]],Table2[instant],Table2[windspeed], ,0,1)</f>
        <v>0.28360000000000002</v>
      </c>
      <c r="K455" s="1">
        <f>_xlfn.XLOOKUP(Table3[[#This Row],[instant]],Table2[instant],Table2[casual], ,0,1)</f>
        <v>0</v>
      </c>
      <c r="L455" s="1">
        <f>_xlfn.XLOOKUP(Table3[[#This Row],[instant]],Table2[instant],Table2[registered], ,0,1)</f>
        <v>56</v>
      </c>
      <c r="M455" s="6">
        <f>_xlfn.XLOOKUP(Table3[[#This Row],[instant]],Table2[instant],Table2[cnt], ,0,1)</f>
        <v>56</v>
      </c>
      <c r="N455" s="6" t="str">
        <f>IF(OR(Table3[[#This Row],[weekday]]=0,Table3[[#This Row],[weekday]]=6),"Weekend","Weekday")</f>
        <v>Weekday</v>
      </c>
    </row>
    <row r="456" spans="1:14" ht="15" thickBot="1" x14ac:dyDescent="0.35">
      <c r="A456" s="10">
        <v>455</v>
      </c>
      <c r="B456" s="11">
        <f>_xlfn.XLOOKUP(Table3[[#This Row],[instant]],DatSet1!A456:A1065,DatSet1!B456:B1065,_xlfn.XLOOKUP(Table3[[#This Row],[instant]],'Final Data'!A456:A845,'Final Data'!B456:B845, ,0,1),0,1)</f>
        <v>40563</v>
      </c>
      <c r="C456" s="12">
        <f>_xlfn.XLOOKUP(Table3[[#This Row],[instant]],Table1[instant],Table1[hr], ,0,1)</f>
        <v>23</v>
      </c>
      <c r="D456" s="13" t="b">
        <f>_xlfn.XLOOKUP(Table3[[#This Row],[instant]],Table1[instant],Table1[holiday], ,0,1)</f>
        <v>0</v>
      </c>
      <c r="E456" s="2">
        <f>_xlfn.XLOOKUP(Table3[[#This Row],[instant]],Table1[instant],Table1[weekday], ,0,1)</f>
        <v>4</v>
      </c>
      <c r="F456" s="2">
        <f>_xlfn.XLOOKUP(Table3[[#This Row],[instant]],Table1[instant],Table1[weathersit], ,0,1)</f>
        <v>2</v>
      </c>
      <c r="G456" s="2">
        <f>_xlfn.XLOOKUP(Table3[[#This Row],[instant]],Table1[instant],Table1[temp], ,0,1)</f>
        <v>0.24</v>
      </c>
      <c r="H456" s="24">
        <f>_xlfn.XLOOKUP(Table3[[#This Row],[instant]],Table2[instant],Table2[atemp], ,0,1)</f>
        <v>0.21210000000000001</v>
      </c>
      <c r="I456" s="1">
        <f>_xlfn.XLOOKUP(Table3[[#This Row],[instant]],Table2[instant],Table2[hum], ,0,1)</f>
        <v>0.65</v>
      </c>
      <c r="J456" s="1">
        <f>_xlfn.XLOOKUP(Table3[[#This Row],[instant]],Table2[instant],Table2[windspeed], ,0,1)</f>
        <v>0.32840000000000003</v>
      </c>
      <c r="K456" s="1">
        <f>_xlfn.XLOOKUP(Table3[[#This Row],[instant]],Table2[instant],Table2[casual], ,0,1)</f>
        <v>3</v>
      </c>
      <c r="L456" s="1">
        <f>_xlfn.XLOOKUP(Table3[[#This Row],[instant]],Table2[instant],Table2[registered], ,0,1)</f>
        <v>28</v>
      </c>
      <c r="M456" s="6">
        <f>_xlfn.XLOOKUP(Table3[[#This Row],[instant]],Table2[instant],Table2[cnt], ,0,1)</f>
        <v>31</v>
      </c>
      <c r="N456" s="6" t="str">
        <f>IF(OR(Table3[[#This Row],[weekday]]=0,Table3[[#This Row],[weekday]]=6),"Weekend","Weekday")</f>
        <v>Weekday</v>
      </c>
    </row>
    <row r="457" spans="1:14" ht="15" thickBot="1" x14ac:dyDescent="0.35">
      <c r="A457" s="10">
        <v>456</v>
      </c>
      <c r="B457" s="11">
        <f>_xlfn.XLOOKUP(Table3[[#This Row],[instant]],DatSet1!A457:A1066,DatSet1!B457:B1066,_xlfn.XLOOKUP(Table3[[#This Row],[instant]],'Final Data'!A457:A846,'Final Data'!B457:B846, ,0,1),0,1)</f>
        <v>40564</v>
      </c>
      <c r="C457" s="12">
        <f>_xlfn.XLOOKUP(Table3[[#This Row],[instant]],Table1[instant],Table1[hr], ,0,1)</f>
        <v>0</v>
      </c>
      <c r="D457" s="13" t="b">
        <f>_xlfn.XLOOKUP(Table3[[#This Row],[instant]],Table1[instant],Table1[holiday], ,0,1)</f>
        <v>0</v>
      </c>
      <c r="E457" s="2">
        <f>_xlfn.XLOOKUP(Table3[[#This Row],[instant]],Table1[instant],Table1[weekday], ,0,1)</f>
        <v>5</v>
      </c>
      <c r="F457" s="2">
        <f>_xlfn.XLOOKUP(Table3[[#This Row],[instant]],Table1[instant],Table1[weathersit], ,0,1)</f>
        <v>2</v>
      </c>
      <c r="G457" s="2">
        <f>_xlfn.XLOOKUP(Table3[[#This Row],[instant]],Table1[instant],Table1[temp], ,0,1)</f>
        <v>0.24</v>
      </c>
      <c r="H457" s="24">
        <f>_xlfn.XLOOKUP(Table3[[#This Row],[instant]],Table2[instant],Table2[atemp], ,0,1)</f>
        <v>0.2273</v>
      </c>
      <c r="I457" s="1">
        <f>_xlfn.XLOOKUP(Table3[[#This Row],[instant]],Table2[instant],Table2[hum], ,0,1)</f>
        <v>0.7</v>
      </c>
      <c r="J457" s="1">
        <f>_xlfn.XLOOKUP(Table3[[#This Row],[instant]],Table2[instant],Table2[windspeed], ,0,1)</f>
        <v>0.25369999999999998</v>
      </c>
      <c r="K457" s="1">
        <f>_xlfn.XLOOKUP(Table3[[#This Row],[instant]],Table2[instant],Table2[casual], ,0,1)</f>
        <v>1</v>
      </c>
      <c r="L457" s="1">
        <f>_xlfn.XLOOKUP(Table3[[#This Row],[instant]],Table2[instant],Table2[registered], ,0,1)</f>
        <v>20</v>
      </c>
      <c r="M457" s="6">
        <f>_xlfn.XLOOKUP(Table3[[#This Row],[instant]],Table2[instant],Table2[cnt], ,0,1)</f>
        <v>21</v>
      </c>
      <c r="N457" s="6" t="str">
        <f>IF(OR(Table3[[#This Row],[weekday]]=0,Table3[[#This Row],[weekday]]=6),"Weekend","Weekday")</f>
        <v>Weekday</v>
      </c>
    </row>
    <row r="458" spans="1:14" ht="15" thickBot="1" x14ac:dyDescent="0.35">
      <c r="A458" s="10">
        <v>457</v>
      </c>
      <c r="B458" s="11">
        <f>_xlfn.XLOOKUP(Table3[[#This Row],[instant]],DatSet1!A458:A1067,DatSet1!B458:B1067,_xlfn.XLOOKUP(Table3[[#This Row],[instant]],'Final Data'!A458:A847,'Final Data'!B458:B847, ,0,1),0,1)</f>
        <v>40564</v>
      </c>
      <c r="C458" s="12">
        <f>_xlfn.XLOOKUP(Table3[[#This Row],[instant]],Table1[instant],Table1[hr], ,0,1)</f>
        <v>1</v>
      </c>
      <c r="D458" s="13" t="b">
        <f>_xlfn.XLOOKUP(Table3[[#This Row],[instant]],Table1[instant],Table1[holiday], ,0,1)</f>
        <v>0</v>
      </c>
      <c r="E458" s="2">
        <f>_xlfn.XLOOKUP(Table3[[#This Row],[instant]],Table1[instant],Table1[weekday], ,0,1)</f>
        <v>5</v>
      </c>
      <c r="F458" s="2">
        <f>_xlfn.XLOOKUP(Table3[[#This Row],[instant]],Table1[instant],Table1[weathersit], ,0,1)</f>
        <v>2</v>
      </c>
      <c r="G458" s="2">
        <f>_xlfn.XLOOKUP(Table3[[#This Row],[instant]],Table1[instant],Table1[temp], ,0,1)</f>
        <v>0.24</v>
      </c>
      <c r="H458" s="24">
        <f>_xlfn.XLOOKUP(Table3[[#This Row],[instant]],Table2[instant],Table2[atemp], ,0,1)</f>
        <v>0.2273</v>
      </c>
      <c r="I458" s="1">
        <f>_xlfn.XLOOKUP(Table3[[#This Row],[instant]],Table2[instant],Table2[hum], ,0,1)</f>
        <v>0.7</v>
      </c>
      <c r="J458" s="1">
        <f>_xlfn.XLOOKUP(Table3[[#This Row],[instant]],Table2[instant],Table2[windspeed], ,0,1)</f>
        <v>0.25369999999999998</v>
      </c>
      <c r="K458" s="1">
        <f>_xlfn.XLOOKUP(Table3[[#This Row],[instant]],Table2[instant],Table2[casual], ,0,1)</f>
        <v>0</v>
      </c>
      <c r="L458" s="1">
        <f>_xlfn.XLOOKUP(Table3[[#This Row],[instant]],Table2[instant],Table2[registered], ,0,1)</f>
        <v>6</v>
      </c>
      <c r="M458" s="6">
        <f>_xlfn.XLOOKUP(Table3[[#This Row],[instant]],Table2[instant],Table2[cnt], ,0,1)</f>
        <v>6</v>
      </c>
      <c r="N458" s="6" t="str">
        <f>IF(OR(Table3[[#This Row],[weekday]]=0,Table3[[#This Row],[weekday]]=6),"Weekend","Weekday")</f>
        <v>Weekday</v>
      </c>
    </row>
    <row r="459" spans="1:14" ht="15" thickBot="1" x14ac:dyDescent="0.35">
      <c r="A459" s="10">
        <v>458</v>
      </c>
      <c r="B459" s="11">
        <f>_xlfn.XLOOKUP(Table3[[#This Row],[instant]],DatSet1!A459:A1068,DatSet1!B459:B1068,_xlfn.XLOOKUP(Table3[[#This Row],[instant]],'Final Data'!A459:A848,'Final Data'!B459:B848, ,0,1),0,1)</f>
        <v>40564</v>
      </c>
      <c r="C459" s="12">
        <f>_xlfn.XLOOKUP(Table3[[#This Row],[instant]],Table1[instant],Table1[hr], ,0,1)</f>
        <v>2</v>
      </c>
      <c r="D459" s="13" t="b">
        <f>_xlfn.XLOOKUP(Table3[[#This Row],[instant]],Table1[instant],Table1[holiday], ,0,1)</f>
        <v>0</v>
      </c>
      <c r="E459" s="2">
        <f>_xlfn.XLOOKUP(Table3[[#This Row],[instant]],Table1[instant],Table1[weekday], ,0,1)</f>
        <v>5</v>
      </c>
      <c r="F459" s="2">
        <f>_xlfn.XLOOKUP(Table3[[#This Row],[instant]],Table1[instant],Table1[weathersit], ,0,1)</f>
        <v>3</v>
      </c>
      <c r="G459" s="2">
        <f>_xlfn.XLOOKUP(Table3[[#This Row],[instant]],Table1[instant],Table1[temp], ,0,1)</f>
        <v>0.24</v>
      </c>
      <c r="H459" s="24">
        <f>_xlfn.XLOOKUP(Table3[[#This Row],[instant]],Table2[instant],Table2[atemp], ,0,1)</f>
        <v>0.2424</v>
      </c>
      <c r="I459" s="1">
        <f>_xlfn.XLOOKUP(Table3[[#This Row],[instant]],Table2[instant],Table2[hum], ,0,1)</f>
        <v>0.75</v>
      </c>
      <c r="J459" s="1">
        <f>_xlfn.XLOOKUP(Table3[[#This Row],[instant]],Table2[instant],Table2[windspeed], ,0,1)</f>
        <v>0.16420000000000001</v>
      </c>
      <c r="K459" s="1">
        <f>_xlfn.XLOOKUP(Table3[[#This Row],[instant]],Table2[instant],Table2[casual], ,0,1)</f>
        <v>0</v>
      </c>
      <c r="L459" s="1">
        <f>_xlfn.XLOOKUP(Table3[[#This Row],[instant]],Table2[instant],Table2[registered], ,0,1)</f>
        <v>2</v>
      </c>
      <c r="M459" s="6">
        <f>_xlfn.XLOOKUP(Table3[[#This Row],[instant]],Table2[instant],Table2[cnt], ,0,1)</f>
        <v>2</v>
      </c>
      <c r="N459" s="6" t="str">
        <f>IF(OR(Table3[[#This Row],[weekday]]=0,Table3[[#This Row],[weekday]]=6),"Weekend","Weekday")</f>
        <v>Weekday</v>
      </c>
    </row>
    <row r="460" spans="1:14" ht="15" thickBot="1" x14ac:dyDescent="0.35">
      <c r="A460" s="10">
        <v>459</v>
      </c>
      <c r="B460" s="11">
        <f>_xlfn.XLOOKUP(Table3[[#This Row],[instant]],DatSet1!A460:A1069,DatSet1!B460:B1069,_xlfn.XLOOKUP(Table3[[#This Row],[instant]],'Final Data'!A460:A849,'Final Data'!B460:B849, ,0,1),0,1)</f>
        <v>40564</v>
      </c>
      <c r="C460" s="12">
        <f>_xlfn.XLOOKUP(Table3[[#This Row],[instant]],Table1[instant],Table1[hr], ,0,1)</f>
        <v>3</v>
      </c>
      <c r="D460" s="13" t="b">
        <f>_xlfn.XLOOKUP(Table3[[#This Row],[instant]],Table1[instant],Table1[holiday], ,0,1)</f>
        <v>0</v>
      </c>
      <c r="E460" s="2">
        <f>_xlfn.XLOOKUP(Table3[[#This Row],[instant]],Table1[instant],Table1[weekday], ,0,1)</f>
        <v>5</v>
      </c>
      <c r="F460" s="2">
        <f>_xlfn.XLOOKUP(Table3[[#This Row],[instant]],Table1[instant],Table1[weathersit], ,0,1)</f>
        <v>3</v>
      </c>
      <c r="G460" s="2">
        <f>_xlfn.XLOOKUP(Table3[[#This Row],[instant]],Table1[instant],Table1[temp], ,0,1)</f>
        <v>0.22</v>
      </c>
      <c r="H460" s="24">
        <f>_xlfn.XLOOKUP(Table3[[#This Row],[instant]],Table2[instant],Table2[atemp], ,0,1)</f>
        <v>0.21210000000000001</v>
      </c>
      <c r="I460" s="1">
        <f>_xlfn.XLOOKUP(Table3[[#This Row],[instant]],Table2[instant],Table2[hum], ,0,1)</f>
        <v>0.8</v>
      </c>
      <c r="J460" s="1">
        <f>_xlfn.XLOOKUP(Table3[[#This Row],[instant]],Table2[instant],Table2[windspeed], ,0,1)</f>
        <v>0.29849999999999999</v>
      </c>
      <c r="K460" s="1">
        <f>_xlfn.XLOOKUP(Table3[[#This Row],[instant]],Table2[instant],Table2[casual], ,0,1)</f>
        <v>0</v>
      </c>
      <c r="L460" s="1">
        <f>_xlfn.XLOOKUP(Table3[[#This Row],[instant]],Table2[instant],Table2[registered], ,0,1)</f>
        <v>1</v>
      </c>
      <c r="M460" s="6">
        <f>_xlfn.XLOOKUP(Table3[[#This Row],[instant]],Table2[instant],Table2[cnt], ,0,1)</f>
        <v>1</v>
      </c>
      <c r="N460" s="6" t="str">
        <f>IF(OR(Table3[[#This Row],[weekday]]=0,Table3[[#This Row],[weekday]]=6),"Weekend","Weekday")</f>
        <v>Weekday</v>
      </c>
    </row>
    <row r="461" spans="1:14" ht="15" thickBot="1" x14ac:dyDescent="0.35">
      <c r="A461" s="10">
        <v>460</v>
      </c>
      <c r="B461" s="11">
        <f>_xlfn.XLOOKUP(Table3[[#This Row],[instant]],DatSet1!A461:A1070,DatSet1!B461:B1070,_xlfn.XLOOKUP(Table3[[#This Row],[instant]],'Final Data'!A461:A850,'Final Data'!B461:B850, ,0,1),0,1)</f>
        <v>40564</v>
      </c>
      <c r="C461" s="12">
        <f>_xlfn.XLOOKUP(Table3[[#This Row],[instant]],Table1[instant],Table1[hr], ,0,1)</f>
        <v>4</v>
      </c>
      <c r="D461" s="13" t="b">
        <f>_xlfn.XLOOKUP(Table3[[#This Row],[instant]],Table1[instant],Table1[holiday], ,0,1)</f>
        <v>0</v>
      </c>
      <c r="E461" s="2">
        <f>_xlfn.XLOOKUP(Table3[[#This Row],[instant]],Table1[instant],Table1[weekday], ,0,1)</f>
        <v>5</v>
      </c>
      <c r="F461" s="2">
        <f>_xlfn.XLOOKUP(Table3[[#This Row],[instant]],Table1[instant],Table1[weathersit], ,0,1)</f>
        <v>2</v>
      </c>
      <c r="G461" s="2">
        <f>_xlfn.XLOOKUP(Table3[[#This Row],[instant]],Table1[instant],Table1[temp], ,0,1)</f>
        <v>0.22</v>
      </c>
      <c r="H461" s="24">
        <f>_xlfn.XLOOKUP(Table3[[#This Row],[instant]],Table2[instant],Table2[atemp], ,0,1)</f>
        <v>0.2576</v>
      </c>
      <c r="I461" s="1">
        <f>_xlfn.XLOOKUP(Table3[[#This Row],[instant]],Table2[instant],Table2[hum], ,0,1)</f>
        <v>0.87</v>
      </c>
      <c r="J461" s="1">
        <f>_xlfn.XLOOKUP(Table3[[#This Row],[instant]],Table2[instant],Table2[windspeed], ,0,1)</f>
        <v>8.9599999999999999E-2</v>
      </c>
      <c r="K461" s="1">
        <f>_xlfn.XLOOKUP(Table3[[#This Row],[instant]],Table2[instant],Table2[casual], ,0,1)</f>
        <v>0</v>
      </c>
      <c r="L461" s="1">
        <f>_xlfn.XLOOKUP(Table3[[#This Row],[instant]],Table2[instant],Table2[registered], ,0,1)</f>
        <v>1</v>
      </c>
      <c r="M461" s="6">
        <f>_xlfn.XLOOKUP(Table3[[#This Row],[instant]],Table2[instant],Table2[cnt], ,0,1)</f>
        <v>1</v>
      </c>
      <c r="N461" s="6" t="str">
        <f>IF(OR(Table3[[#This Row],[weekday]]=0,Table3[[#This Row],[weekday]]=6),"Weekend","Weekday")</f>
        <v>Weekday</v>
      </c>
    </row>
    <row r="462" spans="1:14" ht="15" thickBot="1" x14ac:dyDescent="0.35">
      <c r="A462" s="10">
        <v>461</v>
      </c>
      <c r="B462" s="11">
        <f>_xlfn.XLOOKUP(Table3[[#This Row],[instant]],DatSet1!A462:A1071,DatSet1!B462:B1071,_xlfn.XLOOKUP(Table3[[#This Row],[instant]],'Final Data'!A462:A851,'Final Data'!B462:B851, ,0,1),0,1)</f>
        <v>40564</v>
      </c>
      <c r="C462" s="12">
        <f>_xlfn.XLOOKUP(Table3[[#This Row],[instant]],Table1[instant],Table1[hr], ,0,1)</f>
        <v>5</v>
      </c>
      <c r="D462" s="13" t="b">
        <f>_xlfn.XLOOKUP(Table3[[#This Row],[instant]],Table1[instant],Table1[holiday], ,0,1)</f>
        <v>0</v>
      </c>
      <c r="E462" s="2">
        <f>_xlfn.XLOOKUP(Table3[[#This Row],[instant]],Table1[instant],Table1[weekday], ,0,1)</f>
        <v>5</v>
      </c>
      <c r="F462" s="2">
        <f>_xlfn.XLOOKUP(Table3[[#This Row],[instant]],Table1[instant],Table1[weathersit], ,0,1)</f>
        <v>1</v>
      </c>
      <c r="G462" s="2">
        <f>_xlfn.XLOOKUP(Table3[[#This Row],[instant]],Table1[instant],Table1[temp], ,0,1)</f>
        <v>0.24</v>
      </c>
      <c r="H462" s="24">
        <f>_xlfn.XLOOKUP(Table3[[#This Row],[instant]],Table2[instant],Table2[atemp], ,0,1)</f>
        <v>0.19700000000000001</v>
      </c>
      <c r="I462" s="1">
        <f>_xlfn.XLOOKUP(Table3[[#This Row],[instant]],Table2[instant],Table2[hum], ,0,1)</f>
        <v>0.6</v>
      </c>
      <c r="J462" s="1">
        <f>_xlfn.XLOOKUP(Table3[[#This Row],[instant]],Table2[instant],Table2[windspeed], ,0,1)</f>
        <v>0.41789999999999999</v>
      </c>
      <c r="K462" s="1">
        <f>_xlfn.XLOOKUP(Table3[[#This Row],[instant]],Table2[instant],Table2[casual], ,0,1)</f>
        <v>1</v>
      </c>
      <c r="L462" s="1">
        <f>_xlfn.XLOOKUP(Table3[[#This Row],[instant]],Table2[instant],Table2[registered], ,0,1)</f>
        <v>4</v>
      </c>
      <c r="M462" s="6">
        <f>_xlfn.XLOOKUP(Table3[[#This Row],[instant]],Table2[instant],Table2[cnt], ,0,1)</f>
        <v>5</v>
      </c>
      <c r="N462" s="6" t="str">
        <f>IF(OR(Table3[[#This Row],[weekday]]=0,Table3[[#This Row],[weekday]]=6),"Weekend","Weekday")</f>
        <v>Weekday</v>
      </c>
    </row>
    <row r="463" spans="1:14" ht="15" thickBot="1" x14ac:dyDescent="0.35">
      <c r="A463" s="10">
        <v>462</v>
      </c>
      <c r="B463" s="11">
        <f>_xlfn.XLOOKUP(Table3[[#This Row],[instant]],DatSet1!A463:A1072,DatSet1!B463:B1072,_xlfn.XLOOKUP(Table3[[#This Row],[instant]],'Final Data'!A463:A852,'Final Data'!B463:B852, ,0,1),0,1)</f>
        <v>40564</v>
      </c>
      <c r="C463" s="12">
        <f>_xlfn.XLOOKUP(Table3[[#This Row],[instant]],Table1[instant],Table1[hr], ,0,1)</f>
        <v>6</v>
      </c>
      <c r="D463" s="13" t="b">
        <f>_xlfn.XLOOKUP(Table3[[#This Row],[instant]],Table1[instant],Table1[holiday], ,0,1)</f>
        <v>0</v>
      </c>
      <c r="E463" s="2">
        <f>_xlfn.XLOOKUP(Table3[[#This Row],[instant]],Table1[instant],Table1[weekday], ,0,1)</f>
        <v>5</v>
      </c>
      <c r="F463" s="2">
        <f>_xlfn.XLOOKUP(Table3[[#This Row],[instant]],Table1[instant],Table1[weathersit], ,0,1)</f>
        <v>1</v>
      </c>
      <c r="G463" s="2">
        <f>_xlfn.XLOOKUP(Table3[[#This Row],[instant]],Table1[instant],Table1[temp], ,0,1)</f>
        <v>0.22</v>
      </c>
      <c r="H463" s="24">
        <f>_xlfn.XLOOKUP(Table3[[#This Row],[instant]],Table2[instant],Table2[atemp], ,0,1)</f>
        <v>0.21210000000000001</v>
      </c>
      <c r="I463" s="1">
        <f>_xlfn.XLOOKUP(Table3[[#This Row],[instant]],Table2[instant],Table2[hum], ,0,1)</f>
        <v>0.55000000000000004</v>
      </c>
      <c r="J463" s="1">
        <f>_xlfn.XLOOKUP(Table3[[#This Row],[instant]],Table2[instant],Table2[windspeed], ,0,1)</f>
        <v>0.25369999999999998</v>
      </c>
      <c r="K463" s="1">
        <f>_xlfn.XLOOKUP(Table3[[#This Row],[instant]],Table2[instant],Table2[casual], ,0,1)</f>
        <v>0</v>
      </c>
      <c r="L463" s="1">
        <f>_xlfn.XLOOKUP(Table3[[#This Row],[instant]],Table2[instant],Table2[registered], ,0,1)</f>
        <v>27</v>
      </c>
      <c r="M463" s="6">
        <f>_xlfn.XLOOKUP(Table3[[#This Row],[instant]],Table2[instant],Table2[cnt], ,0,1)</f>
        <v>27</v>
      </c>
      <c r="N463" s="6" t="str">
        <f>IF(OR(Table3[[#This Row],[weekday]]=0,Table3[[#This Row],[weekday]]=6),"Weekend","Weekday")</f>
        <v>Weekday</v>
      </c>
    </row>
    <row r="464" spans="1:14" ht="15" thickBot="1" x14ac:dyDescent="0.35">
      <c r="A464" s="10">
        <v>463</v>
      </c>
      <c r="B464" s="11">
        <f>_xlfn.XLOOKUP(Table3[[#This Row],[instant]],DatSet1!A464:A1073,DatSet1!B464:B1073,_xlfn.XLOOKUP(Table3[[#This Row],[instant]],'Final Data'!A464:A853,'Final Data'!B464:B853, ,0,1),0,1)</f>
        <v>40564</v>
      </c>
      <c r="C464" s="12">
        <f>_xlfn.XLOOKUP(Table3[[#This Row],[instant]],Table1[instant],Table1[hr], ,0,1)</f>
        <v>7</v>
      </c>
      <c r="D464" s="13" t="b">
        <f>_xlfn.XLOOKUP(Table3[[#This Row],[instant]],Table1[instant],Table1[holiday], ,0,1)</f>
        <v>0</v>
      </c>
      <c r="E464" s="2">
        <f>_xlfn.XLOOKUP(Table3[[#This Row],[instant]],Table1[instant],Table1[weekday], ,0,1)</f>
        <v>5</v>
      </c>
      <c r="F464" s="2">
        <f>_xlfn.XLOOKUP(Table3[[#This Row],[instant]],Table1[instant],Table1[weathersit], ,0,1)</f>
        <v>1</v>
      </c>
      <c r="G464" s="2">
        <f>_xlfn.XLOOKUP(Table3[[#This Row],[instant]],Table1[instant],Table1[temp], ,0,1)</f>
        <v>0.2</v>
      </c>
      <c r="H464" s="24">
        <f>_xlfn.XLOOKUP(Table3[[#This Row],[instant]],Table2[instant],Table2[atemp], ,0,1)</f>
        <v>0.18179999999999999</v>
      </c>
      <c r="I464" s="1">
        <f>_xlfn.XLOOKUP(Table3[[#This Row],[instant]],Table2[instant],Table2[hum], ,0,1)</f>
        <v>0.51</v>
      </c>
      <c r="J464" s="1">
        <f>_xlfn.XLOOKUP(Table3[[#This Row],[instant]],Table2[instant],Table2[windspeed], ,0,1)</f>
        <v>0.28360000000000002</v>
      </c>
      <c r="K464" s="1">
        <f>_xlfn.XLOOKUP(Table3[[#This Row],[instant]],Table2[instant],Table2[casual], ,0,1)</f>
        <v>2</v>
      </c>
      <c r="L464" s="1">
        <f>_xlfn.XLOOKUP(Table3[[#This Row],[instant]],Table2[instant],Table2[registered], ,0,1)</f>
        <v>66</v>
      </c>
      <c r="M464" s="6">
        <f>_xlfn.XLOOKUP(Table3[[#This Row],[instant]],Table2[instant],Table2[cnt], ,0,1)</f>
        <v>68</v>
      </c>
      <c r="N464" s="6" t="str">
        <f>IF(OR(Table3[[#This Row],[weekday]]=0,Table3[[#This Row],[weekday]]=6),"Weekend","Weekday")</f>
        <v>Weekday</v>
      </c>
    </row>
    <row r="465" spans="1:14" ht="15" thickBot="1" x14ac:dyDescent="0.35">
      <c r="A465" s="10">
        <v>464</v>
      </c>
      <c r="B465" s="11">
        <f>_xlfn.XLOOKUP(Table3[[#This Row],[instant]],DatSet1!A465:A1074,DatSet1!B465:B1074,_xlfn.XLOOKUP(Table3[[#This Row],[instant]],'Final Data'!A465:A854,'Final Data'!B465:B854, ,0,1),0,1)</f>
        <v>40564</v>
      </c>
      <c r="C465" s="12">
        <f>_xlfn.XLOOKUP(Table3[[#This Row],[instant]],Table1[instant],Table1[hr], ,0,1)</f>
        <v>8</v>
      </c>
      <c r="D465" s="13" t="b">
        <f>_xlfn.XLOOKUP(Table3[[#This Row],[instant]],Table1[instant],Table1[holiday], ,0,1)</f>
        <v>0</v>
      </c>
      <c r="E465" s="2">
        <f>_xlfn.XLOOKUP(Table3[[#This Row],[instant]],Table1[instant],Table1[weekday], ,0,1)</f>
        <v>5</v>
      </c>
      <c r="F465" s="2">
        <f>_xlfn.XLOOKUP(Table3[[#This Row],[instant]],Table1[instant],Table1[weathersit], ,0,1)</f>
        <v>1</v>
      </c>
      <c r="G465" s="2">
        <f>_xlfn.XLOOKUP(Table3[[#This Row],[instant]],Table1[instant],Table1[temp], ,0,1)</f>
        <v>0.2</v>
      </c>
      <c r="H465" s="24">
        <f>_xlfn.XLOOKUP(Table3[[#This Row],[instant]],Table2[instant],Table2[atemp], ,0,1)</f>
        <v>0.18179999999999999</v>
      </c>
      <c r="I465" s="1">
        <f>_xlfn.XLOOKUP(Table3[[#This Row],[instant]],Table2[instant],Table2[hum], ,0,1)</f>
        <v>0.47</v>
      </c>
      <c r="J465" s="1">
        <f>_xlfn.XLOOKUP(Table3[[#This Row],[instant]],Table2[instant],Table2[windspeed], ,0,1)</f>
        <v>0.32840000000000003</v>
      </c>
      <c r="K465" s="1">
        <f>_xlfn.XLOOKUP(Table3[[#This Row],[instant]],Table2[instant],Table2[casual], ,0,1)</f>
        <v>7</v>
      </c>
      <c r="L465" s="1">
        <f>_xlfn.XLOOKUP(Table3[[#This Row],[instant]],Table2[instant],Table2[registered], ,0,1)</f>
        <v>210</v>
      </c>
      <c r="M465" s="6">
        <f>_xlfn.XLOOKUP(Table3[[#This Row],[instant]],Table2[instant],Table2[cnt], ,0,1)</f>
        <v>217</v>
      </c>
      <c r="N465" s="6" t="str">
        <f>IF(OR(Table3[[#This Row],[weekday]]=0,Table3[[#This Row],[weekday]]=6),"Weekend","Weekday")</f>
        <v>Weekday</v>
      </c>
    </row>
    <row r="466" spans="1:14" ht="15" thickBot="1" x14ac:dyDescent="0.35">
      <c r="A466" s="10">
        <v>465</v>
      </c>
      <c r="B466" s="11">
        <f>_xlfn.XLOOKUP(Table3[[#This Row],[instant]],DatSet1!A466:A1075,DatSet1!B466:B1075,_xlfn.XLOOKUP(Table3[[#This Row],[instant]],'Final Data'!A466:A855,'Final Data'!B466:B855, ,0,1),0,1)</f>
        <v>40564</v>
      </c>
      <c r="C466" s="12">
        <f>_xlfn.XLOOKUP(Table3[[#This Row],[instant]],Table1[instant],Table1[hr], ,0,1)</f>
        <v>9</v>
      </c>
      <c r="D466" s="13" t="b">
        <f>_xlfn.XLOOKUP(Table3[[#This Row],[instant]],Table1[instant],Table1[holiday], ,0,1)</f>
        <v>0</v>
      </c>
      <c r="E466" s="2">
        <f>_xlfn.XLOOKUP(Table3[[#This Row],[instant]],Table1[instant],Table1[weekday], ,0,1)</f>
        <v>5</v>
      </c>
      <c r="F466" s="2">
        <f>_xlfn.XLOOKUP(Table3[[#This Row],[instant]],Table1[instant],Table1[weathersit], ,0,1)</f>
        <v>1</v>
      </c>
      <c r="G466" s="2">
        <f>_xlfn.XLOOKUP(Table3[[#This Row],[instant]],Table1[instant],Table1[temp], ,0,1)</f>
        <v>0.2</v>
      </c>
      <c r="H466" s="24">
        <f>_xlfn.XLOOKUP(Table3[[#This Row],[instant]],Table2[instant],Table2[atemp], ,0,1)</f>
        <v>0.18179999999999999</v>
      </c>
      <c r="I466" s="1">
        <f>_xlfn.XLOOKUP(Table3[[#This Row],[instant]],Table2[instant],Table2[hum], ,0,1)</f>
        <v>0.51</v>
      </c>
      <c r="J466" s="1">
        <f>_xlfn.XLOOKUP(Table3[[#This Row],[instant]],Table2[instant],Table2[windspeed], ,0,1)</f>
        <v>0.35820000000000002</v>
      </c>
      <c r="K466" s="1">
        <f>_xlfn.XLOOKUP(Table3[[#This Row],[instant]],Table2[instant],Table2[casual], ,0,1)</f>
        <v>7</v>
      </c>
      <c r="L466" s="1">
        <f>_xlfn.XLOOKUP(Table3[[#This Row],[instant]],Table2[instant],Table2[registered], ,0,1)</f>
        <v>159</v>
      </c>
      <c r="M466" s="6">
        <f>_xlfn.XLOOKUP(Table3[[#This Row],[instant]],Table2[instant],Table2[cnt], ,0,1)</f>
        <v>166</v>
      </c>
      <c r="N466" s="6" t="str">
        <f>IF(OR(Table3[[#This Row],[weekday]]=0,Table3[[#This Row],[weekday]]=6),"Weekend","Weekday")</f>
        <v>Weekday</v>
      </c>
    </row>
    <row r="467" spans="1:14" ht="15" thickBot="1" x14ac:dyDescent="0.35">
      <c r="A467" s="10">
        <v>466</v>
      </c>
      <c r="B467" s="11">
        <f>_xlfn.XLOOKUP(Table3[[#This Row],[instant]],DatSet1!A467:A1076,DatSet1!B467:B1076,_xlfn.XLOOKUP(Table3[[#This Row],[instant]],'Final Data'!A467:A856,'Final Data'!B467:B856, ,0,1),0,1)</f>
        <v>40564</v>
      </c>
      <c r="C467" s="12">
        <f>_xlfn.XLOOKUP(Table3[[#This Row],[instant]],Table1[instant],Table1[hr], ,0,1)</f>
        <v>10</v>
      </c>
      <c r="D467" s="13" t="b">
        <f>_xlfn.XLOOKUP(Table3[[#This Row],[instant]],Table1[instant],Table1[holiday], ,0,1)</f>
        <v>0</v>
      </c>
      <c r="E467" s="2">
        <f>_xlfn.XLOOKUP(Table3[[#This Row],[instant]],Table1[instant],Table1[weekday], ,0,1)</f>
        <v>5</v>
      </c>
      <c r="F467" s="2">
        <f>_xlfn.XLOOKUP(Table3[[#This Row],[instant]],Table1[instant],Table1[weathersit], ,0,1)</f>
        <v>1</v>
      </c>
      <c r="G467" s="2">
        <f>_xlfn.XLOOKUP(Table3[[#This Row],[instant]],Table1[instant],Table1[temp], ,0,1)</f>
        <v>0.2</v>
      </c>
      <c r="H467" s="24">
        <f>_xlfn.XLOOKUP(Table3[[#This Row],[instant]],Table2[instant],Table2[atemp], ,0,1)</f>
        <v>0.16669999999999999</v>
      </c>
      <c r="I467" s="1">
        <f>_xlfn.XLOOKUP(Table3[[#This Row],[instant]],Table2[instant],Table2[hum], ,0,1)</f>
        <v>0.47</v>
      </c>
      <c r="J467" s="1">
        <f>_xlfn.XLOOKUP(Table3[[#This Row],[instant]],Table2[instant],Table2[windspeed], ,0,1)</f>
        <v>0.4627</v>
      </c>
      <c r="K467" s="1">
        <f>_xlfn.XLOOKUP(Table3[[#This Row],[instant]],Table2[instant],Table2[casual], ,0,1)</f>
        <v>6</v>
      </c>
      <c r="L467" s="1">
        <f>_xlfn.XLOOKUP(Table3[[#This Row],[instant]],Table2[instant],Table2[registered], ,0,1)</f>
        <v>57</v>
      </c>
      <c r="M467" s="6">
        <f>_xlfn.XLOOKUP(Table3[[#This Row],[instant]],Table2[instant],Table2[cnt], ,0,1)</f>
        <v>63</v>
      </c>
      <c r="N467" s="6" t="str">
        <f>IF(OR(Table3[[#This Row],[weekday]]=0,Table3[[#This Row],[weekday]]=6),"Weekend","Weekday")</f>
        <v>Weekday</v>
      </c>
    </row>
    <row r="468" spans="1:14" ht="15" thickBot="1" x14ac:dyDescent="0.35">
      <c r="A468" s="10">
        <v>467</v>
      </c>
      <c r="B468" s="11">
        <f>_xlfn.XLOOKUP(Table3[[#This Row],[instant]],DatSet1!A468:A1077,DatSet1!B468:B1077,_xlfn.XLOOKUP(Table3[[#This Row],[instant]],'Final Data'!A468:A857,'Final Data'!B468:B857, ,0,1),0,1)</f>
        <v>40564</v>
      </c>
      <c r="C468" s="12">
        <f>_xlfn.XLOOKUP(Table3[[#This Row],[instant]],Table1[instant],Table1[hr], ,0,1)</f>
        <v>11</v>
      </c>
      <c r="D468" s="13" t="b">
        <f>_xlfn.XLOOKUP(Table3[[#This Row],[instant]],Table1[instant],Table1[holiday], ,0,1)</f>
        <v>0</v>
      </c>
      <c r="E468" s="2">
        <f>_xlfn.XLOOKUP(Table3[[#This Row],[instant]],Table1[instant],Table1[weekday], ,0,1)</f>
        <v>5</v>
      </c>
      <c r="F468" s="2">
        <f>_xlfn.XLOOKUP(Table3[[#This Row],[instant]],Table1[instant],Table1[weathersit], ,0,1)</f>
        <v>1</v>
      </c>
      <c r="G468" s="2">
        <f>_xlfn.XLOOKUP(Table3[[#This Row],[instant]],Table1[instant],Table1[temp], ,0,1)</f>
        <v>0.22</v>
      </c>
      <c r="H468" s="24">
        <f>_xlfn.XLOOKUP(Table3[[#This Row],[instant]],Table2[instant],Table2[atemp], ,0,1)</f>
        <v>0.18179999999999999</v>
      </c>
      <c r="I468" s="1">
        <f>_xlfn.XLOOKUP(Table3[[#This Row],[instant]],Table2[instant],Table2[hum], ,0,1)</f>
        <v>0.41</v>
      </c>
      <c r="J468" s="1">
        <f>_xlfn.XLOOKUP(Table3[[#This Row],[instant]],Table2[instant],Table2[windspeed], ,0,1)</f>
        <v>0.4627</v>
      </c>
      <c r="K468" s="1">
        <f>_xlfn.XLOOKUP(Table3[[#This Row],[instant]],Table2[instant],Table2[casual], ,0,1)</f>
        <v>6</v>
      </c>
      <c r="L468" s="1">
        <f>_xlfn.XLOOKUP(Table3[[#This Row],[instant]],Table2[instant],Table2[registered], ,0,1)</f>
        <v>53</v>
      </c>
      <c r="M468" s="6">
        <f>_xlfn.XLOOKUP(Table3[[#This Row],[instant]],Table2[instant],Table2[cnt], ,0,1)</f>
        <v>59</v>
      </c>
      <c r="N468" s="6" t="str">
        <f>IF(OR(Table3[[#This Row],[weekday]]=0,Table3[[#This Row],[weekday]]=6),"Weekend","Weekday")</f>
        <v>Weekday</v>
      </c>
    </row>
    <row r="469" spans="1:14" ht="15" thickBot="1" x14ac:dyDescent="0.35">
      <c r="A469" s="10">
        <v>468</v>
      </c>
      <c r="B469" s="11">
        <f>_xlfn.XLOOKUP(Table3[[#This Row],[instant]],DatSet1!A469:A1078,DatSet1!B469:B1078,_xlfn.XLOOKUP(Table3[[#This Row],[instant]],'Final Data'!A469:A858,'Final Data'!B469:B858, ,0,1),0,1)</f>
        <v>40564</v>
      </c>
      <c r="C469" s="12">
        <f>_xlfn.XLOOKUP(Table3[[#This Row],[instant]],Table1[instant],Table1[hr], ,0,1)</f>
        <v>12</v>
      </c>
      <c r="D469" s="13" t="b">
        <f>_xlfn.XLOOKUP(Table3[[#This Row],[instant]],Table1[instant],Table1[holiday], ,0,1)</f>
        <v>0</v>
      </c>
      <c r="E469" s="2">
        <f>_xlfn.XLOOKUP(Table3[[#This Row],[instant]],Table1[instant],Table1[weekday], ,0,1)</f>
        <v>5</v>
      </c>
      <c r="F469" s="2">
        <f>_xlfn.XLOOKUP(Table3[[#This Row],[instant]],Table1[instant],Table1[weathersit], ,0,1)</f>
        <v>1</v>
      </c>
      <c r="G469" s="2">
        <f>_xlfn.XLOOKUP(Table3[[#This Row],[instant]],Table1[instant],Table1[temp], ,0,1)</f>
        <v>0.22</v>
      </c>
      <c r="H469" s="24">
        <f>_xlfn.XLOOKUP(Table3[[#This Row],[instant]],Table2[instant],Table2[atemp], ,0,1)</f>
        <v>0.18179999999999999</v>
      </c>
      <c r="I469" s="1">
        <f>_xlfn.XLOOKUP(Table3[[#This Row],[instant]],Table2[instant],Table2[hum], ,0,1)</f>
        <v>0.27</v>
      </c>
      <c r="J469" s="1">
        <f>_xlfn.XLOOKUP(Table3[[#This Row],[instant]],Table2[instant],Table2[windspeed], ,0,1)</f>
        <v>0.58209999999999995</v>
      </c>
      <c r="K469" s="1">
        <f>_xlfn.XLOOKUP(Table3[[#This Row],[instant]],Table2[instant],Table2[casual], ,0,1)</f>
        <v>11</v>
      </c>
      <c r="L469" s="1">
        <f>_xlfn.XLOOKUP(Table3[[#This Row],[instant]],Table2[instant],Table2[registered], ,0,1)</f>
        <v>67</v>
      </c>
      <c r="M469" s="6">
        <f>_xlfn.XLOOKUP(Table3[[#This Row],[instant]],Table2[instant],Table2[cnt], ,0,1)</f>
        <v>78</v>
      </c>
      <c r="N469" s="6" t="str">
        <f>IF(OR(Table3[[#This Row],[weekday]]=0,Table3[[#This Row],[weekday]]=6),"Weekend","Weekday")</f>
        <v>Weekday</v>
      </c>
    </row>
    <row r="470" spans="1:14" ht="15" thickBot="1" x14ac:dyDescent="0.35">
      <c r="A470" s="10">
        <v>469</v>
      </c>
      <c r="B470" s="11">
        <f>_xlfn.XLOOKUP(Table3[[#This Row],[instant]],DatSet1!A470:A1079,DatSet1!B470:B1079,_xlfn.XLOOKUP(Table3[[#This Row],[instant]],'Final Data'!A470:A859,'Final Data'!B470:B859, ,0,1),0,1)</f>
        <v>40564</v>
      </c>
      <c r="C470" s="12">
        <f>_xlfn.XLOOKUP(Table3[[#This Row],[instant]],Table1[instant],Table1[hr], ,0,1)</f>
        <v>13</v>
      </c>
      <c r="D470" s="13" t="b">
        <f>_xlfn.XLOOKUP(Table3[[#This Row],[instant]],Table1[instant],Table1[holiday], ,0,1)</f>
        <v>0</v>
      </c>
      <c r="E470" s="2">
        <f>_xlfn.XLOOKUP(Table3[[#This Row],[instant]],Table1[instant],Table1[weekday], ,0,1)</f>
        <v>5</v>
      </c>
      <c r="F470" s="2">
        <f>_xlfn.XLOOKUP(Table3[[#This Row],[instant]],Table1[instant],Table1[weathersit], ,0,1)</f>
        <v>1</v>
      </c>
      <c r="G470" s="2">
        <f>_xlfn.XLOOKUP(Table3[[#This Row],[instant]],Table1[instant],Table1[temp], ,0,1)</f>
        <v>0.2</v>
      </c>
      <c r="H470" s="24">
        <f>_xlfn.XLOOKUP(Table3[[#This Row],[instant]],Table2[instant],Table2[atemp], ,0,1)</f>
        <v>0.1515</v>
      </c>
      <c r="I470" s="1">
        <f>_xlfn.XLOOKUP(Table3[[#This Row],[instant]],Table2[instant],Table2[hum], ,0,1)</f>
        <v>0.21</v>
      </c>
      <c r="J470" s="1">
        <f>_xlfn.XLOOKUP(Table3[[#This Row],[instant]],Table2[instant],Table2[windspeed], ,0,1)</f>
        <v>0.58209999999999995</v>
      </c>
      <c r="K470" s="1">
        <f>_xlfn.XLOOKUP(Table3[[#This Row],[instant]],Table2[instant],Table2[casual], ,0,1)</f>
        <v>8</v>
      </c>
      <c r="L470" s="1">
        <f>_xlfn.XLOOKUP(Table3[[#This Row],[instant]],Table2[instant],Table2[registered], ,0,1)</f>
        <v>65</v>
      </c>
      <c r="M470" s="6">
        <f>_xlfn.XLOOKUP(Table3[[#This Row],[instant]],Table2[instant],Table2[cnt], ,0,1)</f>
        <v>73</v>
      </c>
      <c r="N470" s="6" t="str">
        <f>IF(OR(Table3[[#This Row],[weekday]]=0,Table3[[#This Row],[weekday]]=6),"Weekend","Weekday")</f>
        <v>Weekday</v>
      </c>
    </row>
    <row r="471" spans="1:14" ht="15" thickBot="1" x14ac:dyDescent="0.35">
      <c r="A471" s="10">
        <v>470</v>
      </c>
      <c r="B471" s="11">
        <f>_xlfn.XLOOKUP(Table3[[#This Row],[instant]],DatSet1!A471:A1080,DatSet1!B471:B1080,_xlfn.XLOOKUP(Table3[[#This Row],[instant]],'Final Data'!A471:A860,'Final Data'!B471:B860, ,0,1),0,1)</f>
        <v>40564</v>
      </c>
      <c r="C471" s="12">
        <f>_xlfn.XLOOKUP(Table3[[#This Row],[instant]],Table1[instant],Table1[hr], ,0,1)</f>
        <v>14</v>
      </c>
      <c r="D471" s="13" t="b">
        <f>_xlfn.XLOOKUP(Table3[[#This Row],[instant]],Table1[instant],Table1[holiday], ,0,1)</f>
        <v>0</v>
      </c>
      <c r="E471" s="2">
        <f>_xlfn.XLOOKUP(Table3[[#This Row],[instant]],Table1[instant],Table1[weekday], ,0,1)</f>
        <v>5</v>
      </c>
      <c r="F471" s="2">
        <f>_xlfn.XLOOKUP(Table3[[#This Row],[instant]],Table1[instant],Table1[weathersit], ,0,1)</f>
        <v>1</v>
      </c>
      <c r="G471" s="2">
        <f>_xlfn.XLOOKUP(Table3[[#This Row],[instant]],Table1[instant],Table1[temp], ,0,1)</f>
        <v>0.2</v>
      </c>
      <c r="H471" s="24">
        <f>_xlfn.XLOOKUP(Table3[[#This Row],[instant]],Table2[instant],Table2[atemp], ,0,1)</f>
        <v>0.1515</v>
      </c>
      <c r="I471" s="1">
        <f>_xlfn.XLOOKUP(Table3[[#This Row],[instant]],Table2[instant],Table2[hum], ,0,1)</f>
        <v>0.25</v>
      </c>
      <c r="J471" s="1">
        <f>_xlfn.XLOOKUP(Table3[[#This Row],[instant]],Table2[instant],Table2[windspeed], ,0,1)</f>
        <v>0.52239999999999998</v>
      </c>
      <c r="K471" s="1">
        <f>_xlfn.XLOOKUP(Table3[[#This Row],[instant]],Table2[instant],Table2[casual], ,0,1)</f>
        <v>6</v>
      </c>
      <c r="L471" s="1">
        <f>_xlfn.XLOOKUP(Table3[[#This Row],[instant]],Table2[instant],Table2[registered], ,0,1)</f>
        <v>56</v>
      </c>
      <c r="M471" s="6">
        <f>_xlfn.XLOOKUP(Table3[[#This Row],[instant]],Table2[instant],Table2[cnt], ,0,1)</f>
        <v>62</v>
      </c>
      <c r="N471" s="6" t="str">
        <f>IF(OR(Table3[[#This Row],[weekday]]=0,Table3[[#This Row],[weekday]]=6),"Weekend","Weekday")</f>
        <v>Weekday</v>
      </c>
    </row>
    <row r="472" spans="1:14" ht="15" thickBot="1" x14ac:dyDescent="0.35">
      <c r="A472" s="10">
        <v>471</v>
      </c>
      <c r="B472" s="11">
        <f>_xlfn.XLOOKUP(Table3[[#This Row],[instant]],DatSet1!A472:A1081,DatSet1!B472:B1081,_xlfn.XLOOKUP(Table3[[#This Row],[instant]],'Final Data'!A472:A861,'Final Data'!B472:B861, ,0,1),0,1)</f>
        <v>40564</v>
      </c>
      <c r="C472" s="12">
        <f>_xlfn.XLOOKUP(Table3[[#This Row],[instant]],Table1[instant],Table1[hr], ,0,1)</f>
        <v>15</v>
      </c>
      <c r="D472" s="13" t="b">
        <f>_xlfn.XLOOKUP(Table3[[#This Row],[instant]],Table1[instant],Table1[holiday], ,0,1)</f>
        <v>0</v>
      </c>
      <c r="E472" s="2">
        <f>_xlfn.XLOOKUP(Table3[[#This Row],[instant]],Table1[instant],Table1[weekday], ,0,1)</f>
        <v>5</v>
      </c>
      <c r="F472" s="2">
        <f>_xlfn.XLOOKUP(Table3[[#This Row],[instant]],Table1[instant],Table1[weathersit], ,0,1)</f>
        <v>1</v>
      </c>
      <c r="G472" s="2">
        <f>_xlfn.XLOOKUP(Table3[[#This Row],[instant]],Table1[instant],Table1[temp], ,0,1)</f>
        <v>0.16</v>
      </c>
      <c r="H472" s="24">
        <f>_xlfn.XLOOKUP(Table3[[#This Row],[instant]],Table2[instant],Table2[atemp], ,0,1)</f>
        <v>0.1212</v>
      </c>
      <c r="I472" s="1">
        <f>_xlfn.XLOOKUP(Table3[[#This Row],[instant]],Table2[instant],Table2[hum], ,0,1)</f>
        <v>0.26</v>
      </c>
      <c r="J472" s="1">
        <f>_xlfn.XLOOKUP(Table3[[#This Row],[instant]],Table2[instant],Table2[windspeed], ,0,1)</f>
        <v>0.44779999999999998</v>
      </c>
      <c r="K472" s="1">
        <f>_xlfn.XLOOKUP(Table3[[#This Row],[instant]],Table2[instant],Table2[casual], ,0,1)</f>
        <v>4</v>
      </c>
      <c r="L472" s="1">
        <f>_xlfn.XLOOKUP(Table3[[#This Row],[instant]],Table2[instant],Table2[registered], ,0,1)</f>
        <v>61</v>
      </c>
      <c r="M472" s="6">
        <f>_xlfn.XLOOKUP(Table3[[#This Row],[instant]],Table2[instant],Table2[cnt], ,0,1)</f>
        <v>65</v>
      </c>
      <c r="N472" s="6" t="str">
        <f>IF(OR(Table3[[#This Row],[weekday]]=0,Table3[[#This Row],[weekday]]=6),"Weekend","Weekday")</f>
        <v>Weekday</v>
      </c>
    </row>
    <row r="473" spans="1:14" ht="15" thickBot="1" x14ac:dyDescent="0.35">
      <c r="A473" s="10">
        <v>472</v>
      </c>
      <c r="B473" s="11">
        <f>_xlfn.XLOOKUP(Table3[[#This Row],[instant]],DatSet1!A473:A1082,DatSet1!B473:B1082,_xlfn.XLOOKUP(Table3[[#This Row],[instant]],'Final Data'!A473:A862,'Final Data'!B473:B862, ,0,1),0,1)</f>
        <v>40564</v>
      </c>
      <c r="C473" s="12">
        <f>_xlfn.XLOOKUP(Table3[[#This Row],[instant]],Table1[instant],Table1[hr], ,0,1)</f>
        <v>16</v>
      </c>
      <c r="D473" s="13" t="b">
        <f>_xlfn.XLOOKUP(Table3[[#This Row],[instant]],Table1[instant],Table1[holiday], ,0,1)</f>
        <v>0</v>
      </c>
      <c r="E473" s="2">
        <f>_xlfn.XLOOKUP(Table3[[#This Row],[instant]],Table1[instant],Table1[weekday], ,0,1)</f>
        <v>5</v>
      </c>
      <c r="F473" s="2">
        <f>_xlfn.XLOOKUP(Table3[[#This Row],[instant]],Table1[instant],Table1[weathersit], ,0,1)</f>
        <v>1</v>
      </c>
      <c r="G473" s="2">
        <f>_xlfn.XLOOKUP(Table3[[#This Row],[instant]],Table1[instant],Table1[temp], ,0,1)</f>
        <v>0.16</v>
      </c>
      <c r="H473" s="24">
        <f>_xlfn.XLOOKUP(Table3[[#This Row],[instant]],Table2[instant],Table2[atemp], ,0,1)</f>
        <v>0.13639999999999999</v>
      </c>
      <c r="I473" s="1">
        <f>_xlfn.XLOOKUP(Table3[[#This Row],[instant]],Table2[instant],Table2[hum], ,0,1)</f>
        <v>0.26</v>
      </c>
      <c r="J473" s="1">
        <f>_xlfn.XLOOKUP(Table3[[#This Row],[instant]],Table2[instant],Table2[windspeed], ,0,1)</f>
        <v>0.35820000000000002</v>
      </c>
      <c r="K473" s="1">
        <f>_xlfn.XLOOKUP(Table3[[#This Row],[instant]],Table2[instant],Table2[casual], ,0,1)</f>
        <v>0</v>
      </c>
      <c r="L473" s="1">
        <f>_xlfn.XLOOKUP(Table3[[#This Row],[instant]],Table2[instant],Table2[registered], ,0,1)</f>
        <v>97</v>
      </c>
      <c r="M473" s="6">
        <f>_xlfn.XLOOKUP(Table3[[#This Row],[instant]],Table2[instant],Table2[cnt], ,0,1)</f>
        <v>97</v>
      </c>
      <c r="N473" s="6" t="str">
        <f>IF(OR(Table3[[#This Row],[weekday]]=0,Table3[[#This Row],[weekday]]=6),"Weekend","Weekday")</f>
        <v>Weekday</v>
      </c>
    </row>
    <row r="474" spans="1:14" ht="15" thickBot="1" x14ac:dyDescent="0.35">
      <c r="A474" s="10">
        <v>473</v>
      </c>
      <c r="B474" s="11">
        <f>_xlfn.XLOOKUP(Table3[[#This Row],[instant]],DatSet1!A474:A1083,DatSet1!B474:B1083,_xlfn.XLOOKUP(Table3[[#This Row],[instant]],'Final Data'!A474:A863,'Final Data'!B474:B863, ,0,1),0,1)</f>
        <v>40564</v>
      </c>
      <c r="C474" s="12">
        <f>_xlfn.XLOOKUP(Table3[[#This Row],[instant]],Table1[instant],Table1[hr], ,0,1)</f>
        <v>17</v>
      </c>
      <c r="D474" s="13" t="b">
        <f>_xlfn.XLOOKUP(Table3[[#This Row],[instant]],Table1[instant],Table1[holiday], ,0,1)</f>
        <v>0</v>
      </c>
      <c r="E474" s="2">
        <f>_xlfn.XLOOKUP(Table3[[#This Row],[instant]],Table1[instant],Table1[weekday], ,0,1)</f>
        <v>5</v>
      </c>
      <c r="F474" s="2">
        <f>_xlfn.XLOOKUP(Table3[[#This Row],[instant]],Table1[instant],Table1[weathersit], ,0,1)</f>
        <v>1</v>
      </c>
      <c r="G474" s="2">
        <f>_xlfn.XLOOKUP(Table3[[#This Row],[instant]],Table1[instant],Table1[temp], ,0,1)</f>
        <v>0.14000000000000001</v>
      </c>
      <c r="H474" s="24">
        <f>_xlfn.XLOOKUP(Table3[[#This Row],[instant]],Table2[instant],Table2[atemp], ,0,1)</f>
        <v>0.1212</v>
      </c>
      <c r="I474" s="1">
        <f>_xlfn.XLOOKUP(Table3[[#This Row],[instant]],Table2[instant],Table2[hum], ,0,1)</f>
        <v>0.28000000000000003</v>
      </c>
      <c r="J474" s="1">
        <f>_xlfn.XLOOKUP(Table3[[#This Row],[instant]],Table2[instant],Table2[windspeed], ,0,1)</f>
        <v>0.35820000000000002</v>
      </c>
      <c r="K474" s="1">
        <f>_xlfn.XLOOKUP(Table3[[#This Row],[instant]],Table2[instant],Table2[casual], ,0,1)</f>
        <v>10</v>
      </c>
      <c r="L474" s="1">
        <f>_xlfn.XLOOKUP(Table3[[#This Row],[instant]],Table2[instant],Table2[registered], ,0,1)</f>
        <v>151</v>
      </c>
      <c r="M474" s="6">
        <f>_xlfn.XLOOKUP(Table3[[#This Row],[instant]],Table2[instant],Table2[cnt], ,0,1)</f>
        <v>161</v>
      </c>
      <c r="N474" s="6" t="str">
        <f>IF(OR(Table3[[#This Row],[weekday]]=0,Table3[[#This Row],[weekday]]=6),"Weekend","Weekday")</f>
        <v>Weekday</v>
      </c>
    </row>
    <row r="475" spans="1:14" ht="15" thickBot="1" x14ac:dyDescent="0.35">
      <c r="A475" s="10">
        <v>474</v>
      </c>
      <c r="B475" s="11">
        <f>_xlfn.XLOOKUP(Table3[[#This Row],[instant]],DatSet1!A475:A1084,DatSet1!B475:B1084,_xlfn.XLOOKUP(Table3[[#This Row],[instant]],'Final Data'!A475:A864,'Final Data'!B475:B864, ,0,1),0,1)</f>
        <v>40564</v>
      </c>
      <c r="C475" s="12">
        <f>_xlfn.XLOOKUP(Table3[[#This Row],[instant]],Table1[instant],Table1[hr], ,0,1)</f>
        <v>18</v>
      </c>
      <c r="D475" s="13" t="b">
        <f>_xlfn.XLOOKUP(Table3[[#This Row],[instant]],Table1[instant],Table1[holiday], ,0,1)</f>
        <v>0</v>
      </c>
      <c r="E475" s="2">
        <f>_xlfn.XLOOKUP(Table3[[#This Row],[instant]],Table1[instant],Table1[weekday], ,0,1)</f>
        <v>5</v>
      </c>
      <c r="F475" s="2">
        <f>_xlfn.XLOOKUP(Table3[[#This Row],[instant]],Table1[instant],Table1[weathersit], ,0,1)</f>
        <v>1</v>
      </c>
      <c r="G475" s="2">
        <f>_xlfn.XLOOKUP(Table3[[#This Row],[instant]],Table1[instant],Table1[temp], ,0,1)</f>
        <v>0.12</v>
      </c>
      <c r="H475" s="24">
        <f>_xlfn.XLOOKUP(Table3[[#This Row],[instant]],Table2[instant],Table2[atemp], ,0,1)</f>
        <v>0.1212</v>
      </c>
      <c r="I475" s="1">
        <f>_xlfn.XLOOKUP(Table3[[#This Row],[instant]],Table2[instant],Table2[hum], ,0,1)</f>
        <v>0.3</v>
      </c>
      <c r="J475" s="1">
        <f>_xlfn.XLOOKUP(Table3[[#This Row],[instant]],Table2[instant],Table2[windspeed], ,0,1)</f>
        <v>0.25369999999999998</v>
      </c>
      <c r="K475" s="1">
        <f>_xlfn.XLOOKUP(Table3[[#This Row],[instant]],Table2[instant],Table2[casual], ,0,1)</f>
        <v>1</v>
      </c>
      <c r="L475" s="1">
        <f>_xlfn.XLOOKUP(Table3[[#This Row],[instant]],Table2[instant],Table2[registered], ,0,1)</f>
        <v>119</v>
      </c>
      <c r="M475" s="6">
        <f>_xlfn.XLOOKUP(Table3[[#This Row],[instant]],Table2[instant],Table2[cnt], ,0,1)</f>
        <v>120</v>
      </c>
      <c r="N475" s="6" t="str">
        <f>IF(OR(Table3[[#This Row],[weekday]]=0,Table3[[#This Row],[weekday]]=6),"Weekend","Weekday")</f>
        <v>Weekday</v>
      </c>
    </row>
    <row r="476" spans="1:14" ht="15" thickBot="1" x14ac:dyDescent="0.35">
      <c r="A476" s="10">
        <v>475</v>
      </c>
      <c r="B476" s="11">
        <f>_xlfn.XLOOKUP(Table3[[#This Row],[instant]],DatSet1!A476:A1085,DatSet1!B476:B1085,_xlfn.XLOOKUP(Table3[[#This Row],[instant]],'Final Data'!A476:A865,'Final Data'!B476:B865, ,0,1),0,1)</f>
        <v>40564</v>
      </c>
      <c r="C476" s="12">
        <f>_xlfn.XLOOKUP(Table3[[#This Row],[instant]],Table1[instant],Table1[hr], ,0,1)</f>
        <v>19</v>
      </c>
      <c r="D476" s="13" t="b">
        <f>_xlfn.XLOOKUP(Table3[[#This Row],[instant]],Table1[instant],Table1[holiday], ,0,1)</f>
        <v>0</v>
      </c>
      <c r="E476" s="2">
        <f>_xlfn.XLOOKUP(Table3[[#This Row],[instant]],Table1[instant],Table1[weekday], ,0,1)</f>
        <v>5</v>
      </c>
      <c r="F476" s="2">
        <f>_xlfn.XLOOKUP(Table3[[#This Row],[instant]],Table1[instant],Table1[weathersit], ,0,1)</f>
        <v>1</v>
      </c>
      <c r="G476" s="2">
        <f>_xlfn.XLOOKUP(Table3[[#This Row],[instant]],Table1[instant],Table1[temp], ,0,1)</f>
        <v>0.12</v>
      </c>
      <c r="H476" s="24">
        <f>_xlfn.XLOOKUP(Table3[[#This Row],[instant]],Table2[instant],Table2[atemp], ,0,1)</f>
        <v>0.1061</v>
      </c>
      <c r="I476" s="1">
        <f>_xlfn.XLOOKUP(Table3[[#This Row],[instant]],Table2[instant],Table2[hum], ,0,1)</f>
        <v>0.3</v>
      </c>
      <c r="J476" s="1">
        <f>_xlfn.XLOOKUP(Table3[[#This Row],[instant]],Table2[instant],Table2[windspeed], ,0,1)</f>
        <v>0.32840000000000003</v>
      </c>
      <c r="K476" s="1">
        <f>_xlfn.XLOOKUP(Table3[[#This Row],[instant]],Table2[instant],Table2[casual], ,0,1)</f>
        <v>3</v>
      </c>
      <c r="L476" s="1">
        <f>_xlfn.XLOOKUP(Table3[[#This Row],[instant]],Table2[instant],Table2[registered], ,0,1)</f>
        <v>93</v>
      </c>
      <c r="M476" s="6">
        <f>_xlfn.XLOOKUP(Table3[[#This Row],[instant]],Table2[instant],Table2[cnt], ,0,1)</f>
        <v>96</v>
      </c>
      <c r="N476" s="6" t="str">
        <f>IF(OR(Table3[[#This Row],[weekday]]=0,Table3[[#This Row],[weekday]]=6),"Weekend","Weekday")</f>
        <v>Weekday</v>
      </c>
    </row>
    <row r="477" spans="1:14" ht="15" thickBot="1" x14ac:dyDescent="0.35">
      <c r="A477" s="10">
        <v>476</v>
      </c>
      <c r="B477" s="11">
        <f>_xlfn.XLOOKUP(Table3[[#This Row],[instant]],DatSet1!A477:A1086,DatSet1!B477:B1086,_xlfn.XLOOKUP(Table3[[#This Row],[instant]],'Final Data'!A477:A866,'Final Data'!B477:B866, ,0,1),0,1)</f>
        <v>40564</v>
      </c>
      <c r="C477" s="12">
        <f>_xlfn.XLOOKUP(Table3[[#This Row],[instant]],Table1[instant],Table1[hr], ,0,1)</f>
        <v>20</v>
      </c>
      <c r="D477" s="13" t="b">
        <f>_xlfn.XLOOKUP(Table3[[#This Row],[instant]],Table1[instant],Table1[holiday], ,0,1)</f>
        <v>0</v>
      </c>
      <c r="E477" s="2">
        <f>_xlfn.XLOOKUP(Table3[[#This Row],[instant]],Table1[instant],Table1[weekday], ,0,1)</f>
        <v>5</v>
      </c>
      <c r="F477" s="2">
        <f>_xlfn.XLOOKUP(Table3[[#This Row],[instant]],Table1[instant],Table1[weathersit], ,0,1)</f>
        <v>1</v>
      </c>
      <c r="G477" s="2">
        <f>_xlfn.XLOOKUP(Table3[[#This Row],[instant]],Table1[instant],Table1[temp], ,0,1)</f>
        <v>0.1</v>
      </c>
      <c r="H477" s="24">
        <f>_xlfn.XLOOKUP(Table3[[#This Row],[instant]],Table2[instant],Table2[atemp], ,0,1)</f>
        <v>7.5800000000000006E-2</v>
      </c>
      <c r="I477" s="1">
        <f>_xlfn.XLOOKUP(Table3[[#This Row],[instant]],Table2[instant],Table2[hum], ,0,1)</f>
        <v>0.33</v>
      </c>
      <c r="J477" s="1">
        <f>_xlfn.XLOOKUP(Table3[[#This Row],[instant]],Table2[instant],Table2[windspeed], ,0,1)</f>
        <v>0.41789999999999999</v>
      </c>
      <c r="K477" s="1">
        <f>_xlfn.XLOOKUP(Table3[[#This Row],[instant]],Table2[instant],Table2[casual], ,0,1)</f>
        <v>1</v>
      </c>
      <c r="L477" s="1">
        <f>_xlfn.XLOOKUP(Table3[[#This Row],[instant]],Table2[instant],Table2[registered], ,0,1)</f>
        <v>52</v>
      </c>
      <c r="M477" s="6">
        <f>_xlfn.XLOOKUP(Table3[[#This Row],[instant]],Table2[instant],Table2[cnt], ,0,1)</f>
        <v>53</v>
      </c>
      <c r="N477" s="6" t="str">
        <f>IF(OR(Table3[[#This Row],[weekday]]=0,Table3[[#This Row],[weekday]]=6),"Weekend","Weekday")</f>
        <v>Weekday</v>
      </c>
    </row>
    <row r="478" spans="1:14" ht="15" thickBot="1" x14ac:dyDescent="0.35">
      <c r="A478" s="10">
        <v>477</v>
      </c>
      <c r="B478" s="11">
        <f>_xlfn.XLOOKUP(Table3[[#This Row],[instant]],DatSet1!A478:A1087,DatSet1!B478:B1087,_xlfn.XLOOKUP(Table3[[#This Row],[instant]],'Final Data'!A478:A867,'Final Data'!B478:B867, ,0,1),0,1)</f>
        <v>40564</v>
      </c>
      <c r="C478" s="12">
        <f>_xlfn.XLOOKUP(Table3[[#This Row],[instant]],Table1[instant],Table1[hr], ,0,1)</f>
        <v>21</v>
      </c>
      <c r="D478" s="13" t="b">
        <f>_xlfn.XLOOKUP(Table3[[#This Row],[instant]],Table1[instant],Table1[holiday], ,0,1)</f>
        <v>0</v>
      </c>
      <c r="E478" s="2">
        <f>_xlfn.XLOOKUP(Table3[[#This Row],[instant]],Table1[instant],Table1[weekday], ,0,1)</f>
        <v>5</v>
      </c>
      <c r="F478" s="2">
        <f>_xlfn.XLOOKUP(Table3[[#This Row],[instant]],Table1[instant],Table1[weathersit], ,0,1)</f>
        <v>1</v>
      </c>
      <c r="G478" s="2">
        <f>_xlfn.XLOOKUP(Table3[[#This Row],[instant]],Table1[instant],Table1[temp], ,0,1)</f>
        <v>0.08</v>
      </c>
      <c r="H478" s="24">
        <f>_xlfn.XLOOKUP(Table3[[#This Row],[instant]],Table2[instant],Table2[atemp], ,0,1)</f>
        <v>7.5800000000000006E-2</v>
      </c>
      <c r="I478" s="1">
        <f>_xlfn.XLOOKUP(Table3[[#This Row],[instant]],Table2[instant],Table2[hum], ,0,1)</f>
        <v>0.38</v>
      </c>
      <c r="J478" s="1">
        <f>_xlfn.XLOOKUP(Table3[[#This Row],[instant]],Table2[instant],Table2[windspeed], ,0,1)</f>
        <v>0.28360000000000002</v>
      </c>
      <c r="K478" s="1">
        <f>_xlfn.XLOOKUP(Table3[[#This Row],[instant]],Table2[instant],Table2[casual], ,0,1)</f>
        <v>0</v>
      </c>
      <c r="L478" s="1">
        <f>_xlfn.XLOOKUP(Table3[[#This Row],[instant]],Table2[instant],Table2[registered], ,0,1)</f>
        <v>41</v>
      </c>
      <c r="M478" s="6">
        <f>_xlfn.XLOOKUP(Table3[[#This Row],[instant]],Table2[instant],Table2[cnt], ,0,1)</f>
        <v>41</v>
      </c>
      <c r="N478" s="6" t="str">
        <f>IF(OR(Table3[[#This Row],[weekday]]=0,Table3[[#This Row],[weekday]]=6),"Weekend","Weekday")</f>
        <v>Weekday</v>
      </c>
    </row>
    <row r="479" spans="1:14" ht="15" thickBot="1" x14ac:dyDescent="0.35">
      <c r="A479" s="10">
        <v>478</v>
      </c>
      <c r="B479" s="11">
        <f>_xlfn.XLOOKUP(Table3[[#This Row],[instant]],DatSet1!A479:A1088,DatSet1!B479:B1088,_xlfn.XLOOKUP(Table3[[#This Row],[instant]],'Final Data'!A479:A868,'Final Data'!B479:B868, ,0,1),0,1)</f>
        <v>40564</v>
      </c>
      <c r="C479" s="12">
        <f>_xlfn.XLOOKUP(Table3[[#This Row],[instant]],Table1[instant],Table1[hr], ,0,1)</f>
        <v>22</v>
      </c>
      <c r="D479" s="13" t="b">
        <f>_xlfn.XLOOKUP(Table3[[#This Row],[instant]],Table1[instant],Table1[holiday], ,0,1)</f>
        <v>0</v>
      </c>
      <c r="E479" s="2">
        <f>_xlfn.XLOOKUP(Table3[[#This Row],[instant]],Table1[instant],Table1[weekday], ,0,1)</f>
        <v>5</v>
      </c>
      <c r="F479" s="2">
        <f>_xlfn.XLOOKUP(Table3[[#This Row],[instant]],Table1[instant],Table1[weathersit], ,0,1)</f>
        <v>1</v>
      </c>
      <c r="G479" s="2">
        <f>_xlfn.XLOOKUP(Table3[[#This Row],[instant]],Table1[instant],Table1[temp], ,0,1)</f>
        <v>0.06</v>
      </c>
      <c r="H479" s="24">
        <f>_xlfn.XLOOKUP(Table3[[#This Row],[instant]],Table2[instant],Table2[atemp], ,0,1)</f>
        <v>3.0300000000000001E-2</v>
      </c>
      <c r="I479" s="1">
        <f>_xlfn.XLOOKUP(Table3[[#This Row],[instant]],Table2[instant],Table2[hum], ,0,1)</f>
        <v>0.41</v>
      </c>
      <c r="J479" s="1">
        <f>_xlfn.XLOOKUP(Table3[[#This Row],[instant]],Table2[instant],Table2[windspeed], ,0,1)</f>
        <v>0.3881</v>
      </c>
      <c r="K479" s="1">
        <f>_xlfn.XLOOKUP(Table3[[#This Row],[instant]],Table2[instant],Table2[casual], ,0,1)</f>
        <v>1</v>
      </c>
      <c r="L479" s="1">
        <f>_xlfn.XLOOKUP(Table3[[#This Row],[instant]],Table2[instant],Table2[registered], ,0,1)</f>
        <v>33</v>
      </c>
      <c r="M479" s="6">
        <f>_xlfn.XLOOKUP(Table3[[#This Row],[instant]],Table2[instant],Table2[cnt], ,0,1)</f>
        <v>34</v>
      </c>
      <c r="N479" s="6" t="str">
        <f>IF(OR(Table3[[#This Row],[weekday]]=0,Table3[[#This Row],[weekday]]=6),"Weekend","Weekday")</f>
        <v>Weekday</v>
      </c>
    </row>
    <row r="480" spans="1:14" ht="15" thickBot="1" x14ac:dyDescent="0.35">
      <c r="A480" s="10">
        <v>479</v>
      </c>
      <c r="B480" s="11">
        <f>_xlfn.XLOOKUP(Table3[[#This Row],[instant]],DatSet1!A480:A1089,DatSet1!B480:B1089,_xlfn.XLOOKUP(Table3[[#This Row],[instant]],'Final Data'!A480:A869,'Final Data'!B480:B869, ,0,1),0,1)</f>
        <v>40564</v>
      </c>
      <c r="C480" s="12">
        <f>_xlfn.XLOOKUP(Table3[[#This Row],[instant]],Table1[instant],Table1[hr], ,0,1)</f>
        <v>23</v>
      </c>
      <c r="D480" s="13" t="b">
        <f>_xlfn.XLOOKUP(Table3[[#This Row],[instant]],Table1[instant],Table1[holiday], ,0,1)</f>
        <v>0</v>
      </c>
      <c r="E480" s="2">
        <f>_xlfn.XLOOKUP(Table3[[#This Row],[instant]],Table1[instant],Table1[weekday], ,0,1)</f>
        <v>5</v>
      </c>
      <c r="F480" s="2">
        <f>_xlfn.XLOOKUP(Table3[[#This Row],[instant]],Table1[instant],Table1[weathersit], ,0,1)</f>
        <v>1</v>
      </c>
      <c r="G480" s="2">
        <f>_xlfn.XLOOKUP(Table3[[#This Row],[instant]],Table1[instant],Table1[temp], ,0,1)</f>
        <v>0.06</v>
      </c>
      <c r="H480" s="24">
        <f>_xlfn.XLOOKUP(Table3[[#This Row],[instant]],Table2[instant],Table2[atemp], ,0,1)</f>
        <v>4.5499999999999999E-2</v>
      </c>
      <c r="I480" s="1">
        <f>_xlfn.XLOOKUP(Table3[[#This Row],[instant]],Table2[instant],Table2[hum], ,0,1)</f>
        <v>0.38</v>
      </c>
      <c r="J480" s="1">
        <f>_xlfn.XLOOKUP(Table3[[#This Row],[instant]],Table2[instant],Table2[windspeed], ,0,1)</f>
        <v>0.32840000000000003</v>
      </c>
      <c r="K480" s="1">
        <f>_xlfn.XLOOKUP(Table3[[#This Row],[instant]],Table2[instant],Table2[casual], ,0,1)</f>
        <v>0</v>
      </c>
      <c r="L480" s="1">
        <f>_xlfn.XLOOKUP(Table3[[#This Row],[instant]],Table2[instant],Table2[registered], ,0,1)</f>
        <v>27</v>
      </c>
      <c r="M480" s="6">
        <f>_xlfn.XLOOKUP(Table3[[#This Row],[instant]],Table2[instant],Table2[cnt], ,0,1)</f>
        <v>27</v>
      </c>
      <c r="N480" s="6" t="str">
        <f>IF(OR(Table3[[#This Row],[weekday]]=0,Table3[[#This Row],[weekday]]=6),"Weekend","Weekday")</f>
        <v>Weekday</v>
      </c>
    </row>
    <row r="481" spans="1:14" ht="15" thickBot="1" x14ac:dyDescent="0.35">
      <c r="A481" s="10">
        <v>480</v>
      </c>
      <c r="B481" s="11">
        <f>_xlfn.XLOOKUP(Table3[[#This Row],[instant]],DatSet1!A481:A1090,DatSet1!B481:B1090,_xlfn.XLOOKUP(Table3[[#This Row],[instant]],'Final Data'!A481:A870,'Final Data'!B481:B870, ,0,1),0,1)</f>
        <v>40565</v>
      </c>
      <c r="C481" s="12">
        <f>_xlfn.XLOOKUP(Table3[[#This Row],[instant]],Table1[instant],Table1[hr], ,0,1)</f>
        <v>0</v>
      </c>
      <c r="D481" s="13" t="b">
        <f>_xlfn.XLOOKUP(Table3[[#This Row],[instant]],Table1[instant],Table1[holiday], ,0,1)</f>
        <v>0</v>
      </c>
      <c r="E481" s="2">
        <f>_xlfn.XLOOKUP(Table3[[#This Row],[instant]],Table1[instant],Table1[weekday], ,0,1)</f>
        <v>6</v>
      </c>
      <c r="F481" s="2">
        <f>_xlfn.XLOOKUP(Table3[[#This Row],[instant]],Table1[instant],Table1[weathersit], ,0,1)</f>
        <v>1</v>
      </c>
      <c r="G481" s="2">
        <f>_xlfn.XLOOKUP(Table3[[#This Row],[instant]],Table1[instant],Table1[temp], ,0,1)</f>
        <v>0.04</v>
      </c>
      <c r="H481" s="24">
        <f>_xlfn.XLOOKUP(Table3[[#This Row],[instant]],Table2[instant],Table2[atemp], ,0,1)</f>
        <v>3.0300000000000001E-2</v>
      </c>
      <c r="I481" s="1">
        <f>_xlfn.XLOOKUP(Table3[[#This Row],[instant]],Table2[instant],Table2[hum], ,0,1)</f>
        <v>0.45</v>
      </c>
      <c r="J481" s="1">
        <f>_xlfn.XLOOKUP(Table3[[#This Row],[instant]],Table2[instant],Table2[windspeed], ,0,1)</f>
        <v>0.25369999999999998</v>
      </c>
      <c r="K481" s="1">
        <f>_xlfn.XLOOKUP(Table3[[#This Row],[instant]],Table2[instant],Table2[casual], ,0,1)</f>
        <v>0</v>
      </c>
      <c r="L481" s="1">
        <f>_xlfn.XLOOKUP(Table3[[#This Row],[instant]],Table2[instant],Table2[registered], ,0,1)</f>
        <v>13</v>
      </c>
      <c r="M481" s="6">
        <f>_xlfn.XLOOKUP(Table3[[#This Row],[instant]],Table2[instant],Table2[cnt], ,0,1)</f>
        <v>13</v>
      </c>
      <c r="N481" s="6" t="str">
        <f>IF(OR(Table3[[#This Row],[weekday]]=0,Table3[[#This Row],[weekday]]=6),"Weekend","Weekday")</f>
        <v>Weekend</v>
      </c>
    </row>
    <row r="482" spans="1:14" ht="15" thickBot="1" x14ac:dyDescent="0.35">
      <c r="A482" s="10">
        <v>481</v>
      </c>
      <c r="B482" s="11">
        <f>_xlfn.XLOOKUP(Table3[[#This Row],[instant]],DatSet1!A482:A1091,DatSet1!B482:B1091,_xlfn.XLOOKUP(Table3[[#This Row],[instant]],'Final Data'!A482:A871,'Final Data'!B482:B871, ,0,1),0,1)</f>
        <v>40565</v>
      </c>
      <c r="C482" s="12">
        <f>_xlfn.XLOOKUP(Table3[[#This Row],[instant]],Table1[instant],Table1[hr], ,0,1)</f>
        <v>1</v>
      </c>
      <c r="D482" s="13" t="b">
        <f>_xlfn.XLOOKUP(Table3[[#This Row],[instant]],Table1[instant],Table1[holiday], ,0,1)</f>
        <v>0</v>
      </c>
      <c r="E482" s="2">
        <f>_xlfn.XLOOKUP(Table3[[#This Row],[instant]],Table1[instant],Table1[weekday], ,0,1)</f>
        <v>6</v>
      </c>
      <c r="F482" s="2">
        <f>_xlfn.XLOOKUP(Table3[[#This Row],[instant]],Table1[instant],Table1[weathersit], ,0,1)</f>
        <v>2</v>
      </c>
      <c r="G482" s="2">
        <f>_xlfn.XLOOKUP(Table3[[#This Row],[instant]],Table1[instant],Table1[temp], ,0,1)</f>
        <v>0.04</v>
      </c>
      <c r="H482" s="24">
        <f>_xlfn.XLOOKUP(Table3[[#This Row],[instant]],Table2[instant],Table2[atemp], ,0,1)</f>
        <v>0</v>
      </c>
      <c r="I482" s="1">
        <f>_xlfn.XLOOKUP(Table3[[#This Row],[instant]],Table2[instant],Table2[hum], ,0,1)</f>
        <v>0.41</v>
      </c>
      <c r="J482" s="1">
        <f>_xlfn.XLOOKUP(Table3[[#This Row],[instant]],Table2[instant],Table2[windspeed], ,0,1)</f>
        <v>0.3881</v>
      </c>
      <c r="K482" s="1">
        <f>_xlfn.XLOOKUP(Table3[[#This Row],[instant]],Table2[instant],Table2[casual], ,0,1)</f>
        <v>3</v>
      </c>
      <c r="L482" s="1">
        <f>_xlfn.XLOOKUP(Table3[[#This Row],[instant]],Table2[instant],Table2[registered], ,0,1)</f>
        <v>9</v>
      </c>
      <c r="M482" s="6">
        <f>_xlfn.XLOOKUP(Table3[[#This Row],[instant]],Table2[instant],Table2[cnt], ,0,1)</f>
        <v>12</v>
      </c>
      <c r="N482" s="6" t="str">
        <f>IF(OR(Table3[[#This Row],[weekday]]=0,Table3[[#This Row],[weekday]]=6),"Weekend","Weekday")</f>
        <v>Weekend</v>
      </c>
    </row>
    <row r="483" spans="1:14" ht="15" thickBot="1" x14ac:dyDescent="0.35">
      <c r="A483" s="10">
        <v>482</v>
      </c>
      <c r="B483" s="11">
        <f>_xlfn.XLOOKUP(Table3[[#This Row],[instant]],DatSet1!A483:A1092,DatSet1!B483:B1092,_xlfn.XLOOKUP(Table3[[#This Row],[instant]],'Final Data'!A483:A872,'Final Data'!B483:B872, ,0,1),0,1)</f>
        <v>40565</v>
      </c>
      <c r="C483" s="12">
        <f>_xlfn.XLOOKUP(Table3[[#This Row],[instant]],Table1[instant],Table1[hr], ,0,1)</f>
        <v>2</v>
      </c>
      <c r="D483" s="13" t="b">
        <f>_xlfn.XLOOKUP(Table3[[#This Row],[instant]],Table1[instant],Table1[holiday], ,0,1)</f>
        <v>0</v>
      </c>
      <c r="E483" s="2">
        <f>_xlfn.XLOOKUP(Table3[[#This Row],[instant]],Table1[instant],Table1[weekday], ,0,1)</f>
        <v>6</v>
      </c>
      <c r="F483" s="2">
        <f>_xlfn.XLOOKUP(Table3[[#This Row],[instant]],Table1[instant],Table1[weathersit], ,0,1)</f>
        <v>2</v>
      </c>
      <c r="G483" s="2">
        <f>_xlfn.XLOOKUP(Table3[[#This Row],[instant]],Table1[instant],Table1[temp], ,0,1)</f>
        <v>0.04</v>
      </c>
      <c r="H483" s="24">
        <f>_xlfn.XLOOKUP(Table3[[#This Row],[instant]],Table2[instant],Table2[atemp], ,0,1)</f>
        <v>3.0300000000000001E-2</v>
      </c>
      <c r="I483" s="1">
        <f>_xlfn.XLOOKUP(Table3[[#This Row],[instant]],Table2[instant],Table2[hum], ,0,1)</f>
        <v>0.41</v>
      </c>
      <c r="J483" s="1">
        <f>_xlfn.XLOOKUP(Table3[[#This Row],[instant]],Table2[instant],Table2[windspeed], ,0,1)</f>
        <v>0.25369999999999998</v>
      </c>
      <c r="K483" s="1">
        <f>_xlfn.XLOOKUP(Table3[[#This Row],[instant]],Table2[instant],Table2[casual], ,0,1)</f>
        <v>0</v>
      </c>
      <c r="L483" s="1">
        <f>_xlfn.XLOOKUP(Table3[[#This Row],[instant]],Table2[instant],Table2[registered], ,0,1)</f>
        <v>11</v>
      </c>
      <c r="M483" s="6">
        <f>_xlfn.XLOOKUP(Table3[[#This Row],[instant]],Table2[instant],Table2[cnt], ,0,1)</f>
        <v>11</v>
      </c>
      <c r="N483" s="6" t="str">
        <f>IF(OR(Table3[[#This Row],[weekday]]=0,Table3[[#This Row],[weekday]]=6),"Weekend","Weekday")</f>
        <v>Weekend</v>
      </c>
    </row>
    <row r="484" spans="1:14" ht="15" thickBot="1" x14ac:dyDescent="0.35">
      <c r="A484" s="10">
        <v>483</v>
      </c>
      <c r="B484" s="11">
        <f>_xlfn.XLOOKUP(Table3[[#This Row],[instant]],DatSet1!A484:A1093,DatSet1!B484:B1093,_xlfn.XLOOKUP(Table3[[#This Row],[instant]],'Final Data'!A484:A873,'Final Data'!B484:B873, ,0,1),0,1)</f>
        <v>40565</v>
      </c>
      <c r="C484" s="12">
        <f>_xlfn.XLOOKUP(Table3[[#This Row],[instant]],Table1[instant],Table1[hr], ,0,1)</f>
        <v>3</v>
      </c>
      <c r="D484" s="13" t="b">
        <f>_xlfn.XLOOKUP(Table3[[#This Row],[instant]],Table1[instant],Table1[holiday], ,0,1)</f>
        <v>0</v>
      </c>
      <c r="E484" s="2">
        <f>_xlfn.XLOOKUP(Table3[[#This Row],[instant]],Table1[instant],Table1[weekday], ,0,1)</f>
        <v>6</v>
      </c>
      <c r="F484" s="2">
        <f>_xlfn.XLOOKUP(Table3[[#This Row],[instant]],Table1[instant],Table1[weathersit], ,0,1)</f>
        <v>2</v>
      </c>
      <c r="G484" s="2">
        <f>_xlfn.XLOOKUP(Table3[[#This Row],[instant]],Table1[instant],Table1[temp], ,0,1)</f>
        <v>0.04</v>
      </c>
      <c r="H484" s="24">
        <f>_xlfn.XLOOKUP(Table3[[#This Row],[instant]],Table2[instant],Table2[atemp], ,0,1)</f>
        <v>3.0300000000000001E-2</v>
      </c>
      <c r="I484" s="1">
        <f>_xlfn.XLOOKUP(Table3[[#This Row],[instant]],Table2[instant],Table2[hum], ,0,1)</f>
        <v>0.41</v>
      </c>
      <c r="J484" s="1">
        <f>_xlfn.XLOOKUP(Table3[[#This Row],[instant]],Table2[instant],Table2[windspeed], ,0,1)</f>
        <v>0.28360000000000002</v>
      </c>
      <c r="K484" s="1">
        <f>_xlfn.XLOOKUP(Table3[[#This Row],[instant]],Table2[instant],Table2[casual], ,0,1)</f>
        <v>1</v>
      </c>
      <c r="L484" s="1">
        <f>_xlfn.XLOOKUP(Table3[[#This Row],[instant]],Table2[instant],Table2[registered], ,0,1)</f>
        <v>6</v>
      </c>
      <c r="M484" s="6">
        <f>_xlfn.XLOOKUP(Table3[[#This Row],[instant]],Table2[instant],Table2[cnt], ,0,1)</f>
        <v>7</v>
      </c>
      <c r="N484" s="6" t="str">
        <f>IF(OR(Table3[[#This Row],[weekday]]=0,Table3[[#This Row],[weekday]]=6),"Weekend","Weekday")</f>
        <v>Weekend</v>
      </c>
    </row>
    <row r="485" spans="1:14" ht="15" thickBot="1" x14ac:dyDescent="0.35">
      <c r="A485" s="10">
        <v>484</v>
      </c>
      <c r="B485" s="11">
        <f>_xlfn.XLOOKUP(Table3[[#This Row],[instant]],DatSet1!A485:A1094,DatSet1!B485:B1094,_xlfn.XLOOKUP(Table3[[#This Row],[instant]],'Final Data'!A485:A874,'Final Data'!B485:B874, ,0,1),0,1)</f>
        <v>40565</v>
      </c>
      <c r="C485" s="12">
        <f>_xlfn.XLOOKUP(Table3[[#This Row],[instant]],Table1[instant],Table1[hr], ,0,1)</f>
        <v>4</v>
      </c>
      <c r="D485" s="13" t="b">
        <f>_xlfn.XLOOKUP(Table3[[#This Row],[instant]],Table1[instant],Table1[holiday], ,0,1)</f>
        <v>0</v>
      </c>
      <c r="E485" s="2">
        <f>_xlfn.XLOOKUP(Table3[[#This Row],[instant]],Table1[instant],Table1[weekday], ,0,1)</f>
        <v>6</v>
      </c>
      <c r="F485" s="2">
        <f>_xlfn.XLOOKUP(Table3[[#This Row],[instant]],Table1[instant],Table1[weathersit], ,0,1)</f>
        <v>2</v>
      </c>
      <c r="G485" s="2">
        <f>_xlfn.XLOOKUP(Table3[[#This Row],[instant]],Table1[instant],Table1[temp], ,0,1)</f>
        <v>0.02</v>
      </c>
      <c r="H485" s="24">
        <f>_xlfn.XLOOKUP(Table3[[#This Row],[instant]],Table2[instant],Table2[atemp], ,0,1)</f>
        <v>1.52E-2</v>
      </c>
      <c r="I485" s="1">
        <f>_xlfn.XLOOKUP(Table3[[#This Row],[instant]],Table2[instant],Table2[hum], ,0,1)</f>
        <v>0.48</v>
      </c>
      <c r="J485" s="1">
        <f>_xlfn.XLOOKUP(Table3[[#This Row],[instant]],Table2[instant],Table2[windspeed], ,0,1)</f>
        <v>0.29849999999999999</v>
      </c>
      <c r="K485" s="1">
        <f>_xlfn.XLOOKUP(Table3[[#This Row],[instant]],Table2[instant],Table2[casual], ,0,1)</f>
        <v>0</v>
      </c>
      <c r="L485" s="1">
        <f>_xlfn.XLOOKUP(Table3[[#This Row],[instant]],Table2[instant],Table2[registered], ,0,1)</f>
        <v>3</v>
      </c>
      <c r="M485" s="6">
        <f>_xlfn.XLOOKUP(Table3[[#This Row],[instant]],Table2[instant],Table2[cnt], ,0,1)</f>
        <v>3</v>
      </c>
      <c r="N485" s="6" t="str">
        <f>IF(OR(Table3[[#This Row],[weekday]]=0,Table3[[#This Row],[weekday]]=6),"Weekend","Weekday")</f>
        <v>Weekend</v>
      </c>
    </row>
    <row r="486" spans="1:14" ht="15" thickBot="1" x14ac:dyDescent="0.35">
      <c r="A486" s="10">
        <v>485</v>
      </c>
      <c r="B486" s="11">
        <f>_xlfn.XLOOKUP(Table3[[#This Row],[instant]],DatSet1!A486:A1095,DatSet1!B486:B1095,_xlfn.XLOOKUP(Table3[[#This Row],[instant]],'Final Data'!A486:A875,'Final Data'!B486:B875, ,0,1),0,1)</f>
        <v>40565</v>
      </c>
      <c r="C486" s="12">
        <f>_xlfn.XLOOKUP(Table3[[#This Row],[instant]],Table1[instant],Table1[hr], ,0,1)</f>
        <v>6</v>
      </c>
      <c r="D486" s="13" t="b">
        <f>_xlfn.XLOOKUP(Table3[[#This Row],[instant]],Table1[instant],Table1[holiday], ,0,1)</f>
        <v>0</v>
      </c>
      <c r="E486" s="2">
        <f>_xlfn.XLOOKUP(Table3[[#This Row],[instant]],Table1[instant],Table1[weekday], ,0,1)</f>
        <v>6</v>
      </c>
      <c r="F486" s="2">
        <f>_xlfn.XLOOKUP(Table3[[#This Row],[instant]],Table1[instant],Table1[weathersit], ,0,1)</f>
        <v>2</v>
      </c>
      <c r="G486" s="2">
        <f>_xlfn.XLOOKUP(Table3[[#This Row],[instant]],Table1[instant],Table1[temp], ,0,1)</f>
        <v>0.02</v>
      </c>
      <c r="H486" s="24">
        <f>_xlfn.XLOOKUP(Table3[[#This Row],[instant]],Table2[instant],Table2[atemp], ,0,1)</f>
        <v>3.0300000000000001E-2</v>
      </c>
      <c r="I486" s="1">
        <f>_xlfn.XLOOKUP(Table3[[#This Row],[instant]],Table2[instant],Table2[hum], ,0,1)</f>
        <v>0.44</v>
      </c>
      <c r="J486" s="1">
        <f>_xlfn.XLOOKUP(Table3[[#This Row],[instant]],Table2[instant],Table2[windspeed], ,0,1)</f>
        <v>0.22389999999999999</v>
      </c>
      <c r="K486" s="1">
        <f>_xlfn.XLOOKUP(Table3[[#This Row],[instant]],Table2[instant],Table2[casual], ,0,1)</f>
        <v>0</v>
      </c>
      <c r="L486" s="1">
        <f>_xlfn.XLOOKUP(Table3[[#This Row],[instant]],Table2[instant],Table2[registered], ,0,1)</f>
        <v>2</v>
      </c>
      <c r="M486" s="6">
        <f>_xlfn.XLOOKUP(Table3[[#This Row],[instant]],Table2[instant],Table2[cnt], ,0,1)</f>
        <v>2</v>
      </c>
      <c r="N486" s="6" t="str">
        <f>IF(OR(Table3[[#This Row],[weekday]]=0,Table3[[#This Row],[weekday]]=6),"Weekend","Weekday")</f>
        <v>Weekend</v>
      </c>
    </row>
    <row r="487" spans="1:14" ht="15" thickBot="1" x14ac:dyDescent="0.35">
      <c r="A487" s="10">
        <v>486</v>
      </c>
      <c r="B487" s="11">
        <f>_xlfn.XLOOKUP(Table3[[#This Row],[instant]],DatSet1!A487:A1096,DatSet1!B487:B1096,_xlfn.XLOOKUP(Table3[[#This Row],[instant]],'Final Data'!A487:A876,'Final Data'!B487:B876, ,0,1),0,1)</f>
        <v>40565</v>
      </c>
      <c r="C487" s="12">
        <f>_xlfn.XLOOKUP(Table3[[#This Row],[instant]],Table1[instant],Table1[hr], ,0,1)</f>
        <v>7</v>
      </c>
      <c r="D487" s="13" t="b">
        <f>_xlfn.XLOOKUP(Table3[[#This Row],[instant]],Table1[instant],Table1[holiday], ,0,1)</f>
        <v>0</v>
      </c>
      <c r="E487" s="2">
        <f>_xlfn.XLOOKUP(Table3[[#This Row],[instant]],Table1[instant],Table1[weekday], ,0,1)</f>
        <v>6</v>
      </c>
      <c r="F487" s="2">
        <f>_xlfn.XLOOKUP(Table3[[#This Row],[instant]],Table1[instant],Table1[weathersit], ,0,1)</f>
        <v>1</v>
      </c>
      <c r="G487" s="2">
        <f>_xlfn.XLOOKUP(Table3[[#This Row],[instant]],Table1[instant],Table1[temp], ,0,1)</f>
        <v>0.02</v>
      </c>
      <c r="H487" s="24">
        <f>_xlfn.XLOOKUP(Table3[[#This Row],[instant]],Table2[instant],Table2[atemp], ,0,1)</f>
        <v>1.52E-2</v>
      </c>
      <c r="I487" s="1">
        <f>_xlfn.XLOOKUP(Table3[[#This Row],[instant]],Table2[instant],Table2[hum], ,0,1)</f>
        <v>0.44</v>
      </c>
      <c r="J487" s="1">
        <f>_xlfn.XLOOKUP(Table3[[#This Row],[instant]],Table2[instant],Table2[windspeed], ,0,1)</f>
        <v>0.28360000000000002</v>
      </c>
      <c r="K487" s="1">
        <f>_xlfn.XLOOKUP(Table3[[#This Row],[instant]],Table2[instant],Table2[casual], ,0,1)</f>
        <v>0</v>
      </c>
      <c r="L487" s="1">
        <f>_xlfn.XLOOKUP(Table3[[#This Row],[instant]],Table2[instant],Table2[registered], ,0,1)</f>
        <v>8</v>
      </c>
      <c r="M487" s="6">
        <f>_xlfn.XLOOKUP(Table3[[#This Row],[instant]],Table2[instant],Table2[cnt], ,0,1)</f>
        <v>8</v>
      </c>
      <c r="N487" s="6" t="str">
        <f>IF(OR(Table3[[#This Row],[weekday]]=0,Table3[[#This Row],[weekday]]=6),"Weekend","Weekday")</f>
        <v>Weekend</v>
      </c>
    </row>
    <row r="488" spans="1:14" ht="15" thickBot="1" x14ac:dyDescent="0.35">
      <c r="A488" s="10">
        <v>487</v>
      </c>
      <c r="B488" s="11">
        <f>_xlfn.XLOOKUP(Table3[[#This Row],[instant]],DatSet1!A488:A1097,DatSet1!B488:B1097,_xlfn.XLOOKUP(Table3[[#This Row],[instant]],'Final Data'!A488:A877,'Final Data'!B488:B877, ,0,1),0,1)</f>
        <v>40565</v>
      </c>
      <c r="C488" s="12">
        <f>_xlfn.XLOOKUP(Table3[[#This Row],[instant]],Table1[instant],Table1[hr], ,0,1)</f>
        <v>8</v>
      </c>
      <c r="D488" s="13" t="b">
        <f>_xlfn.XLOOKUP(Table3[[#This Row],[instant]],Table1[instant],Table1[holiday], ,0,1)</f>
        <v>0</v>
      </c>
      <c r="E488" s="2">
        <f>_xlfn.XLOOKUP(Table3[[#This Row],[instant]],Table1[instant],Table1[weekday], ,0,1)</f>
        <v>6</v>
      </c>
      <c r="F488" s="2">
        <f>_xlfn.XLOOKUP(Table3[[#This Row],[instant]],Table1[instant],Table1[weathersit], ,0,1)</f>
        <v>1</v>
      </c>
      <c r="G488" s="2">
        <f>_xlfn.XLOOKUP(Table3[[#This Row],[instant]],Table1[instant],Table1[temp], ,0,1)</f>
        <v>0.02</v>
      </c>
      <c r="H488" s="24">
        <f>_xlfn.XLOOKUP(Table3[[#This Row],[instant]],Table2[instant],Table2[atemp], ,0,1)</f>
        <v>0</v>
      </c>
      <c r="I488" s="1">
        <f>_xlfn.XLOOKUP(Table3[[#This Row],[instant]],Table2[instant],Table2[hum], ,0,1)</f>
        <v>0.44</v>
      </c>
      <c r="J488" s="1">
        <f>_xlfn.XLOOKUP(Table3[[#This Row],[instant]],Table2[instant],Table2[windspeed], ,0,1)</f>
        <v>0.32840000000000003</v>
      </c>
      <c r="K488" s="1">
        <f>_xlfn.XLOOKUP(Table3[[#This Row],[instant]],Table2[instant],Table2[casual], ,0,1)</f>
        <v>1</v>
      </c>
      <c r="L488" s="1">
        <f>_xlfn.XLOOKUP(Table3[[#This Row],[instant]],Table2[instant],Table2[registered], ,0,1)</f>
        <v>26</v>
      </c>
      <c r="M488" s="6">
        <f>_xlfn.XLOOKUP(Table3[[#This Row],[instant]],Table2[instant],Table2[cnt], ,0,1)</f>
        <v>27</v>
      </c>
      <c r="N488" s="6" t="str">
        <f>IF(OR(Table3[[#This Row],[weekday]]=0,Table3[[#This Row],[weekday]]=6),"Weekend","Weekday")</f>
        <v>Weekend</v>
      </c>
    </row>
    <row r="489" spans="1:14" ht="15" thickBot="1" x14ac:dyDescent="0.35">
      <c r="A489" s="10">
        <v>488</v>
      </c>
      <c r="B489" s="11">
        <f>_xlfn.XLOOKUP(Table3[[#This Row],[instant]],DatSet1!A489:A1098,DatSet1!B489:B1098,_xlfn.XLOOKUP(Table3[[#This Row],[instant]],'Final Data'!A489:A878,'Final Data'!B489:B878, ,0,1),0,1)</f>
        <v>40565</v>
      </c>
      <c r="C489" s="12">
        <f>_xlfn.XLOOKUP(Table3[[#This Row],[instant]],Table1[instant],Table1[hr], ,0,1)</f>
        <v>9</v>
      </c>
      <c r="D489" s="13" t="b">
        <f>_xlfn.XLOOKUP(Table3[[#This Row],[instant]],Table1[instant],Table1[holiday], ,0,1)</f>
        <v>0</v>
      </c>
      <c r="E489" s="2">
        <f>_xlfn.XLOOKUP(Table3[[#This Row],[instant]],Table1[instant],Table1[weekday], ,0,1)</f>
        <v>6</v>
      </c>
      <c r="F489" s="2">
        <f>_xlfn.XLOOKUP(Table3[[#This Row],[instant]],Table1[instant],Table1[weathersit], ,0,1)</f>
        <v>1</v>
      </c>
      <c r="G489" s="2">
        <f>_xlfn.XLOOKUP(Table3[[#This Row],[instant]],Table1[instant],Table1[temp], ,0,1)</f>
        <v>0.04</v>
      </c>
      <c r="H489" s="24">
        <f>_xlfn.XLOOKUP(Table3[[#This Row],[instant]],Table2[instant],Table2[atemp], ,0,1)</f>
        <v>3.0300000000000001E-2</v>
      </c>
      <c r="I489" s="1">
        <f>_xlfn.XLOOKUP(Table3[[#This Row],[instant]],Table2[instant],Table2[hum], ,0,1)</f>
        <v>0.41</v>
      </c>
      <c r="J489" s="1">
        <f>_xlfn.XLOOKUP(Table3[[#This Row],[instant]],Table2[instant],Table2[windspeed], ,0,1)</f>
        <v>0.25369999999999998</v>
      </c>
      <c r="K489" s="1">
        <f>_xlfn.XLOOKUP(Table3[[#This Row],[instant]],Table2[instant],Table2[casual], ,0,1)</f>
        <v>3</v>
      </c>
      <c r="L489" s="1">
        <f>_xlfn.XLOOKUP(Table3[[#This Row],[instant]],Table2[instant],Table2[registered], ,0,1)</f>
        <v>37</v>
      </c>
      <c r="M489" s="6">
        <f>_xlfn.XLOOKUP(Table3[[#This Row],[instant]],Table2[instant],Table2[cnt], ,0,1)</f>
        <v>40</v>
      </c>
      <c r="N489" s="6" t="str">
        <f>IF(OR(Table3[[#This Row],[weekday]]=0,Table3[[#This Row],[weekday]]=6),"Weekend","Weekday")</f>
        <v>Weekend</v>
      </c>
    </row>
    <row r="490" spans="1:14" ht="15" thickBot="1" x14ac:dyDescent="0.35">
      <c r="A490" s="10">
        <v>489</v>
      </c>
      <c r="B490" s="11">
        <f>_xlfn.XLOOKUP(Table3[[#This Row],[instant]],DatSet1!A490:A1099,DatSet1!B490:B1099,_xlfn.XLOOKUP(Table3[[#This Row],[instant]],'Final Data'!A490:A879,'Final Data'!B490:B879, ,0,1),0,1)</f>
        <v>40565</v>
      </c>
      <c r="C490" s="12">
        <f>_xlfn.XLOOKUP(Table3[[#This Row],[instant]],Table1[instant],Table1[hr], ,0,1)</f>
        <v>10</v>
      </c>
      <c r="D490" s="13" t="b">
        <f>_xlfn.XLOOKUP(Table3[[#This Row],[instant]],Table1[instant],Table1[holiday], ,0,1)</f>
        <v>0</v>
      </c>
      <c r="E490" s="2">
        <f>_xlfn.XLOOKUP(Table3[[#This Row],[instant]],Table1[instant],Table1[weekday], ,0,1)</f>
        <v>6</v>
      </c>
      <c r="F490" s="2">
        <f>_xlfn.XLOOKUP(Table3[[#This Row],[instant]],Table1[instant],Table1[weathersit], ,0,1)</f>
        <v>2</v>
      </c>
      <c r="G490" s="2">
        <f>_xlfn.XLOOKUP(Table3[[#This Row],[instant]],Table1[instant],Table1[temp], ,0,1)</f>
        <v>0.04</v>
      </c>
      <c r="H490" s="24">
        <f>_xlfn.XLOOKUP(Table3[[#This Row],[instant]],Table2[instant],Table2[atemp], ,0,1)</f>
        <v>6.0600000000000001E-2</v>
      </c>
      <c r="I490" s="1">
        <f>_xlfn.XLOOKUP(Table3[[#This Row],[instant]],Table2[instant],Table2[hum], ,0,1)</f>
        <v>0.41</v>
      </c>
      <c r="J490" s="1">
        <f>_xlfn.XLOOKUP(Table3[[#This Row],[instant]],Table2[instant],Table2[windspeed], ,0,1)</f>
        <v>0.16420000000000001</v>
      </c>
      <c r="K490" s="1">
        <f>_xlfn.XLOOKUP(Table3[[#This Row],[instant]],Table2[instant],Table2[casual], ,0,1)</f>
        <v>3</v>
      </c>
      <c r="L490" s="1">
        <f>_xlfn.XLOOKUP(Table3[[#This Row],[instant]],Table2[instant],Table2[registered], ,0,1)</f>
        <v>50</v>
      </c>
      <c r="M490" s="6">
        <f>_xlfn.XLOOKUP(Table3[[#This Row],[instant]],Table2[instant],Table2[cnt], ,0,1)</f>
        <v>53</v>
      </c>
      <c r="N490" s="6" t="str">
        <f>IF(OR(Table3[[#This Row],[weekday]]=0,Table3[[#This Row],[weekday]]=6),"Weekend","Weekday")</f>
        <v>Weekend</v>
      </c>
    </row>
    <row r="491" spans="1:14" ht="15" thickBot="1" x14ac:dyDescent="0.35">
      <c r="A491" s="10">
        <v>490</v>
      </c>
      <c r="B491" s="11">
        <f>_xlfn.XLOOKUP(Table3[[#This Row],[instant]],DatSet1!A491:A1100,DatSet1!B491:B1100,_xlfn.XLOOKUP(Table3[[#This Row],[instant]],'Final Data'!A491:A880,'Final Data'!B491:B880, ,0,1),0,1)</f>
        <v>40565</v>
      </c>
      <c r="C491" s="12">
        <f>_xlfn.XLOOKUP(Table3[[#This Row],[instant]],Table1[instant],Table1[hr], ,0,1)</f>
        <v>11</v>
      </c>
      <c r="D491" s="13" t="b">
        <f>_xlfn.XLOOKUP(Table3[[#This Row],[instant]],Table1[instant],Table1[holiday], ,0,1)</f>
        <v>0</v>
      </c>
      <c r="E491" s="2">
        <f>_xlfn.XLOOKUP(Table3[[#This Row],[instant]],Table1[instant],Table1[weekday], ,0,1)</f>
        <v>6</v>
      </c>
      <c r="F491" s="2">
        <f>_xlfn.XLOOKUP(Table3[[#This Row],[instant]],Table1[instant],Table1[weathersit], ,0,1)</f>
        <v>2</v>
      </c>
      <c r="G491" s="2">
        <f>_xlfn.XLOOKUP(Table3[[#This Row],[instant]],Table1[instant],Table1[temp], ,0,1)</f>
        <v>0.06</v>
      </c>
      <c r="H491" s="24">
        <f>_xlfn.XLOOKUP(Table3[[#This Row],[instant]],Table2[instant],Table2[atemp], ,0,1)</f>
        <v>7.5800000000000006E-2</v>
      </c>
      <c r="I491" s="1">
        <f>_xlfn.XLOOKUP(Table3[[#This Row],[instant]],Table2[instant],Table2[hum], ,0,1)</f>
        <v>0.38</v>
      </c>
      <c r="J491" s="1">
        <f>_xlfn.XLOOKUP(Table3[[#This Row],[instant]],Table2[instant],Table2[windspeed], ,0,1)</f>
        <v>0.1343</v>
      </c>
      <c r="K491" s="1">
        <f>_xlfn.XLOOKUP(Table3[[#This Row],[instant]],Table2[instant],Table2[casual], ,0,1)</f>
        <v>4</v>
      </c>
      <c r="L491" s="1">
        <f>_xlfn.XLOOKUP(Table3[[#This Row],[instant]],Table2[instant],Table2[registered], ,0,1)</f>
        <v>59</v>
      </c>
      <c r="M491" s="6">
        <f>_xlfn.XLOOKUP(Table3[[#This Row],[instant]],Table2[instant],Table2[cnt], ,0,1)</f>
        <v>63</v>
      </c>
      <c r="N491" s="6" t="str">
        <f>IF(OR(Table3[[#This Row],[weekday]]=0,Table3[[#This Row],[weekday]]=6),"Weekend","Weekday")</f>
        <v>Weekend</v>
      </c>
    </row>
    <row r="492" spans="1:14" ht="15" thickBot="1" x14ac:dyDescent="0.35">
      <c r="A492" s="10">
        <v>491</v>
      </c>
      <c r="B492" s="11">
        <f>_xlfn.XLOOKUP(Table3[[#This Row],[instant]],DatSet1!A492:A1101,DatSet1!B492:B1101,_xlfn.XLOOKUP(Table3[[#This Row],[instant]],'Final Data'!A492:A881,'Final Data'!B492:B881, ,0,1),0,1)</f>
        <v>40565</v>
      </c>
      <c r="C492" s="12">
        <f>_xlfn.XLOOKUP(Table3[[#This Row],[instant]],Table1[instant],Table1[hr], ,0,1)</f>
        <v>12</v>
      </c>
      <c r="D492" s="13" t="b">
        <f>_xlfn.XLOOKUP(Table3[[#This Row],[instant]],Table1[instant],Table1[holiday], ,0,1)</f>
        <v>0</v>
      </c>
      <c r="E492" s="2">
        <f>_xlfn.XLOOKUP(Table3[[#This Row],[instant]],Table1[instant],Table1[weekday], ,0,1)</f>
        <v>6</v>
      </c>
      <c r="F492" s="2">
        <f>_xlfn.XLOOKUP(Table3[[#This Row],[instant]],Table1[instant],Table1[weathersit], ,0,1)</f>
        <v>2</v>
      </c>
      <c r="G492" s="2">
        <f>_xlfn.XLOOKUP(Table3[[#This Row],[instant]],Table1[instant],Table1[temp], ,0,1)</f>
        <v>0.06</v>
      </c>
      <c r="H492" s="24">
        <f>_xlfn.XLOOKUP(Table3[[#This Row],[instant]],Table2[instant],Table2[atemp], ,0,1)</f>
        <v>0.1061</v>
      </c>
      <c r="I492" s="1">
        <f>_xlfn.XLOOKUP(Table3[[#This Row],[instant]],Table2[instant],Table2[hum], ,0,1)</f>
        <v>0.38</v>
      </c>
      <c r="J492" s="1">
        <f>_xlfn.XLOOKUP(Table3[[#This Row],[instant]],Table2[instant],Table2[windspeed], ,0,1)</f>
        <v>0.1045</v>
      </c>
      <c r="K492" s="1">
        <f>_xlfn.XLOOKUP(Table3[[#This Row],[instant]],Table2[instant],Table2[casual], ,0,1)</f>
        <v>10</v>
      </c>
      <c r="L492" s="1">
        <f>_xlfn.XLOOKUP(Table3[[#This Row],[instant]],Table2[instant],Table2[registered], ,0,1)</f>
        <v>60</v>
      </c>
      <c r="M492" s="6">
        <f>_xlfn.XLOOKUP(Table3[[#This Row],[instant]],Table2[instant],Table2[cnt], ,0,1)</f>
        <v>70</v>
      </c>
      <c r="N492" s="6" t="str">
        <f>IF(OR(Table3[[#This Row],[weekday]]=0,Table3[[#This Row],[weekday]]=6),"Weekend","Weekday")</f>
        <v>Weekend</v>
      </c>
    </row>
    <row r="493" spans="1:14" ht="15" thickBot="1" x14ac:dyDescent="0.35">
      <c r="A493" s="10">
        <v>492</v>
      </c>
      <c r="B493" s="11">
        <f>_xlfn.XLOOKUP(Table3[[#This Row],[instant]],DatSet1!A493:A1102,DatSet1!B493:B1102,_xlfn.XLOOKUP(Table3[[#This Row],[instant]],'Final Data'!A493:A882,'Final Data'!B493:B882, ,0,1),0,1)</f>
        <v>40565</v>
      </c>
      <c r="C493" s="12">
        <f>_xlfn.XLOOKUP(Table3[[#This Row],[instant]],Table1[instant],Table1[hr], ,0,1)</f>
        <v>13</v>
      </c>
      <c r="D493" s="13" t="b">
        <f>_xlfn.XLOOKUP(Table3[[#This Row],[instant]],Table1[instant],Table1[holiday], ,0,1)</f>
        <v>0</v>
      </c>
      <c r="E493" s="2">
        <f>_xlfn.XLOOKUP(Table3[[#This Row],[instant]],Table1[instant],Table1[weekday], ,0,1)</f>
        <v>6</v>
      </c>
      <c r="F493" s="2">
        <f>_xlfn.XLOOKUP(Table3[[#This Row],[instant]],Table1[instant],Table1[weathersit], ,0,1)</f>
        <v>1</v>
      </c>
      <c r="G493" s="2">
        <f>_xlfn.XLOOKUP(Table3[[#This Row],[instant]],Table1[instant],Table1[temp], ,0,1)</f>
        <v>0.08</v>
      </c>
      <c r="H493" s="24">
        <f>_xlfn.XLOOKUP(Table3[[#This Row],[instant]],Table2[instant],Table2[atemp], ,0,1)</f>
        <v>0.16669999999999999</v>
      </c>
      <c r="I493" s="1">
        <f>_xlfn.XLOOKUP(Table3[[#This Row],[instant]],Table2[instant],Table2[hum], ,0,1)</f>
        <v>0.35</v>
      </c>
      <c r="J493" s="1">
        <f>_xlfn.XLOOKUP(Table3[[#This Row],[instant]],Table2[instant],Table2[windspeed], ,0,1)</f>
        <v>0</v>
      </c>
      <c r="K493" s="1">
        <f>_xlfn.XLOOKUP(Table3[[#This Row],[instant]],Table2[instant],Table2[casual], ,0,1)</f>
        <v>12</v>
      </c>
      <c r="L493" s="1">
        <f>_xlfn.XLOOKUP(Table3[[#This Row],[instant]],Table2[instant],Table2[registered], ,0,1)</f>
        <v>72</v>
      </c>
      <c r="M493" s="6">
        <f>_xlfn.XLOOKUP(Table3[[#This Row],[instant]],Table2[instant],Table2[cnt], ,0,1)</f>
        <v>84</v>
      </c>
      <c r="N493" s="6" t="str">
        <f>IF(OR(Table3[[#This Row],[weekday]]=0,Table3[[#This Row],[weekday]]=6),"Weekend","Weekday")</f>
        <v>Weekend</v>
      </c>
    </row>
    <row r="494" spans="1:14" ht="15" thickBot="1" x14ac:dyDescent="0.35">
      <c r="A494" s="10">
        <v>493</v>
      </c>
      <c r="B494" s="11">
        <f>_xlfn.XLOOKUP(Table3[[#This Row],[instant]],DatSet1!A494:A1103,DatSet1!B494:B1103,_xlfn.XLOOKUP(Table3[[#This Row],[instant]],'Final Data'!A494:A883,'Final Data'!B494:B883, ,0,1),0,1)</f>
        <v>40565</v>
      </c>
      <c r="C494" s="12">
        <f>_xlfn.XLOOKUP(Table3[[#This Row],[instant]],Table1[instant],Table1[hr], ,0,1)</f>
        <v>14</v>
      </c>
      <c r="D494" s="13" t="b">
        <f>_xlfn.XLOOKUP(Table3[[#This Row],[instant]],Table1[instant],Table1[holiday], ,0,1)</f>
        <v>0</v>
      </c>
      <c r="E494" s="2">
        <f>_xlfn.XLOOKUP(Table3[[#This Row],[instant]],Table1[instant],Table1[weekday], ,0,1)</f>
        <v>6</v>
      </c>
      <c r="F494" s="2">
        <f>_xlfn.XLOOKUP(Table3[[#This Row],[instant]],Table1[instant],Table1[weathersit], ,0,1)</f>
        <v>1</v>
      </c>
      <c r="G494" s="2">
        <f>_xlfn.XLOOKUP(Table3[[#This Row],[instant]],Table1[instant],Table1[temp], ,0,1)</f>
        <v>0.1</v>
      </c>
      <c r="H494" s="24">
        <f>_xlfn.XLOOKUP(Table3[[#This Row],[instant]],Table2[instant],Table2[atemp], ,0,1)</f>
        <v>0.13639999999999999</v>
      </c>
      <c r="I494" s="1">
        <f>_xlfn.XLOOKUP(Table3[[#This Row],[instant]],Table2[instant],Table2[hum], ,0,1)</f>
        <v>0.33</v>
      </c>
      <c r="J494" s="1">
        <f>_xlfn.XLOOKUP(Table3[[#This Row],[instant]],Table2[instant],Table2[windspeed], ,0,1)</f>
        <v>0.1045</v>
      </c>
      <c r="K494" s="1">
        <f>_xlfn.XLOOKUP(Table3[[#This Row],[instant]],Table2[instant],Table2[casual], ,0,1)</f>
        <v>11</v>
      </c>
      <c r="L494" s="1">
        <f>_xlfn.XLOOKUP(Table3[[#This Row],[instant]],Table2[instant],Table2[registered], ,0,1)</f>
        <v>64</v>
      </c>
      <c r="M494" s="6">
        <f>_xlfn.XLOOKUP(Table3[[#This Row],[instant]],Table2[instant],Table2[cnt], ,0,1)</f>
        <v>75</v>
      </c>
      <c r="N494" s="6" t="str">
        <f>IF(OR(Table3[[#This Row],[weekday]]=0,Table3[[#This Row],[weekday]]=6),"Weekend","Weekday")</f>
        <v>Weekend</v>
      </c>
    </row>
    <row r="495" spans="1:14" ht="15" thickBot="1" x14ac:dyDescent="0.35">
      <c r="A495" s="10">
        <v>494</v>
      </c>
      <c r="B495" s="11">
        <f>_xlfn.XLOOKUP(Table3[[#This Row],[instant]],DatSet1!A495:A1104,DatSet1!B495:B1104,_xlfn.XLOOKUP(Table3[[#This Row],[instant]],'Final Data'!A495:A884,'Final Data'!B495:B884, ,0,1),0,1)</f>
        <v>40565</v>
      </c>
      <c r="C495" s="12">
        <f>_xlfn.XLOOKUP(Table3[[#This Row],[instant]],Table1[instant],Table1[hr], ,0,1)</f>
        <v>15</v>
      </c>
      <c r="D495" s="13" t="b">
        <f>_xlfn.XLOOKUP(Table3[[#This Row],[instant]],Table1[instant],Table1[holiday], ,0,1)</f>
        <v>0</v>
      </c>
      <c r="E495" s="2">
        <f>_xlfn.XLOOKUP(Table3[[#This Row],[instant]],Table1[instant],Table1[weekday], ,0,1)</f>
        <v>6</v>
      </c>
      <c r="F495" s="2">
        <f>_xlfn.XLOOKUP(Table3[[#This Row],[instant]],Table1[instant],Table1[weathersit], ,0,1)</f>
        <v>1</v>
      </c>
      <c r="G495" s="2">
        <f>_xlfn.XLOOKUP(Table3[[#This Row],[instant]],Table1[instant],Table1[temp], ,0,1)</f>
        <v>0.12</v>
      </c>
      <c r="H495" s="24">
        <f>_xlfn.XLOOKUP(Table3[[#This Row],[instant]],Table2[instant],Table2[atemp], ,0,1)</f>
        <v>0.1515</v>
      </c>
      <c r="I495" s="1">
        <f>_xlfn.XLOOKUP(Table3[[#This Row],[instant]],Table2[instant],Table2[hum], ,0,1)</f>
        <v>0.28000000000000003</v>
      </c>
      <c r="J495" s="1">
        <f>_xlfn.XLOOKUP(Table3[[#This Row],[instant]],Table2[instant],Table2[windspeed], ,0,1)</f>
        <v>0</v>
      </c>
      <c r="K495" s="1">
        <f>_xlfn.XLOOKUP(Table3[[#This Row],[instant]],Table2[instant],Table2[casual], ,0,1)</f>
        <v>10</v>
      </c>
      <c r="L495" s="1">
        <f>_xlfn.XLOOKUP(Table3[[#This Row],[instant]],Table2[instant],Table2[registered], ,0,1)</f>
        <v>93</v>
      </c>
      <c r="M495" s="6">
        <f>_xlfn.XLOOKUP(Table3[[#This Row],[instant]],Table2[instant],Table2[cnt], ,0,1)</f>
        <v>103</v>
      </c>
      <c r="N495" s="6" t="str">
        <f>IF(OR(Table3[[#This Row],[weekday]]=0,Table3[[#This Row],[weekday]]=6),"Weekend","Weekday")</f>
        <v>Weekend</v>
      </c>
    </row>
    <row r="496" spans="1:14" ht="15" thickBot="1" x14ac:dyDescent="0.35">
      <c r="A496" s="10">
        <v>495</v>
      </c>
      <c r="B496" s="11">
        <f>_xlfn.XLOOKUP(Table3[[#This Row],[instant]],DatSet1!A496:A1105,DatSet1!B496:B1105,_xlfn.XLOOKUP(Table3[[#This Row],[instant]],'Final Data'!A496:A885,'Final Data'!B496:B885, ,0,1),0,1)</f>
        <v>40565</v>
      </c>
      <c r="C496" s="12">
        <f>_xlfn.XLOOKUP(Table3[[#This Row],[instant]],Table1[instant],Table1[hr], ,0,1)</f>
        <v>16</v>
      </c>
      <c r="D496" s="13" t="b">
        <f>_xlfn.XLOOKUP(Table3[[#This Row],[instant]],Table1[instant],Table1[holiday], ,0,1)</f>
        <v>0</v>
      </c>
      <c r="E496" s="2">
        <f>_xlfn.XLOOKUP(Table3[[#This Row],[instant]],Table1[instant],Table1[weekday], ,0,1)</f>
        <v>6</v>
      </c>
      <c r="F496" s="2">
        <f>_xlfn.XLOOKUP(Table3[[#This Row],[instant]],Table1[instant],Table1[weathersit], ,0,1)</f>
        <v>1</v>
      </c>
      <c r="G496" s="2">
        <f>_xlfn.XLOOKUP(Table3[[#This Row],[instant]],Table1[instant],Table1[temp], ,0,1)</f>
        <v>0.12</v>
      </c>
      <c r="H496" s="24">
        <f>_xlfn.XLOOKUP(Table3[[#This Row],[instant]],Table2[instant],Table2[atemp], ,0,1)</f>
        <v>0.13639999999999999</v>
      </c>
      <c r="I496" s="1">
        <f>_xlfn.XLOOKUP(Table3[[#This Row],[instant]],Table2[instant],Table2[hum], ,0,1)</f>
        <v>0.28000000000000003</v>
      </c>
      <c r="J496" s="1">
        <f>_xlfn.XLOOKUP(Table3[[#This Row],[instant]],Table2[instant],Table2[windspeed], ,0,1)</f>
        <v>0.19400000000000001</v>
      </c>
      <c r="K496" s="1">
        <f>_xlfn.XLOOKUP(Table3[[#This Row],[instant]],Table2[instant],Table2[casual], ,0,1)</f>
        <v>11</v>
      </c>
      <c r="L496" s="1">
        <f>_xlfn.XLOOKUP(Table3[[#This Row],[instant]],Table2[instant],Table2[registered], ,0,1)</f>
        <v>72</v>
      </c>
      <c r="M496" s="6">
        <f>_xlfn.XLOOKUP(Table3[[#This Row],[instant]],Table2[instant],Table2[cnt], ,0,1)</f>
        <v>83</v>
      </c>
      <c r="N496" s="6" t="str">
        <f>IF(OR(Table3[[#This Row],[weekday]]=0,Table3[[#This Row],[weekday]]=6),"Weekend","Weekday")</f>
        <v>Weekend</v>
      </c>
    </row>
    <row r="497" spans="1:14" ht="15" thickBot="1" x14ac:dyDescent="0.35">
      <c r="A497" s="10">
        <v>496</v>
      </c>
      <c r="B497" s="11">
        <f>_xlfn.XLOOKUP(Table3[[#This Row],[instant]],DatSet1!A497:A1106,DatSet1!B497:B1106,_xlfn.XLOOKUP(Table3[[#This Row],[instant]],'Final Data'!A497:A886,'Final Data'!B497:B886, ,0,1),0,1)</f>
        <v>40565</v>
      </c>
      <c r="C497" s="12">
        <f>_xlfn.XLOOKUP(Table3[[#This Row],[instant]],Table1[instant],Table1[hr], ,0,1)</f>
        <v>17</v>
      </c>
      <c r="D497" s="13" t="b">
        <f>_xlfn.XLOOKUP(Table3[[#This Row],[instant]],Table1[instant],Table1[holiday], ,0,1)</f>
        <v>0</v>
      </c>
      <c r="E497" s="2">
        <f>_xlfn.XLOOKUP(Table3[[#This Row],[instant]],Table1[instant],Table1[weekday], ,0,1)</f>
        <v>6</v>
      </c>
      <c r="F497" s="2">
        <f>_xlfn.XLOOKUP(Table3[[#This Row],[instant]],Table1[instant],Table1[weathersit], ,0,1)</f>
        <v>1</v>
      </c>
      <c r="G497" s="2">
        <f>_xlfn.XLOOKUP(Table3[[#This Row],[instant]],Table1[instant],Table1[temp], ,0,1)</f>
        <v>0.12</v>
      </c>
      <c r="H497" s="24">
        <f>_xlfn.XLOOKUP(Table3[[#This Row],[instant]],Table2[instant],Table2[atemp], ,0,1)</f>
        <v>0.19700000000000001</v>
      </c>
      <c r="I497" s="1">
        <f>_xlfn.XLOOKUP(Table3[[#This Row],[instant]],Table2[instant],Table2[hum], ,0,1)</f>
        <v>0.28000000000000003</v>
      </c>
      <c r="J497" s="1">
        <f>_xlfn.XLOOKUP(Table3[[#This Row],[instant]],Table2[instant],Table2[windspeed], ,0,1)</f>
        <v>0</v>
      </c>
      <c r="K497" s="1">
        <f>_xlfn.XLOOKUP(Table3[[#This Row],[instant]],Table2[instant],Table2[casual], ,0,1)</f>
        <v>8</v>
      </c>
      <c r="L497" s="1">
        <f>_xlfn.XLOOKUP(Table3[[#This Row],[instant]],Table2[instant],Table2[registered], ,0,1)</f>
        <v>59</v>
      </c>
      <c r="M497" s="6">
        <f>_xlfn.XLOOKUP(Table3[[#This Row],[instant]],Table2[instant],Table2[cnt], ,0,1)</f>
        <v>67</v>
      </c>
      <c r="N497" s="6" t="str">
        <f>IF(OR(Table3[[#This Row],[weekday]]=0,Table3[[#This Row],[weekday]]=6),"Weekend","Weekday")</f>
        <v>Weekend</v>
      </c>
    </row>
    <row r="498" spans="1:14" ht="15" thickBot="1" x14ac:dyDescent="0.35">
      <c r="A498" s="10">
        <v>497</v>
      </c>
      <c r="B498" s="11">
        <f>_xlfn.XLOOKUP(Table3[[#This Row],[instant]],DatSet1!A498:A1107,DatSet1!B498:B1107,_xlfn.XLOOKUP(Table3[[#This Row],[instant]],'Final Data'!A498:A887,'Final Data'!B498:B887, ,0,1),0,1)</f>
        <v>40565</v>
      </c>
      <c r="C498" s="12">
        <f>_xlfn.XLOOKUP(Table3[[#This Row],[instant]],Table1[instant],Table1[hr], ,0,1)</f>
        <v>18</v>
      </c>
      <c r="D498" s="13" t="b">
        <f>_xlfn.XLOOKUP(Table3[[#This Row],[instant]],Table1[instant],Table1[holiday], ,0,1)</f>
        <v>0</v>
      </c>
      <c r="E498" s="2">
        <f>_xlfn.XLOOKUP(Table3[[#This Row],[instant]],Table1[instant],Table1[weekday], ,0,1)</f>
        <v>6</v>
      </c>
      <c r="F498" s="2">
        <f>_xlfn.XLOOKUP(Table3[[#This Row],[instant]],Table1[instant],Table1[weathersit], ,0,1)</f>
        <v>1</v>
      </c>
      <c r="G498" s="2">
        <f>_xlfn.XLOOKUP(Table3[[#This Row],[instant]],Table1[instant],Table1[temp], ,0,1)</f>
        <v>0.08</v>
      </c>
      <c r="H498" s="24">
        <f>_xlfn.XLOOKUP(Table3[[#This Row],[instant]],Table2[instant],Table2[atemp], ,0,1)</f>
        <v>9.0899999999999995E-2</v>
      </c>
      <c r="I498" s="1">
        <f>_xlfn.XLOOKUP(Table3[[#This Row],[instant]],Table2[instant],Table2[hum], ,0,1)</f>
        <v>0.35</v>
      </c>
      <c r="J498" s="1">
        <f>_xlfn.XLOOKUP(Table3[[#This Row],[instant]],Table2[instant],Table2[windspeed], ,0,1)</f>
        <v>0.19400000000000001</v>
      </c>
      <c r="K498" s="1">
        <f>_xlfn.XLOOKUP(Table3[[#This Row],[instant]],Table2[instant],Table2[casual], ,0,1)</f>
        <v>0</v>
      </c>
      <c r="L498" s="1">
        <f>_xlfn.XLOOKUP(Table3[[#This Row],[instant]],Table2[instant],Table2[registered], ,0,1)</f>
        <v>54</v>
      </c>
      <c r="M498" s="6">
        <f>_xlfn.XLOOKUP(Table3[[#This Row],[instant]],Table2[instant],Table2[cnt], ,0,1)</f>
        <v>54</v>
      </c>
      <c r="N498" s="6" t="str">
        <f>IF(OR(Table3[[#This Row],[weekday]]=0,Table3[[#This Row],[weekday]]=6),"Weekend","Weekday")</f>
        <v>Weekend</v>
      </c>
    </row>
    <row r="499" spans="1:14" ht="15" thickBot="1" x14ac:dyDescent="0.35">
      <c r="A499" s="10">
        <v>498</v>
      </c>
      <c r="B499" s="11">
        <f>_xlfn.XLOOKUP(Table3[[#This Row],[instant]],DatSet1!A499:A1108,DatSet1!B499:B1108,_xlfn.XLOOKUP(Table3[[#This Row],[instant]],'Final Data'!A499:A888,'Final Data'!B499:B888, ,0,1),0,1)</f>
        <v>40565</v>
      </c>
      <c r="C499" s="12">
        <f>_xlfn.XLOOKUP(Table3[[#This Row],[instant]],Table1[instant],Table1[hr], ,0,1)</f>
        <v>19</v>
      </c>
      <c r="D499" s="13" t="b">
        <f>_xlfn.XLOOKUP(Table3[[#This Row],[instant]],Table1[instant],Table1[holiday], ,0,1)</f>
        <v>0</v>
      </c>
      <c r="E499" s="2">
        <f>_xlfn.XLOOKUP(Table3[[#This Row],[instant]],Table1[instant],Table1[weekday], ,0,1)</f>
        <v>6</v>
      </c>
      <c r="F499" s="2">
        <f>_xlfn.XLOOKUP(Table3[[#This Row],[instant]],Table1[instant],Table1[weathersit], ,0,1)</f>
        <v>1</v>
      </c>
      <c r="G499" s="2">
        <f>_xlfn.XLOOKUP(Table3[[#This Row],[instant]],Table1[instant],Table1[temp], ,0,1)</f>
        <v>0.08</v>
      </c>
      <c r="H499" s="24">
        <f>_xlfn.XLOOKUP(Table3[[#This Row],[instant]],Table2[instant],Table2[atemp], ,0,1)</f>
        <v>0.1061</v>
      </c>
      <c r="I499" s="1">
        <f>_xlfn.XLOOKUP(Table3[[#This Row],[instant]],Table2[instant],Table2[hum], ,0,1)</f>
        <v>0.35</v>
      </c>
      <c r="J499" s="1">
        <f>_xlfn.XLOOKUP(Table3[[#This Row],[instant]],Table2[instant],Table2[windspeed], ,0,1)</f>
        <v>0.1343</v>
      </c>
      <c r="K499" s="1">
        <f>_xlfn.XLOOKUP(Table3[[#This Row],[instant]],Table2[instant],Table2[casual], ,0,1)</f>
        <v>6</v>
      </c>
      <c r="L499" s="1">
        <f>_xlfn.XLOOKUP(Table3[[#This Row],[instant]],Table2[instant],Table2[registered], ,0,1)</f>
        <v>53</v>
      </c>
      <c r="M499" s="6">
        <f>_xlfn.XLOOKUP(Table3[[#This Row],[instant]],Table2[instant],Table2[cnt], ,0,1)</f>
        <v>59</v>
      </c>
      <c r="N499" s="6" t="str">
        <f>IF(OR(Table3[[#This Row],[weekday]]=0,Table3[[#This Row],[weekday]]=6),"Weekend","Weekday")</f>
        <v>Weekend</v>
      </c>
    </row>
    <row r="500" spans="1:14" ht="15" thickBot="1" x14ac:dyDescent="0.35">
      <c r="A500" s="10">
        <v>499</v>
      </c>
      <c r="B500" s="11">
        <f>_xlfn.XLOOKUP(Table3[[#This Row],[instant]],DatSet1!A500:A1109,DatSet1!B500:B1109,_xlfn.XLOOKUP(Table3[[#This Row],[instant]],'Final Data'!A500:A889,'Final Data'!B500:B889, ,0,1),0,1)</f>
        <v>40565</v>
      </c>
      <c r="C500" s="12">
        <f>_xlfn.XLOOKUP(Table3[[#This Row],[instant]],Table1[instant],Table1[hr], ,0,1)</f>
        <v>20</v>
      </c>
      <c r="D500" s="13" t="b">
        <f>_xlfn.XLOOKUP(Table3[[#This Row],[instant]],Table1[instant],Table1[holiday], ,0,1)</f>
        <v>0</v>
      </c>
      <c r="E500" s="2">
        <f>_xlfn.XLOOKUP(Table3[[#This Row],[instant]],Table1[instant],Table1[weekday], ,0,1)</f>
        <v>6</v>
      </c>
      <c r="F500" s="2">
        <f>_xlfn.XLOOKUP(Table3[[#This Row],[instant]],Table1[instant],Table1[weathersit], ,0,1)</f>
        <v>1</v>
      </c>
      <c r="G500" s="2">
        <f>_xlfn.XLOOKUP(Table3[[#This Row],[instant]],Table1[instant],Table1[temp], ,0,1)</f>
        <v>0.06</v>
      </c>
      <c r="H500" s="24">
        <f>_xlfn.XLOOKUP(Table3[[#This Row],[instant]],Table2[instant],Table2[atemp], ,0,1)</f>
        <v>7.5800000000000006E-2</v>
      </c>
      <c r="I500" s="1">
        <f>_xlfn.XLOOKUP(Table3[[#This Row],[instant]],Table2[instant],Table2[hum], ,0,1)</f>
        <v>0.45</v>
      </c>
      <c r="J500" s="1">
        <f>_xlfn.XLOOKUP(Table3[[#This Row],[instant]],Table2[instant],Table2[windspeed], ,0,1)</f>
        <v>0.16420000000000001</v>
      </c>
      <c r="K500" s="1">
        <f>_xlfn.XLOOKUP(Table3[[#This Row],[instant]],Table2[instant],Table2[casual], ,0,1)</f>
        <v>1</v>
      </c>
      <c r="L500" s="1">
        <f>_xlfn.XLOOKUP(Table3[[#This Row],[instant]],Table2[instant],Table2[registered], ,0,1)</f>
        <v>44</v>
      </c>
      <c r="M500" s="6">
        <f>_xlfn.XLOOKUP(Table3[[#This Row],[instant]],Table2[instant],Table2[cnt], ,0,1)</f>
        <v>45</v>
      </c>
      <c r="N500" s="6" t="str">
        <f>IF(OR(Table3[[#This Row],[weekday]]=0,Table3[[#This Row],[weekday]]=6),"Weekend","Weekday")</f>
        <v>Weekend</v>
      </c>
    </row>
    <row r="501" spans="1:14" ht="15" thickBot="1" x14ac:dyDescent="0.35">
      <c r="A501" s="10">
        <v>500</v>
      </c>
      <c r="B501" s="11">
        <f>_xlfn.XLOOKUP(Table3[[#This Row],[instant]],DatSet1!A501:A1110,DatSet1!B501:B1110,_xlfn.XLOOKUP(Table3[[#This Row],[instant]],'Final Data'!A501:A890,'Final Data'!B501:B890, ,0,1),0,1)</f>
        <v>40565</v>
      </c>
      <c r="C501" s="12">
        <f>_xlfn.XLOOKUP(Table3[[#This Row],[instant]],Table1[instant],Table1[hr], ,0,1)</f>
        <v>21</v>
      </c>
      <c r="D501" s="13" t="b">
        <f>_xlfn.XLOOKUP(Table3[[#This Row],[instant]],Table1[instant],Table1[holiday], ,0,1)</f>
        <v>0</v>
      </c>
      <c r="E501" s="2">
        <f>_xlfn.XLOOKUP(Table3[[#This Row],[instant]],Table1[instant],Table1[weekday], ,0,1)</f>
        <v>6</v>
      </c>
      <c r="F501" s="2">
        <f>_xlfn.XLOOKUP(Table3[[#This Row],[instant]],Table1[instant],Table1[weathersit], ,0,1)</f>
        <v>1</v>
      </c>
      <c r="G501" s="2">
        <f>_xlfn.XLOOKUP(Table3[[#This Row],[instant]],Table1[instant],Table1[temp], ,0,1)</f>
        <v>0.06</v>
      </c>
      <c r="H501" s="24">
        <f>_xlfn.XLOOKUP(Table3[[#This Row],[instant]],Table2[instant],Table2[atemp], ,0,1)</f>
        <v>0.1061</v>
      </c>
      <c r="I501" s="1">
        <f>_xlfn.XLOOKUP(Table3[[#This Row],[instant]],Table2[instant],Table2[hum], ,0,1)</f>
        <v>0.41</v>
      </c>
      <c r="J501" s="1">
        <f>_xlfn.XLOOKUP(Table3[[#This Row],[instant]],Table2[instant],Table2[windspeed], ,0,1)</f>
        <v>8.9599999999999999E-2</v>
      </c>
      <c r="K501" s="1">
        <f>_xlfn.XLOOKUP(Table3[[#This Row],[instant]],Table2[instant],Table2[casual], ,0,1)</f>
        <v>0</v>
      </c>
      <c r="L501" s="1">
        <f>_xlfn.XLOOKUP(Table3[[#This Row],[instant]],Table2[instant],Table2[registered], ,0,1)</f>
        <v>39</v>
      </c>
      <c r="M501" s="6">
        <f>_xlfn.XLOOKUP(Table3[[#This Row],[instant]],Table2[instant],Table2[cnt], ,0,1)</f>
        <v>39</v>
      </c>
      <c r="N501" s="6" t="str">
        <f>IF(OR(Table3[[#This Row],[weekday]]=0,Table3[[#This Row],[weekday]]=6),"Weekend","Weekday")</f>
        <v>Weekend</v>
      </c>
    </row>
    <row r="502" spans="1:14" ht="15" thickBot="1" x14ac:dyDescent="0.35">
      <c r="A502" s="10">
        <v>501</v>
      </c>
      <c r="B502" s="11">
        <f>_xlfn.XLOOKUP(Table3[[#This Row],[instant]],DatSet1!A502:A1111,DatSet1!B502:B1111,_xlfn.XLOOKUP(Table3[[#This Row],[instant]],'Final Data'!A502:A891,'Final Data'!B502:B891, ,0,1),0,1)</f>
        <v>40565</v>
      </c>
      <c r="C502" s="12">
        <f>_xlfn.XLOOKUP(Table3[[#This Row],[instant]],Table1[instant],Table1[hr], ,0,1)</f>
        <v>22</v>
      </c>
      <c r="D502" s="13" t="b">
        <f>_xlfn.XLOOKUP(Table3[[#This Row],[instant]],Table1[instant],Table1[holiday], ,0,1)</f>
        <v>0</v>
      </c>
      <c r="E502" s="2">
        <f>_xlfn.XLOOKUP(Table3[[#This Row],[instant]],Table1[instant],Table1[weekday], ,0,1)</f>
        <v>6</v>
      </c>
      <c r="F502" s="2">
        <f>_xlfn.XLOOKUP(Table3[[#This Row],[instant]],Table1[instant],Table1[weathersit], ,0,1)</f>
        <v>1</v>
      </c>
      <c r="G502" s="2">
        <f>_xlfn.XLOOKUP(Table3[[#This Row],[instant]],Table1[instant],Table1[temp], ,0,1)</f>
        <v>0.06</v>
      </c>
      <c r="H502" s="24">
        <f>_xlfn.XLOOKUP(Table3[[#This Row],[instant]],Table2[instant],Table2[atemp], ,0,1)</f>
        <v>0.1515</v>
      </c>
      <c r="I502" s="1">
        <f>_xlfn.XLOOKUP(Table3[[#This Row],[instant]],Table2[instant],Table2[hum], ,0,1)</f>
        <v>0.49</v>
      </c>
      <c r="J502" s="1">
        <f>_xlfn.XLOOKUP(Table3[[#This Row],[instant]],Table2[instant],Table2[windspeed], ,0,1)</f>
        <v>0</v>
      </c>
      <c r="K502" s="1">
        <f>_xlfn.XLOOKUP(Table3[[#This Row],[instant]],Table2[instant],Table2[casual], ,0,1)</f>
        <v>7</v>
      </c>
      <c r="L502" s="1">
        <f>_xlfn.XLOOKUP(Table3[[#This Row],[instant]],Table2[instant],Table2[registered], ,0,1)</f>
        <v>23</v>
      </c>
      <c r="M502" s="6">
        <f>_xlfn.XLOOKUP(Table3[[#This Row],[instant]],Table2[instant],Table2[cnt], ,0,1)</f>
        <v>30</v>
      </c>
      <c r="N502" s="6" t="str">
        <f>IF(OR(Table3[[#This Row],[weekday]]=0,Table3[[#This Row],[weekday]]=6),"Weekend","Weekday")</f>
        <v>Weekend</v>
      </c>
    </row>
    <row r="503" spans="1:14" ht="15" thickBot="1" x14ac:dyDescent="0.35">
      <c r="A503" s="10">
        <v>502</v>
      </c>
      <c r="B503" s="11">
        <f>_xlfn.XLOOKUP(Table3[[#This Row],[instant]],DatSet1!A503:A1112,DatSet1!B503:B1112,_xlfn.XLOOKUP(Table3[[#This Row],[instant]],'Final Data'!A503:A892,'Final Data'!B503:B892, ,0,1),0,1)</f>
        <v>40565</v>
      </c>
      <c r="C503" s="12">
        <f>_xlfn.XLOOKUP(Table3[[#This Row],[instant]],Table1[instant],Table1[hr], ,0,1)</f>
        <v>23</v>
      </c>
      <c r="D503" s="13" t="b">
        <f>_xlfn.XLOOKUP(Table3[[#This Row],[instant]],Table1[instant],Table1[holiday], ,0,1)</f>
        <v>0</v>
      </c>
      <c r="E503" s="2">
        <f>_xlfn.XLOOKUP(Table3[[#This Row],[instant]],Table1[instant],Table1[weekday], ,0,1)</f>
        <v>6</v>
      </c>
      <c r="F503" s="2">
        <f>_xlfn.XLOOKUP(Table3[[#This Row],[instant]],Table1[instant],Table1[weathersit], ,0,1)</f>
        <v>1</v>
      </c>
      <c r="G503" s="2">
        <f>_xlfn.XLOOKUP(Table3[[#This Row],[instant]],Table1[instant],Table1[temp], ,0,1)</f>
        <v>0.04</v>
      </c>
      <c r="H503" s="24">
        <f>_xlfn.XLOOKUP(Table3[[#This Row],[instant]],Table2[instant],Table2[atemp], ,0,1)</f>
        <v>7.5800000000000006E-2</v>
      </c>
      <c r="I503" s="1">
        <f>_xlfn.XLOOKUP(Table3[[#This Row],[instant]],Table2[instant],Table2[hum], ,0,1)</f>
        <v>0.56999999999999995</v>
      </c>
      <c r="J503" s="1">
        <f>_xlfn.XLOOKUP(Table3[[#This Row],[instant]],Table2[instant],Table2[windspeed], ,0,1)</f>
        <v>0.1045</v>
      </c>
      <c r="K503" s="1">
        <f>_xlfn.XLOOKUP(Table3[[#This Row],[instant]],Table2[instant],Table2[casual], ,0,1)</f>
        <v>2</v>
      </c>
      <c r="L503" s="1">
        <f>_xlfn.XLOOKUP(Table3[[#This Row],[instant]],Table2[instant],Table2[registered], ,0,1)</f>
        <v>31</v>
      </c>
      <c r="M503" s="6">
        <f>_xlfn.XLOOKUP(Table3[[#This Row],[instant]],Table2[instant],Table2[cnt], ,0,1)</f>
        <v>33</v>
      </c>
      <c r="N503" s="6" t="str">
        <f>IF(OR(Table3[[#This Row],[weekday]]=0,Table3[[#This Row],[weekday]]=6),"Weekend","Weekday")</f>
        <v>Weekend</v>
      </c>
    </row>
    <row r="504" spans="1:14" ht="15" thickBot="1" x14ac:dyDescent="0.35">
      <c r="A504" s="10">
        <v>503</v>
      </c>
      <c r="B504" s="11">
        <f>_xlfn.XLOOKUP(Table3[[#This Row],[instant]],DatSet1!A504:A1113,DatSet1!B504:B1113,_xlfn.XLOOKUP(Table3[[#This Row],[instant]],'Final Data'!A504:A893,'Final Data'!B504:B893, ,0,1),0,1)</f>
        <v>40566</v>
      </c>
      <c r="C504" s="12">
        <f>_xlfn.XLOOKUP(Table3[[#This Row],[instant]],Table1[instant],Table1[hr], ,0,1)</f>
        <v>0</v>
      </c>
      <c r="D504" s="13" t="b">
        <f>_xlfn.XLOOKUP(Table3[[#This Row],[instant]],Table1[instant],Table1[holiday], ,0,1)</f>
        <v>0</v>
      </c>
      <c r="E504" s="2">
        <f>_xlfn.XLOOKUP(Table3[[#This Row],[instant]],Table1[instant],Table1[weekday], ,0,1)</f>
        <v>0</v>
      </c>
      <c r="F504" s="2">
        <f>_xlfn.XLOOKUP(Table3[[#This Row],[instant]],Table1[instant],Table1[weathersit], ,0,1)</f>
        <v>1</v>
      </c>
      <c r="G504" s="2">
        <f>_xlfn.XLOOKUP(Table3[[#This Row],[instant]],Table1[instant],Table1[temp], ,0,1)</f>
        <v>0.04</v>
      </c>
      <c r="H504" s="24">
        <f>_xlfn.XLOOKUP(Table3[[#This Row],[instant]],Table2[instant],Table2[atemp], ,0,1)</f>
        <v>7.5800000000000006E-2</v>
      </c>
      <c r="I504" s="1">
        <f>_xlfn.XLOOKUP(Table3[[#This Row],[instant]],Table2[instant],Table2[hum], ,0,1)</f>
        <v>0.56999999999999995</v>
      </c>
      <c r="J504" s="1">
        <f>_xlfn.XLOOKUP(Table3[[#This Row],[instant]],Table2[instant],Table2[windspeed], ,0,1)</f>
        <v>0.1045</v>
      </c>
      <c r="K504" s="1">
        <f>_xlfn.XLOOKUP(Table3[[#This Row],[instant]],Table2[instant],Table2[casual], ,0,1)</f>
        <v>2</v>
      </c>
      <c r="L504" s="1">
        <f>_xlfn.XLOOKUP(Table3[[#This Row],[instant]],Table2[instant],Table2[registered], ,0,1)</f>
        <v>20</v>
      </c>
      <c r="M504" s="6">
        <f>_xlfn.XLOOKUP(Table3[[#This Row],[instant]],Table2[instant],Table2[cnt], ,0,1)</f>
        <v>22</v>
      </c>
      <c r="N504" s="6" t="str">
        <f>IF(OR(Table3[[#This Row],[weekday]]=0,Table3[[#This Row],[weekday]]=6),"Weekend","Weekday")</f>
        <v>Weekend</v>
      </c>
    </row>
    <row r="505" spans="1:14" ht="15" thickBot="1" x14ac:dyDescent="0.35">
      <c r="A505" s="10">
        <v>504</v>
      </c>
      <c r="B505" s="11">
        <f>_xlfn.XLOOKUP(Table3[[#This Row],[instant]],DatSet1!A505:A1114,DatSet1!B505:B1114,_xlfn.XLOOKUP(Table3[[#This Row],[instant]],'Final Data'!A505:A894,'Final Data'!B505:B894, ,0,1),0,1)</f>
        <v>40566</v>
      </c>
      <c r="C505" s="12">
        <f>_xlfn.XLOOKUP(Table3[[#This Row],[instant]],Table1[instant],Table1[hr], ,0,1)</f>
        <v>1</v>
      </c>
      <c r="D505" s="13" t="b">
        <f>_xlfn.XLOOKUP(Table3[[#This Row],[instant]],Table1[instant],Table1[holiday], ,0,1)</f>
        <v>0</v>
      </c>
      <c r="E505" s="2">
        <f>_xlfn.XLOOKUP(Table3[[#This Row],[instant]],Table1[instant],Table1[weekday], ,0,1)</f>
        <v>0</v>
      </c>
      <c r="F505" s="2">
        <f>_xlfn.XLOOKUP(Table3[[#This Row],[instant]],Table1[instant],Table1[weathersit], ,0,1)</f>
        <v>1</v>
      </c>
      <c r="G505" s="2">
        <f>_xlfn.XLOOKUP(Table3[[#This Row],[instant]],Table1[instant],Table1[temp], ,0,1)</f>
        <v>0.04</v>
      </c>
      <c r="H505" s="24">
        <f>_xlfn.XLOOKUP(Table3[[#This Row],[instant]],Table2[instant],Table2[atemp], ,0,1)</f>
        <v>7.5800000000000006E-2</v>
      </c>
      <c r="I505" s="1">
        <f>_xlfn.XLOOKUP(Table3[[#This Row],[instant]],Table2[instant],Table2[hum], ,0,1)</f>
        <v>0.56999999999999995</v>
      </c>
      <c r="J505" s="1">
        <f>_xlfn.XLOOKUP(Table3[[#This Row],[instant]],Table2[instant],Table2[windspeed], ,0,1)</f>
        <v>0.1045</v>
      </c>
      <c r="K505" s="1">
        <f>_xlfn.XLOOKUP(Table3[[#This Row],[instant]],Table2[instant],Table2[casual], ,0,1)</f>
        <v>1</v>
      </c>
      <c r="L505" s="1">
        <f>_xlfn.XLOOKUP(Table3[[#This Row],[instant]],Table2[instant],Table2[registered], ,0,1)</f>
        <v>12</v>
      </c>
      <c r="M505" s="6">
        <f>_xlfn.XLOOKUP(Table3[[#This Row],[instant]],Table2[instant],Table2[cnt], ,0,1)</f>
        <v>13</v>
      </c>
      <c r="N505" s="6" t="str">
        <f>IF(OR(Table3[[#This Row],[weekday]]=0,Table3[[#This Row],[weekday]]=6),"Weekend","Weekday")</f>
        <v>Weekend</v>
      </c>
    </row>
    <row r="506" spans="1:14" ht="15" thickBot="1" x14ac:dyDescent="0.35">
      <c r="A506" s="10">
        <v>505</v>
      </c>
      <c r="B506" s="11">
        <f>_xlfn.XLOOKUP(Table3[[#This Row],[instant]],DatSet1!A506:A1115,DatSet1!B506:B1115,_xlfn.XLOOKUP(Table3[[#This Row],[instant]],'Final Data'!A506:A895,'Final Data'!B506:B895, ,0,1),0,1)</f>
        <v>40566</v>
      </c>
      <c r="C506" s="12">
        <f>_xlfn.XLOOKUP(Table3[[#This Row],[instant]],Table1[instant],Table1[hr], ,0,1)</f>
        <v>2</v>
      </c>
      <c r="D506" s="13" t="b">
        <f>_xlfn.XLOOKUP(Table3[[#This Row],[instant]],Table1[instant],Table1[holiday], ,0,1)</f>
        <v>0</v>
      </c>
      <c r="E506" s="2">
        <f>_xlfn.XLOOKUP(Table3[[#This Row],[instant]],Table1[instant],Table1[weekday], ,0,1)</f>
        <v>0</v>
      </c>
      <c r="F506" s="2">
        <f>_xlfn.XLOOKUP(Table3[[#This Row],[instant]],Table1[instant],Table1[weathersit], ,0,1)</f>
        <v>1</v>
      </c>
      <c r="G506" s="2">
        <f>_xlfn.XLOOKUP(Table3[[#This Row],[instant]],Table1[instant],Table1[temp], ,0,1)</f>
        <v>0.02</v>
      </c>
      <c r="H506" s="24">
        <f>_xlfn.XLOOKUP(Table3[[#This Row],[instant]],Table2[instant],Table2[atemp], ,0,1)</f>
        <v>6.0600000000000001E-2</v>
      </c>
      <c r="I506" s="1">
        <f>_xlfn.XLOOKUP(Table3[[#This Row],[instant]],Table2[instant],Table2[hum], ,0,1)</f>
        <v>0.62</v>
      </c>
      <c r="J506" s="1">
        <f>_xlfn.XLOOKUP(Table3[[#This Row],[instant]],Table2[instant],Table2[windspeed], ,0,1)</f>
        <v>0.1343</v>
      </c>
      <c r="K506" s="1">
        <f>_xlfn.XLOOKUP(Table3[[#This Row],[instant]],Table2[instant],Table2[casual], ,0,1)</f>
        <v>3</v>
      </c>
      <c r="L506" s="1">
        <f>_xlfn.XLOOKUP(Table3[[#This Row],[instant]],Table2[instant],Table2[registered], ,0,1)</f>
        <v>15</v>
      </c>
      <c r="M506" s="6">
        <f>_xlfn.XLOOKUP(Table3[[#This Row],[instant]],Table2[instant],Table2[cnt], ,0,1)</f>
        <v>18</v>
      </c>
      <c r="N506" s="6" t="str">
        <f>IF(OR(Table3[[#This Row],[weekday]]=0,Table3[[#This Row],[weekday]]=6),"Weekend","Weekday")</f>
        <v>Weekend</v>
      </c>
    </row>
    <row r="507" spans="1:14" ht="15" thickBot="1" x14ac:dyDescent="0.35">
      <c r="A507" s="10">
        <v>506</v>
      </c>
      <c r="B507" s="11">
        <f>_xlfn.XLOOKUP(Table3[[#This Row],[instant]],DatSet1!A507:A1116,DatSet1!B507:B1116,_xlfn.XLOOKUP(Table3[[#This Row],[instant]],'Final Data'!A507:A896,'Final Data'!B507:B896, ,0,1),0,1)</f>
        <v>40566</v>
      </c>
      <c r="C507" s="12">
        <f>_xlfn.XLOOKUP(Table3[[#This Row],[instant]],Table1[instant],Table1[hr], ,0,1)</f>
        <v>3</v>
      </c>
      <c r="D507" s="13" t="b">
        <f>_xlfn.XLOOKUP(Table3[[#This Row],[instant]],Table1[instant],Table1[holiday], ,0,1)</f>
        <v>0</v>
      </c>
      <c r="E507" s="2">
        <f>_xlfn.XLOOKUP(Table3[[#This Row],[instant]],Table1[instant],Table1[weekday], ,0,1)</f>
        <v>0</v>
      </c>
      <c r="F507" s="2">
        <f>_xlfn.XLOOKUP(Table3[[#This Row],[instant]],Table1[instant],Table1[weathersit], ,0,1)</f>
        <v>1</v>
      </c>
      <c r="G507" s="2">
        <f>_xlfn.XLOOKUP(Table3[[#This Row],[instant]],Table1[instant],Table1[temp], ,0,1)</f>
        <v>0.02</v>
      </c>
      <c r="H507" s="24">
        <f>_xlfn.XLOOKUP(Table3[[#This Row],[instant]],Table2[instant],Table2[atemp], ,0,1)</f>
        <v>6.0600000000000001E-2</v>
      </c>
      <c r="I507" s="1">
        <f>_xlfn.XLOOKUP(Table3[[#This Row],[instant]],Table2[instant],Table2[hum], ,0,1)</f>
        <v>0.62</v>
      </c>
      <c r="J507" s="1">
        <f>_xlfn.XLOOKUP(Table3[[#This Row],[instant]],Table2[instant],Table2[windspeed], ,0,1)</f>
        <v>0.1343</v>
      </c>
      <c r="K507" s="1">
        <f>_xlfn.XLOOKUP(Table3[[#This Row],[instant]],Table2[instant],Table2[casual], ,0,1)</f>
        <v>1</v>
      </c>
      <c r="L507" s="1">
        <f>_xlfn.XLOOKUP(Table3[[#This Row],[instant]],Table2[instant],Table2[registered], ,0,1)</f>
        <v>4</v>
      </c>
      <c r="M507" s="6">
        <f>_xlfn.XLOOKUP(Table3[[#This Row],[instant]],Table2[instant],Table2[cnt], ,0,1)</f>
        <v>5</v>
      </c>
      <c r="N507" s="6" t="str">
        <f>IF(OR(Table3[[#This Row],[weekday]]=0,Table3[[#This Row],[weekday]]=6),"Weekend","Weekday")</f>
        <v>Weekend</v>
      </c>
    </row>
    <row r="508" spans="1:14" ht="15" thickBot="1" x14ac:dyDescent="0.35">
      <c r="A508" s="10">
        <v>507</v>
      </c>
      <c r="B508" s="11">
        <f>_xlfn.XLOOKUP(Table3[[#This Row],[instant]],DatSet1!A508:A1117,DatSet1!B508:B1117,_xlfn.XLOOKUP(Table3[[#This Row],[instant]],'Final Data'!A508:A897,'Final Data'!B508:B897, ,0,1),0,1)</f>
        <v>40566</v>
      </c>
      <c r="C508" s="12">
        <f>_xlfn.XLOOKUP(Table3[[#This Row],[instant]],Table1[instant],Table1[hr], ,0,1)</f>
        <v>5</v>
      </c>
      <c r="D508" s="13" t="b">
        <f>_xlfn.XLOOKUP(Table3[[#This Row],[instant]],Table1[instant],Table1[holiday], ,0,1)</f>
        <v>0</v>
      </c>
      <c r="E508" s="2">
        <f>_xlfn.XLOOKUP(Table3[[#This Row],[instant]],Table1[instant],Table1[weekday], ,0,1)</f>
        <v>0</v>
      </c>
      <c r="F508" s="2">
        <f>_xlfn.XLOOKUP(Table3[[#This Row],[instant]],Table1[instant],Table1[weathersit], ,0,1)</f>
        <v>2</v>
      </c>
      <c r="G508" s="2">
        <f>_xlfn.XLOOKUP(Table3[[#This Row],[instant]],Table1[instant],Table1[temp], ,0,1)</f>
        <v>0.04</v>
      </c>
      <c r="H508" s="24">
        <f>_xlfn.XLOOKUP(Table3[[#This Row],[instant]],Table2[instant],Table2[atemp], ,0,1)</f>
        <v>7.5800000000000006E-2</v>
      </c>
      <c r="I508" s="1">
        <f>_xlfn.XLOOKUP(Table3[[#This Row],[instant]],Table2[instant],Table2[hum], ,0,1)</f>
        <v>0.56999999999999995</v>
      </c>
      <c r="J508" s="1">
        <f>_xlfn.XLOOKUP(Table3[[#This Row],[instant]],Table2[instant],Table2[windspeed], ,0,1)</f>
        <v>0.1045</v>
      </c>
      <c r="K508" s="1">
        <f>_xlfn.XLOOKUP(Table3[[#This Row],[instant]],Table2[instant],Table2[casual], ,0,1)</f>
        <v>0</v>
      </c>
      <c r="L508" s="1">
        <f>_xlfn.XLOOKUP(Table3[[#This Row],[instant]],Table2[instant],Table2[registered], ,0,1)</f>
        <v>3</v>
      </c>
      <c r="M508" s="6">
        <f>_xlfn.XLOOKUP(Table3[[#This Row],[instant]],Table2[instant],Table2[cnt], ,0,1)</f>
        <v>3</v>
      </c>
      <c r="N508" s="6" t="str">
        <f>IF(OR(Table3[[#This Row],[weekday]]=0,Table3[[#This Row],[weekday]]=6),"Weekend","Weekday")</f>
        <v>Weekend</v>
      </c>
    </row>
    <row r="509" spans="1:14" ht="15" thickBot="1" x14ac:dyDescent="0.35">
      <c r="A509" s="10">
        <v>508</v>
      </c>
      <c r="B509" s="11">
        <f>_xlfn.XLOOKUP(Table3[[#This Row],[instant]],DatSet1!A509:A1118,DatSet1!B509:B1118,_xlfn.XLOOKUP(Table3[[#This Row],[instant]],'Final Data'!A509:A898,'Final Data'!B509:B898, ,0,1),0,1)</f>
        <v>40566</v>
      </c>
      <c r="C509" s="12">
        <f>_xlfn.XLOOKUP(Table3[[#This Row],[instant]],Table1[instant],Table1[hr], ,0,1)</f>
        <v>6</v>
      </c>
      <c r="D509" s="13" t="b">
        <f>_xlfn.XLOOKUP(Table3[[#This Row],[instant]],Table1[instant],Table1[holiday], ,0,1)</f>
        <v>0</v>
      </c>
      <c r="E509" s="2">
        <f>_xlfn.XLOOKUP(Table3[[#This Row],[instant]],Table1[instant],Table1[weekday], ,0,1)</f>
        <v>0</v>
      </c>
      <c r="F509" s="2">
        <f>_xlfn.XLOOKUP(Table3[[#This Row],[instant]],Table1[instant],Table1[weathersit], ,0,1)</f>
        <v>2</v>
      </c>
      <c r="G509" s="2">
        <f>_xlfn.XLOOKUP(Table3[[#This Row],[instant]],Table1[instant],Table1[temp], ,0,1)</f>
        <v>0.04</v>
      </c>
      <c r="H509" s="24">
        <f>_xlfn.XLOOKUP(Table3[[#This Row],[instant]],Table2[instant],Table2[atemp], ,0,1)</f>
        <v>7.5800000000000006E-2</v>
      </c>
      <c r="I509" s="1">
        <f>_xlfn.XLOOKUP(Table3[[#This Row],[instant]],Table2[instant],Table2[hum], ,0,1)</f>
        <v>0.56999999999999995</v>
      </c>
      <c r="J509" s="1">
        <f>_xlfn.XLOOKUP(Table3[[#This Row],[instant]],Table2[instant],Table2[windspeed], ,0,1)</f>
        <v>0.1045</v>
      </c>
      <c r="K509" s="1">
        <f>_xlfn.XLOOKUP(Table3[[#This Row],[instant]],Table2[instant],Table2[casual], ,0,1)</f>
        <v>0</v>
      </c>
      <c r="L509" s="1">
        <f>_xlfn.XLOOKUP(Table3[[#This Row],[instant]],Table2[instant],Table2[registered], ,0,1)</f>
        <v>1</v>
      </c>
      <c r="M509" s="6">
        <f>_xlfn.XLOOKUP(Table3[[#This Row],[instant]],Table2[instant],Table2[cnt], ,0,1)</f>
        <v>1</v>
      </c>
      <c r="N509" s="6" t="str">
        <f>IF(OR(Table3[[#This Row],[weekday]]=0,Table3[[#This Row],[weekday]]=6),"Weekend","Weekday")</f>
        <v>Weekend</v>
      </c>
    </row>
    <row r="510" spans="1:14" ht="15" thickBot="1" x14ac:dyDescent="0.35">
      <c r="A510" s="10">
        <v>509</v>
      </c>
      <c r="B510" s="11">
        <f>_xlfn.XLOOKUP(Table3[[#This Row],[instant]],DatSet1!A510:A1119,DatSet1!B510:B1119,_xlfn.XLOOKUP(Table3[[#This Row],[instant]],'Final Data'!A510:A899,'Final Data'!B510:B899, ,0,1),0,1)</f>
        <v>40566</v>
      </c>
      <c r="C510" s="12">
        <f>_xlfn.XLOOKUP(Table3[[#This Row],[instant]],Table1[instant],Table1[hr], ,0,1)</f>
        <v>7</v>
      </c>
      <c r="D510" s="13" t="b">
        <f>_xlfn.XLOOKUP(Table3[[#This Row],[instant]],Table1[instant],Table1[holiday], ,0,1)</f>
        <v>0</v>
      </c>
      <c r="E510" s="2">
        <f>_xlfn.XLOOKUP(Table3[[#This Row],[instant]],Table1[instant],Table1[weekday], ,0,1)</f>
        <v>0</v>
      </c>
      <c r="F510" s="2">
        <f>_xlfn.XLOOKUP(Table3[[#This Row],[instant]],Table1[instant],Table1[weathersit], ,0,1)</f>
        <v>1</v>
      </c>
      <c r="G510" s="2">
        <f>_xlfn.XLOOKUP(Table3[[#This Row],[instant]],Table1[instant],Table1[temp], ,0,1)</f>
        <v>0.08</v>
      </c>
      <c r="H510" s="24">
        <f>_xlfn.XLOOKUP(Table3[[#This Row],[instant]],Table2[instant],Table2[atemp], ,0,1)</f>
        <v>0.1061</v>
      </c>
      <c r="I510" s="1">
        <f>_xlfn.XLOOKUP(Table3[[#This Row],[instant]],Table2[instant],Table2[hum], ,0,1)</f>
        <v>0.57999999999999996</v>
      </c>
      <c r="J510" s="1">
        <f>_xlfn.XLOOKUP(Table3[[#This Row],[instant]],Table2[instant],Table2[windspeed], ,0,1)</f>
        <v>0.16420000000000001</v>
      </c>
      <c r="K510" s="1">
        <f>_xlfn.XLOOKUP(Table3[[#This Row],[instant]],Table2[instant],Table2[casual], ,0,1)</f>
        <v>1</v>
      </c>
      <c r="L510" s="1">
        <f>_xlfn.XLOOKUP(Table3[[#This Row],[instant]],Table2[instant],Table2[registered], ,0,1)</f>
        <v>1</v>
      </c>
      <c r="M510" s="6">
        <f>_xlfn.XLOOKUP(Table3[[#This Row],[instant]],Table2[instant],Table2[cnt], ,0,1)</f>
        <v>2</v>
      </c>
      <c r="N510" s="6" t="str">
        <f>IF(OR(Table3[[#This Row],[weekday]]=0,Table3[[#This Row],[weekday]]=6),"Weekend","Weekday")</f>
        <v>Weekend</v>
      </c>
    </row>
    <row r="511" spans="1:14" ht="15" thickBot="1" x14ac:dyDescent="0.35">
      <c r="A511" s="10">
        <v>510</v>
      </c>
      <c r="B511" s="11">
        <f>_xlfn.XLOOKUP(Table3[[#This Row],[instant]],DatSet1!A511:A1120,DatSet1!B511:B1120,_xlfn.XLOOKUP(Table3[[#This Row],[instant]],'Final Data'!A511:A900,'Final Data'!B511:B900, ,0,1),0,1)</f>
        <v>40566</v>
      </c>
      <c r="C511" s="12">
        <f>_xlfn.XLOOKUP(Table3[[#This Row],[instant]],Table1[instant],Table1[hr], ,0,1)</f>
        <v>8</v>
      </c>
      <c r="D511" s="13" t="b">
        <f>_xlfn.XLOOKUP(Table3[[#This Row],[instant]],Table1[instant],Table1[holiday], ,0,1)</f>
        <v>0</v>
      </c>
      <c r="E511" s="2">
        <f>_xlfn.XLOOKUP(Table3[[#This Row],[instant]],Table1[instant],Table1[weekday], ,0,1)</f>
        <v>0</v>
      </c>
      <c r="F511" s="2">
        <f>_xlfn.XLOOKUP(Table3[[#This Row],[instant]],Table1[instant],Table1[weathersit], ,0,1)</f>
        <v>1</v>
      </c>
      <c r="G511" s="2">
        <f>_xlfn.XLOOKUP(Table3[[#This Row],[instant]],Table1[instant],Table1[temp], ,0,1)</f>
        <v>0.06</v>
      </c>
      <c r="H511" s="24">
        <f>_xlfn.XLOOKUP(Table3[[#This Row],[instant]],Table2[instant],Table2[atemp], ,0,1)</f>
        <v>7.5800000000000006E-2</v>
      </c>
      <c r="I511" s="1">
        <f>_xlfn.XLOOKUP(Table3[[#This Row],[instant]],Table2[instant],Table2[hum], ,0,1)</f>
        <v>0.62</v>
      </c>
      <c r="J511" s="1">
        <f>_xlfn.XLOOKUP(Table3[[#This Row],[instant]],Table2[instant],Table2[windspeed], ,0,1)</f>
        <v>0.16420000000000001</v>
      </c>
      <c r="K511" s="1">
        <f>_xlfn.XLOOKUP(Table3[[#This Row],[instant]],Table2[instant],Table2[casual], ,0,1)</f>
        <v>2</v>
      </c>
      <c r="L511" s="1">
        <f>_xlfn.XLOOKUP(Table3[[#This Row],[instant]],Table2[instant],Table2[registered], ,0,1)</f>
        <v>17</v>
      </c>
      <c r="M511" s="6">
        <f>_xlfn.XLOOKUP(Table3[[#This Row],[instant]],Table2[instant],Table2[cnt], ,0,1)</f>
        <v>19</v>
      </c>
      <c r="N511" s="6" t="str">
        <f>IF(OR(Table3[[#This Row],[weekday]]=0,Table3[[#This Row],[weekday]]=6),"Weekend","Weekday")</f>
        <v>Weekend</v>
      </c>
    </row>
    <row r="512" spans="1:14" ht="15" thickBot="1" x14ac:dyDescent="0.35">
      <c r="A512" s="10">
        <v>511</v>
      </c>
      <c r="B512" s="11">
        <f>_xlfn.XLOOKUP(Table3[[#This Row],[instant]],DatSet1!A512:A1121,DatSet1!B512:B1121,_xlfn.XLOOKUP(Table3[[#This Row],[instant]],'Final Data'!A512:A901,'Final Data'!B512:B901, ,0,1),0,1)</f>
        <v>40566</v>
      </c>
      <c r="C512" s="12">
        <f>_xlfn.XLOOKUP(Table3[[#This Row],[instant]],Table1[instant],Table1[hr], ,0,1)</f>
        <v>9</v>
      </c>
      <c r="D512" s="13" t="b">
        <f>_xlfn.XLOOKUP(Table3[[#This Row],[instant]],Table1[instant],Table1[holiday], ,0,1)</f>
        <v>0</v>
      </c>
      <c r="E512" s="2">
        <f>_xlfn.XLOOKUP(Table3[[#This Row],[instant]],Table1[instant],Table1[weekday], ,0,1)</f>
        <v>0</v>
      </c>
      <c r="F512" s="2">
        <f>_xlfn.XLOOKUP(Table3[[#This Row],[instant]],Table1[instant],Table1[weathersit], ,0,1)</f>
        <v>1</v>
      </c>
      <c r="G512" s="2">
        <f>_xlfn.XLOOKUP(Table3[[#This Row],[instant]],Table1[instant],Table1[temp], ,0,1)</f>
        <v>0.1</v>
      </c>
      <c r="H512" s="24">
        <f>_xlfn.XLOOKUP(Table3[[#This Row],[instant]],Table2[instant],Table2[atemp], ,0,1)</f>
        <v>7.5800000000000006E-2</v>
      </c>
      <c r="I512" s="1">
        <f>_xlfn.XLOOKUP(Table3[[#This Row],[instant]],Table2[instant],Table2[hum], ,0,1)</f>
        <v>0.54</v>
      </c>
      <c r="J512" s="1">
        <f>_xlfn.XLOOKUP(Table3[[#This Row],[instant]],Table2[instant],Table2[windspeed], ,0,1)</f>
        <v>0.35820000000000002</v>
      </c>
      <c r="K512" s="1">
        <f>_xlfn.XLOOKUP(Table3[[#This Row],[instant]],Table2[instant],Table2[casual], ,0,1)</f>
        <v>3</v>
      </c>
      <c r="L512" s="1">
        <f>_xlfn.XLOOKUP(Table3[[#This Row],[instant]],Table2[instant],Table2[registered], ,0,1)</f>
        <v>25</v>
      </c>
      <c r="M512" s="6">
        <f>_xlfn.XLOOKUP(Table3[[#This Row],[instant]],Table2[instant],Table2[cnt], ,0,1)</f>
        <v>28</v>
      </c>
      <c r="N512" s="6" t="str">
        <f>IF(OR(Table3[[#This Row],[weekday]]=0,Table3[[#This Row],[weekday]]=6),"Weekend","Weekday")</f>
        <v>Weekend</v>
      </c>
    </row>
    <row r="513" spans="1:14" ht="15" thickBot="1" x14ac:dyDescent="0.35">
      <c r="A513" s="10">
        <v>512</v>
      </c>
      <c r="B513" s="11">
        <f>_xlfn.XLOOKUP(Table3[[#This Row],[instant]],DatSet1!A513:A1122,DatSet1!B513:B1122,_xlfn.XLOOKUP(Table3[[#This Row],[instant]],'Final Data'!A513:A902,'Final Data'!B513:B902, ,0,1),0,1)</f>
        <v>40566</v>
      </c>
      <c r="C513" s="12">
        <f>_xlfn.XLOOKUP(Table3[[#This Row],[instant]],Table1[instant],Table1[hr], ,0,1)</f>
        <v>10</v>
      </c>
      <c r="D513" s="13" t="b">
        <f>_xlfn.XLOOKUP(Table3[[#This Row],[instant]],Table1[instant],Table1[holiday], ,0,1)</f>
        <v>0</v>
      </c>
      <c r="E513" s="2">
        <f>_xlfn.XLOOKUP(Table3[[#This Row],[instant]],Table1[instant],Table1[weekday], ,0,1)</f>
        <v>0</v>
      </c>
      <c r="F513" s="2">
        <f>_xlfn.XLOOKUP(Table3[[#This Row],[instant]],Table1[instant],Table1[weathersit], ,0,1)</f>
        <v>1</v>
      </c>
      <c r="G513" s="2">
        <f>_xlfn.XLOOKUP(Table3[[#This Row],[instant]],Table1[instant],Table1[temp], ,0,1)</f>
        <v>0.14000000000000001</v>
      </c>
      <c r="H513" s="24">
        <f>_xlfn.XLOOKUP(Table3[[#This Row],[instant]],Table2[instant],Table2[atemp], ,0,1)</f>
        <v>0.1061</v>
      </c>
      <c r="I513" s="1">
        <f>_xlfn.XLOOKUP(Table3[[#This Row],[instant]],Table2[instant],Table2[hum], ,0,1)</f>
        <v>0.46</v>
      </c>
      <c r="J513" s="1">
        <f>_xlfn.XLOOKUP(Table3[[#This Row],[instant]],Table2[instant],Table2[windspeed], ,0,1)</f>
        <v>0.3881</v>
      </c>
      <c r="K513" s="1">
        <f>_xlfn.XLOOKUP(Table3[[#This Row],[instant]],Table2[instant],Table2[casual], ,0,1)</f>
        <v>7</v>
      </c>
      <c r="L513" s="1">
        <f>_xlfn.XLOOKUP(Table3[[#This Row],[instant]],Table2[instant],Table2[registered], ,0,1)</f>
        <v>51</v>
      </c>
      <c r="M513" s="6">
        <f>_xlfn.XLOOKUP(Table3[[#This Row],[instant]],Table2[instant],Table2[cnt], ,0,1)</f>
        <v>58</v>
      </c>
      <c r="N513" s="6" t="str">
        <f>IF(OR(Table3[[#This Row],[weekday]]=0,Table3[[#This Row],[weekday]]=6),"Weekend","Weekday")</f>
        <v>Weekend</v>
      </c>
    </row>
    <row r="514" spans="1:14" ht="15" thickBot="1" x14ac:dyDescent="0.35">
      <c r="A514" s="10">
        <v>513</v>
      </c>
      <c r="B514" s="11">
        <f>_xlfn.XLOOKUP(Table3[[#This Row],[instant]],DatSet1!A514:A1123,DatSet1!B514:B1123,_xlfn.XLOOKUP(Table3[[#This Row],[instant]],'Final Data'!A514:A903,'Final Data'!B514:B903, ,0,1),0,1)</f>
        <v>40566</v>
      </c>
      <c r="C514" s="12">
        <f>_xlfn.XLOOKUP(Table3[[#This Row],[instant]],Table1[instant],Table1[hr], ,0,1)</f>
        <v>11</v>
      </c>
      <c r="D514" s="13" t="b">
        <f>_xlfn.XLOOKUP(Table3[[#This Row],[instant]],Table1[instant],Table1[holiday], ,0,1)</f>
        <v>0</v>
      </c>
      <c r="E514" s="2">
        <f>_xlfn.XLOOKUP(Table3[[#This Row],[instant]],Table1[instant],Table1[weekday], ,0,1)</f>
        <v>0</v>
      </c>
      <c r="F514" s="2">
        <f>_xlfn.XLOOKUP(Table3[[#This Row],[instant]],Table1[instant],Table1[weathersit], ,0,1)</f>
        <v>1</v>
      </c>
      <c r="G514" s="2">
        <f>_xlfn.XLOOKUP(Table3[[#This Row],[instant]],Table1[instant],Table1[temp], ,0,1)</f>
        <v>0.14000000000000001</v>
      </c>
      <c r="H514" s="24">
        <f>_xlfn.XLOOKUP(Table3[[#This Row],[instant]],Table2[instant],Table2[atemp], ,0,1)</f>
        <v>0.13639999999999999</v>
      </c>
      <c r="I514" s="1">
        <f>_xlfn.XLOOKUP(Table3[[#This Row],[instant]],Table2[instant],Table2[hum], ,0,1)</f>
        <v>0.43</v>
      </c>
      <c r="J514" s="1">
        <f>_xlfn.XLOOKUP(Table3[[#This Row],[instant]],Table2[instant],Table2[windspeed], ,0,1)</f>
        <v>0.22389999999999999</v>
      </c>
      <c r="K514" s="1">
        <f>_xlfn.XLOOKUP(Table3[[#This Row],[instant]],Table2[instant],Table2[casual], ,0,1)</f>
        <v>22</v>
      </c>
      <c r="L514" s="1">
        <f>_xlfn.XLOOKUP(Table3[[#This Row],[instant]],Table2[instant],Table2[registered], ,0,1)</f>
        <v>77</v>
      </c>
      <c r="M514" s="6">
        <f>_xlfn.XLOOKUP(Table3[[#This Row],[instant]],Table2[instant],Table2[cnt], ,0,1)</f>
        <v>99</v>
      </c>
      <c r="N514" s="6" t="str">
        <f>IF(OR(Table3[[#This Row],[weekday]]=0,Table3[[#This Row],[weekday]]=6),"Weekend","Weekday")</f>
        <v>Weekend</v>
      </c>
    </row>
    <row r="515" spans="1:14" ht="15" thickBot="1" x14ac:dyDescent="0.35">
      <c r="A515" s="10">
        <v>514</v>
      </c>
      <c r="B515" s="11">
        <f>_xlfn.XLOOKUP(Table3[[#This Row],[instant]],DatSet1!A515:A1124,DatSet1!B515:B1124,_xlfn.XLOOKUP(Table3[[#This Row],[instant]],'Final Data'!A515:A904,'Final Data'!B515:B904, ,0,1),0,1)</f>
        <v>40566</v>
      </c>
      <c r="C515" s="12">
        <f>_xlfn.XLOOKUP(Table3[[#This Row],[instant]],Table1[instant],Table1[hr], ,0,1)</f>
        <v>12</v>
      </c>
      <c r="D515" s="13" t="b">
        <f>_xlfn.XLOOKUP(Table3[[#This Row],[instant]],Table1[instant],Table1[holiday], ,0,1)</f>
        <v>0</v>
      </c>
      <c r="E515" s="2">
        <f>_xlfn.XLOOKUP(Table3[[#This Row],[instant]],Table1[instant],Table1[weekday], ,0,1)</f>
        <v>0</v>
      </c>
      <c r="F515" s="2">
        <f>_xlfn.XLOOKUP(Table3[[#This Row],[instant]],Table1[instant],Table1[weathersit], ,0,1)</f>
        <v>1</v>
      </c>
      <c r="G515" s="2">
        <f>_xlfn.XLOOKUP(Table3[[#This Row],[instant]],Table1[instant],Table1[temp], ,0,1)</f>
        <v>0.16</v>
      </c>
      <c r="H515" s="24">
        <f>_xlfn.XLOOKUP(Table3[[#This Row],[instant]],Table2[instant],Table2[atemp], ,0,1)</f>
        <v>0.1212</v>
      </c>
      <c r="I515" s="1">
        <f>_xlfn.XLOOKUP(Table3[[#This Row],[instant]],Table2[instant],Table2[hum], ,0,1)</f>
        <v>0.37</v>
      </c>
      <c r="J515" s="1">
        <f>_xlfn.XLOOKUP(Table3[[#This Row],[instant]],Table2[instant],Table2[windspeed], ,0,1)</f>
        <v>0.4627</v>
      </c>
      <c r="K515" s="1">
        <f>_xlfn.XLOOKUP(Table3[[#This Row],[instant]],Table2[instant],Table2[casual], ,0,1)</f>
        <v>24</v>
      </c>
      <c r="L515" s="1">
        <f>_xlfn.XLOOKUP(Table3[[#This Row],[instant]],Table2[instant],Table2[registered], ,0,1)</f>
        <v>92</v>
      </c>
      <c r="M515" s="6">
        <f>_xlfn.XLOOKUP(Table3[[#This Row],[instant]],Table2[instant],Table2[cnt], ,0,1)</f>
        <v>116</v>
      </c>
      <c r="N515" s="6" t="str">
        <f>IF(OR(Table3[[#This Row],[weekday]]=0,Table3[[#This Row],[weekday]]=6),"Weekend","Weekday")</f>
        <v>Weekend</v>
      </c>
    </row>
    <row r="516" spans="1:14" ht="15" thickBot="1" x14ac:dyDescent="0.35">
      <c r="A516" s="10">
        <v>515</v>
      </c>
      <c r="B516" s="11">
        <f>_xlfn.XLOOKUP(Table3[[#This Row],[instant]],DatSet1!A516:A1125,DatSet1!B516:B1125,_xlfn.XLOOKUP(Table3[[#This Row],[instant]],'Final Data'!A516:A905,'Final Data'!B516:B905, ,0,1),0,1)</f>
        <v>40566</v>
      </c>
      <c r="C516" s="12">
        <f>_xlfn.XLOOKUP(Table3[[#This Row],[instant]],Table1[instant],Table1[hr], ,0,1)</f>
        <v>13</v>
      </c>
      <c r="D516" s="13" t="b">
        <f>_xlfn.XLOOKUP(Table3[[#This Row],[instant]],Table1[instant],Table1[holiday], ,0,1)</f>
        <v>0</v>
      </c>
      <c r="E516" s="2">
        <f>_xlfn.XLOOKUP(Table3[[#This Row],[instant]],Table1[instant],Table1[weekday], ,0,1)</f>
        <v>0</v>
      </c>
      <c r="F516" s="2">
        <f>_xlfn.XLOOKUP(Table3[[#This Row],[instant]],Table1[instant],Table1[weathersit], ,0,1)</f>
        <v>1</v>
      </c>
      <c r="G516" s="2">
        <f>_xlfn.XLOOKUP(Table3[[#This Row],[instant]],Table1[instant],Table1[temp], ,0,1)</f>
        <v>0.14000000000000001</v>
      </c>
      <c r="H516" s="24">
        <f>_xlfn.XLOOKUP(Table3[[#This Row],[instant]],Table2[instant],Table2[atemp], ,0,1)</f>
        <v>0.1061</v>
      </c>
      <c r="I516" s="1">
        <f>_xlfn.XLOOKUP(Table3[[#This Row],[instant]],Table2[instant],Table2[hum], ,0,1)</f>
        <v>0.33</v>
      </c>
      <c r="J516" s="1">
        <f>_xlfn.XLOOKUP(Table3[[#This Row],[instant]],Table2[instant],Table2[windspeed], ,0,1)</f>
        <v>0.3881</v>
      </c>
      <c r="K516" s="1">
        <f>_xlfn.XLOOKUP(Table3[[#This Row],[instant]],Table2[instant],Table2[casual], ,0,1)</f>
        <v>12</v>
      </c>
      <c r="L516" s="1">
        <f>_xlfn.XLOOKUP(Table3[[#This Row],[instant]],Table2[instant],Table2[registered], ,0,1)</f>
        <v>75</v>
      </c>
      <c r="M516" s="6">
        <f>_xlfn.XLOOKUP(Table3[[#This Row],[instant]],Table2[instant],Table2[cnt], ,0,1)</f>
        <v>87</v>
      </c>
      <c r="N516" s="6" t="str">
        <f>IF(OR(Table3[[#This Row],[weekday]]=0,Table3[[#This Row],[weekday]]=6),"Weekend","Weekday")</f>
        <v>Weekend</v>
      </c>
    </row>
    <row r="517" spans="1:14" ht="15" thickBot="1" x14ac:dyDescent="0.35">
      <c r="A517" s="10">
        <v>516</v>
      </c>
      <c r="B517" s="11">
        <f>_xlfn.XLOOKUP(Table3[[#This Row],[instant]],DatSet1!A517:A1126,DatSet1!B517:B1126,_xlfn.XLOOKUP(Table3[[#This Row],[instant]],'Final Data'!A517:A906,'Final Data'!B517:B906, ,0,1),0,1)</f>
        <v>40566</v>
      </c>
      <c r="C517" s="12">
        <f>_xlfn.XLOOKUP(Table3[[#This Row],[instant]],Table1[instant],Table1[hr], ,0,1)</f>
        <v>14</v>
      </c>
      <c r="D517" s="13" t="b">
        <f>_xlfn.XLOOKUP(Table3[[#This Row],[instant]],Table1[instant],Table1[holiday], ,0,1)</f>
        <v>0</v>
      </c>
      <c r="E517" s="2">
        <f>_xlfn.XLOOKUP(Table3[[#This Row],[instant]],Table1[instant],Table1[weekday], ,0,1)</f>
        <v>0</v>
      </c>
      <c r="F517" s="2">
        <f>_xlfn.XLOOKUP(Table3[[#This Row],[instant]],Table1[instant],Table1[weathersit], ,0,1)</f>
        <v>1</v>
      </c>
      <c r="G517" s="2">
        <f>_xlfn.XLOOKUP(Table3[[#This Row],[instant]],Table1[instant],Table1[temp], ,0,1)</f>
        <v>0.16</v>
      </c>
      <c r="H517" s="24">
        <f>_xlfn.XLOOKUP(Table3[[#This Row],[instant]],Table2[instant],Table2[atemp], ,0,1)</f>
        <v>0.13639999999999999</v>
      </c>
      <c r="I517" s="1">
        <f>_xlfn.XLOOKUP(Table3[[#This Row],[instant]],Table2[instant],Table2[hum], ,0,1)</f>
        <v>0.28000000000000003</v>
      </c>
      <c r="J517" s="1">
        <f>_xlfn.XLOOKUP(Table3[[#This Row],[instant]],Table2[instant],Table2[windspeed], ,0,1)</f>
        <v>0.35820000000000002</v>
      </c>
      <c r="K517" s="1">
        <f>_xlfn.XLOOKUP(Table3[[#This Row],[instant]],Table2[instant],Table2[casual], ,0,1)</f>
        <v>17</v>
      </c>
      <c r="L517" s="1">
        <f>_xlfn.XLOOKUP(Table3[[#This Row],[instant]],Table2[instant],Table2[registered], ,0,1)</f>
        <v>93</v>
      </c>
      <c r="M517" s="6">
        <f>_xlfn.XLOOKUP(Table3[[#This Row],[instant]],Table2[instant],Table2[cnt], ,0,1)</f>
        <v>110</v>
      </c>
      <c r="N517" s="6" t="str">
        <f>IF(OR(Table3[[#This Row],[weekday]]=0,Table3[[#This Row],[weekday]]=6),"Weekend","Weekday")</f>
        <v>Weekend</v>
      </c>
    </row>
    <row r="518" spans="1:14" ht="15" thickBot="1" x14ac:dyDescent="0.35">
      <c r="A518" s="10">
        <v>517</v>
      </c>
      <c r="B518" s="11">
        <f>_xlfn.XLOOKUP(Table3[[#This Row],[instant]],DatSet1!A518:A1127,DatSet1!B518:B1127,_xlfn.XLOOKUP(Table3[[#This Row],[instant]],'Final Data'!A518:A907,'Final Data'!B518:B907, ,0,1),0,1)</f>
        <v>40566</v>
      </c>
      <c r="C518" s="12">
        <f>_xlfn.XLOOKUP(Table3[[#This Row],[instant]],Table1[instant],Table1[hr], ,0,1)</f>
        <v>15</v>
      </c>
      <c r="D518" s="13" t="b">
        <f>_xlfn.XLOOKUP(Table3[[#This Row],[instant]],Table1[instant],Table1[holiday], ,0,1)</f>
        <v>0</v>
      </c>
      <c r="E518" s="2">
        <f>_xlfn.XLOOKUP(Table3[[#This Row],[instant]],Table1[instant],Table1[weekday], ,0,1)</f>
        <v>0</v>
      </c>
      <c r="F518" s="2">
        <f>_xlfn.XLOOKUP(Table3[[#This Row],[instant]],Table1[instant],Table1[weathersit], ,0,1)</f>
        <v>1</v>
      </c>
      <c r="G518" s="2">
        <f>_xlfn.XLOOKUP(Table3[[#This Row],[instant]],Table1[instant],Table1[temp], ,0,1)</f>
        <v>0.16</v>
      </c>
      <c r="H518" s="24">
        <f>_xlfn.XLOOKUP(Table3[[#This Row],[instant]],Table2[instant],Table2[atemp], ,0,1)</f>
        <v>0.13639999999999999</v>
      </c>
      <c r="I518" s="1">
        <f>_xlfn.XLOOKUP(Table3[[#This Row],[instant]],Table2[instant],Table2[hum], ,0,1)</f>
        <v>0.28000000000000003</v>
      </c>
      <c r="J518" s="1">
        <f>_xlfn.XLOOKUP(Table3[[#This Row],[instant]],Table2[instant],Table2[windspeed], ,0,1)</f>
        <v>0.35820000000000002</v>
      </c>
      <c r="K518" s="1">
        <f>_xlfn.XLOOKUP(Table3[[#This Row],[instant]],Table2[instant],Table2[casual], ,0,1)</f>
        <v>13</v>
      </c>
      <c r="L518" s="1">
        <f>_xlfn.XLOOKUP(Table3[[#This Row],[instant]],Table2[instant],Table2[registered], ,0,1)</f>
        <v>64</v>
      </c>
      <c r="M518" s="6">
        <f>_xlfn.XLOOKUP(Table3[[#This Row],[instant]],Table2[instant],Table2[cnt], ,0,1)</f>
        <v>77</v>
      </c>
      <c r="N518" s="6" t="str">
        <f>IF(OR(Table3[[#This Row],[weekday]]=0,Table3[[#This Row],[weekday]]=6),"Weekend","Weekday")</f>
        <v>Weekend</v>
      </c>
    </row>
    <row r="519" spans="1:14" ht="15" thickBot="1" x14ac:dyDescent="0.35">
      <c r="A519" s="10">
        <v>518</v>
      </c>
      <c r="B519" s="11">
        <f>_xlfn.XLOOKUP(Table3[[#This Row],[instant]],DatSet1!A519:A1128,DatSet1!B519:B1128,_xlfn.XLOOKUP(Table3[[#This Row],[instant]],'Final Data'!A519:A908,'Final Data'!B519:B908, ,0,1),0,1)</f>
        <v>40566</v>
      </c>
      <c r="C519" s="12">
        <f>_xlfn.XLOOKUP(Table3[[#This Row],[instant]],Table1[instant],Table1[hr], ,0,1)</f>
        <v>16</v>
      </c>
      <c r="D519" s="13" t="b">
        <f>_xlfn.XLOOKUP(Table3[[#This Row],[instant]],Table1[instant],Table1[holiday], ,0,1)</f>
        <v>0</v>
      </c>
      <c r="E519" s="2">
        <f>_xlfn.XLOOKUP(Table3[[#This Row],[instant]],Table1[instant],Table1[weekday], ,0,1)</f>
        <v>0</v>
      </c>
      <c r="F519" s="2">
        <f>_xlfn.XLOOKUP(Table3[[#This Row],[instant]],Table1[instant],Table1[weathersit], ,0,1)</f>
        <v>1</v>
      </c>
      <c r="G519" s="2">
        <f>_xlfn.XLOOKUP(Table3[[#This Row],[instant]],Table1[instant],Table1[temp], ,0,1)</f>
        <v>0.16</v>
      </c>
      <c r="H519" s="24">
        <f>_xlfn.XLOOKUP(Table3[[#This Row],[instant]],Table2[instant],Table2[atemp], ,0,1)</f>
        <v>0.13639999999999999</v>
      </c>
      <c r="I519" s="1">
        <f>_xlfn.XLOOKUP(Table3[[#This Row],[instant]],Table2[instant],Table2[hum], ,0,1)</f>
        <v>0.26</v>
      </c>
      <c r="J519" s="1">
        <f>_xlfn.XLOOKUP(Table3[[#This Row],[instant]],Table2[instant],Table2[windspeed], ,0,1)</f>
        <v>0.32840000000000003</v>
      </c>
      <c r="K519" s="1">
        <f>_xlfn.XLOOKUP(Table3[[#This Row],[instant]],Table2[instant],Table2[casual], ,0,1)</f>
        <v>9</v>
      </c>
      <c r="L519" s="1">
        <f>_xlfn.XLOOKUP(Table3[[#This Row],[instant]],Table2[instant],Table2[registered], ,0,1)</f>
        <v>56</v>
      </c>
      <c r="M519" s="6">
        <f>_xlfn.XLOOKUP(Table3[[#This Row],[instant]],Table2[instant],Table2[cnt], ,0,1)</f>
        <v>65</v>
      </c>
      <c r="N519" s="6" t="str">
        <f>IF(OR(Table3[[#This Row],[weekday]]=0,Table3[[#This Row],[weekday]]=6),"Weekend","Weekday")</f>
        <v>Weekend</v>
      </c>
    </row>
    <row r="520" spans="1:14" ht="15" thickBot="1" x14ac:dyDescent="0.35">
      <c r="A520" s="10">
        <v>519</v>
      </c>
      <c r="B520" s="11">
        <f>_xlfn.XLOOKUP(Table3[[#This Row],[instant]],DatSet1!A520:A1129,DatSet1!B520:B1129,_xlfn.XLOOKUP(Table3[[#This Row],[instant]],'Final Data'!A520:A909,'Final Data'!B520:B909, ,0,1),0,1)</f>
        <v>40566</v>
      </c>
      <c r="C520" s="12">
        <f>_xlfn.XLOOKUP(Table3[[#This Row],[instant]],Table1[instant],Table1[hr], ,0,1)</f>
        <v>17</v>
      </c>
      <c r="D520" s="13" t="b">
        <f>_xlfn.XLOOKUP(Table3[[#This Row],[instant]],Table1[instant],Table1[holiday], ,0,1)</f>
        <v>0</v>
      </c>
      <c r="E520" s="2">
        <f>_xlfn.XLOOKUP(Table3[[#This Row],[instant]],Table1[instant],Table1[weekday], ,0,1)</f>
        <v>0</v>
      </c>
      <c r="F520" s="2">
        <f>_xlfn.XLOOKUP(Table3[[#This Row],[instant]],Table1[instant],Table1[weathersit], ,0,1)</f>
        <v>1</v>
      </c>
      <c r="G520" s="2">
        <f>_xlfn.XLOOKUP(Table3[[#This Row],[instant]],Table1[instant],Table1[temp], ,0,1)</f>
        <v>0.14000000000000001</v>
      </c>
      <c r="H520" s="24">
        <f>_xlfn.XLOOKUP(Table3[[#This Row],[instant]],Table2[instant],Table2[atemp], ,0,1)</f>
        <v>0.1061</v>
      </c>
      <c r="I520" s="1">
        <f>_xlfn.XLOOKUP(Table3[[#This Row],[instant]],Table2[instant],Table2[hum], ,0,1)</f>
        <v>0.26</v>
      </c>
      <c r="J520" s="1">
        <f>_xlfn.XLOOKUP(Table3[[#This Row],[instant]],Table2[instant],Table2[windspeed], ,0,1)</f>
        <v>0.3881</v>
      </c>
      <c r="K520" s="1">
        <f>_xlfn.XLOOKUP(Table3[[#This Row],[instant]],Table2[instant],Table2[casual], ,0,1)</f>
        <v>5</v>
      </c>
      <c r="L520" s="1">
        <f>_xlfn.XLOOKUP(Table3[[#This Row],[instant]],Table2[instant],Table2[registered], ,0,1)</f>
        <v>50</v>
      </c>
      <c r="M520" s="6">
        <f>_xlfn.XLOOKUP(Table3[[#This Row],[instant]],Table2[instant],Table2[cnt], ,0,1)</f>
        <v>55</v>
      </c>
      <c r="N520" s="6" t="str">
        <f>IF(OR(Table3[[#This Row],[weekday]]=0,Table3[[#This Row],[weekday]]=6),"Weekend","Weekday")</f>
        <v>Weekend</v>
      </c>
    </row>
    <row r="521" spans="1:14" ht="15" thickBot="1" x14ac:dyDescent="0.35">
      <c r="A521" s="10">
        <v>520</v>
      </c>
      <c r="B521" s="11">
        <f>_xlfn.XLOOKUP(Table3[[#This Row],[instant]],DatSet1!A521:A1130,DatSet1!B521:B1130,_xlfn.XLOOKUP(Table3[[#This Row],[instant]],'Final Data'!A521:A910,'Final Data'!B521:B910, ,0,1),0,1)</f>
        <v>40566</v>
      </c>
      <c r="C521" s="12">
        <f>_xlfn.XLOOKUP(Table3[[#This Row],[instant]],Table1[instant],Table1[hr], ,0,1)</f>
        <v>18</v>
      </c>
      <c r="D521" s="13" t="b">
        <f>_xlfn.XLOOKUP(Table3[[#This Row],[instant]],Table1[instant],Table1[holiday], ,0,1)</f>
        <v>0</v>
      </c>
      <c r="E521" s="2">
        <f>_xlfn.XLOOKUP(Table3[[#This Row],[instant]],Table1[instant],Table1[weekday], ,0,1)</f>
        <v>0</v>
      </c>
      <c r="F521" s="2">
        <f>_xlfn.XLOOKUP(Table3[[#This Row],[instant]],Table1[instant],Table1[weathersit], ,0,1)</f>
        <v>1</v>
      </c>
      <c r="G521" s="2">
        <f>_xlfn.XLOOKUP(Table3[[#This Row],[instant]],Table1[instant],Table1[temp], ,0,1)</f>
        <v>0.12</v>
      </c>
      <c r="H521" s="24">
        <f>_xlfn.XLOOKUP(Table3[[#This Row],[instant]],Table2[instant],Table2[atemp], ,0,1)</f>
        <v>0.1212</v>
      </c>
      <c r="I521" s="1">
        <f>_xlfn.XLOOKUP(Table3[[#This Row],[instant]],Table2[instant],Table2[hum], ,0,1)</f>
        <v>0.3</v>
      </c>
      <c r="J521" s="1">
        <f>_xlfn.XLOOKUP(Table3[[#This Row],[instant]],Table2[instant],Table2[windspeed], ,0,1)</f>
        <v>0.25369999999999998</v>
      </c>
      <c r="K521" s="1">
        <f>_xlfn.XLOOKUP(Table3[[#This Row],[instant]],Table2[instant],Table2[casual], ,0,1)</f>
        <v>5</v>
      </c>
      <c r="L521" s="1">
        <f>_xlfn.XLOOKUP(Table3[[#This Row],[instant]],Table2[instant],Table2[registered], ,0,1)</f>
        <v>44</v>
      </c>
      <c r="M521" s="6">
        <f>_xlfn.XLOOKUP(Table3[[#This Row],[instant]],Table2[instant],Table2[cnt], ,0,1)</f>
        <v>49</v>
      </c>
      <c r="N521" s="6" t="str">
        <f>IF(OR(Table3[[#This Row],[weekday]]=0,Table3[[#This Row],[weekday]]=6),"Weekend","Weekday")</f>
        <v>Weekend</v>
      </c>
    </row>
    <row r="522" spans="1:14" ht="15" thickBot="1" x14ac:dyDescent="0.35">
      <c r="A522" s="10">
        <v>521</v>
      </c>
      <c r="B522" s="11">
        <f>_xlfn.XLOOKUP(Table3[[#This Row],[instant]],DatSet1!A522:A1131,DatSet1!B522:B1131,_xlfn.XLOOKUP(Table3[[#This Row],[instant]],'Final Data'!A522:A911,'Final Data'!B522:B911, ,0,1),0,1)</f>
        <v>40566</v>
      </c>
      <c r="C522" s="12">
        <f>_xlfn.XLOOKUP(Table3[[#This Row],[instant]],Table1[instant],Table1[hr], ,0,1)</f>
        <v>19</v>
      </c>
      <c r="D522" s="13" t="b">
        <f>_xlfn.XLOOKUP(Table3[[#This Row],[instant]],Table1[instant],Table1[holiday], ,0,1)</f>
        <v>0</v>
      </c>
      <c r="E522" s="2">
        <f>_xlfn.XLOOKUP(Table3[[#This Row],[instant]],Table1[instant],Table1[weekday], ,0,1)</f>
        <v>0</v>
      </c>
      <c r="F522" s="2">
        <f>_xlfn.XLOOKUP(Table3[[#This Row],[instant]],Table1[instant],Table1[weathersit], ,0,1)</f>
        <v>1</v>
      </c>
      <c r="G522" s="2">
        <f>_xlfn.XLOOKUP(Table3[[#This Row],[instant]],Table1[instant],Table1[temp], ,0,1)</f>
        <v>0.12</v>
      </c>
      <c r="H522" s="24">
        <f>_xlfn.XLOOKUP(Table3[[#This Row],[instant]],Table2[instant],Table2[atemp], ,0,1)</f>
        <v>0.1212</v>
      </c>
      <c r="I522" s="1">
        <f>_xlfn.XLOOKUP(Table3[[#This Row],[instant]],Table2[instant],Table2[hum], ,0,1)</f>
        <v>0.3</v>
      </c>
      <c r="J522" s="1">
        <f>_xlfn.XLOOKUP(Table3[[#This Row],[instant]],Table2[instant],Table2[windspeed], ,0,1)</f>
        <v>0.28360000000000002</v>
      </c>
      <c r="K522" s="1">
        <f>_xlfn.XLOOKUP(Table3[[#This Row],[instant]],Table2[instant],Table2[casual], ,0,1)</f>
        <v>5</v>
      </c>
      <c r="L522" s="1">
        <f>_xlfn.XLOOKUP(Table3[[#This Row],[instant]],Table2[instant],Table2[registered], ,0,1)</f>
        <v>45</v>
      </c>
      <c r="M522" s="6">
        <f>_xlfn.XLOOKUP(Table3[[#This Row],[instant]],Table2[instant],Table2[cnt], ,0,1)</f>
        <v>50</v>
      </c>
      <c r="N522" s="6" t="str">
        <f>IF(OR(Table3[[#This Row],[weekday]]=0,Table3[[#This Row],[weekday]]=6),"Weekend","Weekday")</f>
        <v>Weekend</v>
      </c>
    </row>
    <row r="523" spans="1:14" ht="15" thickBot="1" x14ac:dyDescent="0.35">
      <c r="A523" s="10">
        <v>522</v>
      </c>
      <c r="B523" s="11">
        <f>_xlfn.XLOOKUP(Table3[[#This Row],[instant]],DatSet1!A523:A1132,DatSet1!B523:B1132,_xlfn.XLOOKUP(Table3[[#This Row],[instant]],'Final Data'!A523:A912,'Final Data'!B523:B912, ,0,1),0,1)</f>
        <v>40566</v>
      </c>
      <c r="C523" s="12">
        <f>_xlfn.XLOOKUP(Table3[[#This Row],[instant]],Table1[instant],Table1[hr], ,0,1)</f>
        <v>20</v>
      </c>
      <c r="D523" s="13" t="b">
        <f>_xlfn.XLOOKUP(Table3[[#This Row],[instant]],Table1[instant],Table1[holiday], ,0,1)</f>
        <v>0</v>
      </c>
      <c r="E523" s="2">
        <f>_xlfn.XLOOKUP(Table3[[#This Row],[instant]],Table1[instant],Table1[weekday], ,0,1)</f>
        <v>0</v>
      </c>
      <c r="F523" s="2">
        <f>_xlfn.XLOOKUP(Table3[[#This Row],[instant]],Table1[instant],Table1[weathersit], ,0,1)</f>
        <v>1</v>
      </c>
      <c r="G523" s="2">
        <f>_xlfn.XLOOKUP(Table3[[#This Row],[instant]],Table1[instant],Table1[temp], ,0,1)</f>
        <v>0.1</v>
      </c>
      <c r="H523" s="24">
        <f>_xlfn.XLOOKUP(Table3[[#This Row],[instant]],Table2[instant],Table2[atemp], ,0,1)</f>
        <v>0.1061</v>
      </c>
      <c r="I523" s="1">
        <f>_xlfn.XLOOKUP(Table3[[#This Row],[instant]],Table2[instant],Table2[hum], ,0,1)</f>
        <v>0.36</v>
      </c>
      <c r="J523" s="1">
        <f>_xlfn.XLOOKUP(Table3[[#This Row],[instant]],Table2[instant],Table2[windspeed], ,0,1)</f>
        <v>0.25369999999999998</v>
      </c>
      <c r="K523" s="1">
        <f>_xlfn.XLOOKUP(Table3[[#This Row],[instant]],Table2[instant],Table2[casual], ,0,1)</f>
        <v>4</v>
      </c>
      <c r="L523" s="1">
        <f>_xlfn.XLOOKUP(Table3[[#This Row],[instant]],Table2[instant],Table2[registered], ,0,1)</f>
        <v>31</v>
      </c>
      <c r="M523" s="6">
        <f>_xlfn.XLOOKUP(Table3[[#This Row],[instant]],Table2[instant],Table2[cnt], ,0,1)</f>
        <v>35</v>
      </c>
      <c r="N523" s="6" t="str">
        <f>IF(OR(Table3[[#This Row],[weekday]]=0,Table3[[#This Row],[weekday]]=6),"Weekend","Weekday")</f>
        <v>Weekend</v>
      </c>
    </row>
    <row r="524" spans="1:14" ht="15" thickBot="1" x14ac:dyDescent="0.35">
      <c r="A524" s="10">
        <v>523</v>
      </c>
      <c r="B524" s="11">
        <f>_xlfn.XLOOKUP(Table3[[#This Row],[instant]],DatSet1!A524:A1133,DatSet1!B524:B1133,_xlfn.XLOOKUP(Table3[[#This Row],[instant]],'Final Data'!A524:A913,'Final Data'!B524:B913, ,0,1),0,1)</f>
        <v>40566</v>
      </c>
      <c r="C524" s="12">
        <f>_xlfn.XLOOKUP(Table3[[#This Row],[instant]],Table1[instant],Table1[hr], ,0,1)</f>
        <v>21</v>
      </c>
      <c r="D524" s="13" t="b">
        <f>_xlfn.XLOOKUP(Table3[[#This Row],[instant]],Table1[instant],Table1[holiday], ,0,1)</f>
        <v>0</v>
      </c>
      <c r="E524" s="2">
        <f>_xlfn.XLOOKUP(Table3[[#This Row],[instant]],Table1[instant],Table1[weekday], ,0,1)</f>
        <v>0</v>
      </c>
      <c r="F524" s="2">
        <f>_xlfn.XLOOKUP(Table3[[#This Row],[instant]],Table1[instant],Table1[weathersit], ,0,1)</f>
        <v>1</v>
      </c>
      <c r="G524" s="2">
        <f>_xlfn.XLOOKUP(Table3[[#This Row],[instant]],Table1[instant],Table1[temp], ,0,1)</f>
        <v>0.1</v>
      </c>
      <c r="H524" s="24">
        <f>_xlfn.XLOOKUP(Table3[[#This Row],[instant]],Table2[instant],Table2[atemp], ,0,1)</f>
        <v>0.1061</v>
      </c>
      <c r="I524" s="1">
        <f>_xlfn.XLOOKUP(Table3[[#This Row],[instant]],Table2[instant],Table2[hum], ,0,1)</f>
        <v>0.36</v>
      </c>
      <c r="J524" s="1">
        <f>_xlfn.XLOOKUP(Table3[[#This Row],[instant]],Table2[instant],Table2[windspeed], ,0,1)</f>
        <v>0.19400000000000001</v>
      </c>
      <c r="K524" s="1">
        <f>_xlfn.XLOOKUP(Table3[[#This Row],[instant]],Table2[instant],Table2[casual], ,0,1)</f>
        <v>5</v>
      </c>
      <c r="L524" s="1">
        <f>_xlfn.XLOOKUP(Table3[[#This Row],[instant]],Table2[instant],Table2[registered], ,0,1)</f>
        <v>20</v>
      </c>
      <c r="M524" s="6">
        <f>_xlfn.XLOOKUP(Table3[[#This Row],[instant]],Table2[instant],Table2[cnt], ,0,1)</f>
        <v>25</v>
      </c>
      <c r="N524" s="6" t="str">
        <f>IF(OR(Table3[[#This Row],[weekday]]=0,Table3[[#This Row],[weekday]]=6),"Weekend","Weekday")</f>
        <v>Weekend</v>
      </c>
    </row>
    <row r="525" spans="1:14" ht="15" thickBot="1" x14ac:dyDescent="0.35">
      <c r="A525" s="10">
        <v>524</v>
      </c>
      <c r="B525" s="11">
        <f>_xlfn.XLOOKUP(Table3[[#This Row],[instant]],DatSet1!A525:A1134,DatSet1!B525:B1134,_xlfn.XLOOKUP(Table3[[#This Row],[instant]],'Final Data'!A525:A914,'Final Data'!B525:B914, ,0,1),0,1)</f>
        <v>40566</v>
      </c>
      <c r="C525" s="12">
        <f>_xlfn.XLOOKUP(Table3[[#This Row],[instant]],Table1[instant],Table1[hr], ,0,1)</f>
        <v>22</v>
      </c>
      <c r="D525" s="13" t="b">
        <f>_xlfn.XLOOKUP(Table3[[#This Row],[instant]],Table1[instant],Table1[holiday], ,0,1)</f>
        <v>0</v>
      </c>
      <c r="E525" s="2">
        <f>_xlfn.XLOOKUP(Table3[[#This Row],[instant]],Table1[instant],Table1[weekday], ,0,1)</f>
        <v>0</v>
      </c>
      <c r="F525" s="2">
        <f>_xlfn.XLOOKUP(Table3[[#This Row],[instant]],Table1[instant],Table1[weathersit], ,0,1)</f>
        <v>1</v>
      </c>
      <c r="G525" s="2">
        <f>_xlfn.XLOOKUP(Table3[[#This Row],[instant]],Table1[instant],Table1[temp], ,0,1)</f>
        <v>0.08</v>
      </c>
      <c r="H525" s="24">
        <f>_xlfn.XLOOKUP(Table3[[#This Row],[instant]],Table2[instant],Table2[atemp], ,0,1)</f>
        <v>9.0899999999999995E-2</v>
      </c>
      <c r="I525" s="1">
        <f>_xlfn.XLOOKUP(Table3[[#This Row],[instant]],Table2[instant],Table2[hum], ,0,1)</f>
        <v>0.38</v>
      </c>
      <c r="J525" s="1">
        <f>_xlfn.XLOOKUP(Table3[[#This Row],[instant]],Table2[instant],Table2[windspeed], ,0,1)</f>
        <v>0.19400000000000001</v>
      </c>
      <c r="K525" s="1">
        <f>_xlfn.XLOOKUP(Table3[[#This Row],[instant]],Table2[instant],Table2[casual], ,0,1)</f>
        <v>5</v>
      </c>
      <c r="L525" s="1">
        <f>_xlfn.XLOOKUP(Table3[[#This Row],[instant]],Table2[instant],Table2[registered], ,0,1)</f>
        <v>23</v>
      </c>
      <c r="M525" s="6">
        <f>_xlfn.XLOOKUP(Table3[[#This Row],[instant]],Table2[instant],Table2[cnt], ,0,1)</f>
        <v>28</v>
      </c>
      <c r="N525" s="6" t="str">
        <f>IF(OR(Table3[[#This Row],[weekday]]=0,Table3[[#This Row],[weekday]]=6),"Weekend","Weekday")</f>
        <v>Weekend</v>
      </c>
    </row>
    <row r="526" spans="1:14" ht="15" thickBot="1" x14ac:dyDescent="0.35">
      <c r="A526" s="10">
        <v>525</v>
      </c>
      <c r="B526" s="11">
        <f>_xlfn.XLOOKUP(Table3[[#This Row],[instant]],DatSet1!A526:A1135,DatSet1!B526:B1135,_xlfn.XLOOKUP(Table3[[#This Row],[instant]],'Final Data'!A526:A915,'Final Data'!B526:B915, ,0,1),0,1)</f>
        <v>40566</v>
      </c>
      <c r="C526" s="12">
        <f>_xlfn.XLOOKUP(Table3[[#This Row],[instant]],Table1[instant],Table1[hr], ,0,1)</f>
        <v>23</v>
      </c>
      <c r="D526" s="13" t="b">
        <f>_xlfn.XLOOKUP(Table3[[#This Row],[instant]],Table1[instant],Table1[holiday], ,0,1)</f>
        <v>0</v>
      </c>
      <c r="E526" s="2">
        <f>_xlfn.XLOOKUP(Table3[[#This Row],[instant]],Table1[instant],Table1[weekday], ,0,1)</f>
        <v>0</v>
      </c>
      <c r="F526" s="2">
        <f>_xlfn.XLOOKUP(Table3[[#This Row],[instant]],Table1[instant],Table1[weathersit], ,0,1)</f>
        <v>1</v>
      </c>
      <c r="G526" s="2">
        <f>_xlfn.XLOOKUP(Table3[[#This Row],[instant]],Table1[instant],Table1[temp], ,0,1)</f>
        <v>0.06</v>
      </c>
      <c r="H526" s="24">
        <f>_xlfn.XLOOKUP(Table3[[#This Row],[instant]],Table2[instant],Table2[atemp], ,0,1)</f>
        <v>6.0600000000000001E-2</v>
      </c>
      <c r="I526" s="1">
        <f>_xlfn.XLOOKUP(Table3[[#This Row],[instant]],Table2[instant],Table2[hum], ,0,1)</f>
        <v>0.41</v>
      </c>
      <c r="J526" s="1">
        <f>_xlfn.XLOOKUP(Table3[[#This Row],[instant]],Table2[instant],Table2[windspeed], ,0,1)</f>
        <v>0.22389999999999999</v>
      </c>
      <c r="K526" s="1">
        <f>_xlfn.XLOOKUP(Table3[[#This Row],[instant]],Table2[instant],Table2[casual], ,0,1)</f>
        <v>4</v>
      </c>
      <c r="L526" s="1">
        <f>_xlfn.XLOOKUP(Table3[[#This Row],[instant]],Table2[instant],Table2[registered], ,0,1)</f>
        <v>17</v>
      </c>
      <c r="M526" s="6">
        <f>_xlfn.XLOOKUP(Table3[[#This Row],[instant]],Table2[instant],Table2[cnt], ,0,1)</f>
        <v>21</v>
      </c>
      <c r="N526" s="6" t="str">
        <f>IF(OR(Table3[[#This Row],[weekday]]=0,Table3[[#This Row],[weekday]]=6),"Weekend","Weekday")</f>
        <v>Weekend</v>
      </c>
    </row>
    <row r="527" spans="1:14" ht="15" thickBot="1" x14ac:dyDescent="0.35">
      <c r="A527" s="10">
        <v>526</v>
      </c>
      <c r="B527" s="11">
        <f>_xlfn.XLOOKUP(Table3[[#This Row],[instant]],DatSet1!A527:A1136,DatSet1!B527:B1136,_xlfn.XLOOKUP(Table3[[#This Row],[instant]],'Final Data'!A527:A916,'Final Data'!B527:B916, ,0,1),0,1)</f>
        <v>40567</v>
      </c>
      <c r="C527" s="12">
        <f>_xlfn.XLOOKUP(Table3[[#This Row],[instant]],Table1[instant],Table1[hr], ,0,1)</f>
        <v>0</v>
      </c>
      <c r="D527" s="13" t="b">
        <f>_xlfn.XLOOKUP(Table3[[#This Row],[instant]],Table1[instant],Table1[holiday], ,0,1)</f>
        <v>0</v>
      </c>
      <c r="E527" s="2">
        <f>_xlfn.XLOOKUP(Table3[[#This Row],[instant]],Table1[instant],Table1[weekday], ,0,1)</f>
        <v>1</v>
      </c>
      <c r="F527" s="2">
        <f>_xlfn.XLOOKUP(Table3[[#This Row],[instant]],Table1[instant],Table1[weathersit], ,0,1)</f>
        <v>1</v>
      </c>
      <c r="G527" s="2">
        <f>_xlfn.XLOOKUP(Table3[[#This Row],[instant]],Table1[instant],Table1[temp], ,0,1)</f>
        <v>0.06</v>
      </c>
      <c r="H527" s="24">
        <f>_xlfn.XLOOKUP(Table3[[#This Row],[instant]],Table2[instant],Table2[atemp], ,0,1)</f>
        <v>6.0600000000000001E-2</v>
      </c>
      <c r="I527" s="1">
        <f>_xlfn.XLOOKUP(Table3[[#This Row],[instant]],Table2[instant],Table2[hum], ,0,1)</f>
        <v>0.41</v>
      </c>
      <c r="J527" s="1">
        <f>_xlfn.XLOOKUP(Table3[[#This Row],[instant]],Table2[instant],Table2[windspeed], ,0,1)</f>
        <v>0.19400000000000001</v>
      </c>
      <c r="K527" s="1">
        <f>_xlfn.XLOOKUP(Table3[[#This Row],[instant]],Table2[instant],Table2[casual], ,0,1)</f>
        <v>0</v>
      </c>
      <c r="L527" s="1">
        <f>_xlfn.XLOOKUP(Table3[[#This Row],[instant]],Table2[instant],Table2[registered], ,0,1)</f>
        <v>7</v>
      </c>
      <c r="M527" s="6">
        <f>_xlfn.XLOOKUP(Table3[[#This Row],[instant]],Table2[instant],Table2[cnt], ,0,1)</f>
        <v>7</v>
      </c>
      <c r="N527" s="6" t="str">
        <f>IF(OR(Table3[[#This Row],[weekday]]=0,Table3[[#This Row],[weekday]]=6),"Weekend","Weekday")</f>
        <v>Weekday</v>
      </c>
    </row>
    <row r="528" spans="1:14" ht="15" thickBot="1" x14ac:dyDescent="0.35">
      <c r="A528" s="10">
        <v>527</v>
      </c>
      <c r="B528" s="11">
        <f>_xlfn.XLOOKUP(Table3[[#This Row],[instant]],DatSet1!A528:A1137,DatSet1!B528:B1137,_xlfn.XLOOKUP(Table3[[#This Row],[instant]],'Final Data'!A528:A917,'Final Data'!B528:B917, ,0,1),0,1)</f>
        <v>40567</v>
      </c>
      <c r="C528" s="12">
        <f>_xlfn.XLOOKUP(Table3[[#This Row],[instant]],Table1[instant],Table1[hr], ,0,1)</f>
        <v>1</v>
      </c>
      <c r="D528" s="13" t="b">
        <f>_xlfn.XLOOKUP(Table3[[#This Row],[instant]],Table1[instant],Table1[holiday], ,0,1)</f>
        <v>0</v>
      </c>
      <c r="E528" s="2">
        <f>_xlfn.XLOOKUP(Table3[[#This Row],[instant]],Table1[instant],Table1[weekday], ,0,1)</f>
        <v>1</v>
      </c>
      <c r="F528" s="2">
        <f>_xlfn.XLOOKUP(Table3[[#This Row],[instant]],Table1[instant],Table1[weathersit], ,0,1)</f>
        <v>1</v>
      </c>
      <c r="G528" s="2">
        <f>_xlfn.XLOOKUP(Table3[[#This Row],[instant]],Table1[instant],Table1[temp], ,0,1)</f>
        <v>0.04</v>
      </c>
      <c r="H528" s="24">
        <f>_xlfn.XLOOKUP(Table3[[#This Row],[instant]],Table2[instant],Table2[atemp], ,0,1)</f>
        <v>4.5499999999999999E-2</v>
      </c>
      <c r="I528" s="1">
        <f>_xlfn.XLOOKUP(Table3[[#This Row],[instant]],Table2[instant],Table2[hum], ,0,1)</f>
        <v>0.45</v>
      </c>
      <c r="J528" s="1">
        <f>_xlfn.XLOOKUP(Table3[[#This Row],[instant]],Table2[instant],Table2[windspeed], ,0,1)</f>
        <v>0.19400000000000001</v>
      </c>
      <c r="K528" s="1">
        <f>_xlfn.XLOOKUP(Table3[[#This Row],[instant]],Table2[instant],Table2[casual], ,0,1)</f>
        <v>0</v>
      </c>
      <c r="L528" s="1">
        <f>_xlfn.XLOOKUP(Table3[[#This Row],[instant]],Table2[instant],Table2[registered], ,0,1)</f>
        <v>1</v>
      </c>
      <c r="M528" s="6">
        <f>_xlfn.XLOOKUP(Table3[[#This Row],[instant]],Table2[instant],Table2[cnt], ,0,1)</f>
        <v>1</v>
      </c>
      <c r="N528" s="6" t="str">
        <f>IF(OR(Table3[[#This Row],[weekday]]=0,Table3[[#This Row],[weekday]]=6),"Weekend","Weekday")</f>
        <v>Weekday</v>
      </c>
    </row>
    <row r="529" spans="1:14" ht="15" thickBot="1" x14ac:dyDescent="0.35">
      <c r="A529" s="10">
        <v>528</v>
      </c>
      <c r="B529" s="11">
        <f>_xlfn.XLOOKUP(Table3[[#This Row],[instant]],DatSet1!A529:A1138,DatSet1!B529:B1138,_xlfn.XLOOKUP(Table3[[#This Row],[instant]],'Final Data'!A529:A918,'Final Data'!B529:B918, ,0,1),0,1)</f>
        <v>40567</v>
      </c>
      <c r="C529" s="12">
        <f>_xlfn.XLOOKUP(Table3[[#This Row],[instant]],Table1[instant],Table1[hr], ,0,1)</f>
        <v>3</v>
      </c>
      <c r="D529" s="13" t="b">
        <f>_xlfn.XLOOKUP(Table3[[#This Row],[instant]],Table1[instant],Table1[holiday], ,0,1)</f>
        <v>0</v>
      </c>
      <c r="E529" s="2">
        <f>_xlfn.XLOOKUP(Table3[[#This Row],[instant]],Table1[instant],Table1[weekday], ,0,1)</f>
        <v>1</v>
      </c>
      <c r="F529" s="2">
        <f>_xlfn.XLOOKUP(Table3[[#This Row],[instant]],Table1[instant],Table1[weathersit], ,0,1)</f>
        <v>1</v>
      </c>
      <c r="G529" s="2">
        <f>_xlfn.XLOOKUP(Table3[[#This Row],[instant]],Table1[instant],Table1[temp], ,0,1)</f>
        <v>0.04</v>
      </c>
      <c r="H529" s="24">
        <f>_xlfn.XLOOKUP(Table3[[#This Row],[instant]],Table2[instant],Table2[atemp], ,0,1)</f>
        <v>3.0300000000000001E-2</v>
      </c>
      <c r="I529" s="1">
        <f>_xlfn.XLOOKUP(Table3[[#This Row],[instant]],Table2[instant],Table2[hum], ,0,1)</f>
        <v>0.45</v>
      </c>
      <c r="J529" s="1">
        <f>_xlfn.XLOOKUP(Table3[[#This Row],[instant]],Table2[instant],Table2[windspeed], ,0,1)</f>
        <v>0.25369999999999998</v>
      </c>
      <c r="K529" s="1">
        <f>_xlfn.XLOOKUP(Table3[[#This Row],[instant]],Table2[instant],Table2[casual], ,0,1)</f>
        <v>0</v>
      </c>
      <c r="L529" s="1">
        <f>_xlfn.XLOOKUP(Table3[[#This Row],[instant]],Table2[instant],Table2[registered], ,0,1)</f>
        <v>1</v>
      </c>
      <c r="M529" s="6">
        <f>_xlfn.XLOOKUP(Table3[[#This Row],[instant]],Table2[instant],Table2[cnt], ,0,1)</f>
        <v>1</v>
      </c>
      <c r="N529" s="6" t="str">
        <f>IF(OR(Table3[[#This Row],[weekday]]=0,Table3[[#This Row],[weekday]]=6),"Weekend","Weekday")</f>
        <v>Weekday</v>
      </c>
    </row>
    <row r="530" spans="1:14" ht="15" thickBot="1" x14ac:dyDescent="0.35">
      <c r="A530" s="10">
        <v>529</v>
      </c>
      <c r="B530" s="11">
        <f>_xlfn.XLOOKUP(Table3[[#This Row],[instant]],DatSet1!A530:A1139,DatSet1!B530:B1139,_xlfn.XLOOKUP(Table3[[#This Row],[instant]],'Final Data'!A530:A919,'Final Data'!B530:B919, ,0,1),0,1)</f>
        <v>40567</v>
      </c>
      <c r="C530" s="12">
        <f>_xlfn.XLOOKUP(Table3[[#This Row],[instant]],Table1[instant],Table1[hr], ,0,1)</f>
        <v>4</v>
      </c>
      <c r="D530" s="13" t="b">
        <f>_xlfn.XLOOKUP(Table3[[#This Row],[instant]],Table1[instant],Table1[holiday], ,0,1)</f>
        <v>0</v>
      </c>
      <c r="E530" s="2">
        <f>_xlfn.XLOOKUP(Table3[[#This Row],[instant]],Table1[instant],Table1[weekday], ,0,1)</f>
        <v>1</v>
      </c>
      <c r="F530" s="2">
        <f>_xlfn.XLOOKUP(Table3[[#This Row],[instant]],Table1[instant],Table1[weathersit], ,0,1)</f>
        <v>1</v>
      </c>
      <c r="G530" s="2">
        <f>_xlfn.XLOOKUP(Table3[[#This Row],[instant]],Table1[instant],Table1[temp], ,0,1)</f>
        <v>0.02</v>
      </c>
      <c r="H530" s="24">
        <f>_xlfn.XLOOKUP(Table3[[#This Row],[instant]],Table2[instant],Table2[atemp], ,0,1)</f>
        <v>6.0600000000000001E-2</v>
      </c>
      <c r="I530" s="1">
        <f>_xlfn.XLOOKUP(Table3[[#This Row],[instant]],Table2[instant],Table2[hum], ,0,1)</f>
        <v>0.48</v>
      </c>
      <c r="J530" s="1">
        <f>_xlfn.XLOOKUP(Table3[[#This Row],[instant]],Table2[instant],Table2[windspeed], ,0,1)</f>
        <v>0.1343</v>
      </c>
      <c r="K530" s="1">
        <f>_xlfn.XLOOKUP(Table3[[#This Row],[instant]],Table2[instant],Table2[casual], ,0,1)</f>
        <v>0</v>
      </c>
      <c r="L530" s="1">
        <f>_xlfn.XLOOKUP(Table3[[#This Row],[instant]],Table2[instant],Table2[registered], ,0,1)</f>
        <v>1</v>
      </c>
      <c r="M530" s="6">
        <f>_xlfn.XLOOKUP(Table3[[#This Row],[instant]],Table2[instant],Table2[cnt], ,0,1)</f>
        <v>1</v>
      </c>
      <c r="N530" s="6" t="str">
        <f>IF(OR(Table3[[#This Row],[weekday]]=0,Table3[[#This Row],[weekday]]=6),"Weekend","Weekday")</f>
        <v>Weekday</v>
      </c>
    </row>
    <row r="531" spans="1:14" ht="15" thickBot="1" x14ac:dyDescent="0.35">
      <c r="A531" s="10">
        <v>530</v>
      </c>
      <c r="B531" s="11">
        <f>_xlfn.XLOOKUP(Table3[[#This Row],[instant]],DatSet1!A531:A1140,DatSet1!B531:B1140,_xlfn.XLOOKUP(Table3[[#This Row],[instant]],'Final Data'!A531:A920,'Final Data'!B531:B920, ,0,1),0,1)</f>
        <v>40567</v>
      </c>
      <c r="C531" s="12">
        <f>_xlfn.XLOOKUP(Table3[[#This Row],[instant]],Table1[instant],Table1[hr], ,0,1)</f>
        <v>5</v>
      </c>
      <c r="D531" s="13" t="b">
        <f>_xlfn.XLOOKUP(Table3[[#This Row],[instant]],Table1[instant],Table1[holiday], ,0,1)</f>
        <v>0</v>
      </c>
      <c r="E531" s="2">
        <f>_xlfn.XLOOKUP(Table3[[#This Row],[instant]],Table1[instant],Table1[weekday], ,0,1)</f>
        <v>1</v>
      </c>
      <c r="F531" s="2">
        <f>_xlfn.XLOOKUP(Table3[[#This Row],[instant]],Table1[instant],Table1[weathersit], ,0,1)</f>
        <v>1</v>
      </c>
      <c r="G531" s="2">
        <f>_xlfn.XLOOKUP(Table3[[#This Row],[instant]],Table1[instant],Table1[temp], ,0,1)</f>
        <v>0.02</v>
      </c>
      <c r="H531" s="24">
        <f>_xlfn.XLOOKUP(Table3[[#This Row],[instant]],Table2[instant],Table2[atemp], ,0,1)</f>
        <v>6.0600000000000001E-2</v>
      </c>
      <c r="I531" s="1">
        <f>_xlfn.XLOOKUP(Table3[[#This Row],[instant]],Table2[instant],Table2[hum], ,0,1)</f>
        <v>0.48</v>
      </c>
      <c r="J531" s="1">
        <f>_xlfn.XLOOKUP(Table3[[#This Row],[instant]],Table2[instant],Table2[windspeed], ,0,1)</f>
        <v>0.1343</v>
      </c>
      <c r="K531" s="1">
        <f>_xlfn.XLOOKUP(Table3[[#This Row],[instant]],Table2[instant],Table2[casual], ,0,1)</f>
        <v>0</v>
      </c>
      <c r="L531" s="1">
        <f>_xlfn.XLOOKUP(Table3[[#This Row],[instant]],Table2[instant],Table2[registered], ,0,1)</f>
        <v>5</v>
      </c>
      <c r="M531" s="6">
        <f>_xlfn.XLOOKUP(Table3[[#This Row],[instant]],Table2[instant],Table2[cnt], ,0,1)</f>
        <v>5</v>
      </c>
      <c r="N531" s="6" t="str">
        <f>IF(OR(Table3[[#This Row],[weekday]]=0,Table3[[#This Row],[weekday]]=6),"Weekend","Weekday")</f>
        <v>Weekday</v>
      </c>
    </row>
    <row r="532" spans="1:14" ht="15" thickBot="1" x14ac:dyDescent="0.35">
      <c r="A532" s="10">
        <v>531</v>
      </c>
      <c r="B532" s="11">
        <f>_xlfn.XLOOKUP(Table3[[#This Row],[instant]],DatSet1!A532:A1141,DatSet1!B532:B1141,_xlfn.XLOOKUP(Table3[[#This Row],[instant]],'Final Data'!A532:A921,'Final Data'!B532:B921, ,0,1),0,1)</f>
        <v>40567</v>
      </c>
      <c r="C532" s="12">
        <f>_xlfn.XLOOKUP(Table3[[#This Row],[instant]],Table1[instant],Table1[hr], ,0,1)</f>
        <v>6</v>
      </c>
      <c r="D532" s="13" t="b">
        <f>_xlfn.XLOOKUP(Table3[[#This Row],[instant]],Table1[instant],Table1[holiday], ,0,1)</f>
        <v>0</v>
      </c>
      <c r="E532" s="2">
        <f>_xlfn.XLOOKUP(Table3[[#This Row],[instant]],Table1[instant],Table1[weekday], ,0,1)</f>
        <v>1</v>
      </c>
      <c r="F532" s="2">
        <f>_xlfn.XLOOKUP(Table3[[#This Row],[instant]],Table1[instant],Table1[weathersit], ,0,1)</f>
        <v>1</v>
      </c>
      <c r="G532" s="2">
        <f>_xlfn.XLOOKUP(Table3[[#This Row],[instant]],Table1[instant],Table1[temp], ,0,1)</f>
        <v>0.02</v>
      </c>
      <c r="H532" s="24">
        <f>_xlfn.XLOOKUP(Table3[[#This Row],[instant]],Table2[instant],Table2[atemp], ,0,1)</f>
        <v>7.5800000000000006E-2</v>
      </c>
      <c r="I532" s="1">
        <f>_xlfn.XLOOKUP(Table3[[#This Row],[instant]],Table2[instant],Table2[hum], ,0,1)</f>
        <v>0.48</v>
      </c>
      <c r="J532" s="1">
        <f>_xlfn.XLOOKUP(Table3[[#This Row],[instant]],Table2[instant],Table2[windspeed], ,0,1)</f>
        <v>8.9599999999999999E-2</v>
      </c>
      <c r="K532" s="1">
        <f>_xlfn.XLOOKUP(Table3[[#This Row],[instant]],Table2[instant],Table2[casual], ,0,1)</f>
        <v>0</v>
      </c>
      <c r="L532" s="1">
        <f>_xlfn.XLOOKUP(Table3[[#This Row],[instant]],Table2[instant],Table2[registered], ,0,1)</f>
        <v>15</v>
      </c>
      <c r="M532" s="6">
        <f>_xlfn.XLOOKUP(Table3[[#This Row],[instant]],Table2[instant],Table2[cnt], ,0,1)</f>
        <v>15</v>
      </c>
      <c r="N532" s="6" t="str">
        <f>IF(OR(Table3[[#This Row],[weekday]]=0,Table3[[#This Row],[weekday]]=6),"Weekend","Weekday")</f>
        <v>Weekday</v>
      </c>
    </row>
    <row r="533" spans="1:14" ht="15" thickBot="1" x14ac:dyDescent="0.35">
      <c r="A533" s="10">
        <v>532</v>
      </c>
      <c r="B533" s="11">
        <f>_xlfn.XLOOKUP(Table3[[#This Row],[instant]],DatSet1!A533:A1142,DatSet1!B533:B1142,_xlfn.XLOOKUP(Table3[[#This Row],[instant]],'Final Data'!A533:A922,'Final Data'!B533:B922, ,0,1),0,1)</f>
        <v>40567</v>
      </c>
      <c r="C533" s="12">
        <f>_xlfn.XLOOKUP(Table3[[#This Row],[instant]],Table1[instant],Table1[hr], ,0,1)</f>
        <v>7</v>
      </c>
      <c r="D533" s="13" t="b">
        <f>_xlfn.XLOOKUP(Table3[[#This Row],[instant]],Table1[instant],Table1[holiday], ,0,1)</f>
        <v>0</v>
      </c>
      <c r="E533" s="2">
        <f>_xlfn.XLOOKUP(Table3[[#This Row],[instant]],Table1[instant],Table1[weekday], ,0,1)</f>
        <v>1</v>
      </c>
      <c r="F533" s="2">
        <f>_xlfn.XLOOKUP(Table3[[#This Row],[instant]],Table1[instant],Table1[weathersit], ,0,1)</f>
        <v>1</v>
      </c>
      <c r="G533" s="2">
        <f>_xlfn.XLOOKUP(Table3[[#This Row],[instant]],Table1[instant],Table1[temp], ,0,1)</f>
        <v>0.02</v>
      </c>
      <c r="H533" s="24">
        <f>_xlfn.XLOOKUP(Table3[[#This Row],[instant]],Table2[instant],Table2[atemp], ,0,1)</f>
        <v>0.1212</v>
      </c>
      <c r="I533" s="1">
        <f>_xlfn.XLOOKUP(Table3[[#This Row],[instant]],Table2[instant],Table2[hum], ,0,1)</f>
        <v>0.48</v>
      </c>
      <c r="J533" s="1">
        <f>_xlfn.XLOOKUP(Table3[[#This Row],[instant]],Table2[instant],Table2[windspeed], ,0,1)</f>
        <v>0</v>
      </c>
      <c r="K533" s="1">
        <f>_xlfn.XLOOKUP(Table3[[#This Row],[instant]],Table2[instant],Table2[casual], ,0,1)</f>
        <v>5</v>
      </c>
      <c r="L533" s="1">
        <f>_xlfn.XLOOKUP(Table3[[#This Row],[instant]],Table2[instant],Table2[registered], ,0,1)</f>
        <v>79</v>
      </c>
      <c r="M533" s="6">
        <f>_xlfn.XLOOKUP(Table3[[#This Row],[instant]],Table2[instant],Table2[cnt], ,0,1)</f>
        <v>84</v>
      </c>
      <c r="N533" s="6" t="str">
        <f>IF(OR(Table3[[#This Row],[weekday]]=0,Table3[[#This Row],[weekday]]=6),"Weekend","Weekday")</f>
        <v>Weekday</v>
      </c>
    </row>
    <row r="534" spans="1:14" ht="15" thickBot="1" x14ac:dyDescent="0.35">
      <c r="A534" s="10">
        <v>533</v>
      </c>
      <c r="B534" s="11">
        <f>_xlfn.XLOOKUP(Table3[[#This Row],[instant]],DatSet1!A534:A1143,DatSet1!B534:B1143,_xlfn.XLOOKUP(Table3[[#This Row],[instant]],'Final Data'!A534:A923,'Final Data'!B534:B923, ,0,1),0,1)</f>
        <v>40567</v>
      </c>
      <c r="C534" s="12">
        <f>_xlfn.XLOOKUP(Table3[[#This Row],[instant]],Table1[instant],Table1[hr], ,0,1)</f>
        <v>8</v>
      </c>
      <c r="D534" s="13" t="b">
        <f>_xlfn.XLOOKUP(Table3[[#This Row],[instant]],Table1[instant],Table1[holiday], ,0,1)</f>
        <v>0</v>
      </c>
      <c r="E534" s="2">
        <f>_xlfn.XLOOKUP(Table3[[#This Row],[instant]],Table1[instant],Table1[weekday], ,0,1)</f>
        <v>1</v>
      </c>
      <c r="F534" s="2">
        <f>_xlfn.XLOOKUP(Table3[[#This Row],[instant]],Table1[instant],Table1[weathersit], ,0,1)</f>
        <v>1</v>
      </c>
      <c r="G534" s="2">
        <f>_xlfn.XLOOKUP(Table3[[#This Row],[instant]],Table1[instant],Table1[temp], ,0,1)</f>
        <v>0.04</v>
      </c>
      <c r="H534" s="24">
        <f>_xlfn.XLOOKUP(Table3[[#This Row],[instant]],Table2[instant],Table2[atemp], ,0,1)</f>
        <v>0.13639999999999999</v>
      </c>
      <c r="I534" s="1">
        <f>_xlfn.XLOOKUP(Table3[[#This Row],[instant]],Table2[instant],Table2[hum], ,0,1)</f>
        <v>0.49</v>
      </c>
      <c r="J534" s="1">
        <f>_xlfn.XLOOKUP(Table3[[#This Row],[instant]],Table2[instant],Table2[windspeed], ,0,1)</f>
        <v>0</v>
      </c>
      <c r="K534" s="1">
        <f>_xlfn.XLOOKUP(Table3[[#This Row],[instant]],Table2[instant],Table2[casual], ,0,1)</f>
        <v>6</v>
      </c>
      <c r="L534" s="1">
        <f>_xlfn.XLOOKUP(Table3[[#This Row],[instant]],Table2[instant],Table2[registered], ,0,1)</f>
        <v>171</v>
      </c>
      <c r="M534" s="6">
        <f>_xlfn.XLOOKUP(Table3[[#This Row],[instant]],Table2[instant],Table2[cnt], ,0,1)</f>
        <v>177</v>
      </c>
      <c r="N534" s="6" t="str">
        <f>IF(OR(Table3[[#This Row],[weekday]]=0,Table3[[#This Row],[weekday]]=6),"Weekend","Weekday")</f>
        <v>Weekday</v>
      </c>
    </row>
    <row r="535" spans="1:14" ht="15" thickBot="1" x14ac:dyDescent="0.35">
      <c r="A535" s="10">
        <v>534</v>
      </c>
      <c r="B535" s="11">
        <f>_xlfn.XLOOKUP(Table3[[#This Row],[instant]],DatSet1!A535:A1144,DatSet1!B535:B1144,_xlfn.XLOOKUP(Table3[[#This Row],[instant]],'Final Data'!A535:A924,'Final Data'!B535:B924, ,0,1),0,1)</f>
        <v>40567</v>
      </c>
      <c r="C535" s="12">
        <f>_xlfn.XLOOKUP(Table3[[#This Row],[instant]],Table1[instant],Table1[hr], ,0,1)</f>
        <v>9</v>
      </c>
      <c r="D535" s="13" t="b">
        <f>_xlfn.XLOOKUP(Table3[[#This Row],[instant]],Table1[instant],Table1[holiday], ,0,1)</f>
        <v>0</v>
      </c>
      <c r="E535" s="2">
        <f>_xlfn.XLOOKUP(Table3[[#This Row],[instant]],Table1[instant],Table1[weekday], ,0,1)</f>
        <v>1</v>
      </c>
      <c r="F535" s="2">
        <f>_xlfn.XLOOKUP(Table3[[#This Row],[instant]],Table1[instant],Table1[weathersit], ,0,1)</f>
        <v>1</v>
      </c>
      <c r="G535" s="2">
        <f>_xlfn.XLOOKUP(Table3[[#This Row],[instant]],Table1[instant],Table1[temp], ,0,1)</f>
        <v>0.06</v>
      </c>
      <c r="H535" s="24">
        <f>_xlfn.XLOOKUP(Table3[[#This Row],[instant]],Table2[instant],Table2[atemp], ,0,1)</f>
        <v>0.1515</v>
      </c>
      <c r="I535" s="1">
        <f>_xlfn.XLOOKUP(Table3[[#This Row],[instant]],Table2[instant],Table2[hum], ,0,1)</f>
        <v>0.41</v>
      </c>
      <c r="J535" s="1">
        <f>_xlfn.XLOOKUP(Table3[[#This Row],[instant]],Table2[instant],Table2[windspeed], ,0,1)</f>
        <v>0</v>
      </c>
      <c r="K535" s="1">
        <f>_xlfn.XLOOKUP(Table3[[#This Row],[instant]],Table2[instant],Table2[casual], ,0,1)</f>
        <v>4</v>
      </c>
      <c r="L535" s="1">
        <f>_xlfn.XLOOKUP(Table3[[#This Row],[instant]],Table2[instant],Table2[registered], ,0,1)</f>
        <v>98</v>
      </c>
      <c r="M535" s="6">
        <f>_xlfn.XLOOKUP(Table3[[#This Row],[instant]],Table2[instant],Table2[cnt], ,0,1)</f>
        <v>102</v>
      </c>
      <c r="N535" s="6" t="str">
        <f>IF(OR(Table3[[#This Row],[weekday]]=0,Table3[[#This Row],[weekday]]=6),"Weekend","Weekday")</f>
        <v>Weekday</v>
      </c>
    </row>
    <row r="536" spans="1:14" ht="15" thickBot="1" x14ac:dyDescent="0.35">
      <c r="A536" s="10">
        <v>535</v>
      </c>
      <c r="B536" s="11">
        <f>_xlfn.XLOOKUP(Table3[[#This Row],[instant]],DatSet1!A536:A1145,DatSet1!B536:B1145,_xlfn.XLOOKUP(Table3[[#This Row],[instant]],'Final Data'!A536:A925,'Final Data'!B536:B925, ,0,1),0,1)</f>
        <v>40567</v>
      </c>
      <c r="C536" s="12">
        <f>_xlfn.XLOOKUP(Table3[[#This Row],[instant]],Table1[instant],Table1[hr], ,0,1)</f>
        <v>10</v>
      </c>
      <c r="D536" s="13" t="b">
        <f>_xlfn.XLOOKUP(Table3[[#This Row],[instant]],Table1[instant],Table1[holiday], ,0,1)</f>
        <v>0</v>
      </c>
      <c r="E536" s="2">
        <f>_xlfn.XLOOKUP(Table3[[#This Row],[instant]],Table1[instant],Table1[weekday], ,0,1)</f>
        <v>1</v>
      </c>
      <c r="F536" s="2">
        <f>_xlfn.XLOOKUP(Table3[[#This Row],[instant]],Table1[instant],Table1[weathersit], ,0,1)</f>
        <v>1</v>
      </c>
      <c r="G536" s="2">
        <f>_xlfn.XLOOKUP(Table3[[#This Row],[instant]],Table1[instant],Table1[temp], ,0,1)</f>
        <v>0.1</v>
      </c>
      <c r="H536" s="24">
        <f>_xlfn.XLOOKUP(Table3[[#This Row],[instant]],Table2[instant],Table2[atemp], ,0,1)</f>
        <v>0.13639999999999999</v>
      </c>
      <c r="I536" s="1">
        <f>_xlfn.XLOOKUP(Table3[[#This Row],[instant]],Table2[instant],Table2[hum], ,0,1)</f>
        <v>0.42</v>
      </c>
      <c r="J536" s="1">
        <f>_xlfn.XLOOKUP(Table3[[#This Row],[instant]],Table2[instant],Table2[windspeed], ,0,1)</f>
        <v>0</v>
      </c>
      <c r="K536" s="1">
        <f>_xlfn.XLOOKUP(Table3[[#This Row],[instant]],Table2[instant],Table2[casual], ,0,1)</f>
        <v>6</v>
      </c>
      <c r="L536" s="1">
        <f>_xlfn.XLOOKUP(Table3[[#This Row],[instant]],Table2[instant],Table2[registered], ,0,1)</f>
        <v>34</v>
      </c>
      <c r="M536" s="6">
        <f>_xlfn.XLOOKUP(Table3[[#This Row],[instant]],Table2[instant],Table2[cnt], ,0,1)</f>
        <v>40</v>
      </c>
      <c r="N536" s="6" t="str">
        <f>IF(OR(Table3[[#This Row],[weekday]]=0,Table3[[#This Row],[weekday]]=6),"Weekend","Weekday")</f>
        <v>Weekday</v>
      </c>
    </row>
    <row r="537" spans="1:14" ht="15" thickBot="1" x14ac:dyDescent="0.35">
      <c r="A537" s="10">
        <v>536</v>
      </c>
      <c r="B537" s="11">
        <f>_xlfn.XLOOKUP(Table3[[#This Row],[instant]],DatSet1!A537:A1146,DatSet1!B537:B1146,_xlfn.XLOOKUP(Table3[[#This Row],[instant]],'Final Data'!A537:A926,'Final Data'!B537:B926, ,0,1),0,1)</f>
        <v>40567</v>
      </c>
      <c r="C537" s="12">
        <f>_xlfn.XLOOKUP(Table3[[#This Row],[instant]],Table1[instant],Table1[hr], ,0,1)</f>
        <v>11</v>
      </c>
      <c r="D537" s="13" t="b">
        <f>_xlfn.XLOOKUP(Table3[[#This Row],[instant]],Table1[instant],Table1[holiday], ,0,1)</f>
        <v>0</v>
      </c>
      <c r="E537" s="2">
        <f>_xlfn.XLOOKUP(Table3[[#This Row],[instant]],Table1[instant],Table1[weekday], ,0,1)</f>
        <v>1</v>
      </c>
      <c r="F537" s="2">
        <f>_xlfn.XLOOKUP(Table3[[#This Row],[instant]],Table1[instant],Table1[weathersit], ,0,1)</f>
        <v>1</v>
      </c>
      <c r="G537" s="2">
        <f>_xlfn.XLOOKUP(Table3[[#This Row],[instant]],Table1[instant],Table1[temp], ,0,1)</f>
        <v>0.1</v>
      </c>
      <c r="H537" s="24">
        <f>_xlfn.XLOOKUP(Table3[[#This Row],[instant]],Table2[instant],Table2[atemp], ,0,1)</f>
        <v>0.1212</v>
      </c>
      <c r="I537" s="1">
        <f>_xlfn.XLOOKUP(Table3[[#This Row],[instant]],Table2[instant],Table2[hum], ,0,1)</f>
        <v>0.46</v>
      </c>
      <c r="J537" s="1">
        <f>_xlfn.XLOOKUP(Table3[[#This Row],[instant]],Table2[instant],Table2[windspeed], ,0,1)</f>
        <v>0.1343</v>
      </c>
      <c r="K537" s="1">
        <f>_xlfn.XLOOKUP(Table3[[#This Row],[instant]],Table2[instant],Table2[casual], ,0,1)</f>
        <v>3</v>
      </c>
      <c r="L537" s="1">
        <f>_xlfn.XLOOKUP(Table3[[#This Row],[instant]],Table2[instant],Table2[registered], ,0,1)</f>
        <v>43</v>
      </c>
      <c r="M537" s="6">
        <f>_xlfn.XLOOKUP(Table3[[#This Row],[instant]],Table2[instant],Table2[cnt], ,0,1)</f>
        <v>46</v>
      </c>
      <c r="N537" s="6" t="str">
        <f>IF(OR(Table3[[#This Row],[weekday]]=0,Table3[[#This Row],[weekday]]=6),"Weekend","Weekday")</f>
        <v>Weekday</v>
      </c>
    </row>
    <row r="538" spans="1:14" ht="15" thickBot="1" x14ac:dyDescent="0.35">
      <c r="A538" s="10">
        <v>537</v>
      </c>
      <c r="B538" s="11">
        <f>_xlfn.XLOOKUP(Table3[[#This Row],[instant]],DatSet1!A538:A1147,DatSet1!B538:B1147,_xlfn.XLOOKUP(Table3[[#This Row],[instant]],'Final Data'!A538:A927,'Final Data'!B538:B927, ,0,1),0,1)</f>
        <v>40567</v>
      </c>
      <c r="C538" s="12">
        <f>_xlfn.XLOOKUP(Table3[[#This Row],[instant]],Table1[instant],Table1[hr], ,0,1)</f>
        <v>12</v>
      </c>
      <c r="D538" s="13" t="b">
        <f>_xlfn.XLOOKUP(Table3[[#This Row],[instant]],Table1[instant],Table1[holiday], ,0,1)</f>
        <v>0</v>
      </c>
      <c r="E538" s="2">
        <f>_xlfn.XLOOKUP(Table3[[#This Row],[instant]],Table1[instant],Table1[weekday], ,0,1)</f>
        <v>1</v>
      </c>
      <c r="F538" s="2">
        <f>_xlfn.XLOOKUP(Table3[[#This Row],[instant]],Table1[instant],Table1[weathersit], ,0,1)</f>
        <v>2</v>
      </c>
      <c r="G538" s="2">
        <f>_xlfn.XLOOKUP(Table3[[#This Row],[instant]],Table1[instant],Table1[temp], ,0,1)</f>
        <v>0.12</v>
      </c>
      <c r="H538" s="24">
        <f>_xlfn.XLOOKUP(Table3[[#This Row],[instant]],Table2[instant],Table2[atemp], ,0,1)</f>
        <v>0.13639999999999999</v>
      </c>
      <c r="I538" s="1">
        <f>_xlfn.XLOOKUP(Table3[[#This Row],[instant]],Table2[instant],Table2[hum], ,0,1)</f>
        <v>0.42</v>
      </c>
      <c r="J538" s="1">
        <f>_xlfn.XLOOKUP(Table3[[#This Row],[instant]],Table2[instant],Table2[windspeed], ,0,1)</f>
        <v>0.19400000000000001</v>
      </c>
      <c r="K538" s="1">
        <f>_xlfn.XLOOKUP(Table3[[#This Row],[instant]],Table2[instant],Table2[casual], ,0,1)</f>
        <v>11</v>
      </c>
      <c r="L538" s="1">
        <f>_xlfn.XLOOKUP(Table3[[#This Row],[instant]],Table2[instant],Table2[registered], ,0,1)</f>
        <v>52</v>
      </c>
      <c r="M538" s="6">
        <f>_xlfn.XLOOKUP(Table3[[#This Row],[instant]],Table2[instant],Table2[cnt], ,0,1)</f>
        <v>63</v>
      </c>
      <c r="N538" s="6" t="str">
        <f>IF(OR(Table3[[#This Row],[weekday]]=0,Table3[[#This Row],[weekday]]=6),"Weekend","Weekday")</f>
        <v>Weekday</v>
      </c>
    </row>
    <row r="539" spans="1:14" ht="15" thickBot="1" x14ac:dyDescent="0.35">
      <c r="A539" s="10">
        <v>538</v>
      </c>
      <c r="B539" s="11">
        <f>_xlfn.XLOOKUP(Table3[[#This Row],[instant]],DatSet1!A539:A1148,DatSet1!B539:B1148,_xlfn.XLOOKUP(Table3[[#This Row],[instant]],'Final Data'!A539:A928,'Final Data'!B539:B928, ,0,1),0,1)</f>
        <v>40567</v>
      </c>
      <c r="C539" s="12">
        <f>_xlfn.XLOOKUP(Table3[[#This Row],[instant]],Table1[instant],Table1[hr], ,0,1)</f>
        <v>13</v>
      </c>
      <c r="D539" s="13" t="b">
        <f>_xlfn.XLOOKUP(Table3[[#This Row],[instant]],Table1[instant],Table1[holiday], ,0,1)</f>
        <v>0</v>
      </c>
      <c r="E539" s="2">
        <f>_xlfn.XLOOKUP(Table3[[#This Row],[instant]],Table1[instant],Table1[weekday], ,0,1)</f>
        <v>1</v>
      </c>
      <c r="F539" s="2">
        <f>_xlfn.XLOOKUP(Table3[[#This Row],[instant]],Table1[instant],Table1[weathersit], ,0,1)</f>
        <v>2</v>
      </c>
      <c r="G539" s="2">
        <f>_xlfn.XLOOKUP(Table3[[#This Row],[instant]],Table1[instant],Table1[temp], ,0,1)</f>
        <v>0.14000000000000001</v>
      </c>
      <c r="H539" s="24">
        <f>_xlfn.XLOOKUP(Table3[[#This Row],[instant]],Table2[instant],Table2[atemp], ,0,1)</f>
        <v>0.13639999999999999</v>
      </c>
      <c r="I539" s="1">
        <f>_xlfn.XLOOKUP(Table3[[#This Row],[instant]],Table2[instant],Table2[hum], ,0,1)</f>
        <v>0.43</v>
      </c>
      <c r="J539" s="1">
        <f>_xlfn.XLOOKUP(Table3[[#This Row],[instant]],Table2[instant],Table2[windspeed], ,0,1)</f>
        <v>0.22389999999999999</v>
      </c>
      <c r="K539" s="1">
        <f>_xlfn.XLOOKUP(Table3[[#This Row],[instant]],Table2[instant],Table2[casual], ,0,1)</f>
        <v>6</v>
      </c>
      <c r="L539" s="1">
        <f>_xlfn.XLOOKUP(Table3[[#This Row],[instant]],Table2[instant],Table2[registered], ,0,1)</f>
        <v>54</v>
      </c>
      <c r="M539" s="6">
        <f>_xlfn.XLOOKUP(Table3[[#This Row],[instant]],Table2[instant],Table2[cnt], ,0,1)</f>
        <v>60</v>
      </c>
      <c r="N539" s="6" t="str">
        <f>IF(OR(Table3[[#This Row],[weekday]]=0,Table3[[#This Row],[weekday]]=6),"Weekend","Weekday")</f>
        <v>Weekday</v>
      </c>
    </row>
    <row r="540" spans="1:14" ht="15" thickBot="1" x14ac:dyDescent="0.35">
      <c r="A540" s="10">
        <v>539</v>
      </c>
      <c r="B540" s="11">
        <f>_xlfn.XLOOKUP(Table3[[#This Row],[instant]],DatSet1!A540:A1149,DatSet1!B540:B1149,_xlfn.XLOOKUP(Table3[[#This Row],[instant]],'Final Data'!A540:A929,'Final Data'!B540:B929, ,0,1),0,1)</f>
        <v>40567</v>
      </c>
      <c r="C540" s="12">
        <f>_xlfn.XLOOKUP(Table3[[#This Row],[instant]],Table1[instant],Table1[hr], ,0,1)</f>
        <v>14</v>
      </c>
      <c r="D540" s="13" t="b">
        <f>_xlfn.XLOOKUP(Table3[[#This Row],[instant]],Table1[instant],Table1[holiday], ,0,1)</f>
        <v>0</v>
      </c>
      <c r="E540" s="2">
        <f>_xlfn.XLOOKUP(Table3[[#This Row],[instant]],Table1[instant],Table1[weekday], ,0,1)</f>
        <v>1</v>
      </c>
      <c r="F540" s="2">
        <f>_xlfn.XLOOKUP(Table3[[#This Row],[instant]],Table1[instant],Table1[weathersit], ,0,1)</f>
        <v>2</v>
      </c>
      <c r="G540" s="2">
        <f>_xlfn.XLOOKUP(Table3[[#This Row],[instant]],Table1[instant],Table1[temp], ,0,1)</f>
        <v>0.14000000000000001</v>
      </c>
      <c r="H540" s="24">
        <f>_xlfn.XLOOKUP(Table3[[#This Row],[instant]],Table2[instant],Table2[atemp], ,0,1)</f>
        <v>0.13639999999999999</v>
      </c>
      <c r="I540" s="1">
        <f>_xlfn.XLOOKUP(Table3[[#This Row],[instant]],Table2[instant],Table2[hum], ,0,1)</f>
        <v>0.46</v>
      </c>
      <c r="J540" s="1">
        <f>_xlfn.XLOOKUP(Table3[[#This Row],[instant]],Table2[instant],Table2[windspeed], ,0,1)</f>
        <v>0.22389999999999999</v>
      </c>
      <c r="K540" s="1">
        <f>_xlfn.XLOOKUP(Table3[[#This Row],[instant]],Table2[instant],Table2[casual], ,0,1)</f>
        <v>2</v>
      </c>
      <c r="L540" s="1">
        <f>_xlfn.XLOOKUP(Table3[[#This Row],[instant]],Table2[instant],Table2[registered], ,0,1)</f>
        <v>43</v>
      </c>
      <c r="M540" s="6">
        <f>_xlfn.XLOOKUP(Table3[[#This Row],[instant]],Table2[instant],Table2[cnt], ,0,1)</f>
        <v>45</v>
      </c>
      <c r="N540" s="6" t="str">
        <f>IF(OR(Table3[[#This Row],[weekday]]=0,Table3[[#This Row],[weekday]]=6),"Weekend","Weekday")</f>
        <v>Weekday</v>
      </c>
    </row>
    <row r="541" spans="1:14" ht="15" thickBot="1" x14ac:dyDescent="0.35">
      <c r="A541" s="10">
        <v>540</v>
      </c>
      <c r="B541" s="11">
        <f>_xlfn.XLOOKUP(Table3[[#This Row],[instant]],DatSet1!A541:A1150,DatSet1!B541:B1150,_xlfn.XLOOKUP(Table3[[#This Row],[instant]],'Final Data'!A541:A930,'Final Data'!B541:B930, ,0,1),0,1)</f>
        <v>40567</v>
      </c>
      <c r="C541" s="12">
        <f>_xlfn.XLOOKUP(Table3[[#This Row],[instant]],Table1[instant],Table1[hr], ,0,1)</f>
        <v>15</v>
      </c>
      <c r="D541" s="13" t="b">
        <f>_xlfn.XLOOKUP(Table3[[#This Row],[instant]],Table1[instant],Table1[holiday], ,0,1)</f>
        <v>0</v>
      </c>
      <c r="E541" s="2">
        <f>_xlfn.XLOOKUP(Table3[[#This Row],[instant]],Table1[instant],Table1[weekday], ,0,1)</f>
        <v>1</v>
      </c>
      <c r="F541" s="2">
        <f>_xlfn.XLOOKUP(Table3[[#This Row],[instant]],Table1[instant],Table1[weathersit], ,0,1)</f>
        <v>1</v>
      </c>
      <c r="G541" s="2">
        <f>_xlfn.XLOOKUP(Table3[[#This Row],[instant]],Table1[instant],Table1[temp], ,0,1)</f>
        <v>0.16</v>
      </c>
      <c r="H541" s="24">
        <f>_xlfn.XLOOKUP(Table3[[#This Row],[instant]],Table2[instant],Table2[atemp], ,0,1)</f>
        <v>0.16669999999999999</v>
      </c>
      <c r="I541" s="1">
        <f>_xlfn.XLOOKUP(Table3[[#This Row],[instant]],Table2[instant],Table2[hum], ,0,1)</f>
        <v>0.4</v>
      </c>
      <c r="J541" s="1">
        <f>_xlfn.XLOOKUP(Table3[[#This Row],[instant]],Table2[instant],Table2[windspeed], ,0,1)</f>
        <v>0.16420000000000001</v>
      </c>
      <c r="K541" s="1">
        <f>_xlfn.XLOOKUP(Table3[[#This Row],[instant]],Table2[instant],Table2[casual], ,0,1)</f>
        <v>7</v>
      </c>
      <c r="L541" s="1">
        <f>_xlfn.XLOOKUP(Table3[[#This Row],[instant]],Table2[instant],Table2[registered], ,0,1)</f>
        <v>50</v>
      </c>
      <c r="M541" s="6">
        <f>_xlfn.XLOOKUP(Table3[[#This Row],[instant]],Table2[instant],Table2[cnt], ,0,1)</f>
        <v>57</v>
      </c>
      <c r="N541" s="6" t="str">
        <f>IF(OR(Table3[[#This Row],[weekday]]=0,Table3[[#This Row],[weekday]]=6),"Weekend","Weekday")</f>
        <v>Weekday</v>
      </c>
    </row>
    <row r="542" spans="1:14" ht="15" thickBot="1" x14ac:dyDescent="0.35">
      <c r="A542" s="10">
        <v>541</v>
      </c>
      <c r="B542" s="11">
        <f>_xlfn.XLOOKUP(Table3[[#This Row],[instant]],DatSet1!A542:A1151,DatSet1!B542:B1151,_xlfn.XLOOKUP(Table3[[#This Row],[instant]],'Final Data'!A542:A931,'Final Data'!B542:B931, ,0,1),0,1)</f>
        <v>40567</v>
      </c>
      <c r="C542" s="12">
        <f>_xlfn.XLOOKUP(Table3[[#This Row],[instant]],Table1[instant],Table1[hr], ,0,1)</f>
        <v>16</v>
      </c>
      <c r="D542" s="13" t="b">
        <f>_xlfn.XLOOKUP(Table3[[#This Row],[instant]],Table1[instant],Table1[holiday], ,0,1)</f>
        <v>0</v>
      </c>
      <c r="E542" s="2">
        <f>_xlfn.XLOOKUP(Table3[[#This Row],[instant]],Table1[instant],Table1[weekday], ,0,1)</f>
        <v>1</v>
      </c>
      <c r="F542" s="2">
        <f>_xlfn.XLOOKUP(Table3[[#This Row],[instant]],Table1[instant],Table1[weathersit], ,0,1)</f>
        <v>1</v>
      </c>
      <c r="G542" s="2">
        <f>_xlfn.XLOOKUP(Table3[[#This Row],[instant]],Table1[instant],Table1[temp], ,0,1)</f>
        <v>0.16</v>
      </c>
      <c r="H542" s="24">
        <f>_xlfn.XLOOKUP(Table3[[#This Row],[instant]],Table2[instant],Table2[atemp], ,0,1)</f>
        <v>0.1515</v>
      </c>
      <c r="I542" s="1">
        <f>_xlfn.XLOOKUP(Table3[[#This Row],[instant]],Table2[instant],Table2[hum], ,0,1)</f>
        <v>0.47</v>
      </c>
      <c r="J542" s="1">
        <f>_xlfn.XLOOKUP(Table3[[#This Row],[instant]],Table2[instant],Table2[windspeed], ,0,1)</f>
        <v>0.25369999999999998</v>
      </c>
      <c r="K542" s="1">
        <f>_xlfn.XLOOKUP(Table3[[#This Row],[instant]],Table2[instant],Table2[casual], ,0,1)</f>
        <v>4</v>
      </c>
      <c r="L542" s="1">
        <f>_xlfn.XLOOKUP(Table3[[#This Row],[instant]],Table2[instant],Table2[registered], ,0,1)</f>
        <v>66</v>
      </c>
      <c r="M542" s="6">
        <f>_xlfn.XLOOKUP(Table3[[#This Row],[instant]],Table2[instant],Table2[cnt], ,0,1)</f>
        <v>70</v>
      </c>
      <c r="N542" s="6" t="str">
        <f>IF(OR(Table3[[#This Row],[weekday]]=0,Table3[[#This Row],[weekday]]=6),"Weekend","Weekday")</f>
        <v>Weekday</v>
      </c>
    </row>
    <row r="543" spans="1:14" ht="15" thickBot="1" x14ac:dyDescent="0.35">
      <c r="A543" s="10">
        <v>542</v>
      </c>
      <c r="B543" s="11">
        <f>_xlfn.XLOOKUP(Table3[[#This Row],[instant]],DatSet1!A543:A1152,DatSet1!B543:B1152,_xlfn.XLOOKUP(Table3[[#This Row],[instant]],'Final Data'!A543:A932,'Final Data'!B543:B932, ,0,1),0,1)</f>
        <v>40567</v>
      </c>
      <c r="C543" s="12">
        <f>_xlfn.XLOOKUP(Table3[[#This Row],[instant]],Table1[instant],Table1[hr], ,0,1)</f>
        <v>17</v>
      </c>
      <c r="D543" s="13" t="b">
        <f>_xlfn.XLOOKUP(Table3[[#This Row],[instant]],Table1[instant],Table1[holiday], ,0,1)</f>
        <v>0</v>
      </c>
      <c r="E543" s="2">
        <f>_xlfn.XLOOKUP(Table3[[#This Row],[instant]],Table1[instant],Table1[weekday], ,0,1)</f>
        <v>1</v>
      </c>
      <c r="F543" s="2">
        <f>_xlfn.XLOOKUP(Table3[[#This Row],[instant]],Table1[instant],Table1[weathersit], ,0,1)</f>
        <v>1</v>
      </c>
      <c r="G543" s="2">
        <f>_xlfn.XLOOKUP(Table3[[#This Row],[instant]],Table1[instant],Table1[temp], ,0,1)</f>
        <v>0.14000000000000001</v>
      </c>
      <c r="H543" s="24">
        <f>_xlfn.XLOOKUP(Table3[[#This Row],[instant]],Table2[instant],Table2[atemp], ,0,1)</f>
        <v>0.1212</v>
      </c>
      <c r="I543" s="1">
        <f>_xlfn.XLOOKUP(Table3[[#This Row],[instant]],Table2[instant],Table2[hum], ,0,1)</f>
        <v>0.5</v>
      </c>
      <c r="J543" s="1">
        <f>_xlfn.XLOOKUP(Table3[[#This Row],[instant]],Table2[instant],Table2[windspeed], ,0,1)</f>
        <v>0.25369999999999998</v>
      </c>
      <c r="K543" s="1">
        <f>_xlfn.XLOOKUP(Table3[[#This Row],[instant]],Table2[instant],Table2[casual], ,0,1)</f>
        <v>6</v>
      </c>
      <c r="L543" s="1">
        <f>_xlfn.XLOOKUP(Table3[[#This Row],[instant]],Table2[instant],Table2[registered], ,0,1)</f>
        <v>178</v>
      </c>
      <c r="M543" s="6">
        <f>_xlfn.XLOOKUP(Table3[[#This Row],[instant]],Table2[instant],Table2[cnt], ,0,1)</f>
        <v>184</v>
      </c>
      <c r="N543" s="6" t="str">
        <f>IF(OR(Table3[[#This Row],[weekday]]=0,Table3[[#This Row],[weekday]]=6),"Weekend","Weekday")</f>
        <v>Weekday</v>
      </c>
    </row>
    <row r="544" spans="1:14" ht="15" thickBot="1" x14ac:dyDescent="0.35">
      <c r="A544" s="10">
        <v>543</v>
      </c>
      <c r="B544" s="11">
        <f>_xlfn.XLOOKUP(Table3[[#This Row],[instant]],DatSet1!A544:A1153,DatSet1!B544:B1153,_xlfn.XLOOKUP(Table3[[#This Row],[instant]],'Final Data'!A544:A933,'Final Data'!B544:B933, ,0,1),0,1)</f>
        <v>40567</v>
      </c>
      <c r="C544" s="12">
        <f>_xlfn.XLOOKUP(Table3[[#This Row],[instant]],Table1[instant],Table1[hr], ,0,1)</f>
        <v>18</v>
      </c>
      <c r="D544" s="13" t="b">
        <f>_xlfn.XLOOKUP(Table3[[#This Row],[instant]],Table1[instant],Table1[holiday], ,0,1)</f>
        <v>0</v>
      </c>
      <c r="E544" s="2">
        <f>_xlfn.XLOOKUP(Table3[[#This Row],[instant]],Table1[instant],Table1[weekday], ,0,1)</f>
        <v>1</v>
      </c>
      <c r="F544" s="2">
        <f>_xlfn.XLOOKUP(Table3[[#This Row],[instant]],Table1[instant],Table1[weathersit], ,0,1)</f>
        <v>1</v>
      </c>
      <c r="G544" s="2">
        <f>_xlfn.XLOOKUP(Table3[[#This Row],[instant]],Table1[instant],Table1[temp], ,0,1)</f>
        <v>0.14000000000000001</v>
      </c>
      <c r="H544" s="24">
        <f>_xlfn.XLOOKUP(Table3[[#This Row],[instant]],Table2[instant],Table2[atemp], ,0,1)</f>
        <v>0.13639999999999999</v>
      </c>
      <c r="I544" s="1">
        <f>_xlfn.XLOOKUP(Table3[[#This Row],[instant]],Table2[instant],Table2[hum], ,0,1)</f>
        <v>0.59</v>
      </c>
      <c r="J544" s="1">
        <f>_xlfn.XLOOKUP(Table3[[#This Row],[instant]],Table2[instant],Table2[windspeed], ,0,1)</f>
        <v>0.19400000000000001</v>
      </c>
      <c r="K544" s="1">
        <f>_xlfn.XLOOKUP(Table3[[#This Row],[instant]],Table2[instant],Table2[casual], ,0,1)</f>
        <v>8</v>
      </c>
      <c r="L544" s="1">
        <f>_xlfn.XLOOKUP(Table3[[#This Row],[instant]],Table2[instant],Table2[registered], ,0,1)</f>
        <v>145</v>
      </c>
      <c r="M544" s="6">
        <f>_xlfn.XLOOKUP(Table3[[#This Row],[instant]],Table2[instant],Table2[cnt], ,0,1)</f>
        <v>153</v>
      </c>
      <c r="N544" s="6" t="str">
        <f>IF(OR(Table3[[#This Row],[weekday]]=0,Table3[[#This Row],[weekday]]=6),"Weekend","Weekday")</f>
        <v>Weekday</v>
      </c>
    </row>
    <row r="545" spans="1:14" ht="15" thickBot="1" x14ac:dyDescent="0.35">
      <c r="A545" s="10">
        <v>544</v>
      </c>
      <c r="B545" s="11">
        <f>_xlfn.XLOOKUP(Table3[[#This Row],[instant]],DatSet1!A545:A1154,DatSet1!B545:B1154,_xlfn.XLOOKUP(Table3[[#This Row],[instant]],'Final Data'!A545:A934,'Final Data'!B545:B934, ,0,1),0,1)</f>
        <v>40567</v>
      </c>
      <c r="C545" s="12">
        <f>_xlfn.XLOOKUP(Table3[[#This Row],[instant]],Table1[instant],Table1[hr], ,0,1)</f>
        <v>19</v>
      </c>
      <c r="D545" s="13" t="b">
        <f>_xlfn.XLOOKUP(Table3[[#This Row],[instant]],Table1[instant],Table1[holiday], ,0,1)</f>
        <v>0</v>
      </c>
      <c r="E545" s="2">
        <f>_xlfn.XLOOKUP(Table3[[#This Row],[instant]],Table1[instant],Table1[weekday], ,0,1)</f>
        <v>1</v>
      </c>
      <c r="F545" s="2">
        <f>_xlfn.XLOOKUP(Table3[[#This Row],[instant]],Table1[instant],Table1[weathersit], ,0,1)</f>
        <v>1</v>
      </c>
      <c r="G545" s="2">
        <f>_xlfn.XLOOKUP(Table3[[#This Row],[instant]],Table1[instant],Table1[temp], ,0,1)</f>
        <v>0.14000000000000001</v>
      </c>
      <c r="H545" s="24">
        <f>_xlfn.XLOOKUP(Table3[[#This Row],[instant]],Table2[instant],Table2[atemp], ,0,1)</f>
        <v>0.1515</v>
      </c>
      <c r="I545" s="1">
        <f>_xlfn.XLOOKUP(Table3[[#This Row],[instant]],Table2[instant],Table2[hum], ,0,1)</f>
        <v>0.54</v>
      </c>
      <c r="J545" s="1">
        <f>_xlfn.XLOOKUP(Table3[[#This Row],[instant]],Table2[instant],Table2[windspeed], ,0,1)</f>
        <v>0.16420000000000001</v>
      </c>
      <c r="K545" s="1">
        <f>_xlfn.XLOOKUP(Table3[[#This Row],[instant]],Table2[instant],Table2[casual], ,0,1)</f>
        <v>5</v>
      </c>
      <c r="L545" s="1">
        <f>_xlfn.XLOOKUP(Table3[[#This Row],[instant]],Table2[instant],Table2[registered], ,0,1)</f>
        <v>101</v>
      </c>
      <c r="M545" s="6">
        <f>_xlfn.XLOOKUP(Table3[[#This Row],[instant]],Table2[instant],Table2[cnt], ,0,1)</f>
        <v>106</v>
      </c>
      <c r="N545" s="6" t="str">
        <f>IF(OR(Table3[[#This Row],[weekday]]=0,Table3[[#This Row],[weekday]]=6),"Weekend","Weekday")</f>
        <v>Weekday</v>
      </c>
    </row>
    <row r="546" spans="1:14" ht="15" thickBot="1" x14ac:dyDescent="0.35">
      <c r="A546" s="10">
        <v>545</v>
      </c>
      <c r="B546" s="11">
        <f>_xlfn.XLOOKUP(Table3[[#This Row],[instant]],DatSet1!A546:A1155,DatSet1!B546:B1155,_xlfn.XLOOKUP(Table3[[#This Row],[instant]],'Final Data'!A546:A935,'Final Data'!B546:B935, ,0,1),0,1)</f>
        <v>40567</v>
      </c>
      <c r="C546" s="12">
        <f>_xlfn.XLOOKUP(Table3[[#This Row],[instant]],Table1[instant],Table1[hr], ,0,1)</f>
        <v>20</v>
      </c>
      <c r="D546" s="13" t="b">
        <f>_xlfn.XLOOKUP(Table3[[#This Row],[instant]],Table1[instant],Table1[holiday], ,0,1)</f>
        <v>0</v>
      </c>
      <c r="E546" s="2">
        <f>_xlfn.XLOOKUP(Table3[[#This Row],[instant]],Table1[instant],Table1[weekday], ,0,1)</f>
        <v>1</v>
      </c>
      <c r="F546" s="2">
        <f>_xlfn.XLOOKUP(Table3[[#This Row],[instant]],Table1[instant],Table1[weathersit], ,0,1)</f>
        <v>1</v>
      </c>
      <c r="G546" s="2">
        <f>_xlfn.XLOOKUP(Table3[[#This Row],[instant]],Table1[instant],Table1[temp], ,0,1)</f>
        <v>0.14000000000000001</v>
      </c>
      <c r="H546" s="24">
        <f>_xlfn.XLOOKUP(Table3[[#This Row],[instant]],Table2[instant],Table2[atemp], ,0,1)</f>
        <v>0.13639999999999999</v>
      </c>
      <c r="I546" s="1">
        <f>_xlfn.XLOOKUP(Table3[[#This Row],[instant]],Table2[instant],Table2[hum], ,0,1)</f>
        <v>0.59</v>
      </c>
      <c r="J546" s="1">
        <f>_xlfn.XLOOKUP(Table3[[#This Row],[instant]],Table2[instant],Table2[windspeed], ,0,1)</f>
        <v>0.19400000000000001</v>
      </c>
      <c r="K546" s="1">
        <f>_xlfn.XLOOKUP(Table3[[#This Row],[instant]],Table2[instant],Table2[casual], ,0,1)</f>
        <v>1</v>
      </c>
      <c r="L546" s="1">
        <f>_xlfn.XLOOKUP(Table3[[#This Row],[instant]],Table2[instant],Table2[registered], ,0,1)</f>
        <v>80</v>
      </c>
      <c r="M546" s="6">
        <f>_xlfn.XLOOKUP(Table3[[#This Row],[instant]],Table2[instant],Table2[cnt], ,0,1)</f>
        <v>81</v>
      </c>
      <c r="N546" s="6" t="str">
        <f>IF(OR(Table3[[#This Row],[weekday]]=0,Table3[[#This Row],[weekday]]=6),"Weekend","Weekday")</f>
        <v>Weekday</v>
      </c>
    </row>
    <row r="547" spans="1:14" ht="15" thickBot="1" x14ac:dyDescent="0.35">
      <c r="A547" s="10">
        <v>546</v>
      </c>
      <c r="B547" s="11">
        <f>_xlfn.XLOOKUP(Table3[[#This Row],[instant]],DatSet1!A547:A1156,DatSet1!B547:B1156,_xlfn.XLOOKUP(Table3[[#This Row],[instant]],'Final Data'!A547:A936,'Final Data'!B547:B936, ,0,1),0,1)</f>
        <v>40567</v>
      </c>
      <c r="C547" s="12">
        <f>_xlfn.XLOOKUP(Table3[[#This Row],[instant]],Table1[instant],Table1[hr], ,0,1)</f>
        <v>21</v>
      </c>
      <c r="D547" s="13" t="b">
        <f>_xlfn.XLOOKUP(Table3[[#This Row],[instant]],Table1[instant],Table1[holiday], ,0,1)</f>
        <v>0</v>
      </c>
      <c r="E547" s="2">
        <f>_xlfn.XLOOKUP(Table3[[#This Row],[instant]],Table1[instant],Table1[weekday], ,0,1)</f>
        <v>1</v>
      </c>
      <c r="F547" s="2">
        <f>_xlfn.XLOOKUP(Table3[[#This Row],[instant]],Table1[instant],Table1[weathersit], ,0,1)</f>
        <v>1</v>
      </c>
      <c r="G547" s="2">
        <f>_xlfn.XLOOKUP(Table3[[#This Row],[instant]],Table1[instant],Table1[temp], ,0,1)</f>
        <v>0.14000000000000001</v>
      </c>
      <c r="H547" s="24">
        <f>_xlfn.XLOOKUP(Table3[[#This Row],[instant]],Table2[instant],Table2[atemp], ,0,1)</f>
        <v>0.1515</v>
      </c>
      <c r="I547" s="1">
        <f>_xlfn.XLOOKUP(Table3[[#This Row],[instant]],Table2[instant],Table2[hum], ,0,1)</f>
        <v>0.63</v>
      </c>
      <c r="J547" s="1">
        <f>_xlfn.XLOOKUP(Table3[[#This Row],[instant]],Table2[instant],Table2[windspeed], ,0,1)</f>
        <v>0.16420000000000001</v>
      </c>
      <c r="K547" s="1">
        <f>_xlfn.XLOOKUP(Table3[[#This Row],[instant]],Table2[instant],Table2[casual], ,0,1)</f>
        <v>6</v>
      </c>
      <c r="L547" s="1">
        <f>_xlfn.XLOOKUP(Table3[[#This Row],[instant]],Table2[instant],Table2[registered], ,0,1)</f>
        <v>53</v>
      </c>
      <c r="M547" s="6">
        <f>_xlfn.XLOOKUP(Table3[[#This Row],[instant]],Table2[instant],Table2[cnt], ,0,1)</f>
        <v>59</v>
      </c>
      <c r="N547" s="6" t="str">
        <f>IF(OR(Table3[[#This Row],[weekday]]=0,Table3[[#This Row],[weekday]]=6),"Weekend","Weekday")</f>
        <v>Weekday</v>
      </c>
    </row>
    <row r="548" spans="1:14" ht="15" thickBot="1" x14ac:dyDescent="0.35">
      <c r="A548" s="10">
        <v>547</v>
      </c>
      <c r="B548" s="11">
        <f>_xlfn.XLOOKUP(Table3[[#This Row],[instant]],DatSet1!A548:A1157,DatSet1!B548:B1157,_xlfn.XLOOKUP(Table3[[#This Row],[instant]],'Final Data'!A548:A937,'Final Data'!B548:B937, ,0,1),0,1)</f>
        <v>40567</v>
      </c>
      <c r="C548" s="12">
        <f>_xlfn.XLOOKUP(Table3[[#This Row],[instant]],Table1[instant],Table1[hr], ,0,1)</f>
        <v>22</v>
      </c>
      <c r="D548" s="13" t="b">
        <f>_xlfn.XLOOKUP(Table3[[#This Row],[instant]],Table1[instant],Table1[holiday], ,0,1)</f>
        <v>0</v>
      </c>
      <c r="E548" s="2">
        <f>_xlfn.XLOOKUP(Table3[[#This Row],[instant]],Table1[instant],Table1[weekday], ,0,1)</f>
        <v>1</v>
      </c>
      <c r="F548" s="2">
        <f>_xlfn.XLOOKUP(Table3[[#This Row],[instant]],Table1[instant],Table1[weathersit], ,0,1)</f>
        <v>2</v>
      </c>
      <c r="G548" s="2">
        <f>_xlfn.XLOOKUP(Table3[[#This Row],[instant]],Table1[instant],Table1[temp], ,0,1)</f>
        <v>0.14000000000000001</v>
      </c>
      <c r="H548" s="24">
        <f>_xlfn.XLOOKUP(Table3[[#This Row],[instant]],Table2[instant],Table2[atemp], ,0,1)</f>
        <v>0.13639999999999999</v>
      </c>
      <c r="I548" s="1">
        <f>_xlfn.XLOOKUP(Table3[[#This Row],[instant]],Table2[instant],Table2[hum], ,0,1)</f>
        <v>0.63</v>
      </c>
      <c r="J548" s="1">
        <f>_xlfn.XLOOKUP(Table3[[#This Row],[instant]],Table2[instant],Table2[windspeed], ,0,1)</f>
        <v>0.22389999999999999</v>
      </c>
      <c r="K548" s="1">
        <f>_xlfn.XLOOKUP(Table3[[#This Row],[instant]],Table2[instant],Table2[casual], ,0,1)</f>
        <v>3</v>
      </c>
      <c r="L548" s="1">
        <f>_xlfn.XLOOKUP(Table3[[#This Row],[instant]],Table2[instant],Table2[registered], ,0,1)</f>
        <v>32</v>
      </c>
      <c r="M548" s="6">
        <f>_xlfn.XLOOKUP(Table3[[#This Row],[instant]],Table2[instant],Table2[cnt], ,0,1)</f>
        <v>35</v>
      </c>
      <c r="N548" s="6" t="str">
        <f>IF(OR(Table3[[#This Row],[weekday]]=0,Table3[[#This Row],[weekday]]=6),"Weekend","Weekday")</f>
        <v>Weekday</v>
      </c>
    </row>
    <row r="549" spans="1:14" ht="15" thickBot="1" x14ac:dyDescent="0.35">
      <c r="A549" s="10">
        <v>548</v>
      </c>
      <c r="B549" s="11">
        <f>_xlfn.XLOOKUP(Table3[[#This Row],[instant]],DatSet1!A549:A1158,DatSet1!B549:B1158,_xlfn.XLOOKUP(Table3[[#This Row],[instant]],'Final Data'!A549:A938,'Final Data'!B549:B938, ,0,1),0,1)</f>
        <v>40567</v>
      </c>
      <c r="C549" s="12">
        <f>_xlfn.XLOOKUP(Table3[[#This Row],[instant]],Table1[instant],Table1[hr], ,0,1)</f>
        <v>23</v>
      </c>
      <c r="D549" s="13" t="b">
        <f>_xlfn.XLOOKUP(Table3[[#This Row],[instant]],Table1[instant],Table1[holiday], ,0,1)</f>
        <v>0</v>
      </c>
      <c r="E549" s="2">
        <f>_xlfn.XLOOKUP(Table3[[#This Row],[instant]],Table1[instant],Table1[weekday], ,0,1)</f>
        <v>1</v>
      </c>
      <c r="F549" s="2">
        <f>_xlfn.XLOOKUP(Table3[[#This Row],[instant]],Table1[instant],Table1[weathersit], ,0,1)</f>
        <v>2</v>
      </c>
      <c r="G549" s="2">
        <f>_xlfn.XLOOKUP(Table3[[#This Row],[instant]],Table1[instant],Table1[temp], ,0,1)</f>
        <v>0.16</v>
      </c>
      <c r="H549" s="24">
        <f>_xlfn.XLOOKUP(Table3[[#This Row],[instant]],Table2[instant],Table2[atemp], ,0,1)</f>
        <v>0.1515</v>
      </c>
      <c r="I549" s="1">
        <f>_xlfn.XLOOKUP(Table3[[#This Row],[instant]],Table2[instant],Table2[hum], ,0,1)</f>
        <v>0.64</v>
      </c>
      <c r="J549" s="1">
        <f>_xlfn.XLOOKUP(Table3[[#This Row],[instant]],Table2[instant],Table2[windspeed], ,0,1)</f>
        <v>0.25369999999999998</v>
      </c>
      <c r="K549" s="1">
        <f>_xlfn.XLOOKUP(Table3[[#This Row],[instant]],Table2[instant],Table2[casual], ,0,1)</f>
        <v>3</v>
      </c>
      <c r="L549" s="1">
        <f>_xlfn.XLOOKUP(Table3[[#This Row],[instant]],Table2[instant],Table2[registered], ,0,1)</f>
        <v>21</v>
      </c>
      <c r="M549" s="6">
        <f>_xlfn.XLOOKUP(Table3[[#This Row],[instant]],Table2[instant],Table2[cnt], ,0,1)</f>
        <v>24</v>
      </c>
      <c r="N549" s="6" t="str">
        <f>IF(OR(Table3[[#This Row],[weekday]]=0,Table3[[#This Row],[weekday]]=6),"Weekend","Weekday")</f>
        <v>Weekday</v>
      </c>
    </row>
    <row r="550" spans="1:14" ht="15" thickBot="1" x14ac:dyDescent="0.35">
      <c r="A550" s="10">
        <v>549</v>
      </c>
      <c r="B550" s="11">
        <f>_xlfn.XLOOKUP(Table3[[#This Row],[instant]],DatSet1!A550:A1159,DatSet1!B550:B1159,_xlfn.XLOOKUP(Table3[[#This Row],[instant]],'Final Data'!A550:A939,'Final Data'!B550:B939, ,0,1),0,1)</f>
        <v>40568</v>
      </c>
      <c r="C550" s="12">
        <f>_xlfn.XLOOKUP(Table3[[#This Row],[instant]],Table1[instant],Table1[hr], ,0,1)</f>
        <v>0</v>
      </c>
      <c r="D550" s="13" t="b">
        <f>_xlfn.XLOOKUP(Table3[[#This Row],[instant]],Table1[instant],Table1[holiday], ,0,1)</f>
        <v>0</v>
      </c>
      <c r="E550" s="2">
        <f>_xlfn.XLOOKUP(Table3[[#This Row],[instant]],Table1[instant],Table1[weekday], ,0,1)</f>
        <v>2</v>
      </c>
      <c r="F550" s="2">
        <f>_xlfn.XLOOKUP(Table3[[#This Row],[instant]],Table1[instant],Table1[weathersit], ,0,1)</f>
        <v>2</v>
      </c>
      <c r="G550" s="2">
        <f>_xlfn.XLOOKUP(Table3[[#This Row],[instant]],Table1[instant],Table1[temp], ,0,1)</f>
        <v>0.16</v>
      </c>
      <c r="H550" s="24">
        <f>_xlfn.XLOOKUP(Table3[[#This Row],[instant]],Table2[instant],Table2[atemp], ,0,1)</f>
        <v>0.13639999999999999</v>
      </c>
      <c r="I550" s="1">
        <f>_xlfn.XLOOKUP(Table3[[#This Row],[instant]],Table2[instant],Table2[hum], ,0,1)</f>
        <v>0.69</v>
      </c>
      <c r="J550" s="1">
        <f>_xlfn.XLOOKUP(Table3[[#This Row],[instant]],Table2[instant],Table2[windspeed], ,0,1)</f>
        <v>0.28360000000000002</v>
      </c>
      <c r="K550" s="1">
        <f>_xlfn.XLOOKUP(Table3[[#This Row],[instant]],Table2[instant],Table2[casual], ,0,1)</f>
        <v>3</v>
      </c>
      <c r="L550" s="1">
        <f>_xlfn.XLOOKUP(Table3[[#This Row],[instant]],Table2[instant],Table2[registered], ,0,1)</f>
        <v>6</v>
      </c>
      <c r="M550" s="6">
        <f>_xlfn.XLOOKUP(Table3[[#This Row],[instant]],Table2[instant],Table2[cnt], ,0,1)</f>
        <v>9</v>
      </c>
      <c r="N550" s="6" t="str">
        <f>IF(OR(Table3[[#This Row],[weekday]]=0,Table3[[#This Row],[weekday]]=6),"Weekend","Weekday")</f>
        <v>Weekday</v>
      </c>
    </row>
    <row r="551" spans="1:14" ht="15" thickBot="1" x14ac:dyDescent="0.35">
      <c r="A551" s="10">
        <v>550</v>
      </c>
      <c r="B551" s="11">
        <f>_xlfn.XLOOKUP(Table3[[#This Row],[instant]],DatSet1!A551:A1160,DatSet1!B551:B1160,_xlfn.XLOOKUP(Table3[[#This Row],[instant]],'Final Data'!A551:A940,'Final Data'!B551:B940, ,0,1),0,1)</f>
        <v>40568</v>
      </c>
      <c r="C551" s="12">
        <f>_xlfn.XLOOKUP(Table3[[#This Row],[instant]],Table1[instant],Table1[hr], ,0,1)</f>
        <v>1</v>
      </c>
      <c r="D551" s="13" t="b">
        <f>_xlfn.XLOOKUP(Table3[[#This Row],[instant]],Table1[instant],Table1[holiday], ,0,1)</f>
        <v>0</v>
      </c>
      <c r="E551" s="2">
        <f>_xlfn.XLOOKUP(Table3[[#This Row],[instant]],Table1[instant],Table1[weekday], ,0,1)</f>
        <v>2</v>
      </c>
      <c r="F551" s="2">
        <f>_xlfn.XLOOKUP(Table3[[#This Row],[instant]],Table1[instant],Table1[weathersit], ,0,1)</f>
        <v>2</v>
      </c>
      <c r="G551" s="2">
        <f>_xlfn.XLOOKUP(Table3[[#This Row],[instant]],Table1[instant],Table1[temp], ,0,1)</f>
        <v>0.16</v>
      </c>
      <c r="H551" s="24">
        <f>_xlfn.XLOOKUP(Table3[[#This Row],[instant]],Table2[instant],Table2[atemp], ,0,1)</f>
        <v>0.16669999999999999</v>
      </c>
      <c r="I551" s="1">
        <f>_xlfn.XLOOKUP(Table3[[#This Row],[instant]],Table2[instant],Table2[hum], ,0,1)</f>
        <v>0.69</v>
      </c>
      <c r="J551" s="1">
        <f>_xlfn.XLOOKUP(Table3[[#This Row],[instant]],Table2[instant],Table2[windspeed], ,0,1)</f>
        <v>0.16420000000000001</v>
      </c>
      <c r="K551" s="1">
        <f>_xlfn.XLOOKUP(Table3[[#This Row],[instant]],Table2[instant],Table2[casual], ,0,1)</f>
        <v>0</v>
      </c>
      <c r="L551" s="1">
        <f>_xlfn.XLOOKUP(Table3[[#This Row],[instant]],Table2[instant],Table2[registered], ,0,1)</f>
        <v>5</v>
      </c>
      <c r="M551" s="6">
        <f>_xlfn.XLOOKUP(Table3[[#This Row],[instant]],Table2[instant],Table2[cnt], ,0,1)</f>
        <v>5</v>
      </c>
      <c r="N551" s="6" t="str">
        <f>IF(OR(Table3[[#This Row],[weekday]]=0,Table3[[#This Row],[weekday]]=6),"Weekend","Weekday")</f>
        <v>Weekday</v>
      </c>
    </row>
    <row r="552" spans="1:14" ht="15" thickBot="1" x14ac:dyDescent="0.35">
      <c r="A552" s="10">
        <v>551</v>
      </c>
      <c r="B552" s="11">
        <f>_xlfn.XLOOKUP(Table3[[#This Row],[instant]],DatSet1!A552:A1161,DatSet1!B552:B1161,_xlfn.XLOOKUP(Table3[[#This Row],[instant]],'Final Data'!A552:A941,'Final Data'!B552:B941, ,0,1),0,1)</f>
        <v>40568</v>
      </c>
      <c r="C552" s="12">
        <f>_xlfn.XLOOKUP(Table3[[#This Row],[instant]],Table1[instant],Table1[hr], ,0,1)</f>
        <v>2</v>
      </c>
      <c r="D552" s="13" t="b">
        <f>_xlfn.XLOOKUP(Table3[[#This Row],[instant]],Table1[instant],Table1[holiday], ,0,1)</f>
        <v>0</v>
      </c>
      <c r="E552" s="2">
        <f>_xlfn.XLOOKUP(Table3[[#This Row],[instant]],Table1[instant],Table1[weekday], ,0,1)</f>
        <v>2</v>
      </c>
      <c r="F552" s="2">
        <f>_xlfn.XLOOKUP(Table3[[#This Row],[instant]],Table1[instant],Table1[weathersit], ,0,1)</f>
        <v>1</v>
      </c>
      <c r="G552" s="2">
        <f>_xlfn.XLOOKUP(Table3[[#This Row],[instant]],Table1[instant],Table1[temp], ,0,1)</f>
        <v>0.16</v>
      </c>
      <c r="H552" s="24">
        <f>_xlfn.XLOOKUP(Table3[[#This Row],[instant]],Table2[instant],Table2[atemp], ,0,1)</f>
        <v>0.1515</v>
      </c>
      <c r="I552" s="1">
        <f>_xlfn.XLOOKUP(Table3[[#This Row],[instant]],Table2[instant],Table2[hum], ,0,1)</f>
        <v>0.69</v>
      </c>
      <c r="J552" s="1">
        <f>_xlfn.XLOOKUP(Table3[[#This Row],[instant]],Table2[instant],Table2[windspeed], ,0,1)</f>
        <v>0.22389999999999999</v>
      </c>
      <c r="K552" s="1">
        <f>_xlfn.XLOOKUP(Table3[[#This Row],[instant]],Table2[instant],Table2[casual], ,0,1)</f>
        <v>0</v>
      </c>
      <c r="L552" s="1">
        <f>_xlfn.XLOOKUP(Table3[[#This Row],[instant]],Table2[instant],Table2[registered], ,0,1)</f>
        <v>2</v>
      </c>
      <c r="M552" s="6">
        <f>_xlfn.XLOOKUP(Table3[[#This Row],[instant]],Table2[instant],Table2[cnt], ,0,1)</f>
        <v>2</v>
      </c>
      <c r="N552" s="6" t="str">
        <f>IF(OR(Table3[[#This Row],[weekday]]=0,Table3[[#This Row],[weekday]]=6),"Weekend","Weekday")</f>
        <v>Weekday</v>
      </c>
    </row>
    <row r="553" spans="1:14" ht="15" thickBot="1" x14ac:dyDescent="0.35">
      <c r="A553" s="10">
        <v>552</v>
      </c>
      <c r="B553" s="11">
        <f>_xlfn.XLOOKUP(Table3[[#This Row],[instant]],DatSet1!A553:A1162,DatSet1!B553:B1162,_xlfn.XLOOKUP(Table3[[#This Row],[instant]],'Final Data'!A553:A942,'Final Data'!B553:B942, ,0,1),0,1)</f>
        <v>40568</v>
      </c>
      <c r="C553" s="12">
        <f>_xlfn.XLOOKUP(Table3[[#This Row],[instant]],Table1[instant],Table1[hr], ,0,1)</f>
        <v>4</v>
      </c>
      <c r="D553" s="13" t="b">
        <f>_xlfn.XLOOKUP(Table3[[#This Row],[instant]],Table1[instant],Table1[holiday], ,0,1)</f>
        <v>0</v>
      </c>
      <c r="E553" s="2">
        <f>_xlfn.XLOOKUP(Table3[[#This Row],[instant]],Table1[instant],Table1[weekday], ,0,1)</f>
        <v>2</v>
      </c>
      <c r="F553" s="2">
        <f>_xlfn.XLOOKUP(Table3[[#This Row],[instant]],Table1[instant],Table1[weathersit], ,0,1)</f>
        <v>1</v>
      </c>
      <c r="G553" s="2">
        <f>_xlfn.XLOOKUP(Table3[[#This Row],[instant]],Table1[instant],Table1[temp], ,0,1)</f>
        <v>0.14000000000000001</v>
      </c>
      <c r="H553" s="24">
        <f>_xlfn.XLOOKUP(Table3[[#This Row],[instant]],Table2[instant],Table2[atemp], ,0,1)</f>
        <v>0.16669999999999999</v>
      </c>
      <c r="I553" s="1">
        <f>_xlfn.XLOOKUP(Table3[[#This Row],[instant]],Table2[instant],Table2[hum], ,0,1)</f>
        <v>0.74</v>
      </c>
      <c r="J553" s="1">
        <f>_xlfn.XLOOKUP(Table3[[#This Row],[instant]],Table2[instant],Table2[windspeed], ,0,1)</f>
        <v>0.1045</v>
      </c>
      <c r="K553" s="1">
        <f>_xlfn.XLOOKUP(Table3[[#This Row],[instant]],Table2[instant],Table2[casual], ,0,1)</f>
        <v>0</v>
      </c>
      <c r="L553" s="1">
        <f>_xlfn.XLOOKUP(Table3[[#This Row],[instant]],Table2[instant],Table2[registered], ,0,1)</f>
        <v>1</v>
      </c>
      <c r="M553" s="6">
        <f>_xlfn.XLOOKUP(Table3[[#This Row],[instant]],Table2[instant],Table2[cnt], ,0,1)</f>
        <v>1</v>
      </c>
      <c r="N553" s="6" t="str">
        <f>IF(OR(Table3[[#This Row],[weekday]]=0,Table3[[#This Row],[weekday]]=6),"Weekend","Weekday")</f>
        <v>Weekday</v>
      </c>
    </row>
    <row r="554" spans="1:14" ht="15" thickBot="1" x14ac:dyDescent="0.35">
      <c r="A554" s="10">
        <v>553</v>
      </c>
      <c r="B554" s="11">
        <f>_xlfn.XLOOKUP(Table3[[#This Row],[instant]],DatSet1!A554:A1163,DatSet1!B554:B1163,_xlfn.XLOOKUP(Table3[[#This Row],[instant]],'Final Data'!A554:A943,'Final Data'!B554:B943, ,0,1),0,1)</f>
        <v>40568</v>
      </c>
      <c r="C554" s="12">
        <f>_xlfn.XLOOKUP(Table3[[#This Row],[instant]],Table1[instant],Table1[hr], ,0,1)</f>
        <v>5</v>
      </c>
      <c r="D554" s="13" t="b">
        <f>_xlfn.XLOOKUP(Table3[[#This Row],[instant]],Table1[instant],Table1[holiday], ,0,1)</f>
        <v>0</v>
      </c>
      <c r="E554" s="2">
        <f>_xlfn.XLOOKUP(Table3[[#This Row],[instant]],Table1[instant],Table1[weekday], ,0,1)</f>
        <v>2</v>
      </c>
      <c r="F554" s="2">
        <f>_xlfn.XLOOKUP(Table3[[#This Row],[instant]],Table1[instant],Table1[weathersit], ,0,1)</f>
        <v>1</v>
      </c>
      <c r="G554" s="2">
        <f>_xlfn.XLOOKUP(Table3[[#This Row],[instant]],Table1[instant],Table1[temp], ,0,1)</f>
        <v>0.14000000000000001</v>
      </c>
      <c r="H554" s="24">
        <f>_xlfn.XLOOKUP(Table3[[#This Row],[instant]],Table2[instant],Table2[atemp], ,0,1)</f>
        <v>0.13639999999999999</v>
      </c>
      <c r="I554" s="1">
        <f>_xlfn.XLOOKUP(Table3[[#This Row],[instant]],Table2[instant],Table2[hum], ,0,1)</f>
        <v>0.74</v>
      </c>
      <c r="J554" s="1">
        <f>_xlfn.XLOOKUP(Table3[[#This Row],[instant]],Table2[instant],Table2[windspeed], ,0,1)</f>
        <v>0.22389999999999999</v>
      </c>
      <c r="K554" s="1">
        <f>_xlfn.XLOOKUP(Table3[[#This Row],[instant]],Table2[instant],Table2[casual], ,0,1)</f>
        <v>0</v>
      </c>
      <c r="L554" s="1">
        <f>_xlfn.XLOOKUP(Table3[[#This Row],[instant]],Table2[instant],Table2[registered], ,0,1)</f>
        <v>9</v>
      </c>
      <c r="M554" s="6">
        <f>_xlfn.XLOOKUP(Table3[[#This Row],[instant]],Table2[instant],Table2[cnt], ,0,1)</f>
        <v>9</v>
      </c>
      <c r="N554" s="6" t="str">
        <f>IF(OR(Table3[[#This Row],[weekday]]=0,Table3[[#This Row],[weekday]]=6),"Weekend","Weekday")</f>
        <v>Weekday</v>
      </c>
    </row>
    <row r="555" spans="1:14" ht="15" thickBot="1" x14ac:dyDescent="0.35">
      <c r="A555" s="10">
        <v>554</v>
      </c>
      <c r="B555" s="11">
        <f>_xlfn.XLOOKUP(Table3[[#This Row],[instant]],DatSet1!A555:A1164,DatSet1!B555:B1164,_xlfn.XLOOKUP(Table3[[#This Row],[instant]],'Final Data'!A555:A944,'Final Data'!B555:B944, ,0,1),0,1)</f>
        <v>40568</v>
      </c>
      <c r="C555" s="12">
        <f>_xlfn.XLOOKUP(Table3[[#This Row],[instant]],Table1[instant],Table1[hr], ,0,1)</f>
        <v>6</v>
      </c>
      <c r="D555" s="13" t="b">
        <f>_xlfn.XLOOKUP(Table3[[#This Row],[instant]],Table1[instant],Table1[holiday], ,0,1)</f>
        <v>0</v>
      </c>
      <c r="E555" s="2">
        <f>_xlfn.XLOOKUP(Table3[[#This Row],[instant]],Table1[instant],Table1[weekday], ,0,1)</f>
        <v>2</v>
      </c>
      <c r="F555" s="2">
        <f>_xlfn.XLOOKUP(Table3[[#This Row],[instant]],Table1[instant],Table1[weathersit], ,0,1)</f>
        <v>1</v>
      </c>
      <c r="G555" s="2">
        <f>_xlfn.XLOOKUP(Table3[[#This Row],[instant]],Table1[instant],Table1[temp], ,0,1)</f>
        <v>0.16</v>
      </c>
      <c r="H555" s="24">
        <f>_xlfn.XLOOKUP(Table3[[#This Row],[instant]],Table2[instant],Table2[atemp], ,0,1)</f>
        <v>0.18179999999999999</v>
      </c>
      <c r="I555" s="1">
        <f>_xlfn.XLOOKUP(Table3[[#This Row],[instant]],Table2[instant],Table2[hum], ,0,1)</f>
        <v>0.74</v>
      </c>
      <c r="J555" s="1">
        <f>_xlfn.XLOOKUP(Table3[[#This Row],[instant]],Table2[instant],Table2[windspeed], ,0,1)</f>
        <v>0.1045</v>
      </c>
      <c r="K555" s="1">
        <f>_xlfn.XLOOKUP(Table3[[#This Row],[instant]],Table2[instant],Table2[casual], ,0,1)</f>
        <v>1</v>
      </c>
      <c r="L555" s="1">
        <f>_xlfn.XLOOKUP(Table3[[#This Row],[instant]],Table2[instant],Table2[registered], ,0,1)</f>
        <v>35</v>
      </c>
      <c r="M555" s="6">
        <f>_xlfn.XLOOKUP(Table3[[#This Row],[instant]],Table2[instant],Table2[cnt], ,0,1)</f>
        <v>36</v>
      </c>
      <c r="N555" s="6" t="str">
        <f>IF(OR(Table3[[#This Row],[weekday]]=0,Table3[[#This Row],[weekday]]=6),"Weekend","Weekday")</f>
        <v>Weekday</v>
      </c>
    </row>
    <row r="556" spans="1:14" ht="15" thickBot="1" x14ac:dyDescent="0.35">
      <c r="A556" s="10">
        <v>555</v>
      </c>
      <c r="B556" s="11">
        <f>_xlfn.XLOOKUP(Table3[[#This Row],[instant]],DatSet1!A556:A1165,DatSet1!B556:B1165,_xlfn.XLOOKUP(Table3[[#This Row],[instant]],'Final Data'!A556:A945,'Final Data'!B556:B945, ,0,1),0,1)</f>
        <v>40568</v>
      </c>
      <c r="C556" s="12">
        <f>_xlfn.XLOOKUP(Table3[[#This Row],[instant]],Table1[instant],Table1[hr], ,0,1)</f>
        <v>7</v>
      </c>
      <c r="D556" s="13" t="b">
        <f>_xlfn.XLOOKUP(Table3[[#This Row],[instant]],Table1[instant],Table1[holiday], ,0,1)</f>
        <v>0</v>
      </c>
      <c r="E556" s="2">
        <f>_xlfn.XLOOKUP(Table3[[#This Row],[instant]],Table1[instant],Table1[weekday], ,0,1)</f>
        <v>2</v>
      </c>
      <c r="F556" s="2">
        <f>_xlfn.XLOOKUP(Table3[[#This Row],[instant]],Table1[instant],Table1[weathersit], ,0,1)</f>
        <v>1</v>
      </c>
      <c r="G556" s="2">
        <f>_xlfn.XLOOKUP(Table3[[#This Row],[instant]],Table1[instant],Table1[temp], ,0,1)</f>
        <v>0.16</v>
      </c>
      <c r="H556" s="24">
        <f>_xlfn.XLOOKUP(Table3[[#This Row],[instant]],Table2[instant],Table2[atemp], ,0,1)</f>
        <v>0.1515</v>
      </c>
      <c r="I556" s="1">
        <f>_xlfn.XLOOKUP(Table3[[#This Row],[instant]],Table2[instant],Table2[hum], ,0,1)</f>
        <v>0.74</v>
      </c>
      <c r="J556" s="1">
        <f>_xlfn.XLOOKUP(Table3[[#This Row],[instant]],Table2[instant],Table2[windspeed], ,0,1)</f>
        <v>0.22389999999999999</v>
      </c>
      <c r="K556" s="1">
        <f>_xlfn.XLOOKUP(Table3[[#This Row],[instant]],Table2[instant],Table2[casual], ,0,1)</f>
        <v>5</v>
      </c>
      <c r="L556" s="1">
        <f>_xlfn.XLOOKUP(Table3[[#This Row],[instant]],Table2[instant],Table2[registered], ,0,1)</f>
        <v>103</v>
      </c>
      <c r="M556" s="6">
        <f>_xlfn.XLOOKUP(Table3[[#This Row],[instant]],Table2[instant],Table2[cnt], ,0,1)</f>
        <v>108</v>
      </c>
      <c r="N556" s="6" t="str">
        <f>IF(OR(Table3[[#This Row],[weekday]]=0,Table3[[#This Row],[weekday]]=6),"Weekend","Weekday")</f>
        <v>Weekday</v>
      </c>
    </row>
    <row r="557" spans="1:14" ht="15" thickBot="1" x14ac:dyDescent="0.35">
      <c r="A557" s="10">
        <v>556</v>
      </c>
      <c r="B557" s="11">
        <f>_xlfn.XLOOKUP(Table3[[#This Row],[instant]],DatSet1!A557:A1166,DatSet1!B557:B1166,_xlfn.XLOOKUP(Table3[[#This Row],[instant]],'Final Data'!A557:A946,'Final Data'!B557:B946, ,0,1),0,1)</f>
        <v>40568</v>
      </c>
      <c r="C557" s="12">
        <f>_xlfn.XLOOKUP(Table3[[#This Row],[instant]],Table1[instant],Table1[hr], ,0,1)</f>
        <v>8</v>
      </c>
      <c r="D557" s="13" t="b">
        <f>_xlfn.XLOOKUP(Table3[[#This Row],[instant]],Table1[instant],Table1[holiday], ,0,1)</f>
        <v>0</v>
      </c>
      <c r="E557" s="2">
        <f>_xlfn.XLOOKUP(Table3[[#This Row],[instant]],Table1[instant],Table1[weekday], ,0,1)</f>
        <v>2</v>
      </c>
      <c r="F557" s="2">
        <f>_xlfn.XLOOKUP(Table3[[#This Row],[instant]],Table1[instant],Table1[weathersit], ,0,1)</f>
        <v>2</v>
      </c>
      <c r="G557" s="2">
        <f>_xlfn.XLOOKUP(Table3[[#This Row],[instant]],Table1[instant],Table1[temp], ,0,1)</f>
        <v>0.16</v>
      </c>
      <c r="H557" s="24">
        <f>_xlfn.XLOOKUP(Table3[[#This Row],[instant]],Table2[instant],Table2[atemp], ,0,1)</f>
        <v>0.18179999999999999</v>
      </c>
      <c r="I557" s="1">
        <f>_xlfn.XLOOKUP(Table3[[#This Row],[instant]],Table2[instant],Table2[hum], ,0,1)</f>
        <v>0.74</v>
      </c>
      <c r="J557" s="1">
        <f>_xlfn.XLOOKUP(Table3[[#This Row],[instant]],Table2[instant],Table2[windspeed], ,0,1)</f>
        <v>0.1343</v>
      </c>
      <c r="K557" s="1">
        <f>_xlfn.XLOOKUP(Table3[[#This Row],[instant]],Table2[instant],Table2[casual], ,0,1)</f>
        <v>5</v>
      </c>
      <c r="L557" s="1">
        <f>_xlfn.XLOOKUP(Table3[[#This Row],[instant]],Table2[instant],Table2[registered], ,0,1)</f>
        <v>233</v>
      </c>
      <c r="M557" s="6">
        <f>_xlfn.XLOOKUP(Table3[[#This Row],[instant]],Table2[instant],Table2[cnt], ,0,1)</f>
        <v>238</v>
      </c>
      <c r="N557" s="6" t="str">
        <f>IF(OR(Table3[[#This Row],[weekday]]=0,Table3[[#This Row],[weekday]]=6),"Weekend","Weekday")</f>
        <v>Weekday</v>
      </c>
    </row>
    <row r="558" spans="1:14" ht="15" thickBot="1" x14ac:dyDescent="0.35">
      <c r="A558" s="10">
        <v>557</v>
      </c>
      <c r="B558" s="11">
        <f>_xlfn.XLOOKUP(Table3[[#This Row],[instant]],DatSet1!A558:A1167,DatSet1!B558:B1167,_xlfn.XLOOKUP(Table3[[#This Row],[instant]],'Final Data'!A558:A947,'Final Data'!B558:B947, ,0,1),0,1)</f>
        <v>40568</v>
      </c>
      <c r="C558" s="12">
        <f>_xlfn.XLOOKUP(Table3[[#This Row],[instant]],Table1[instant],Table1[hr], ,0,1)</f>
        <v>9</v>
      </c>
      <c r="D558" s="13" t="b">
        <f>_xlfn.XLOOKUP(Table3[[#This Row],[instant]],Table1[instant],Table1[holiday], ,0,1)</f>
        <v>0</v>
      </c>
      <c r="E558" s="2">
        <f>_xlfn.XLOOKUP(Table3[[#This Row],[instant]],Table1[instant],Table1[weekday], ,0,1)</f>
        <v>2</v>
      </c>
      <c r="F558" s="2">
        <f>_xlfn.XLOOKUP(Table3[[#This Row],[instant]],Table1[instant],Table1[weathersit], ,0,1)</f>
        <v>2</v>
      </c>
      <c r="G558" s="2">
        <f>_xlfn.XLOOKUP(Table3[[#This Row],[instant]],Table1[instant],Table1[temp], ,0,1)</f>
        <v>0.2</v>
      </c>
      <c r="H558" s="24">
        <f>_xlfn.XLOOKUP(Table3[[#This Row],[instant]],Table2[instant],Table2[atemp], ,0,1)</f>
        <v>0.2273</v>
      </c>
      <c r="I558" s="1">
        <f>_xlfn.XLOOKUP(Table3[[#This Row],[instant]],Table2[instant],Table2[hum], ,0,1)</f>
        <v>0.64</v>
      </c>
      <c r="J558" s="1">
        <f>_xlfn.XLOOKUP(Table3[[#This Row],[instant]],Table2[instant],Table2[windspeed], ,0,1)</f>
        <v>8.9599999999999999E-2</v>
      </c>
      <c r="K558" s="1">
        <f>_xlfn.XLOOKUP(Table3[[#This Row],[instant]],Table2[instant],Table2[casual], ,0,1)</f>
        <v>10</v>
      </c>
      <c r="L558" s="1">
        <f>_xlfn.XLOOKUP(Table3[[#This Row],[instant]],Table2[instant],Table2[registered], ,0,1)</f>
        <v>134</v>
      </c>
      <c r="M558" s="6">
        <f>_xlfn.XLOOKUP(Table3[[#This Row],[instant]],Table2[instant],Table2[cnt], ,0,1)</f>
        <v>144</v>
      </c>
      <c r="N558" s="6" t="str">
        <f>IF(OR(Table3[[#This Row],[weekday]]=0,Table3[[#This Row],[weekday]]=6),"Weekend","Weekday")</f>
        <v>Weekday</v>
      </c>
    </row>
    <row r="559" spans="1:14" ht="15" thickBot="1" x14ac:dyDescent="0.35">
      <c r="A559" s="10">
        <v>558</v>
      </c>
      <c r="B559" s="11">
        <f>_xlfn.XLOOKUP(Table3[[#This Row],[instant]],DatSet1!A559:A1168,DatSet1!B559:B1168,_xlfn.XLOOKUP(Table3[[#This Row],[instant]],'Final Data'!A559:A948,'Final Data'!B559:B948, ,0,1),0,1)</f>
        <v>40568</v>
      </c>
      <c r="C559" s="12">
        <f>_xlfn.XLOOKUP(Table3[[#This Row],[instant]],Table1[instant],Table1[hr], ,0,1)</f>
        <v>10</v>
      </c>
      <c r="D559" s="13" t="b">
        <f>_xlfn.XLOOKUP(Table3[[#This Row],[instant]],Table1[instant],Table1[holiday], ,0,1)</f>
        <v>0</v>
      </c>
      <c r="E559" s="2">
        <f>_xlfn.XLOOKUP(Table3[[#This Row],[instant]],Table1[instant],Table1[weekday], ,0,1)</f>
        <v>2</v>
      </c>
      <c r="F559" s="2">
        <f>_xlfn.XLOOKUP(Table3[[#This Row],[instant]],Table1[instant],Table1[weathersit], ,0,1)</f>
        <v>2</v>
      </c>
      <c r="G559" s="2">
        <f>_xlfn.XLOOKUP(Table3[[#This Row],[instant]],Table1[instant],Table1[temp], ,0,1)</f>
        <v>0.22</v>
      </c>
      <c r="H559" s="24">
        <f>_xlfn.XLOOKUP(Table3[[#This Row],[instant]],Table2[instant],Table2[atemp], ,0,1)</f>
        <v>0.2424</v>
      </c>
      <c r="I559" s="1">
        <f>_xlfn.XLOOKUP(Table3[[#This Row],[instant]],Table2[instant],Table2[hum], ,0,1)</f>
        <v>0.6</v>
      </c>
      <c r="J559" s="1">
        <f>_xlfn.XLOOKUP(Table3[[#This Row],[instant]],Table2[instant],Table2[windspeed], ,0,1)</f>
        <v>0.1045</v>
      </c>
      <c r="K559" s="1">
        <f>_xlfn.XLOOKUP(Table3[[#This Row],[instant]],Table2[instant],Table2[casual], ,0,1)</f>
        <v>6</v>
      </c>
      <c r="L559" s="1">
        <f>_xlfn.XLOOKUP(Table3[[#This Row],[instant]],Table2[instant],Table2[registered], ,0,1)</f>
        <v>49</v>
      </c>
      <c r="M559" s="6">
        <f>_xlfn.XLOOKUP(Table3[[#This Row],[instant]],Table2[instant],Table2[cnt], ,0,1)</f>
        <v>55</v>
      </c>
      <c r="N559" s="6" t="str">
        <f>IF(OR(Table3[[#This Row],[weekday]]=0,Table3[[#This Row],[weekday]]=6),"Weekend","Weekday")</f>
        <v>Weekday</v>
      </c>
    </row>
    <row r="560" spans="1:14" ht="15" thickBot="1" x14ac:dyDescent="0.35">
      <c r="A560" s="10">
        <v>559</v>
      </c>
      <c r="B560" s="11">
        <f>_xlfn.XLOOKUP(Table3[[#This Row],[instant]],DatSet1!A560:A1169,DatSet1!B560:B1169,_xlfn.XLOOKUP(Table3[[#This Row],[instant]],'Final Data'!A560:A949,'Final Data'!B560:B949, ,0,1),0,1)</f>
        <v>40568</v>
      </c>
      <c r="C560" s="12">
        <f>_xlfn.XLOOKUP(Table3[[#This Row],[instant]],Table1[instant],Table1[hr], ,0,1)</f>
        <v>11</v>
      </c>
      <c r="D560" s="13" t="b">
        <f>_xlfn.XLOOKUP(Table3[[#This Row],[instant]],Table1[instant],Table1[holiday], ,0,1)</f>
        <v>0</v>
      </c>
      <c r="E560" s="2">
        <f>_xlfn.XLOOKUP(Table3[[#This Row],[instant]],Table1[instant],Table1[weekday], ,0,1)</f>
        <v>2</v>
      </c>
      <c r="F560" s="2">
        <f>_xlfn.XLOOKUP(Table3[[#This Row],[instant]],Table1[instant],Table1[weathersit], ,0,1)</f>
        <v>2</v>
      </c>
      <c r="G560" s="2">
        <f>_xlfn.XLOOKUP(Table3[[#This Row],[instant]],Table1[instant],Table1[temp], ,0,1)</f>
        <v>0.24</v>
      </c>
      <c r="H560" s="24">
        <f>_xlfn.XLOOKUP(Table3[[#This Row],[instant]],Table2[instant],Table2[atemp], ,0,1)</f>
        <v>0.2424</v>
      </c>
      <c r="I560" s="1">
        <f>_xlfn.XLOOKUP(Table3[[#This Row],[instant]],Table2[instant],Table2[hum], ,0,1)</f>
        <v>0.6</v>
      </c>
      <c r="J560" s="1">
        <f>_xlfn.XLOOKUP(Table3[[#This Row],[instant]],Table2[instant],Table2[windspeed], ,0,1)</f>
        <v>0.1343</v>
      </c>
      <c r="K560" s="1">
        <f>_xlfn.XLOOKUP(Table3[[#This Row],[instant]],Table2[instant],Table2[casual], ,0,1)</f>
        <v>6</v>
      </c>
      <c r="L560" s="1">
        <f>_xlfn.XLOOKUP(Table3[[#This Row],[instant]],Table2[instant],Table2[registered], ,0,1)</f>
        <v>55</v>
      </c>
      <c r="M560" s="6">
        <f>_xlfn.XLOOKUP(Table3[[#This Row],[instant]],Table2[instant],Table2[cnt], ,0,1)</f>
        <v>61</v>
      </c>
      <c r="N560" s="6" t="str">
        <f>IF(OR(Table3[[#This Row],[weekday]]=0,Table3[[#This Row],[weekday]]=6),"Weekend","Weekday")</f>
        <v>Weekday</v>
      </c>
    </row>
    <row r="561" spans="1:14" ht="15" thickBot="1" x14ac:dyDescent="0.35">
      <c r="A561" s="10">
        <v>560</v>
      </c>
      <c r="B561" s="11">
        <f>_xlfn.XLOOKUP(Table3[[#This Row],[instant]],DatSet1!A561:A1170,DatSet1!B561:B1170,_xlfn.XLOOKUP(Table3[[#This Row],[instant]],'Final Data'!A561:A950,'Final Data'!B561:B950, ,0,1),0,1)</f>
        <v>40568</v>
      </c>
      <c r="C561" s="12">
        <f>_xlfn.XLOOKUP(Table3[[#This Row],[instant]],Table1[instant],Table1[hr], ,0,1)</f>
        <v>12</v>
      </c>
      <c r="D561" s="13" t="b">
        <f>_xlfn.XLOOKUP(Table3[[#This Row],[instant]],Table1[instant],Table1[holiday], ,0,1)</f>
        <v>0</v>
      </c>
      <c r="E561" s="2">
        <f>_xlfn.XLOOKUP(Table3[[#This Row],[instant]],Table1[instant],Table1[weekday], ,0,1)</f>
        <v>2</v>
      </c>
      <c r="F561" s="2">
        <f>_xlfn.XLOOKUP(Table3[[#This Row],[instant]],Table1[instant],Table1[weathersit], ,0,1)</f>
        <v>2</v>
      </c>
      <c r="G561" s="2">
        <f>_xlfn.XLOOKUP(Table3[[#This Row],[instant]],Table1[instant],Table1[temp], ,0,1)</f>
        <v>0.26</v>
      </c>
      <c r="H561" s="24">
        <f>_xlfn.XLOOKUP(Table3[[#This Row],[instant]],Table2[instant],Table2[atemp], ,0,1)</f>
        <v>0.28789999999999999</v>
      </c>
      <c r="I561" s="1">
        <f>_xlfn.XLOOKUP(Table3[[#This Row],[instant]],Table2[instant],Table2[hum], ,0,1)</f>
        <v>0.56000000000000005</v>
      </c>
      <c r="J561" s="1">
        <f>_xlfn.XLOOKUP(Table3[[#This Row],[instant]],Table2[instant],Table2[windspeed], ,0,1)</f>
        <v>8.9599999999999999E-2</v>
      </c>
      <c r="K561" s="1">
        <f>_xlfn.XLOOKUP(Table3[[#This Row],[instant]],Table2[instant],Table2[casual], ,0,1)</f>
        <v>21</v>
      </c>
      <c r="L561" s="1">
        <f>_xlfn.XLOOKUP(Table3[[#This Row],[instant]],Table2[instant],Table2[registered], ,0,1)</f>
        <v>85</v>
      </c>
      <c r="M561" s="6">
        <f>_xlfn.XLOOKUP(Table3[[#This Row],[instant]],Table2[instant],Table2[cnt], ,0,1)</f>
        <v>106</v>
      </c>
      <c r="N561" s="6" t="str">
        <f>IF(OR(Table3[[#This Row],[weekday]]=0,Table3[[#This Row],[weekday]]=6),"Weekend","Weekday")</f>
        <v>Weekday</v>
      </c>
    </row>
    <row r="562" spans="1:14" ht="15" thickBot="1" x14ac:dyDescent="0.35">
      <c r="A562" s="10">
        <v>561</v>
      </c>
      <c r="B562" s="11">
        <f>_xlfn.XLOOKUP(Table3[[#This Row],[instant]],DatSet1!A562:A1171,DatSet1!B562:B1171,_xlfn.XLOOKUP(Table3[[#This Row],[instant]],'Final Data'!A562:A951,'Final Data'!B562:B951, ,0,1),0,1)</f>
        <v>40568</v>
      </c>
      <c r="C562" s="12">
        <f>_xlfn.XLOOKUP(Table3[[#This Row],[instant]],Table1[instant],Table1[hr], ,0,1)</f>
        <v>13</v>
      </c>
      <c r="D562" s="13" t="b">
        <f>_xlfn.XLOOKUP(Table3[[#This Row],[instant]],Table1[instant],Table1[holiday], ,0,1)</f>
        <v>0</v>
      </c>
      <c r="E562" s="2">
        <f>_xlfn.XLOOKUP(Table3[[#This Row],[instant]],Table1[instant],Table1[weekday], ,0,1)</f>
        <v>2</v>
      </c>
      <c r="F562" s="2">
        <f>_xlfn.XLOOKUP(Table3[[#This Row],[instant]],Table1[instant],Table1[weathersit], ,0,1)</f>
        <v>2</v>
      </c>
      <c r="G562" s="2">
        <f>_xlfn.XLOOKUP(Table3[[#This Row],[instant]],Table1[instant],Table1[temp], ,0,1)</f>
        <v>0.26</v>
      </c>
      <c r="H562" s="24">
        <f>_xlfn.XLOOKUP(Table3[[#This Row],[instant]],Table2[instant],Table2[atemp], ,0,1)</f>
        <v>0.2727</v>
      </c>
      <c r="I562" s="1">
        <f>_xlfn.XLOOKUP(Table3[[#This Row],[instant]],Table2[instant],Table2[hum], ,0,1)</f>
        <v>0.56000000000000005</v>
      </c>
      <c r="J562" s="1">
        <f>_xlfn.XLOOKUP(Table3[[#This Row],[instant]],Table2[instant],Table2[windspeed], ,0,1)</f>
        <v>0.1343</v>
      </c>
      <c r="K562" s="1">
        <f>_xlfn.XLOOKUP(Table3[[#This Row],[instant]],Table2[instant],Table2[casual], ,0,1)</f>
        <v>21</v>
      </c>
      <c r="L562" s="1">
        <f>_xlfn.XLOOKUP(Table3[[#This Row],[instant]],Table2[instant],Table2[registered], ,0,1)</f>
        <v>72</v>
      </c>
      <c r="M562" s="6">
        <f>_xlfn.XLOOKUP(Table3[[#This Row],[instant]],Table2[instant],Table2[cnt], ,0,1)</f>
        <v>93</v>
      </c>
      <c r="N562" s="6" t="str">
        <f>IF(OR(Table3[[#This Row],[weekday]]=0,Table3[[#This Row],[weekday]]=6),"Weekend","Weekday")</f>
        <v>Weekday</v>
      </c>
    </row>
    <row r="563" spans="1:14" ht="15" thickBot="1" x14ac:dyDescent="0.35">
      <c r="A563" s="10">
        <v>562</v>
      </c>
      <c r="B563" s="11">
        <f>_xlfn.XLOOKUP(Table3[[#This Row],[instant]],DatSet1!A563:A1172,DatSet1!B563:B1172,_xlfn.XLOOKUP(Table3[[#This Row],[instant]],'Final Data'!A563:A952,'Final Data'!B563:B952, ,0,1),0,1)</f>
        <v>40568</v>
      </c>
      <c r="C563" s="12">
        <f>_xlfn.XLOOKUP(Table3[[#This Row],[instant]],Table1[instant],Table1[hr], ,0,1)</f>
        <v>14</v>
      </c>
      <c r="D563" s="13" t="b">
        <f>_xlfn.XLOOKUP(Table3[[#This Row],[instant]],Table1[instant],Table1[holiday], ,0,1)</f>
        <v>0</v>
      </c>
      <c r="E563" s="2">
        <f>_xlfn.XLOOKUP(Table3[[#This Row],[instant]],Table1[instant],Table1[weekday], ,0,1)</f>
        <v>2</v>
      </c>
      <c r="F563" s="2">
        <f>_xlfn.XLOOKUP(Table3[[#This Row],[instant]],Table1[instant],Table1[weathersit], ,0,1)</f>
        <v>2</v>
      </c>
      <c r="G563" s="2">
        <f>_xlfn.XLOOKUP(Table3[[#This Row],[instant]],Table1[instant],Table1[temp], ,0,1)</f>
        <v>0.3</v>
      </c>
      <c r="H563" s="24">
        <f>_xlfn.XLOOKUP(Table3[[#This Row],[instant]],Table2[instant],Table2[atemp], ,0,1)</f>
        <v>0.33329999999999999</v>
      </c>
      <c r="I563" s="1">
        <f>_xlfn.XLOOKUP(Table3[[#This Row],[instant]],Table2[instant],Table2[hum], ,0,1)</f>
        <v>0.45</v>
      </c>
      <c r="J563" s="1">
        <f>_xlfn.XLOOKUP(Table3[[#This Row],[instant]],Table2[instant],Table2[windspeed], ,0,1)</f>
        <v>0</v>
      </c>
      <c r="K563" s="1">
        <f>_xlfn.XLOOKUP(Table3[[#This Row],[instant]],Table2[instant],Table2[casual], ,0,1)</f>
        <v>11</v>
      </c>
      <c r="L563" s="1">
        <f>_xlfn.XLOOKUP(Table3[[#This Row],[instant]],Table2[instant],Table2[registered], ,0,1)</f>
        <v>57</v>
      </c>
      <c r="M563" s="6">
        <f>_xlfn.XLOOKUP(Table3[[#This Row],[instant]],Table2[instant],Table2[cnt], ,0,1)</f>
        <v>68</v>
      </c>
      <c r="N563" s="6" t="str">
        <f>IF(OR(Table3[[#This Row],[weekday]]=0,Table3[[#This Row],[weekday]]=6),"Weekend","Weekday")</f>
        <v>Weekday</v>
      </c>
    </row>
    <row r="564" spans="1:14" ht="15" thickBot="1" x14ac:dyDescent="0.35">
      <c r="A564" s="10">
        <v>563</v>
      </c>
      <c r="B564" s="11">
        <f>_xlfn.XLOOKUP(Table3[[#This Row],[instant]],DatSet1!A564:A1173,DatSet1!B564:B1173,_xlfn.XLOOKUP(Table3[[#This Row],[instant]],'Final Data'!A564:A953,'Final Data'!B564:B953, ,0,1),0,1)</f>
        <v>40568</v>
      </c>
      <c r="C564" s="12">
        <f>_xlfn.XLOOKUP(Table3[[#This Row],[instant]],Table1[instant],Table1[hr], ,0,1)</f>
        <v>15</v>
      </c>
      <c r="D564" s="13" t="b">
        <f>_xlfn.XLOOKUP(Table3[[#This Row],[instant]],Table1[instant],Table1[holiday], ,0,1)</f>
        <v>0</v>
      </c>
      <c r="E564" s="2">
        <f>_xlfn.XLOOKUP(Table3[[#This Row],[instant]],Table1[instant],Table1[weekday], ,0,1)</f>
        <v>2</v>
      </c>
      <c r="F564" s="2">
        <f>_xlfn.XLOOKUP(Table3[[#This Row],[instant]],Table1[instant],Table1[weathersit], ,0,1)</f>
        <v>2</v>
      </c>
      <c r="G564" s="2">
        <f>_xlfn.XLOOKUP(Table3[[#This Row],[instant]],Table1[instant],Table1[temp], ,0,1)</f>
        <v>0.32</v>
      </c>
      <c r="H564" s="24">
        <f>_xlfn.XLOOKUP(Table3[[#This Row],[instant]],Table2[instant],Table2[atemp], ,0,1)</f>
        <v>0.34849999999999998</v>
      </c>
      <c r="I564" s="1">
        <f>_xlfn.XLOOKUP(Table3[[#This Row],[instant]],Table2[instant],Table2[hum], ,0,1)</f>
        <v>0.42</v>
      </c>
      <c r="J564" s="1">
        <f>_xlfn.XLOOKUP(Table3[[#This Row],[instant]],Table2[instant],Table2[windspeed], ,0,1)</f>
        <v>0</v>
      </c>
      <c r="K564" s="1">
        <f>_xlfn.XLOOKUP(Table3[[#This Row],[instant]],Table2[instant],Table2[casual], ,0,1)</f>
        <v>21</v>
      </c>
      <c r="L564" s="1">
        <f>_xlfn.XLOOKUP(Table3[[#This Row],[instant]],Table2[instant],Table2[registered], ,0,1)</f>
        <v>63</v>
      </c>
      <c r="M564" s="6">
        <f>_xlfn.XLOOKUP(Table3[[#This Row],[instant]],Table2[instant],Table2[cnt], ,0,1)</f>
        <v>84</v>
      </c>
      <c r="N564" s="6" t="str">
        <f>IF(OR(Table3[[#This Row],[weekday]]=0,Table3[[#This Row],[weekday]]=6),"Weekend","Weekday")</f>
        <v>Weekday</v>
      </c>
    </row>
    <row r="565" spans="1:14" ht="15" thickBot="1" x14ac:dyDescent="0.35">
      <c r="A565" s="10">
        <v>564</v>
      </c>
      <c r="B565" s="11">
        <f>_xlfn.XLOOKUP(Table3[[#This Row],[instant]],DatSet1!A565:A1174,DatSet1!B565:B1174,_xlfn.XLOOKUP(Table3[[#This Row],[instant]],'Final Data'!A565:A954,'Final Data'!B565:B954, ,0,1),0,1)</f>
        <v>40568</v>
      </c>
      <c r="C565" s="12">
        <f>_xlfn.XLOOKUP(Table3[[#This Row],[instant]],Table1[instant],Table1[hr], ,0,1)</f>
        <v>16</v>
      </c>
      <c r="D565" s="13" t="b">
        <f>_xlfn.XLOOKUP(Table3[[#This Row],[instant]],Table1[instant],Table1[holiday], ,0,1)</f>
        <v>0</v>
      </c>
      <c r="E565" s="2">
        <f>_xlfn.XLOOKUP(Table3[[#This Row],[instant]],Table1[instant],Table1[weekday], ,0,1)</f>
        <v>2</v>
      </c>
      <c r="F565" s="2">
        <f>_xlfn.XLOOKUP(Table3[[#This Row],[instant]],Table1[instant],Table1[weathersit], ,0,1)</f>
        <v>2</v>
      </c>
      <c r="G565" s="2">
        <f>_xlfn.XLOOKUP(Table3[[#This Row],[instant]],Table1[instant],Table1[temp], ,0,1)</f>
        <v>0.32</v>
      </c>
      <c r="H565" s="24">
        <f>_xlfn.XLOOKUP(Table3[[#This Row],[instant]],Table2[instant],Table2[atemp], ,0,1)</f>
        <v>0.34849999999999998</v>
      </c>
      <c r="I565" s="1">
        <f>_xlfn.XLOOKUP(Table3[[#This Row],[instant]],Table2[instant],Table2[hum], ,0,1)</f>
        <v>0.42</v>
      </c>
      <c r="J565" s="1">
        <f>_xlfn.XLOOKUP(Table3[[#This Row],[instant]],Table2[instant],Table2[windspeed], ,0,1)</f>
        <v>0</v>
      </c>
      <c r="K565" s="1">
        <f>_xlfn.XLOOKUP(Table3[[#This Row],[instant]],Table2[instant],Table2[casual], ,0,1)</f>
        <v>14</v>
      </c>
      <c r="L565" s="1">
        <f>_xlfn.XLOOKUP(Table3[[#This Row],[instant]],Table2[instant],Table2[registered], ,0,1)</f>
        <v>102</v>
      </c>
      <c r="M565" s="6">
        <f>_xlfn.XLOOKUP(Table3[[#This Row],[instant]],Table2[instant],Table2[cnt], ,0,1)</f>
        <v>116</v>
      </c>
      <c r="N565" s="6" t="str">
        <f>IF(OR(Table3[[#This Row],[weekday]]=0,Table3[[#This Row],[weekday]]=6),"Weekend","Weekday")</f>
        <v>Weekday</v>
      </c>
    </row>
    <row r="566" spans="1:14" ht="15" thickBot="1" x14ac:dyDescent="0.35">
      <c r="A566" s="10">
        <v>565</v>
      </c>
      <c r="B566" s="11">
        <f>_xlfn.XLOOKUP(Table3[[#This Row],[instant]],DatSet1!A566:A1175,DatSet1!B566:B1175,_xlfn.XLOOKUP(Table3[[#This Row],[instant]],'Final Data'!A566:A955,'Final Data'!B566:B955, ,0,1),0,1)</f>
        <v>40568</v>
      </c>
      <c r="C566" s="12">
        <f>_xlfn.XLOOKUP(Table3[[#This Row],[instant]],Table1[instant],Table1[hr], ,0,1)</f>
        <v>17</v>
      </c>
      <c r="D566" s="13" t="b">
        <f>_xlfn.XLOOKUP(Table3[[#This Row],[instant]],Table1[instant],Table1[holiday], ,0,1)</f>
        <v>0</v>
      </c>
      <c r="E566" s="2">
        <f>_xlfn.XLOOKUP(Table3[[#This Row],[instant]],Table1[instant],Table1[weekday], ,0,1)</f>
        <v>2</v>
      </c>
      <c r="F566" s="2">
        <f>_xlfn.XLOOKUP(Table3[[#This Row],[instant]],Table1[instant],Table1[weathersit], ,0,1)</f>
        <v>1</v>
      </c>
      <c r="G566" s="2">
        <f>_xlfn.XLOOKUP(Table3[[#This Row],[instant]],Table1[instant],Table1[temp], ,0,1)</f>
        <v>0.3</v>
      </c>
      <c r="H566" s="24">
        <f>_xlfn.XLOOKUP(Table3[[#This Row],[instant]],Table2[instant],Table2[atemp], ,0,1)</f>
        <v>0.33329999999999999</v>
      </c>
      <c r="I566" s="1">
        <f>_xlfn.XLOOKUP(Table3[[#This Row],[instant]],Table2[instant],Table2[hum], ,0,1)</f>
        <v>0.45</v>
      </c>
      <c r="J566" s="1">
        <f>_xlfn.XLOOKUP(Table3[[#This Row],[instant]],Table2[instant],Table2[windspeed], ,0,1)</f>
        <v>0</v>
      </c>
      <c r="K566" s="1">
        <f>_xlfn.XLOOKUP(Table3[[#This Row],[instant]],Table2[instant],Table2[casual], ,0,1)</f>
        <v>14</v>
      </c>
      <c r="L566" s="1">
        <f>_xlfn.XLOOKUP(Table3[[#This Row],[instant]],Table2[instant],Table2[registered], ,0,1)</f>
        <v>208</v>
      </c>
      <c r="M566" s="6">
        <f>_xlfn.XLOOKUP(Table3[[#This Row],[instant]],Table2[instant],Table2[cnt], ,0,1)</f>
        <v>222</v>
      </c>
      <c r="N566" s="6" t="str">
        <f>IF(OR(Table3[[#This Row],[weekday]]=0,Table3[[#This Row],[weekday]]=6),"Weekend","Weekday")</f>
        <v>Weekday</v>
      </c>
    </row>
    <row r="567" spans="1:14" ht="15" thickBot="1" x14ac:dyDescent="0.35">
      <c r="A567" s="10">
        <v>566</v>
      </c>
      <c r="B567" s="11">
        <f>_xlfn.XLOOKUP(Table3[[#This Row],[instant]],DatSet1!A567:A1176,DatSet1!B567:B1176,_xlfn.XLOOKUP(Table3[[#This Row],[instant]],'Final Data'!A567:A956,'Final Data'!B567:B956, ,0,1),0,1)</f>
        <v>40568</v>
      </c>
      <c r="C567" s="12">
        <f>_xlfn.XLOOKUP(Table3[[#This Row],[instant]],Table1[instant],Table1[hr], ,0,1)</f>
        <v>18</v>
      </c>
      <c r="D567" s="13" t="b">
        <f>_xlfn.XLOOKUP(Table3[[#This Row],[instant]],Table1[instant],Table1[holiday], ,0,1)</f>
        <v>0</v>
      </c>
      <c r="E567" s="2">
        <f>_xlfn.XLOOKUP(Table3[[#This Row],[instant]],Table1[instant],Table1[weekday], ,0,1)</f>
        <v>2</v>
      </c>
      <c r="F567" s="2">
        <f>_xlfn.XLOOKUP(Table3[[#This Row],[instant]],Table1[instant],Table1[weathersit], ,0,1)</f>
        <v>2</v>
      </c>
      <c r="G567" s="2">
        <f>_xlfn.XLOOKUP(Table3[[#This Row],[instant]],Table1[instant],Table1[temp], ,0,1)</f>
        <v>0.3</v>
      </c>
      <c r="H567" s="24">
        <f>_xlfn.XLOOKUP(Table3[[#This Row],[instant]],Table2[instant],Table2[atemp], ,0,1)</f>
        <v>0.31819999999999998</v>
      </c>
      <c r="I567" s="1">
        <f>_xlfn.XLOOKUP(Table3[[#This Row],[instant]],Table2[instant],Table2[hum], ,0,1)</f>
        <v>0.49</v>
      </c>
      <c r="J567" s="1">
        <f>_xlfn.XLOOKUP(Table3[[#This Row],[instant]],Table2[instant],Table2[windspeed], ,0,1)</f>
        <v>8.9599999999999999E-2</v>
      </c>
      <c r="K567" s="1">
        <f>_xlfn.XLOOKUP(Table3[[#This Row],[instant]],Table2[instant],Table2[casual], ,0,1)</f>
        <v>7</v>
      </c>
      <c r="L567" s="1">
        <f>_xlfn.XLOOKUP(Table3[[#This Row],[instant]],Table2[instant],Table2[registered], ,0,1)</f>
        <v>218</v>
      </c>
      <c r="M567" s="6">
        <f>_xlfn.XLOOKUP(Table3[[#This Row],[instant]],Table2[instant],Table2[cnt], ,0,1)</f>
        <v>225</v>
      </c>
      <c r="N567" s="6" t="str">
        <f>IF(OR(Table3[[#This Row],[weekday]]=0,Table3[[#This Row],[weekday]]=6),"Weekend","Weekday")</f>
        <v>Weekday</v>
      </c>
    </row>
    <row r="568" spans="1:14" ht="15" thickBot="1" x14ac:dyDescent="0.35">
      <c r="A568" s="10">
        <v>567</v>
      </c>
      <c r="B568" s="11">
        <f>_xlfn.XLOOKUP(Table3[[#This Row],[instant]],DatSet1!A568:A1177,DatSet1!B568:B1177,_xlfn.XLOOKUP(Table3[[#This Row],[instant]],'Final Data'!A568:A957,'Final Data'!B568:B957, ,0,1),0,1)</f>
        <v>40568</v>
      </c>
      <c r="C568" s="12">
        <f>_xlfn.XLOOKUP(Table3[[#This Row],[instant]],Table1[instant],Table1[hr], ,0,1)</f>
        <v>19</v>
      </c>
      <c r="D568" s="13" t="b">
        <f>_xlfn.XLOOKUP(Table3[[#This Row],[instant]],Table1[instant],Table1[holiday], ,0,1)</f>
        <v>0</v>
      </c>
      <c r="E568" s="2">
        <f>_xlfn.XLOOKUP(Table3[[#This Row],[instant]],Table1[instant],Table1[weekday], ,0,1)</f>
        <v>2</v>
      </c>
      <c r="F568" s="2">
        <f>_xlfn.XLOOKUP(Table3[[#This Row],[instant]],Table1[instant],Table1[weathersit], ,0,1)</f>
        <v>2</v>
      </c>
      <c r="G568" s="2">
        <f>_xlfn.XLOOKUP(Table3[[#This Row],[instant]],Table1[instant],Table1[temp], ,0,1)</f>
        <v>0.26</v>
      </c>
      <c r="H568" s="24">
        <f>_xlfn.XLOOKUP(Table3[[#This Row],[instant]],Table2[instant],Table2[atemp], ,0,1)</f>
        <v>0.2576</v>
      </c>
      <c r="I568" s="1">
        <f>_xlfn.XLOOKUP(Table3[[#This Row],[instant]],Table2[instant],Table2[hum], ,0,1)</f>
        <v>0.65</v>
      </c>
      <c r="J568" s="1">
        <f>_xlfn.XLOOKUP(Table3[[#This Row],[instant]],Table2[instant],Table2[windspeed], ,0,1)</f>
        <v>0.16420000000000001</v>
      </c>
      <c r="K568" s="1">
        <f>_xlfn.XLOOKUP(Table3[[#This Row],[instant]],Table2[instant],Table2[casual], ,0,1)</f>
        <v>13</v>
      </c>
      <c r="L568" s="1">
        <f>_xlfn.XLOOKUP(Table3[[#This Row],[instant]],Table2[instant],Table2[registered], ,0,1)</f>
        <v>133</v>
      </c>
      <c r="M568" s="6">
        <f>_xlfn.XLOOKUP(Table3[[#This Row],[instant]],Table2[instant],Table2[cnt], ,0,1)</f>
        <v>146</v>
      </c>
      <c r="N568" s="6" t="str">
        <f>IF(OR(Table3[[#This Row],[weekday]]=0,Table3[[#This Row],[weekday]]=6),"Weekend","Weekday")</f>
        <v>Weekday</v>
      </c>
    </row>
    <row r="569" spans="1:14" ht="15" thickBot="1" x14ac:dyDescent="0.35">
      <c r="A569" s="10">
        <v>568</v>
      </c>
      <c r="B569" s="11">
        <f>_xlfn.XLOOKUP(Table3[[#This Row],[instant]],DatSet1!A569:A1178,DatSet1!B569:B1178,_xlfn.XLOOKUP(Table3[[#This Row],[instant]],'Final Data'!A569:A958,'Final Data'!B569:B958, ,0,1),0,1)</f>
        <v>40568</v>
      </c>
      <c r="C569" s="12">
        <f>_xlfn.XLOOKUP(Table3[[#This Row],[instant]],Table1[instant],Table1[hr], ,0,1)</f>
        <v>20</v>
      </c>
      <c r="D569" s="13" t="b">
        <f>_xlfn.XLOOKUP(Table3[[#This Row],[instant]],Table1[instant],Table1[holiday], ,0,1)</f>
        <v>0</v>
      </c>
      <c r="E569" s="2">
        <f>_xlfn.XLOOKUP(Table3[[#This Row],[instant]],Table1[instant],Table1[weekday], ,0,1)</f>
        <v>2</v>
      </c>
      <c r="F569" s="2">
        <f>_xlfn.XLOOKUP(Table3[[#This Row],[instant]],Table1[instant],Table1[weathersit], ,0,1)</f>
        <v>1</v>
      </c>
      <c r="G569" s="2">
        <f>_xlfn.XLOOKUP(Table3[[#This Row],[instant]],Table1[instant],Table1[temp], ,0,1)</f>
        <v>0.24</v>
      </c>
      <c r="H569" s="24">
        <f>_xlfn.XLOOKUP(Table3[[#This Row],[instant]],Table2[instant],Table2[atemp], ,0,1)</f>
        <v>0.2273</v>
      </c>
      <c r="I569" s="1">
        <f>_xlfn.XLOOKUP(Table3[[#This Row],[instant]],Table2[instant],Table2[hum], ,0,1)</f>
        <v>0.65</v>
      </c>
      <c r="J569" s="1">
        <f>_xlfn.XLOOKUP(Table3[[#This Row],[instant]],Table2[instant],Table2[windspeed], ,0,1)</f>
        <v>0.19400000000000001</v>
      </c>
      <c r="K569" s="1">
        <f>_xlfn.XLOOKUP(Table3[[#This Row],[instant]],Table2[instant],Table2[casual], ,0,1)</f>
        <v>16</v>
      </c>
      <c r="L569" s="1">
        <f>_xlfn.XLOOKUP(Table3[[#This Row],[instant]],Table2[instant],Table2[registered], ,0,1)</f>
        <v>103</v>
      </c>
      <c r="M569" s="6">
        <f>_xlfn.XLOOKUP(Table3[[#This Row],[instant]],Table2[instant],Table2[cnt], ,0,1)</f>
        <v>119</v>
      </c>
      <c r="N569" s="6" t="str">
        <f>IF(OR(Table3[[#This Row],[weekday]]=0,Table3[[#This Row],[weekday]]=6),"Weekend","Weekday")</f>
        <v>Weekday</v>
      </c>
    </row>
    <row r="570" spans="1:14" ht="15" thickBot="1" x14ac:dyDescent="0.35">
      <c r="A570" s="10">
        <v>569</v>
      </c>
      <c r="B570" s="11">
        <f>_xlfn.XLOOKUP(Table3[[#This Row],[instant]],DatSet1!A570:A1179,DatSet1!B570:B1179,_xlfn.XLOOKUP(Table3[[#This Row],[instant]],'Final Data'!A570:A959,'Final Data'!B570:B959, ,0,1),0,1)</f>
        <v>40568</v>
      </c>
      <c r="C570" s="12">
        <f>_xlfn.XLOOKUP(Table3[[#This Row],[instant]],Table1[instant],Table1[hr], ,0,1)</f>
        <v>21</v>
      </c>
      <c r="D570" s="13" t="b">
        <f>_xlfn.XLOOKUP(Table3[[#This Row],[instant]],Table1[instant],Table1[holiday], ,0,1)</f>
        <v>0</v>
      </c>
      <c r="E570" s="2">
        <f>_xlfn.XLOOKUP(Table3[[#This Row],[instant]],Table1[instant],Table1[weekday], ,0,1)</f>
        <v>2</v>
      </c>
      <c r="F570" s="2">
        <f>_xlfn.XLOOKUP(Table3[[#This Row],[instant]],Table1[instant],Table1[weathersit], ,0,1)</f>
        <v>1</v>
      </c>
      <c r="G570" s="2">
        <f>_xlfn.XLOOKUP(Table3[[#This Row],[instant]],Table1[instant],Table1[temp], ,0,1)</f>
        <v>0.24</v>
      </c>
      <c r="H570" s="24">
        <f>_xlfn.XLOOKUP(Table3[[#This Row],[instant]],Table2[instant],Table2[atemp], ,0,1)</f>
        <v>0.2273</v>
      </c>
      <c r="I570" s="1">
        <f>_xlfn.XLOOKUP(Table3[[#This Row],[instant]],Table2[instant],Table2[hum], ,0,1)</f>
        <v>0.65</v>
      </c>
      <c r="J570" s="1">
        <f>_xlfn.XLOOKUP(Table3[[#This Row],[instant]],Table2[instant],Table2[windspeed], ,0,1)</f>
        <v>0.19400000000000001</v>
      </c>
      <c r="K570" s="1">
        <f>_xlfn.XLOOKUP(Table3[[#This Row],[instant]],Table2[instant],Table2[casual], ,0,1)</f>
        <v>5</v>
      </c>
      <c r="L570" s="1">
        <f>_xlfn.XLOOKUP(Table3[[#This Row],[instant]],Table2[instant],Table2[registered], ,0,1)</f>
        <v>40</v>
      </c>
      <c r="M570" s="6">
        <f>_xlfn.XLOOKUP(Table3[[#This Row],[instant]],Table2[instant],Table2[cnt], ,0,1)</f>
        <v>45</v>
      </c>
      <c r="N570" s="6" t="str">
        <f>IF(OR(Table3[[#This Row],[weekday]]=0,Table3[[#This Row],[weekday]]=6),"Weekend","Weekday")</f>
        <v>Weekday</v>
      </c>
    </row>
    <row r="571" spans="1:14" ht="15" thickBot="1" x14ac:dyDescent="0.35">
      <c r="A571" s="10">
        <v>570</v>
      </c>
      <c r="B571" s="11">
        <f>_xlfn.XLOOKUP(Table3[[#This Row],[instant]],DatSet1!A571:A1180,DatSet1!B571:B1180,_xlfn.XLOOKUP(Table3[[#This Row],[instant]],'Final Data'!A571:A960,'Final Data'!B571:B960, ,0,1),0,1)</f>
        <v>40568</v>
      </c>
      <c r="C571" s="12">
        <f>_xlfn.XLOOKUP(Table3[[#This Row],[instant]],Table1[instant],Table1[hr], ,0,1)</f>
        <v>22</v>
      </c>
      <c r="D571" s="13" t="b">
        <f>_xlfn.XLOOKUP(Table3[[#This Row],[instant]],Table1[instant],Table1[holiday], ,0,1)</f>
        <v>0</v>
      </c>
      <c r="E571" s="2">
        <f>_xlfn.XLOOKUP(Table3[[#This Row],[instant]],Table1[instant],Table1[weekday], ,0,1)</f>
        <v>2</v>
      </c>
      <c r="F571" s="2">
        <f>_xlfn.XLOOKUP(Table3[[#This Row],[instant]],Table1[instant],Table1[weathersit], ,0,1)</f>
        <v>1</v>
      </c>
      <c r="G571" s="2">
        <f>_xlfn.XLOOKUP(Table3[[#This Row],[instant]],Table1[instant],Table1[temp], ,0,1)</f>
        <v>0.22</v>
      </c>
      <c r="H571" s="24">
        <f>_xlfn.XLOOKUP(Table3[[#This Row],[instant]],Table2[instant],Table2[atemp], ,0,1)</f>
        <v>0.2273</v>
      </c>
      <c r="I571" s="1">
        <f>_xlfn.XLOOKUP(Table3[[#This Row],[instant]],Table2[instant],Table2[hum], ,0,1)</f>
        <v>0.64</v>
      </c>
      <c r="J571" s="1">
        <f>_xlfn.XLOOKUP(Table3[[#This Row],[instant]],Table2[instant],Table2[windspeed], ,0,1)</f>
        <v>0.16420000000000001</v>
      </c>
      <c r="K571" s="1">
        <f>_xlfn.XLOOKUP(Table3[[#This Row],[instant]],Table2[instant],Table2[casual], ,0,1)</f>
        <v>4</v>
      </c>
      <c r="L571" s="1">
        <f>_xlfn.XLOOKUP(Table3[[#This Row],[instant]],Table2[instant],Table2[registered], ,0,1)</f>
        <v>49</v>
      </c>
      <c r="M571" s="6">
        <f>_xlfn.XLOOKUP(Table3[[#This Row],[instant]],Table2[instant],Table2[cnt], ,0,1)</f>
        <v>53</v>
      </c>
      <c r="N571" s="6" t="str">
        <f>IF(OR(Table3[[#This Row],[weekday]]=0,Table3[[#This Row],[weekday]]=6),"Weekend","Weekday")</f>
        <v>Weekday</v>
      </c>
    </row>
    <row r="572" spans="1:14" ht="15" thickBot="1" x14ac:dyDescent="0.35">
      <c r="A572" s="10">
        <v>571</v>
      </c>
      <c r="B572" s="11">
        <f>_xlfn.XLOOKUP(Table3[[#This Row],[instant]],DatSet1!A572:A1181,DatSet1!B572:B1181,_xlfn.XLOOKUP(Table3[[#This Row],[instant]],'Final Data'!A572:A961,'Final Data'!B572:B961, ,0,1),0,1)</f>
        <v>40568</v>
      </c>
      <c r="C572" s="12">
        <f>_xlfn.XLOOKUP(Table3[[#This Row],[instant]],Table1[instant],Table1[hr], ,0,1)</f>
        <v>23</v>
      </c>
      <c r="D572" s="13" t="b">
        <f>_xlfn.XLOOKUP(Table3[[#This Row],[instant]],Table1[instant],Table1[holiday], ,0,1)</f>
        <v>0</v>
      </c>
      <c r="E572" s="2">
        <f>_xlfn.XLOOKUP(Table3[[#This Row],[instant]],Table1[instant],Table1[weekday], ,0,1)</f>
        <v>2</v>
      </c>
      <c r="F572" s="2">
        <f>_xlfn.XLOOKUP(Table3[[#This Row],[instant]],Table1[instant],Table1[weathersit], ,0,1)</f>
        <v>2</v>
      </c>
      <c r="G572" s="2">
        <f>_xlfn.XLOOKUP(Table3[[#This Row],[instant]],Table1[instant],Table1[temp], ,0,1)</f>
        <v>0.22</v>
      </c>
      <c r="H572" s="24">
        <f>_xlfn.XLOOKUP(Table3[[#This Row],[instant]],Table2[instant],Table2[atemp], ,0,1)</f>
        <v>0.2273</v>
      </c>
      <c r="I572" s="1">
        <f>_xlfn.XLOOKUP(Table3[[#This Row],[instant]],Table2[instant],Table2[hum], ,0,1)</f>
        <v>0.64</v>
      </c>
      <c r="J572" s="1">
        <f>_xlfn.XLOOKUP(Table3[[#This Row],[instant]],Table2[instant],Table2[windspeed], ,0,1)</f>
        <v>0.16420000000000001</v>
      </c>
      <c r="K572" s="1">
        <f>_xlfn.XLOOKUP(Table3[[#This Row],[instant]],Table2[instant],Table2[casual], ,0,1)</f>
        <v>3</v>
      </c>
      <c r="L572" s="1">
        <f>_xlfn.XLOOKUP(Table3[[#This Row],[instant]],Table2[instant],Table2[registered], ,0,1)</f>
        <v>37</v>
      </c>
      <c r="M572" s="6">
        <f>_xlfn.XLOOKUP(Table3[[#This Row],[instant]],Table2[instant],Table2[cnt], ,0,1)</f>
        <v>40</v>
      </c>
      <c r="N572" s="6" t="str">
        <f>IF(OR(Table3[[#This Row],[weekday]]=0,Table3[[#This Row],[weekday]]=6),"Weekend","Weekday")</f>
        <v>Weekday</v>
      </c>
    </row>
    <row r="573" spans="1:14" ht="15" thickBot="1" x14ac:dyDescent="0.35">
      <c r="A573" s="10">
        <v>572</v>
      </c>
      <c r="B573" s="11">
        <f>_xlfn.XLOOKUP(Table3[[#This Row],[instant]],DatSet1!A573:A1182,DatSet1!B573:B1182,_xlfn.XLOOKUP(Table3[[#This Row],[instant]],'Final Data'!A573:A962,'Final Data'!B573:B962, ,0,1),0,1)</f>
        <v>40569</v>
      </c>
      <c r="C573" s="12">
        <f>_xlfn.XLOOKUP(Table3[[#This Row],[instant]],Table1[instant],Table1[hr], ,0,1)</f>
        <v>0</v>
      </c>
      <c r="D573" s="13" t="b">
        <f>_xlfn.XLOOKUP(Table3[[#This Row],[instant]],Table1[instant],Table1[holiday], ,0,1)</f>
        <v>0</v>
      </c>
      <c r="E573" s="2">
        <f>_xlfn.XLOOKUP(Table3[[#This Row],[instant]],Table1[instant],Table1[weekday], ,0,1)</f>
        <v>3</v>
      </c>
      <c r="F573" s="2">
        <f>_xlfn.XLOOKUP(Table3[[#This Row],[instant]],Table1[instant],Table1[weathersit], ,0,1)</f>
        <v>2</v>
      </c>
      <c r="G573" s="2">
        <f>_xlfn.XLOOKUP(Table3[[#This Row],[instant]],Table1[instant],Table1[temp], ,0,1)</f>
        <v>0.22</v>
      </c>
      <c r="H573" s="24">
        <f>_xlfn.XLOOKUP(Table3[[#This Row],[instant]],Table2[instant],Table2[atemp], ,0,1)</f>
        <v>0.2273</v>
      </c>
      <c r="I573" s="1">
        <f>_xlfn.XLOOKUP(Table3[[#This Row],[instant]],Table2[instant],Table2[hum], ,0,1)</f>
        <v>0.69</v>
      </c>
      <c r="J573" s="1">
        <f>_xlfn.XLOOKUP(Table3[[#This Row],[instant]],Table2[instant],Table2[windspeed], ,0,1)</f>
        <v>0.1343</v>
      </c>
      <c r="K573" s="1">
        <f>_xlfn.XLOOKUP(Table3[[#This Row],[instant]],Table2[instant],Table2[casual], ,0,1)</f>
        <v>3</v>
      </c>
      <c r="L573" s="1">
        <f>_xlfn.XLOOKUP(Table3[[#This Row],[instant]],Table2[instant],Table2[registered], ,0,1)</f>
        <v>14</v>
      </c>
      <c r="M573" s="6">
        <f>_xlfn.XLOOKUP(Table3[[#This Row],[instant]],Table2[instant],Table2[cnt], ,0,1)</f>
        <v>17</v>
      </c>
      <c r="N573" s="6" t="str">
        <f>IF(OR(Table3[[#This Row],[weekday]]=0,Table3[[#This Row],[weekday]]=6),"Weekend","Weekday")</f>
        <v>Weekday</v>
      </c>
    </row>
    <row r="574" spans="1:14" ht="15" thickBot="1" x14ac:dyDescent="0.35">
      <c r="A574" s="10">
        <v>573</v>
      </c>
      <c r="B574" s="11">
        <f>_xlfn.XLOOKUP(Table3[[#This Row],[instant]],DatSet1!A574:A1183,DatSet1!B574:B1183,_xlfn.XLOOKUP(Table3[[#This Row],[instant]],'Final Data'!A574:A963,'Final Data'!B574:B963, ,0,1),0,1)</f>
        <v>40569</v>
      </c>
      <c r="C574" s="12">
        <f>_xlfn.XLOOKUP(Table3[[#This Row],[instant]],Table1[instant],Table1[hr], ,0,1)</f>
        <v>1</v>
      </c>
      <c r="D574" s="13" t="b">
        <f>_xlfn.XLOOKUP(Table3[[#This Row],[instant]],Table1[instant],Table1[holiday], ,0,1)</f>
        <v>0</v>
      </c>
      <c r="E574" s="2">
        <f>_xlfn.XLOOKUP(Table3[[#This Row],[instant]],Table1[instant],Table1[weekday], ,0,1)</f>
        <v>3</v>
      </c>
      <c r="F574" s="2">
        <f>_xlfn.XLOOKUP(Table3[[#This Row],[instant]],Table1[instant],Table1[weathersit], ,0,1)</f>
        <v>2</v>
      </c>
      <c r="G574" s="2">
        <f>_xlfn.XLOOKUP(Table3[[#This Row],[instant]],Table1[instant],Table1[temp], ,0,1)</f>
        <v>0.24</v>
      </c>
      <c r="H574" s="24">
        <f>_xlfn.XLOOKUP(Table3[[#This Row],[instant]],Table2[instant],Table2[atemp], ,0,1)</f>
        <v>0.2424</v>
      </c>
      <c r="I574" s="1">
        <f>_xlfn.XLOOKUP(Table3[[#This Row],[instant]],Table2[instant],Table2[hum], ,0,1)</f>
        <v>0.65</v>
      </c>
      <c r="J574" s="1">
        <f>_xlfn.XLOOKUP(Table3[[#This Row],[instant]],Table2[instant],Table2[windspeed], ,0,1)</f>
        <v>0.1343</v>
      </c>
      <c r="K574" s="1">
        <f>_xlfn.XLOOKUP(Table3[[#This Row],[instant]],Table2[instant],Table2[casual], ,0,1)</f>
        <v>0</v>
      </c>
      <c r="L574" s="1">
        <f>_xlfn.XLOOKUP(Table3[[#This Row],[instant]],Table2[instant],Table2[registered], ,0,1)</f>
        <v>5</v>
      </c>
      <c r="M574" s="6">
        <f>_xlfn.XLOOKUP(Table3[[#This Row],[instant]],Table2[instant],Table2[cnt], ,0,1)</f>
        <v>5</v>
      </c>
      <c r="N574" s="6" t="str">
        <f>IF(OR(Table3[[#This Row],[weekday]]=0,Table3[[#This Row],[weekday]]=6),"Weekend","Weekday")</f>
        <v>Weekday</v>
      </c>
    </row>
    <row r="575" spans="1:14" ht="15" thickBot="1" x14ac:dyDescent="0.35">
      <c r="A575" s="10">
        <v>574</v>
      </c>
      <c r="B575" s="11">
        <f>_xlfn.XLOOKUP(Table3[[#This Row],[instant]],DatSet1!A575:A1184,DatSet1!B575:B1184,_xlfn.XLOOKUP(Table3[[#This Row],[instant]],'Final Data'!A575:A964,'Final Data'!B575:B964, ,0,1),0,1)</f>
        <v>40569</v>
      </c>
      <c r="C575" s="12">
        <f>_xlfn.XLOOKUP(Table3[[#This Row],[instant]],Table1[instant],Table1[hr], ,0,1)</f>
        <v>2</v>
      </c>
      <c r="D575" s="13" t="b">
        <f>_xlfn.XLOOKUP(Table3[[#This Row],[instant]],Table1[instant],Table1[holiday], ,0,1)</f>
        <v>0</v>
      </c>
      <c r="E575" s="2">
        <f>_xlfn.XLOOKUP(Table3[[#This Row],[instant]],Table1[instant],Table1[weekday], ,0,1)</f>
        <v>3</v>
      </c>
      <c r="F575" s="2">
        <f>_xlfn.XLOOKUP(Table3[[#This Row],[instant]],Table1[instant],Table1[weathersit], ,0,1)</f>
        <v>3</v>
      </c>
      <c r="G575" s="2">
        <f>_xlfn.XLOOKUP(Table3[[#This Row],[instant]],Table1[instant],Table1[temp], ,0,1)</f>
        <v>0.22</v>
      </c>
      <c r="H575" s="24">
        <f>_xlfn.XLOOKUP(Table3[[#This Row],[instant]],Table2[instant],Table2[atemp], ,0,1)</f>
        <v>0.2273</v>
      </c>
      <c r="I575" s="1">
        <f>_xlfn.XLOOKUP(Table3[[#This Row],[instant]],Table2[instant],Table2[hum], ,0,1)</f>
        <v>0.69</v>
      </c>
      <c r="J575" s="1">
        <f>_xlfn.XLOOKUP(Table3[[#This Row],[instant]],Table2[instant],Table2[windspeed], ,0,1)</f>
        <v>0.19400000000000001</v>
      </c>
      <c r="K575" s="1">
        <f>_xlfn.XLOOKUP(Table3[[#This Row],[instant]],Table2[instant],Table2[casual], ,0,1)</f>
        <v>3</v>
      </c>
      <c r="L575" s="1">
        <f>_xlfn.XLOOKUP(Table3[[#This Row],[instant]],Table2[instant],Table2[registered], ,0,1)</f>
        <v>7</v>
      </c>
      <c r="M575" s="6">
        <f>_xlfn.XLOOKUP(Table3[[#This Row],[instant]],Table2[instant],Table2[cnt], ,0,1)</f>
        <v>10</v>
      </c>
      <c r="N575" s="6" t="str">
        <f>IF(OR(Table3[[#This Row],[weekday]]=0,Table3[[#This Row],[weekday]]=6),"Weekend","Weekday")</f>
        <v>Weekday</v>
      </c>
    </row>
    <row r="576" spans="1:14" ht="15" thickBot="1" x14ac:dyDescent="0.35">
      <c r="A576" s="10">
        <v>575</v>
      </c>
      <c r="B576" s="11">
        <f>_xlfn.XLOOKUP(Table3[[#This Row],[instant]],DatSet1!A576:A1185,DatSet1!B576:B1185,_xlfn.XLOOKUP(Table3[[#This Row],[instant]],'Final Data'!A576:A965,'Final Data'!B576:B965, ,0,1),0,1)</f>
        <v>40569</v>
      </c>
      <c r="C576" s="12">
        <f>_xlfn.XLOOKUP(Table3[[#This Row],[instant]],Table1[instant],Table1[hr], ,0,1)</f>
        <v>5</v>
      </c>
      <c r="D576" s="13" t="b">
        <f>_xlfn.XLOOKUP(Table3[[#This Row],[instant]],Table1[instant],Table1[holiday], ,0,1)</f>
        <v>0</v>
      </c>
      <c r="E576" s="2">
        <f>_xlfn.XLOOKUP(Table3[[#This Row],[instant]],Table1[instant],Table1[weekday], ,0,1)</f>
        <v>3</v>
      </c>
      <c r="F576" s="2">
        <f>_xlfn.XLOOKUP(Table3[[#This Row],[instant]],Table1[instant],Table1[weathersit], ,0,1)</f>
        <v>3</v>
      </c>
      <c r="G576" s="2">
        <f>_xlfn.XLOOKUP(Table3[[#This Row],[instant]],Table1[instant],Table1[temp], ,0,1)</f>
        <v>0.2</v>
      </c>
      <c r="H576" s="24">
        <f>_xlfn.XLOOKUP(Table3[[#This Row],[instant]],Table2[instant],Table2[atemp], ,0,1)</f>
        <v>0.18179999999999999</v>
      </c>
      <c r="I576" s="1">
        <f>_xlfn.XLOOKUP(Table3[[#This Row],[instant]],Table2[instant],Table2[hum], ,0,1)</f>
        <v>0.86</v>
      </c>
      <c r="J576" s="1">
        <f>_xlfn.XLOOKUP(Table3[[#This Row],[instant]],Table2[instant],Table2[windspeed], ,0,1)</f>
        <v>0.28360000000000002</v>
      </c>
      <c r="K576" s="1">
        <f>_xlfn.XLOOKUP(Table3[[#This Row],[instant]],Table2[instant],Table2[casual], ,0,1)</f>
        <v>0</v>
      </c>
      <c r="L576" s="1">
        <f>_xlfn.XLOOKUP(Table3[[#This Row],[instant]],Table2[instant],Table2[registered], ,0,1)</f>
        <v>1</v>
      </c>
      <c r="M576" s="6">
        <f>_xlfn.XLOOKUP(Table3[[#This Row],[instant]],Table2[instant],Table2[cnt], ,0,1)</f>
        <v>1</v>
      </c>
      <c r="N576" s="6" t="str">
        <f>IF(OR(Table3[[#This Row],[weekday]]=0,Table3[[#This Row],[weekday]]=6),"Weekend","Weekday")</f>
        <v>Weekday</v>
      </c>
    </row>
    <row r="577" spans="1:14" ht="15" thickBot="1" x14ac:dyDescent="0.35">
      <c r="A577" s="10">
        <v>576</v>
      </c>
      <c r="B577" s="11">
        <f>_xlfn.XLOOKUP(Table3[[#This Row],[instant]],DatSet1!A577:A1186,DatSet1!B577:B1186,_xlfn.XLOOKUP(Table3[[#This Row],[instant]],'Final Data'!A577:A966,'Final Data'!B577:B966, ,0,1),0,1)</f>
        <v>40569</v>
      </c>
      <c r="C577" s="12">
        <f>_xlfn.XLOOKUP(Table3[[#This Row],[instant]],Table1[instant],Table1[hr], ,0,1)</f>
        <v>6</v>
      </c>
      <c r="D577" s="13" t="b">
        <f>_xlfn.XLOOKUP(Table3[[#This Row],[instant]],Table1[instant],Table1[holiday], ,0,1)</f>
        <v>0</v>
      </c>
      <c r="E577" s="2">
        <f>_xlfn.XLOOKUP(Table3[[#This Row],[instant]],Table1[instant],Table1[weekday], ,0,1)</f>
        <v>3</v>
      </c>
      <c r="F577" s="2">
        <f>_xlfn.XLOOKUP(Table3[[#This Row],[instant]],Table1[instant],Table1[weathersit], ,0,1)</f>
        <v>3</v>
      </c>
      <c r="G577" s="2">
        <f>_xlfn.XLOOKUP(Table3[[#This Row],[instant]],Table1[instant],Table1[temp], ,0,1)</f>
        <v>0.2</v>
      </c>
      <c r="H577" s="24">
        <f>_xlfn.XLOOKUP(Table3[[#This Row],[instant]],Table2[instant],Table2[atemp], ,0,1)</f>
        <v>0.18179999999999999</v>
      </c>
      <c r="I577" s="1">
        <f>_xlfn.XLOOKUP(Table3[[#This Row],[instant]],Table2[instant],Table2[hum], ,0,1)</f>
        <v>0.86</v>
      </c>
      <c r="J577" s="1">
        <f>_xlfn.XLOOKUP(Table3[[#This Row],[instant]],Table2[instant],Table2[windspeed], ,0,1)</f>
        <v>0.28360000000000002</v>
      </c>
      <c r="K577" s="1">
        <f>_xlfn.XLOOKUP(Table3[[#This Row],[instant]],Table2[instant],Table2[casual], ,0,1)</f>
        <v>0</v>
      </c>
      <c r="L577" s="1">
        <f>_xlfn.XLOOKUP(Table3[[#This Row],[instant]],Table2[instant],Table2[registered], ,0,1)</f>
        <v>8</v>
      </c>
      <c r="M577" s="6">
        <f>_xlfn.XLOOKUP(Table3[[#This Row],[instant]],Table2[instant],Table2[cnt], ,0,1)</f>
        <v>8</v>
      </c>
      <c r="N577" s="6" t="str">
        <f>IF(OR(Table3[[#This Row],[weekday]]=0,Table3[[#This Row],[weekday]]=6),"Weekend","Weekday")</f>
        <v>Weekday</v>
      </c>
    </row>
    <row r="578" spans="1:14" ht="15" thickBot="1" x14ac:dyDescent="0.35">
      <c r="A578" s="10">
        <v>577</v>
      </c>
      <c r="B578" s="11">
        <f>_xlfn.XLOOKUP(Table3[[#This Row],[instant]],DatSet1!A578:A1187,DatSet1!B578:B1187,_xlfn.XLOOKUP(Table3[[#This Row],[instant]],'Final Data'!A578:A967,'Final Data'!B578:B967, ,0,1),0,1)</f>
        <v>40569</v>
      </c>
      <c r="C578" s="12">
        <f>_xlfn.XLOOKUP(Table3[[#This Row],[instant]],Table1[instant],Table1[hr], ,0,1)</f>
        <v>7</v>
      </c>
      <c r="D578" s="13" t="b">
        <f>_xlfn.XLOOKUP(Table3[[#This Row],[instant]],Table1[instant],Table1[holiday], ,0,1)</f>
        <v>0</v>
      </c>
      <c r="E578" s="2">
        <f>_xlfn.XLOOKUP(Table3[[#This Row],[instant]],Table1[instant],Table1[weekday], ,0,1)</f>
        <v>3</v>
      </c>
      <c r="F578" s="2">
        <f>_xlfn.XLOOKUP(Table3[[#This Row],[instant]],Table1[instant],Table1[weathersit], ,0,1)</f>
        <v>3</v>
      </c>
      <c r="G578" s="2">
        <f>_xlfn.XLOOKUP(Table3[[#This Row],[instant]],Table1[instant],Table1[temp], ,0,1)</f>
        <v>0.22</v>
      </c>
      <c r="H578" s="24">
        <f>_xlfn.XLOOKUP(Table3[[#This Row],[instant]],Table2[instant],Table2[atemp], ,0,1)</f>
        <v>0.21210000000000001</v>
      </c>
      <c r="I578" s="1">
        <f>_xlfn.XLOOKUP(Table3[[#This Row],[instant]],Table2[instant],Table2[hum], ,0,1)</f>
        <v>0.87</v>
      </c>
      <c r="J578" s="1">
        <f>_xlfn.XLOOKUP(Table3[[#This Row],[instant]],Table2[instant],Table2[windspeed], ,0,1)</f>
        <v>0.29849999999999999</v>
      </c>
      <c r="K578" s="1">
        <f>_xlfn.XLOOKUP(Table3[[#This Row],[instant]],Table2[instant],Table2[casual], ,0,1)</f>
        <v>1</v>
      </c>
      <c r="L578" s="1">
        <f>_xlfn.XLOOKUP(Table3[[#This Row],[instant]],Table2[instant],Table2[registered], ,0,1)</f>
        <v>29</v>
      </c>
      <c r="M578" s="6">
        <f>_xlfn.XLOOKUP(Table3[[#This Row],[instant]],Table2[instant],Table2[cnt], ,0,1)</f>
        <v>30</v>
      </c>
      <c r="N578" s="6" t="str">
        <f>IF(OR(Table3[[#This Row],[weekday]]=0,Table3[[#This Row],[weekday]]=6),"Weekend","Weekday")</f>
        <v>Weekday</v>
      </c>
    </row>
    <row r="579" spans="1:14" ht="15" thickBot="1" x14ac:dyDescent="0.35">
      <c r="A579" s="10">
        <v>578</v>
      </c>
      <c r="B579" s="11">
        <f>_xlfn.XLOOKUP(Table3[[#This Row],[instant]],DatSet1!A579:A1188,DatSet1!B579:B1188,_xlfn.XLOOKUP(Table3[[#This Row],[instant]],'Final Data'!A579:A968,'Final Data'!B579:B968, ,0,1),0,1)</f>
        <v>40569</v>
      </c>
      <c r="C579" s="12">
        <f>_xlfn.XLOOKUP(Table3[[#This Row],[instant]],Table1[instant],Table1[hr], ,0,1)</f>
        <v>8</v>
      </c>
      <c r="D579" s="13" t="b">
        <f>_xlfn.XLOOKUP(Table3[[#This Row],[instant]],Table1[instant],Table1[holiday], ,0,1)</f>
        <v>0</v>
      </c>
      <c r="E579" s="2">
        <f>_xlfn.XLOOKUP(Table3[[#This Row],[instant]],Table1[instant],Table1[weekday], ,0,1)</f>
        <v>3</v>
      </c>
      <c r="F579" s="2">
        <f>_xlfn.XLOOKUP(Table3[[#This Row],[instant]],Table1[instant],Table1[weathersit], ,0,1)</f>
        <v>3</v>
      </c>
      <c r="G579" s="2">
        <f>_xlfn.XLOOKUP(Table3[[#This Row],[instant]],Table1[instant],Table1[temp], ,0,1)</f>
        <v>0.22</v>
      </c>
      <c r="H579" s="24">
        <f>_xlfn.XLOOKUP(Table3[[#This Row],[instant]],Table2[instant],Table2[atemp], ,0,1)</f>
        <v>0.21210000000000001</v>
      </c>
      <c r="I579" s="1">
        <f>_xlfn.XLOOKUP(Table3[[#This Row],[instant]],Table2[instant],Table2[hum], ,0,1)</f>
        <v>0.87</v>
      </c>
      <c r="J579" s="1">
        <f>_xlfn.XLOOKUP(Table3[[#This Row],[instant]],Table2[instant],Table2[windspeed], ,0,1)</f>
        <v>0.29849999999999999</v>
      </c>
      <c r="K579" s="1">
        <f>_xlfn.XLOOKUP(Table3[[#This Row],[instant]],Table2[instant],Table2[casual], ,0,1)</f>
        <v>3</v>
      </c>
      <c r="L579" s="1">
        <f>_xlfn.XLOOKUP(Table3[[#This Row],[instant]],Table2[instant],Table2[registered], ,0,1)</f>
        <v>69</v>
      </c>
      <c r="M579" s="6">
        <f>_xlfn.XLOOKUP(Table3[[#This Row],[instant]],Table2[instant],Table2[cnt], ,0,1)</f>
        <v>72</v>
      </c>
      <c r="N579" s="6" t="str">
        <f>IF(OR(Table3[[#This Row],[weekday]]=0,Table3[[#This Row],[weekday]]=6),"Weekend","Weekday")</f>
        <v>Weekday</v>
      </c>
    </row>
    <row r="580" spans="1:14" ht="15" thickBot="1" x14ac:dyDescent="0.35">
      <c r="A580" s="10">
        <v>579</v>
      </c>
      <c r="B580" s="11">
        <f>_xlfn.XLOOKUP(Table3[[#This Row],[instant]],DatSet1!A580:A1189,DatSet1!B580:B1189,_xlfn.XLOOKUP(Table3[[#This Row],[instant]],'Final Data'!A580:A969,'Final Data'!B580:B969, ,0,1),0,1)</f>
        <v>40569</v>
      </c>
      <c r="C580" s="12">
        <f>_xlfn.XLOOKUP(Table3[[#This Row],[instant]],Table1[instant],Table1[hr], ,0,1)</f>
        <v>9</v>
      </c>
      <c r="D580" s="13" t="b">
        <f>_xlfn.XLOOKUP(Table3[[#This Row],[instant]],Table1[instant],Table1[holiday], ,0,1)</f>
        <v>0</v>
      </c>
      <c r="E580" s="2">
        <f>_xlfn.XLOOKUP(Table3[[#This Row],[instant]],Table1[instant],Table1[weekday], ,0,1)</f>
        <v>3</v>
      </c>
      <c r="F580" s="2">
        <f>_xlfn.XLOOKUP(Table3[[#This Row],[instant]],Table1[instant],Table1[weathersit], ,0,1)</f>
        <v>3</v>
      </c>
      <c r="G580" s="2">
        <f>_xlfn.XLOOKUP(Table3[[#This Row],[instant]],Table1[instant],Table1[temp], ,0,1)</f>
        <v>0.22</v>
      </c>
      <c r="H580" s="24">
        <f>_xlfn.XLOOKUP(Table3[[#This Row],[instant]],Table2[instant],Table2[atemp], ,0,1)</f>
        <v>0.21210000000000001</v>
      </c>
      <c r="I580" s="1">
        <f>_xlfn.XLOOKUP(Table3[[#This Row],[instant]],Table2[instant],Table2[hum], ,0,1)</f>
        <v>0.87</v>
      </c>
      <c r="J580" s="1">
        <f>_xlfn.XLOOKUP(Table3[[#This Row],[instant]],Table2[instant],Table2[windspeed], ,0,1)</f>
        <v>0.29849999999999999</v>
      </c>
      <c r="K580" s="1">
        <f>_xlfn.XLOOKUP(Table3[[#This Row],[instant]],Table2[instant],Table2[casual], ,0,1)</f>
        <v>3</v>
      </c>
      <c r="L580" s="1">
        <f>_xlfn.XLOOKUP(Table3[[#This Row],[instant]],Table2[instant],Table2[registered], ,0,1)</f>
        <v>55</v>
      </c>
      <c r="M580" s="6">
        <f>_xlfn.XLOOKUP(Table3[[#This Row],[instant]],Table2[instant],Table2[cnt], ,0,1)</f>
        <v>58</v>
      </c>
      <c r="N580" s="6" t="str">
        <f>IF(OR(Table3[[#This Row],[weekday]]=0,Table3[[#This Row],[weekday]]=6),"Weekend","Weekday")</f>
        <v>Weekday</v>
      </c>
    </row>
    <row r="581" spans="1:14" ht="15" thickBot="1" x14ac:dyDescent="0.35">
      <c r="A581" s="10">
        <v>580</v>
      </c>
      <c r="B581" s="11">
        <f>_xlfn.XLOOKUP(Table3[[#This Row],[instant]],DatSet1!A581:A1190,DatSet1!B581:B1190,_xlfn.XLOOKUP(Table3[[#This Row],[instant]],'Final Data'!A581:A970,'Final Data'!B581:B970, ,0,1),0,1)</f>
        <v>40569</v>
      </c>
      <c r="C581" s="12">
        <f>_xlfn.XLOOKUP(Table3[[#This Row],[instant]],Table1[instant],Table1[hr], ,0,1)</f>
        <v>10</v>
      </c>
      <c r="D581" s="13" t="b">
        <f>_xlfn.XLOOKUP(Table3[[#This Row],[instant]],Table1[instant],Table1[holiday], ,0,1)</f>
        <v>0</v>
      </c>
      <c r="E581" s="2">
        <f>_xlfn.XLOOKUP(Table3[[#This Row],[instant]],Table1[instant],Table1[weekday], ,0,1)</f>
        <v>3</v>
      </c>
      <c r="F581" s="2">
        <f>_xlfn.XLOOKUP(Table3[[#This Row],[instant]],Table1[instant],Table1[weathersit], ,0,1)</f>
        <v>3</v>
      </c>
      <c r="G581" s="2">
        <f>_xlfn.XLOOKUP(Table3[[#This Row],[instant]],Table1[instant],Table1[temp], ,0,1)</f>
        <v>0.22</v>
      </c>
      <c r="H581" s="24">
        <f>_xlfn.XLOOKUP(Table3[[#This Row],[instant]],Table2[instant],Table2[atemp], ,0,1)</f>
        <v>0.21210000000000001</v>
      </c>
      <c r="I581" s="1">
        <f>_xlfn.XLOOKUP(Table3[[#This Row],[instant]],Table2[instant],Table2[hum], ,0,1)</f>
        <v>0.93</v>
      </c>
      <c r="J581" s="1">
        <f>_xlfn.XLOOKUP(Table3[[#This Row],[instant]],Table2[instant],Table2[windspeed], ,0,1)</f>
        <v>0.28360000000000002</v>
      </c>
      <c r="K581" s="1">
        <f>_xlfn.XLOOKUP(Table3[[#This Row],[instant]],Table2[instant],Table2[casual], ,0,1)</f>
        <v>2</v>
      </c>
      <c r="L581" s="1">
        <f>_xlfn.XLOOKUP(Table3[[#This Row],[instant]],Table2[instant],Table2[registered], ,0,1)</f>
        <v>26</v>
      </c>
      <c r="M581" s="6">
        <f>_xlfn.XLOOKUP(Table3[[#This Row],[instant]],Table2[instant],Table2[cnt], ,0,1)</f>
        <v>28</v>
      </c>
      <c r="N581" s="6" t="str">
        <f>IF(OR(Table3[[#This Row],[weekday]]=0,Table3[[#This Row],[weekday]]=6),"Weekend","Weekday")</f>
        <v>Weekday</v>
      </c>
    </row>
    <row r="582" spans="1:14" ht="15" thickBot="1" x14ac:dyDescent="0.35">
      <c r="A582" s="10">
        <v>581</v>
      </c>
      <c r="B582" s="11">
        <f>_xlfn.XLOOKUP(Table3[[#This Row],[instant]],DatSet1!A582:A1191,DatSet1!B582:B1191,_xlfn.XLOOKUP(Table3[[#This Row],[instant]],'Final Data'!A582:A971,'Final Data'!B582:B971, ,0,1),0,1)</f>
        <v>40569</v>
      </c>
      <c r="C582" s="12">
        <f>_xlfn.XLOOKUP(Table3[[#This Row],[instant]],Table1[instant],Table1[hr], ,0,1)</f>
        <v>11</v>
      </c>
      <c r="D582" s="13" t="b">
        <f>_xlfn.XLOOKUP(Table3[[#This Row],[instant]],Table1[instant],Table1[holiday], ,0,1)</f>
        <v>0</v>
      </c>
      <c r="E582" s="2">
        <f>_xlfn.XLOOKUP(Table3[[#This Row],[instant]],Table1[instant],Table1[weekday], ,0,1)</f>
        <v>3</v>
      </c>
      <c r="F582" s="2">
        <f>_xlfn.XLOOKUP(Table3[[#This Row],[instant]],Table1[instant],Table1[weathersit], ,0,1)</f>
        <v>3</v>
      </c>
      <c r="G582" s="2">
        <f>_xlfn.XLOOKUP(Table3[[#This Row],[instant]],Table1[instant],Table1[temp], ,0,1)</f>
        <v>0.22</v>
      </c>
      <c r="H582" s="24">
        <f>_xlfn.XLOOKUP(Table3[[#This Row],[instant]],Table2[instant],Table2[atemp], ,0,1)</f>
        <v>0.19700000000000001</v>
      </c>
      <c r="I582" s="1">
        <f>_xlfn.XLOOKUP(Table3[[#This Row],[instant]],Table2[instant],Table2[hum], ,0,1)</f>
        <v>0.93</v>
      </c>
      <c r="J582" s="1">
        <f>_xlfn.XLOOKUP(Table3[[#This Row],[instant]],Table2[instant],Table2[windspeed], ,0,1)</f>
        <v>0.32840000000000003</v>
      </c>
      <c r="K582" s="1">
        <f>_xlfn.XLOOKUP(Table3[[#This Row],[instant]],Table2[instant],Table2[casual], ,0,1)</f>
        <v>6</v>
      </c>
      <c r="L582" s="1">
        <f>_xlfn.XLOOKUP(Table3[[#This Row],[instant]],Table2[instant],Table2[registered], ,0,1)</f>
        <v>35</v>
      </c>
      <c r="M582" s="6">
        <f>_xlfn.XLOOKUP(Table3[[#This Row],[instant]],Table2[instant],Table2[cnt], ,0,1)</f>
        <v>41</v>
      </c>
      <c r="N582" s="6" t="str">
        <f>IF(OR(Table3[[#This Row],[weekday]]=0,Table3[[#This Row],[weekday]]=6),"Weekend","Weekday")</f>
        <v>Weekday</v>
      </c>
    </row>
    <row r="583" spans="1:14" ht="15" thickBot="1" x14ac:dyDescent="0.35">
      <c r="A583" s="10">
        <v>582</v>
      </c>
      <c r="B583" s="11">
        <f>_xlfn.XLOOKUP(Table3[[#This Row],[instant]],DatSet1!A583:A1192,DatSet1!B583:B1192,_xlfn.XLOOKUP(Table3[[#This Row],[instant]],'Final Data'!A583:A972,'Final Data'!B583:B972, ,0,1),0,1)</f>
        <v>40569</v>
      </c>
      <c r="C583" s="12">
        <f>_xlfn.XLOOKUP(Table3[[#This Row],[instant]],Table1[instant],Table1[hr], ,0,1)</f>
        <v>12</v>
      </c>
      <c r="D583" s="13" t="b">
        <f>_xlfn.XLOOKUP(Table3[[#This Row],[instant]],Table1[instant],Table1[holiday], ,0,1)</f>
        <v>0</v>
      </c>
      <c r="E583" s="2">
        <f>_xlfn.XLOOKUP(Table3[[#This Row],[instant]],Table1[instant],Table1[weekday], ,0,1)</f>
        <v>3</v>
      </c>
      <c r="F583" s="2">
        <f>_xlfn.XLOOKUP(Table3[[#This Row],[instant]],Table1[instant],Table1[weathersit], ,0,1)</f>
        <v>3</v>
      </c>
      <c r="G583" s="2">
        <f>_xlfn.XLOOKUP(Table3[[#This Row],[instant]],Table1[instant],Table1[temp], ,0,1)</f>
        <v>0.22</v>
      </c>
      <c r="H583" s="24">
        <f>_xlfn.XLOOKUP(Table3[[#This Row],[instant]],Table2[instant],Table2[atemp], ,0,1)</f>
        <v>0.19700000000000001</v>
      </c>
      <c r="I583" s="1">
        <f>_xlfn.XLOOKUP(Table3[[#This Row],[instant]],Table2[instant],Table2[hum], ,0,1)</f>
        <v>0.93</v>
      </c>
      <c r="J583" s="1">
        <f>_xlfn.XLOOKUP(Table3[[#This Row],[instant]],Table2[instant],Table2[windspeed], ,0,1)</f>
        <v>0.32840000000000003</v>
      </c>
      <c r="K583" s="1">
        <f>_xlfn.XLOOKUP(Table3[[#This Row],[instant]],Table2[instant],Table2[casual], ,0,1)</f>
        <v>7</v>
      </c>
      <c r="L583" s="1">
        <f>_xlfn.XLOOKUP(Table3[[#This Row],[instant]],Table2[instant],Table2[registered], ,0,1)</f>
        <v>41</v>
      </c>
      <c r="M583" s="6">
        <f>_xlfn.XLOOKUP(Table3[[#This Row],[instant]],Table2[instant],Table2[cnt], ,0,1)</f>
        <v>48</v>
      </c>
      <c r="N583" s="6" t="str">
        <f>IF(OR(Table3[[#This Row],[weekday]]=0,Table3[[#This Row],[weekday]]=6),"Weekend","Weekday")</f>
        <v>Weekday</v>
      </c>
    </row>
    <row r="584" spans="1:14" ht="15" thickBot="1" x14ac:dyDescent="0.35">
      <c r="A584" s="10">
        <v>583</v>
      </c>
      <c r="B584" s="11">
        <f>_xlfn.XLOOKUP(Table3[[#This Row],[instant]],DatSet1!A584:A1193,DatSet1!B584:B1193,_xlfn.XLOOKUP(Table3[[#This Row],[instant]],'Final Data'!A584:A973,'Final Data'!B584:B973, ,0,1),0,1)</f>
        <v>40569</v>
      </c>
      <c r="C584" s="12">
        <f>_xlfn.XLOOKUP(Table3[[#This Row],[instant]],Table1[instant],Table1[hr], ,0,1)</f>
        <v>13</v>
      </c>
      <c r="D584" s="13" t="b">
        <f>_xlfn.XLOOKUP(Table3[[#This Row],[instant]],Table1[instant],Table1[holiday], ,0,1)</f>
        <v>0</v>
      </c>
      <c r="E584" s="2">
        <f>_xlfn.XLOOKUP(Table3[[#This Row],[instant]],Table1[instant],Table1[weekday], ,0,1)</f>
        <v>3</v>
      </c>
      <c r="F584" s="2">
        <f>_xlfn.XLOOKUP(Table3[[#This Row],[instant]],Table1[instant],Table1[weathersit], ,0,1)</f>
        <v>3</v>
      </c>
      <c r="G584" s="2">
        <f>_xlfn.XLOOKUP(Table3[[#This Row],[instant]],Table1[instant],Table1[temp], ,0,1)</f>
        <v>0.22</v>
      </c>
      <c r="H584" s="24">
        <f>_xlfn.XLOOKUP(Table3[[#This Row],[instant]],Table2[instant],Table2[atemp], ,0,1)</f>
        <v>0.19700000000000001</v>
      </c>
      <c r="I584" s="1">
        <f>_xlfn.XLOOKUP(Table3[[#This Row],[instant]],Table2[instant],Table2[hum], ,0,1)</f>
        <v>0.93</v>
      </c>
      <c r="J584" s="1">
        <f>_xlfn.XLOOKUP(Table3[[#This Row],[instant]],Table2[instant],Table2[windspeed], ,0,1)</f>
        <v>0.32840000000000003</v>
      </c>
      <c r="K584" s="1">
        <f>_xlfn.XLOOKUP(Table3[[#This Row],[instant]],Table2[instant],Table2[casual], ,0,1)</f>
        <v>4</v>
      </c>
      <c r="L584" s="1">
        <f>_xlfn.XLOOKUP(Table3[[#This Row],[instant]],Table2[instant],Table2[registered], ,0,1)</f>
        <v>43</v>
      </c>
      <c r="M584" s="6">
        <f>_xlfn.XLOOKUP(Table3[[#This Row],[instant]],Table2[instant],Table2[cnt], ,0,1)</f>
        <v>47</v>
      </c>
      <c r="N584" s="6" t="str">
        <f>IF(OR(Table3[[#This Row],[weekday]]=0,Table3[[#This Row],[weekday]]=6),"Weekend","Weekday")</f>
        <v>Weekday</v>
      </c>
    </row>
    <row r="585" spans="1:14" ht="15" thickBot="1" x14ac:dyDescent="0.35">
      <c r="A585" s="10">
        <v>584</v>
      </c>
      <c r="B585" s="11">
        <f>_xlfn.XLOOKUP(Table3[[#This Row],[instant]],DatSet1!A585:A1194,DatSet1!B585:B1194,_xlfn.XLOOKUP(Table3[[#This Row],[instant]],'Final Data'!A585:A974,'Final Data'!B585:B974, ,0,1),0,1)</f>
        <v>40569</v>
      </c>
      <c r="C585" s="12">
        <f>_xlfn.XLOOKUP(Table3[[#This Row],[instant]],Table1[instant],Table1[hr], ,0,1)</f>
        <v>14</v>
      </c>
      <c r="D585" s="13" t="b">
        <f>_xlfn.XLOOKUP(Table3[[#This Row],[instant]],Table1[instant],Table1[holiday], ,0,1)</f>
        <v>0</v>
      </c>
      <c r="E585" s="2">
        <f>_xlfn.XLOOKUP(Table3[[#This Row],[instant]],Table1[instant],Table1[weekday], ,0,1)</f>
        <v>3</v>
      </c>
      <c r="F585" s="2">
        <f>_xlfn.XLOOKUP(Table3[[#This Row],[instant]],Table1[instant],Table1[weathersit], ,0,1)</f>
        <v>3</v>
      </c>
      <c r="G585" s="2">
        <f>_xlfn.XLOOKUP(Table3[[#This Row],[instant]],Table1[instant],Table1[temp], ,0,1)</f>
        <v>0.22</v>
      </c>
      <c r="H585" s="24">
        <f>_xlfn.XLOOKUP(Table3[[#This Row],[instant]],Table2[instant],Table2[atemp], ,0,1)</f>
        <v>0.19700000000000001</v>
      </c>
      <c r="I585" s="1">
        <f>_xlfn.XLOOKUP(Table3[[#This Row],[instant]],Table2[instant],Table2[hum], ,0,1)</f>
        <v>0.93</v>
      </c>
      <c r="J585" s="1">
        <f>_xlfn.XLOOKUP(Table3[[#This Row],[instant]],Table2[instant],Table2[windspeed], ,0,1)</f>
        <v>0.35820000000000002</v>
      </c>
      <c r="K585" s="1">
        <f>_xlfn.XLOOKUP(Table3[[#This Row],[instant]],Table2[instant],Table2[casual], ,0,1)</f>
        <v>0</v>
      </c>
      <c r="L585" s="1">
        <f>_xlfn.XLOOKUP(Table3[[#This Row],[instant]],Table2[instant],Table2[registered], ,0,1)</f>
        <v>36</v>
      </c>
      <c r="M585" s="6">
        <f>_xlfn.XLOOKUP(Table3[[#This Row],[instant]],Table2[instant],Table2[cnt], ,0,1)</f>
        <v>36</v>
      </c>
      <c r="N585" s="6" t="str">
        <f>IF(OR(Table3[[#This Row],[weekday]]=0,Table3[[#This Row],[weekday]]=6),"Weekend","Weekday")</f>
        <v>Weekday</v>
      </c>
    </row>
    <row r="586" spans="1:14" ht="15" thickBot="1" x14ac:dyDescent="0.35">
      <c r="A586" s="10">
        <v>585</v>
      </c>
      <c r="B586" s="11">
        <f>_xlfn.XLOOKUP(Table3[[#This Row],[instant]],DatSet1!A586:A1195,DatSet1!B586:B1195,_xlfn.XLOOKUP(Table3[[#This Row],[instant]],'Final Data'!A586:A975,'Final Data'!B586:B975, ,0,1),0,1)</f>
        <v>40569</v>
      </c>
      <c r="C586" s="12">
        <f>_xlfn.XLOOKUP(Table3[[#This Row],[instant]],Table1[instant],Table1[hr], ,0,1)</f>
        <v>15</v>
      </c>
      <c r="D586" s="13" t="b">
        <f>_xlfn.XLOOKUP(Table3[[#This Row],[instant]],Table1[instant],Table1[holiday], ,0,1)</f>
        <v>0</v>
      </c>
      <c r="E586" s="2">
        <f>_xlfn.XLOOKUP(Table3[[#This Row],[instant]],Table1[instant],Table1[weekday], ,0,1)</f>
        <v>3</v>
      </c>
      <c r="F586" s="2">
        <f>_xlfn.XLOOKUP(Table3[[#This Row],[instant]],Table1[instant],Table1[weathersit], ,0,1)</f>
        <v>3</v>
      </c>
      <c r="G586" s="2">
        <f>_xlfn.XLOOKUP(Table3[[#This Row],[instant]],Table1[instant],Table1[temp], ,0,1)</f>
        <v>0.22</v>
      </c>
      <c r="H586" s="24">
        <f>_xlfn.XLOOKUP(Table3[[#This Row],[instant]],Table2[instant],Table2[atemp], ,0,1)</f>
        <v>0.18179999999999999</v>
      </c>
      <c r="I586" s="1">
        <f>_xlfn.XLOOKUP(Table3[[#This Row],[instant]],Table2[instant],Table2[hum], ,0,1)</f>
        <v>0.93</v>
      </c>
      <c r="J586" s="1">
        <f>_xlfn.XLOOKUP(Table3[[#This Row],[instant]],Table2[instant],Table2[windspeed], ,0,1)</f>
        <v>0.4627</v>
      </c>
      <c r="K586" s="1">
        <f>_xlfn.XLOOKUP(Table3[[#This Row],[instant]],Table2[instant],Table2[casual], ,0,1)</f>
        <v>1</v>
      </c>
      <c r="L586" s="1">
        <f>_xlfn.XLOOKUP(Table3[[#This Row],[instant]],Table2[instant],Table2[registered], ,0,1)</f>
        <v>42</v>
      </c>
      <c r="M586" s="6">
        <f>_xlfn.XLOOKUP(Table3[[#This Row],[instant]],Table2[instant],Table2[cnt], ,0,1)</f>
        <v>43</v>
      </c>
      <c r="N586" s="6" t="str">
        <f>IF(OR(Table3[[#This Row],[weekday]]=0,Table3[[#This Row],[weekday]]=6),"Weekend","Weekday")</f>
        <v>Weekday</v>
      </c>
    </row>
    <row r="587" spans="1:14" ht="15" thickBot="1" x14ac:dyDescent="0.35">
      <c r="A587" s="10">
        <v>586</v>
      </c>
      <c r="B587" s="11">
        <f>_xlfn.XLOOKUP(Table3[[#This Row],[instant]],DatSet1!A587:A1196,DatSet1!B587:B1196,_xlfn.XLOOKUP(Table3[[#This Row],[instant]],'Final Data'!A587:A976,'Final Data'!B587:B976, ,0,1),0,1)</f>
        <v>40569</v>
      </c>
      <c r="C587" s="12">
        <f>_xlfn.XLOOKUP(Table3[[#This Row],[instant]],Table1[instant],Table1[hr], ,0,1)</f>
        <v>16</v>
      </c>
      <c r="D587" s="13" t="b">
        <f>_xlfn.XLOOKUP(Table3[[#This Row],[instant]],Table1[instant],Table1[holiday], ,0,1)</f>
        <v>0</v>
      </c>
      <c r="E587" s="2">
        <f>_xlfn.XLOOKUP(Table3[[#This Row],[instant]],Table1[instant],Table1[weekday], ,0,1)</f>
        <v>3</v>
      </c>
      <c r="F587" s="2">
        <f>_xlfn.XLOOKUP(Table3[[#This Row],[instant]],Table1[instant],Table1[weathersit], ,0,1)</f>
        <v>4</v>
      </c>
      <c r="G587" s="2">
        <f>_xlfn.XLOOKUP(Table3[[#This Row],[instant]],Table1[instant],Table1[temp], ,0,1)</f>
        <v>0.22</v>
      </c>
      <c r="H587" s="24">
        <f>_xlfn.XLOOKUP(Table3[[#This Row],[instant]],Table2[instant],Table2[atemp], ,0,1)</f>
        <v>0.19700000000000001</v>
      </c>
      <c r="I587" s="1">
        <f>_xlfn.XLOOKUP(Table3[[#This Row],[instant]],Table2[instant],Table2[hum], ,0,1)</f>
        <v>0.93</v>
      </c>
      <c r="J587" s="1">
        <f>_xlfn.XLOOKUP(Table3[[#This Row],[instant]],Table2[instant],Table2[windspeed], ,0,1)</f>
        <v>0.32840000000000003</v>
      </c>
      <c r="K587" s="1">
        <f>_xlfn.XLOOKUP(Table3[[#This Row],[instant]],Table2[instant],Table2[casual], ,0,1)</f>
        <v>1</v>
      </c>
      <c r="L587" s="1">
        <f>_xlfn.XLOOKUP(Table3[[#This Row],[instant]],Table2[instant],Table2[registered], ,0,1)</f>
        <v>35</v>
      </c>
      <c r="M587" s="6">
        <f>_xlfn.XLOOKUP(Table3[[#This Row],[instant]],Table2[instant],Table2[cnt], ,0,1)</f>
        <v>36</v>
      </c>
      <c r="N587" s="6" t="str">
        <f>IF(OR(Table3[[#This Row],[weekday]]=0,Table3[[#This Row],[weekday]]=6),"Weekend","Weekday")</f>
        <v>Weekday</v>
      </c>
    </row>
    <row r="588" spans="1:14" ht="15" thickBot="1" x14ac:dyDescent="0.35">
      <c r="A588" s="10">
        <v>587</v>
      </c>
      <c r="B588" s="11">
        <f>_xlfn.XLOOKUP(Table3[[#This Row],[instant]],DatSet1!A588:A1197,DatSet1!B588:B1197,_xlfn.XLOOKUP(Table3[[#This Row],[instant]],'Final Data'!A588:A977,'Final Data'!B588:B977, ,0,1),0,1)</f>
        <v>40569</v>
      </c>
      <c r="C588" s="12">
        <f>_xlfn.XLOOKUP(Table3[[#This Row],[instant]],Table1[instant],Table1[hr], ,0,1)</f>
        <v>17</v>
      </c>
      <c r="D588" s="13" t="b">
        <f>_xlfn.XLOOKUP(Table3[[#This Row],[instant]],Table1[instant],Table1[holiday], ,0,1)</f>
        <v>0</v>
      </c>
      <c r="E588" s="2">
        <f>_xlfn.XLOOKUP(Table3[[#This Row],[instant]],Table1[instant],Table1[weekday], ,0,1)</f>
        <v>3</v>
      </c>
      <c r="F588" s="2">
        <f>_xlfn.XLOOKUP(Table3[[#This Row],[instant]],Table1[instant],Table1[weathersit], ,0,1)</f>
        <v>3</v>
      </c>
      <c r="G588" s="2">
        <f>_xlfn.XLOOKUP(Table3[[#This Row],[instant]],Table1[instant],Table1[temp], ,0,1)</f>
        <v>0.2</v>
      </c>
      <c r="H588" s="24">
        <f>_xlfn.XLOOKUP(Table3[[#This Row],[instant]],Table2[instant],Table2[atemp], ,0,1)</f>
        <v>0.18179999999999999</v>
      </c>
      <c r="I588" s="1">
        <f>_xlfn.XLOOKUP(Table3[[#This Row],[instant]],Table2[instant],Table2[hum], ,0,1)</f>
        <v>0.93</v>
      </c>
      <c r="J588" s="1">
        <f>_xlfn.XLOOKUP(Table3[[#This Row],[instant]],Table2[instant],Table2[windspeed], ,0,1)</f>
        <v>0.35820000000000002</v>
      </c>
      <c r="K588" s="1">
        <f>_xlfn.XLOOKUP(Table3[[#This Row],[instant]],Table2[instant],Table2[casual], ,0,1)</f>
        <v>0</v>
      </c>
      <c r="L588" s="1">
        <f>_xlfn.XLOOKUP(Table3[[#This Row],[instant]],Table2[instant],Table2[registered], ,0,1)</f>
        <v>26</v>
      </c>
      <c r="M588" s="6">
        <f>_xlfn.XLOOKUP(Table3[[#This Row],[instant]],Table2[instant],Table2[cnt], ,0,1)</f>
        <v>26</v>
      </c>
      <c r="N588" s="6" t="str">
        <f>IF(OR(Table3[[#This Row],[weekday]]=0,Table3[[#This Row],[weekday]]=6),"Weekend","Weekday")</f>
        <v>Weekday</v>
      </c>
    </row>
    <row r="589" spans="1:14" ht="15" thickBot="1" x14ac:dyDescent="0.35">
      <c r="A589" s="10">
        <v>588</v>
      </c>
      <c r="B589" s="11">
        <f>_xlfn.XLOOKUP(Table3[[#This Row],[instant]],DatSet1!A589:A1198,DatSet1!B589:B1198,_xlfn.XLOOKUP(Table3[[#This Row],[instant]],'Final Data'!A589:A978,'Final Data'!B589:B978, ,0,1),0,1)</f>
        <v>40570</v>
      </c>
      <c r="C589" s="12">
        <f>_xlfn.XLOOKUP(Table3[[#This Row],[instant]],Table1[instant],Table1[hr], ,0,1)</f>
        <v>16</v>
      </c>
      <c r="D589" s="13" t="b">
        <f>_xlfn.XLOOKUP(Table3[[#This Row],[instant]],Table1[instant],Table1[holiday], ,0,1)</f>
        <v>0</v>
      </c>
      <c r="E589" s="2">
        <f>_xlfn.XLOOKUP(Table3[[#This Row],[instant]],Table1[instant],Table1[weekday], ,0,1)</f>
        <v>4</v>
      </c>
      <c r="F589" s="2">
        <f>_xlfn.XLOOKUP(Table3[[#This Row],[instant]],Table1[instant],Table1[weathersit], ,0,1)</f>
        <v>1</v>
      </c>
      <c r="G589" s="2">
        <f>_xlfn.XLOOKUP(Table3[[#This Row],[instant]],Table1[instant],Table1[temp], ,0,1)</f>
        <v>0.22</v>
      </c>
      <c r="H589" s="24">
        <f>_xlfn.XLOOKUP(Table3[[#This Row],[instant]],Table2[instant],Table2[atemp], ,0,1)</f>
        <v>0.2273</v>
      </c>
      <c r="I589" s="1">
        <f>_xlfn.XLOOKUP(Table3[[#This Row],[instant]],Table2[instant],Table2[hum], ,0,1)</f>
        <v>0.55000000000000004</v>
      </c>
      <c r="J589" s="1">
        <f>_xlfn.XLOOKUP(Table3[[#This Row],[instant]],Table2[instant],Table2[windspeed], ,0,1)</f>
        <v>0.19400000000000001</v>
      </c>
      <c r="K589" s="1">
        <f>_xlfn.XLOOKUP(Table3[[#This Row],[instant]],Table2[instant],Table2[casual], ,0,1)</f>
        <v>1</v>
      </c>
      <c r="L589" s="1">
        <f>_xlfn.XLOOKUP(Table3[[#This Row],[instant]],Table2[instant],Table2[registered], ,0,1)</f>
        <v>23</v>
      </c>
      <c r="M589" s="6">
        <f>_xlfn.XLOOKUP(Table3[[#This Row],[instant]],Table2[instant],Table2[cnt], ,0,1)</f>
        <v>24</v>
      </c>
      <c r="N589" s="6" t="str">
        <f>IF(OR(Table3[[#This Row],[weekday]]=0,Table3[[#This Row],[weekday]]=6),"Weekend","Weekday")</f>
        <v>Weekday</v>
      </c>
    </row>
    <row r="590" spans="1:14" ht="15" thickBot="1" x14ac:dyDescent="0.35">
      <c r="A590" s="10">
        <v>589</v>
      </c>
      <c r="B590" s="11">
        <f>_xlfn.XLOOKUP(Table3[[#This Row],[instant]],DatSet1!A590:A1199,DatSet1!B590:B1199,_xlfn.XLOOKUP(Table3[[#This Row],[instant]],'Final Data'!A590:A979,'Final Data'!B590:B979, ,0,1),0,1)</f>
        <v>40570</v>
      </c>
      <c r="C590" s="12">
        <f>_xlfn.XLOOKUP(Table3[[#This Row],[instant]],Table1[instant],Table1[hr], ,0,1)</f>
        <v>17</v>
      </c>
      <c r="D590" s="13" t="b">
        <f>_xlfn.XLOOKUP(Table3[[#This Row],[instant]],Table1[instant],Table1[holiday], ,0,1)</f>
        <v>0</v>
      </c>
      <c r="E590" s="2">
        <f>_xlfn.XLOOKUP(Table3[[#This Row],[instant]],Table1[instant],Table1[weekday], ,0,1)</f>
        <v>4</v>
      </c>
      <c r="F590" s="2">
        <f>_xlfn.XLOOKUP(Table3[[#This Row],[instant]],Table1[instant],Table1[weathersit], ,0,1)</f>
        <v>1</v>
      </c>
      <c r="G590" s="2">
        <f>_xlfn.XLOOKUP(Table3[[#This Row],[instant]],Table1[instant],Table1[temp], ,0,1)</f>
        <v>0.22</v>
      </c>
      <c r="H590" s="24">
        <f>_xlfn.XLOOKUP(Table3[[#This Row],[instant]],Table2[instant],Table2[atemp], ,0,1)</f>
        <v>0.2424</v>
      </c>
      <c r="I590" s="1">
        <f>_xlfn.XLOOKUP(Table3[[#This Row],[instant]],Table2[instant],Table2[hum], ,0,1)</f>
        <v>0.55000000000000004</v>
      </c>
      <c r="J590" s="1">
        <f>_xlfn.XLOOKUP(Table3[[#This Row],[instant]],Table2[instant],Table2[windspeed], ,0,1)</f>
        <v>0.1045</v>
      </c>
      <c r="K590" s="1">
        <f>_xlfn.XLOOKUP(Table3[[#This Row],[instant]],Table2[instant],Table2[casual], ,0,1)</f>
        <v>2</v>
      </c>
      <c r="L590" s="1">
        <f>_xlfn.XLOOKUP(Table3[[#This Row],[instant]],Table2[instant],Table2[registered], ,0,1)</f>
        <v>82</v>
      </c>
      <c r="M590" s="6">
        <f>_xlfn.XLOOKUP(Table3[[#This Row],[instant]],Table2[instant],Table2[cnt], ,0,1)</f>
        <v>84</v>
      </c>
      <c r="N590" s="6" t="str">
        <f>IF(OR(Table3[[#This Row],[weekday]]=0,Table3[[#This Row],[weekday]]=6),"Weekend","Weekday")</f>
        <v>Weekday</v>
      </c>
    </row>
    <row r="591" spans="1:14" ht="15" thickBot="1" x14ac:dyDescent="0.35">
      <c r="A591" s="10">
        <v>590</v>
      </c>
      <c r="B591" s="11">
        <f>_xlfn.XLOOKUP(Table3[[#This Row],[instant]],DatSet1!A591:A1200,DatSet1!B591:B1200,_xlfn.XLOOKUP(Table3[[#This Row],[instant]],'Final Data'!A591:A980,'Final Data'!B591:B980, ,0,1),0,1)</f>
        <v>40570</v>
      </c>
      <c r="C591" s="12">
        <f>_xlfn.XLOOKUP(Table3[[#This Row],[instant]],Table1[instant],Table1[hr], ,0,1)</f>
        <v>18</v>
      </c>
      <c r="D591" s="13" t="b">
        <f>_xlfn.XLOOKUP(Table3[[#This Row],[instant]],Table1[instant],Table1[holiday], ,0,1)</f>
        <v>0</v>
      </c>
      <c r="E591" s="2">
        <f>_xlfn.XLOOKUP(Table3[[#This Row],[instant]],Table1[instant],Table1[weekday], ,0,1)</f>
        <v>4</v>
      </c>
      <c r="F591" s="2">
        <f>_xlfn.XLOOKUP(Table3[[#This Row],[instant]],Table1[instant],Table1[weathersit], ,0,1)</f>
        <v>1</v>
      </c>
      <c r="G591" s="2">
        <f>_xlfn.XLOOKUP(Table3[[#This Row],[instant]],Table1[instant],Table1[temp], ,0,1)</f>
        <v>0.2</v>
      </c>
      <c r="H591" s="24">
        <f>_xlfn.XLOOKUP(Table3[[#This Row],[instant]],Table2[instant],Table2[atemp], ,0,1)</f>
        <v>0.2273</v>
      </c>
      <c r="I591" s="1">
        <f>_xlfn.XLOOKUP(Table3[[#This Row],[instant]],Table2[instant],Table2[hum], ,0,1)</f>
        <v>0.69</v>
      </c>
      <c r="J591" s="1">
        <f>_xlfn.XLOOKUP(Table3[[#This Row],[instant]],Table2[instant],Table2[windspeed], ,0,1)</f>
        <v>8.9599999999999999E-2</v>
      </c>
      <c r="K591" s="1">
        <f>_xlfn.XLOOKUP(Table3[[#This Row],[instant]],Table2[instant],Table2[casual], ,0,1)</f>
        <v>3</v>
      </c>
      <c r="L591" s="1">
        <f>_xlfn.XLOOKUP(Table3[[#This Row],[instant]],Table2[instant],Table2[registered], ,0,1)</f>
        <v>101</v>
      </c>
      <c r="M591" s="6">
        <f>_xlfn.XLOOKUP(Table3[[#This Row],[instant]],Table2[instant],Table2[cnt], ,0,1)</f>
        <v>104</v>
      </c>
      <c r="N591" s="6" t="str">
        <f>IF(OR(Table3[[#This Row],[weekday]]=0,Table3[[#This Row],[weekday]]=6),"Weekend","Weekday")</f>
        <v>Weekday</v>
      </c>
    </row>
    <row r="592" spans="1:14" ht="15" thickBot="1" x14ac:dyDescent="0.35">
      <c r="A592" s="10">
        <v>591</v>
      </c>
      <c r="B592" s="11">
        <f>_xlfn.XLOOKUP(Table3[[#This Row],[instant]],DatSet1!A592:A1201,DatSet1!B592:B1201,_xlfn.XLOOKUP(Table3[[#This Row],[instant]],'Final Data'!A592:A981,'Final Data'!B592:B981, ,0,1),0,1)</f>
        <v>40570</v>
      </c>
      <c r="C592" s="12">
        <f>_xlfn.XLOOKUP(Table3[[#This Row],[instant]],Table1[instant],Table1[hr], ,0,1)</f>
        <v>19</v>
      </c>
      <c r="D592" s="13" t="b">
        <f>_xlfn.XLOOKUP(Table3[[#This Row],[instant]],Table1[instant],Table1[holiday], ,0,1)</f>
        <v>0</v>
      </c>
      <c r="E592" s="2">
        <f>_xlfn.XLOOKUP(Table3[[#This Row],[instant]],Table1[instant],Table1[weekday], ,0,1)</f>
        <v>4</v>
      </c>
      <c r="F592" s="2">
        <f>_xlfn.XLOOKUP(Table3[[#This Row],[instant]],Table1[instant],Table1[weathersit], ,0,1)</f>
        <v>1</v>
      </c>
      <c r="G592" s="2">
        <f>_xlfn.XLOOKUP(Table3[[#This Row],[instant]],Table1[instant],Table1[temp], ,0,1)</f>
        <v>0.2</v>
      </c>
      <c r="H592" s="24">
        <f>_xlfn.XLOOKUP(Table3[[#This Row],[instant]],Table2[instant],Table2[atemp], ,0,1)</f>
        <v>0.2273</v>
      </c>
      <c r="I592" s="1">
        <f>_xlfn.XLOOKUP(Table3[[#This Row],[instant]],Table2[instant],Table2[hum], ,0,1)</f>
        <v>0.69</v>
      </c>
      <c r="J592" s="1">
        <f>_xlfn.XLOOKUP(Table3[[#This Row],[instant]],Table2[instant],Table2[windspeed], ,0,1)</f>
        <v>8.9599999999999999E-2</v>
      </c>
      <c r="K592" s="1">
        <f>_xlfn.XLOOKUP(Table3[[#This Row],[instant]],Table2[instant],Table2[casual], ,0,1)</f>
        <v>3</v>
      </c>
      <c r="L592" s="1">
        <f>_xlfn.XLOOKUP(Table3[[#This Row],[instant]],Table2[instant],Table2[registered], ,0,1)</f>
        <v>76</v>
      </c>
      <c r="M592" s="6">
        <f>_xlfn.XLOOKUP(Table3[[#This Row],[instant]],Table2[instant],Table2[cnt], ,0,1)</f>
        <v>79</v>
      </c>
      <c r="N592" s="6" t="str">
        <f>IF(OR(Table3[[#This Row],[weekday]]=0,Table3[[#This Row],[weekday]]=6),"Weekend","Weekday")</f>
        <v>Weekday</v>
      </c>
    </row>
    <row r="593" spans="1:14" ht="15" thickBot="1" x14ac:dyDescent="0.35">
      <c r="A593" s="10">
        <v>592</v>
      </c>
      <c r="B593" s="11">
        <f>_xlfn.XLOOKUP(Table3[[#This Row],[instant]],DatSet1!A593:A1202,DatSet1!B593:B1202,_xlfn.XLOOKUP(Table3[[#This Row],[instant]],'Final Data'!A593:A982,'Final Data'!B593:B982, ,0,1),0,1)</f>
        <v>40570</v>
      </c>
      <c r="C593" s="12">
        <f>_xlfn.XLOOKUP(Table3[[#This Row],[instant]],Table1[instant],Table1[hr], ,0,1)</f>
        <v>20</v>
      </c>
      <c r="D593" s="13" t="b">
        <f>_xlfn.XLOOKUP(Table3[[#This Row],[instant]],Table1[instant],Table1[holiday], ,0,1)</f>
        <v>0</v>
      </c>
      <c r="E593" s="2">
        <f>_xlfn.XLOOKUP(Table3[[#This Row],[instant]],Table1[instant],Table1[weekday], ,0,1)</f>
        <v>4</v>
      </c>
      <c r="F593" s="2">
        <f>_xlfn.XLOOKUP(Table3[[#This Row],[instant]],Table1[instant],Table1[weathersit], ,0,1)</f>
        <v>1</v>
      </c>
      <c r="G593" s="2">
        <f>_xlfn.XLOOKUP(Table3[[#This Row],[instant]],Table1[instant],Table1[temp], ,0,1)</f>
        <v>0.18</v>
      </c>
      <c r="H593" s="24">
        <f>_xlfn.XLOOKUP(Table3[[#This Row],[instant]],Table2[instant],Table2[atemp], ,0,1)</f>
        <v>0.21210000000000001</v>
      </c>
      <c r="I593" s="1">
        <f>_xlfn.XLOOKUP(Table3[[#This Row],[instant]],Table2[instant],Table2[hum], ,0,1)</f>
        <v>0.74</v>
      </c>
      <c r="J593" s="1">
        <f>_xlfn.XLOOKUP(Table3[[#This Row],[instant]],Table2[instant],Table2[windspeed], ,0,1)</f>
        <v>8.9599999999999999E-2</v>
      </c>
      <c r="K593" s="1">
        <f>_xlfn.XLOOKUP(Table3[[#This Row],[instant]],Table2[instant],Table2[casual], ,0,1)</f>
        <v>4</v>
      </c>
      <c r="L593" s="1">
        <f>_xlfn.XLOOKUP(Table3[[#This Row],[instant]],Table2[instant],Table2[registered], ,0,1)</f>
        <v>55</v>
      </c>
      <c r="M593" s="6">
        <f>_xlfn.XLOOKUP(Table3[[#This Row],[instant]],Table2[instant],Table2[cnt], ,0,1)</f>
        <v>59</v>
      </c>
      <c r="N593" s="6" t="str">
        <f>IF(OR(Table3[[#This Row],[weekday]]=0,Table3[[#This Row],[weekday]]=6),"Weekend","Weekday")</f>
        <v>Weekday</v>
      </c>
    </row>
    <row r="594" spans="1:14" ht="15" thickBot="1" x14ac:dyDescent="0.35">
      <c r="A594" s="10">
        <v>593</v>
      </c>
      <c r="B594" s="11">
        <f>_xlfn.XLOOKUP(Table3[[#This Row],[instant]],DatSet1!A594:A1203,DatSet1!B594:B1203,_xlfn.XLOOKUP(Table3[[#This Row],[instant]],'Final Data'!A594:A983,'Final Data'!B594:B983, ,0,1),0,1)</f>
        <v>40570</v>
      </c>
      <c r="C594" s="12">
        <f>_xlfn.XLOOKUP(Table3[[#This Row],[instant]],Table1[instant],Table1[hr], ,0,1)</f>
        <v>21</v>
      </c>
      <c r="D594" s="13" t="b">
        <f>_xlfn.XLOOKUP(Table3[[#This Row],[instant]],Table1[instant],Table1[holiday], ,0,1)</f>
        <v>0</v>
      </c>
      <c r="E594" s="2">
        <f>_xlfn.XLOOKUP(Table3[[#This Row],[instant]],Table1[instant],Table1[weekday], ,0,1)</f>
        <v>4</v>
      </c>
      <c r="F594" s="2">
        <f>_xlfn.XLOOKUP(Table3[[#This Row],[instant]],Table1[instant],Table1[weathersit], ,0,1)</f>
        <v>1</v>
      </c>
      <c r="G594" s="2">
        <f>_xlfn.XLOOKUP(Table3[[#This Row],[instant]],Table1[instant],Table1[temp], ,0,1)</f>
        <v>0.18</v>
      </c>
      <c r="H594" s="24">
        <f>_xlfn.XLOOKUP(Table3[[#This Row],[instant]],Table2[instant],Table2[atemp], ,0,1)</f>
        <v>0.21210000000000001</v>
      </c>
      <c r="I594" s="1">
        <f>_xlfn.XLOOKUP(Table3[[#This Row],[instant]],Table2[instant],Table2[hum], ,0,1)</f>
        <v>0.74</v>
      </c>
      <c r="J594" s="1">
        <f>_xlfn.XLOOKUP(Table3[[#This Row],[instant]],Table2[instant],Table2[windspeed], ,0,1)</f>
        <v>8.9599999999999999E-2</v>
      </c>
      <c r="K594" s="1">
        <f>_xlfn.XLOOKUP(Table3[[#This Row],[instant]],Table2[instant],Table2[casual], ,0,1)</f>
        <v>2</v>
      </c>
      <c r="L594" s="1">
        <f>_xlfn.XLOOKUP(Table3[[#This Row],[instant]],Table2[instant],Table2[registered], ,0,1)</f>
        <v>36</v>
      </c>
      <c r="M594" s="6">
        <f>_xlfn.XLOOKUP(Table3[[#This Row],[instant]],Table2[instant],Table2[cnt], ,0,1)</f>
        <v>38</v>
      </c>
      <c r="N594" s="6" t="str">
        <f>IF(OR(Table3[[#This Row],[weekday]]=0,Table3[[#This Row],[weekday]]=6),"Weekend","Weekday")</f>
        <v>Weekday</v>
      </c>
    </row>
    <row r="595" spans="1:14" ht="15" thickBot="1" x14ac:dyDescent="0.35">
      <c r="A595" s="10">
        <v>594</v>
      </c>
      <c r="B595" s="11">
        <f>_xlfn.XLOOKUP(Table3[[#This Row],[instant]],DatSet1!A595:A1204,DatSet1!B595:B1204,_xlfn.XLOOKUP(Table3[[#This Row],[instant]],'Final Data'!A595:A984,'Final Data'!B595:B984, ,0,1),0,1)</f>
        <v>40570</v>
      </c>
      <c r="C595" s="12">
        <f>_xlfn.XLOOKUP(Table3[[#This Row],[instant]],Table1[instant],Table1[hr], ,0,1)</f>
        <v>22</v>
      </c>
      <c r="D595" s="13" t="b">
        <f>_xlfn.XLOOKUP(Table3[[#This Row],[instant]],Table1[instant],Table1[holiday], ,0,1)</f>
        <v>0</v>
      </c>
      <c r="E595" s="2">
        <f>_xlfn.XLOOKUP(Table3[[#This Row],[instant]],Table1[instant],Table1[weekday], ,0,1)</f>
        <v>4</v>
      </c>
      <c r="F595" s="2">
        <f>_xlfn.XLOOKUP(Table3[[#This Row],[instant]],Table1[instant],Table1[weathersit], ,0,1)</f>
        <v>1</v>
      </c>
      <c r="G595" s="2">
        <f>_xlfn.XLOOKUP(Table3[[#This Row],[instant]],Table1[instant],Table1[temp], ,0,1)</f>
        <v>0.18</v>
      </c>
      <c r="H595" s="24">
        <f>_xlfn.XLOOKUP(Table3[[#This Row],[instant]],Table2[instant],Table2[atemp], ,0,1)</f>
        <v>0.21210000000000001</v>
      </c>
      <c r="I595" s="1">
        <f>_xlfn.XLOOKUP(Table3[[#This Row],[instant]],Table2[instant],Table2[hum], ,0,1)</f>
        <v>0.74</v>
      </c>
      <c r="J595" s="1">
        <f>_xlfn.XLOOKUP(Table3[[#This Row],[instant]],Table2[instant],Table2[windspeed], ,0,1)</f>
        <v>8.9599999999999999E-2</v>
      </c>
      <c r="K595" s="1">
        <f>_xlfn.XLOOKUP(Table3[[#This Row],[instant]],Table2[instant],Table2[casual], ,0,1)</f>
        <v>0</v>
      </c>
      <c r="L595" s="1">
        <f>_xlfn.XLOOKUP(Table3[[#This Row],[instant]],Table2[instant],Table2[registered], ,0,1)</f>
        <v>27</v>
      </c>
      <c r="M595" s="6">
        <f>_xlfn.XLOOKUP(Table3[[#This Row],[instant]],Table2[instant],Table2[cnt], ,0,1)</f>
        <v>27</v>
      </c>
      <c r="N595" s="6" t="str">
        <f>IF(OR(Table3[[#This Row],[weekday]]=0,Table3[[#This Row],[weekday]]=6),"Weekend","Weekday")</f>
        <v>Weekday</v>
      </c>
    </row>
    <row r="596" spans="1:14" ht="15" thickBot="1" x14ac:dyDescent="0.35">
      <c r="A596" s="10">
        <v>595</v>
      </c>
      <c r="B596" s="11">
        <f>_xlfn.XLOOKUP(Table3[[#This Row],[instant]],DatSet1!A596:A1205,DatSet1!B596:B1205,_xlfn.XLOOKUP(Table3[[#This Row],[instant]],'Final Data'!A596:A985,'Final Data'!B596:B985, ,0,1),0,1)</f>
        <v>40570</v>
      </c>
      <c r="C596" s="12">
        <f>_xlfn.XLOOKUP(Table3[[#This Row],[instant]],Table1[instant],Table1[hr], ,0,1)</f>
        <v>23</v>
      </c>
      <c r="D596" s="13" t="b">
        <f>_xlfn.XLOOKUP(Table3[[#This Row],[instant]],Table1[instant],Table1[holiday], ,0,1)</f>
        <v>0</v>
      </c>
      <c r="E596" s="2">
        <f>_xlfn.XLOOKUP(Table3[[#This Row],[instant]],Table1[instant],Table1[weekday], ,0,1)</f>
        <v>4</v>
      </c>
      <c r="F596" s="2">
        <f>_xlfn.XLOOKUP(Table3[[#This Row],[instant]],Table1[instant],Table1[weathersit], ,0,1)</f>
        <v>1</v>
      </c>
      <c r="G596" s="2">
        <f>_xlfn.XLOOKUP(Table3[[#This Row],[instant]],Table1[instant],Table1[temp], ,0,1)</f>
        <v>0.18</v>
      </c>
      <c r="H596" s="24">
        <f>_xlfn.XLOOKUP(Table3[[#This Row],[instant]],Table2[instant],Table2[atemp], ,0,1)</f>
        <v>0.19700000000000001</v>
      </c>
      <c r="I596" s="1">
        <f>_xlfn.XLOOKUP(Table3[[#This Row],[instant]],Table2[instant],Table2[hum], ,0,1)</f>
        <v>0.8</v>
      </c>
      <c r="J596" s="1">
        <f>_xlfn.XLOOKUP(Table3[[#This Row],[instant]],Table2[instant],Table2[windspeed], ,0,1)</f>
        <v>0.16420000000000001</v>
      </c>
      <c r="K596" s="1">
        <f>_xlfn.XLOOKUP(Table3[[#This Row],[instant]],Table2[instant],Table2[casual], ,0,1)</f>
        <v>0</v>
      </c>
      <c r="L596" s="1">
        <f>_xlfn.XLOOKUP(Table3[[#This Row],[instant]],Table2[instant],Table2[registered], ,0,1)</f>
        <v>16</v>
      </c>
      <c r="M596" s="6">
        <f>_xlfn.XLOOKUP(Table3[[#This Row],[instant]],Table2[instant],Table2[cnt], ,0,1)</f>
        <v>16</v>
      </c>
      <c r="N596" s="6" t="str">
        <f>IF(OR(Table3[[#This Row],[weekday]]=0,Table3[[#This Row],[weekday]]=6),"Weekend","Weekday")</f>
        <v>Weekday</v>
      </c>
    </row>
    <row r="597" spans="1:14" ht="15" thickBot="1" x14ac:dyDescent="0.35">
      <c r="A597" s="10">
        <v>596</v>
      </c>
      <c r="B597" s="11">
        <f>_xlfn.XLOOKUP(Table3[[#This Row],[instant]],DatSet1!A597:A1206,DatSet1!B597:B1206,_xlfn.XLOOKUP(Table3[[#This Row],[instant]],'Final Data'!A597:A986,'Final Data'!B597:B986, ,0,1),0,1)</f>
        <v>40571</v>
      </c>
      <c r="C597" s="12">
        <f>_xlfn.XLOOKUP(Table3[[#This Row],[instant]],Table1[instant],Table1[hr], ,0,1)</f>
        <v>0</v>
      </c>
      <c r="D597" s="13" t="b">
        <f>_xlfn.XLOOKUP(Table3[[#This Row],[instant]],Table1[instant],Table1[holiday], ,0,1)</f>
        <v>0</v>
      </c>
      <c r="E597" s="2">
        <f>_xlfn.XLOOKUP(Table3[[#This Row],[instant]],Table1[instant],Table1[weekday], ,0,1)</f>
        <v>5</v>
      </c>
      <c r="F597" s="2">
        <f>_xlfn.XLOOKUP(Table3[[#This Row],[instant]],Table1[instant],Table1[weathersit], ,0,1)</f>
        <v>2</v>
      </c>
      <c r="G597" s="2">
        <f>_xlfn.XLOOKUP(Table3[[#This Row],[instant]],Table1[instant],Table1[temp], ,0,1)</f>
        <v>0.2</v>
      </c>
      <c r="H597" s="24">
        <f>_xlfn.XLOOKUP(Table3[[#This Row],[instant]],Table2[instant],Table2[atemp], ,0,1)</f>
        <v>0.21210000000000001</v>
      </c>
      <c r="I597" s="1">
        <f>_xlfn.XLOOKUP(Table3[[#This Row],[instant]],Table2[instant],Table2[hum], ,0,1)</f>
        <v>0.75</v>
      </c>
      <c r="J597" s="1">
        <f>_xlfn.XLOOKUP(Table3[[#This Row],[instant]],Table2[instant],Table2[windspeed], ,0,1)</f>
        <v>0.1343</v>
      </c>
      <c r="K597" s="1">
        <f>_xlfn.XLOOKUP(Table3[[#This Row],[instant]],Table2[instant],Table2[casual], ,0,1)</f>
        <v>0</v>
      </c>
      <c r="L597" s="1">
        <f>_xlfn.XLOOKUP(Table3[[#This Row],[instant]],Table2[instant],Table2[registered], ,0,1)</f>
        <v>9</v>
      </c>
      <c r="M597" s="6">
        <f>_xlfn.XLOOKUP(Table3[[#This Row],[instant]],Table2[instant],Table2[cnt], ,0,1)</f>
        <v>9</v>
      </c>
      <c r="N597" s="6" t="str">
        <f>IF(OR(Table3[[#This Row],[weekday]]=0,Table3[[#This Row],[weekday]]=6),"Weekend","Weekday")</f>
        <v>Weekday</v>
      </c>
    </row>
    <row r="598" spans="1:14" ht="15" thickBot="1" x14ac:dyDescent="0.35">
      <c r="A598" s="10">
        <v>597</v>
      </c>
      <c r="B598" s="11">
        <f>_xlfn.XLOOKUP(Table3[[#This Row],[instant]],DatSet1!A598:A1207,DatSet1!B598:B1207,_xlfn.XLOOKUP(Table3[[#This Row],[instant]],'Final Data'!A598:A987,'Final Data'!B598:B987, ,0,1),0,1)</f>
        <v>40571</v>
      </c>
      <c r="C598" s="12">
        <f>_xlfn.XLOOKUP(Table3[[#This Row],[instant]],Table1[instant],Table1[hr], ,0,1)</f>
        <v>1</v>
      </c>
      <c r="D598" s="13" t="b">
        <f>_xlfn.XLOOKUP(Table3[[#This Row],[instant]],Table1[instant],Table1[holiday], ,0,1)</f>
        <v>0</v>
      </c>
      <c r="E598" s="2">
        <f>_xlfn.XLOOKUP(Table3[[#This Row],[instant]],Table1[instant],Table1[weekday], ,0,1)</f>
        <v>5</v>
      </c>
      <c r="F598" s="2">
        <f>_xlfn.XLOOKUP(Table3[[#This Row],[instant]],Table1[instant],Table1[weathersit], ,0,1)</f>
        <v>2</v>
      </c>
      <c r="G598" s="2">
        <f>_xlfn.XLOOKUP(Table3[[#This Row],[instant]],Table1[instant],Table1[temp], ,0,1)</f>
        <v>0.2</v>
      </c>
      <c r="H598" s="24">
        <f>_xlfn.XLOOKUP(Table3[[#This Row],[instant]],Table2[instant],Table2[atemp], ,0,1)</f>
        <v>0.21210000000000001</v>
      </c>
      <c r="I598" s="1">
        <f>_xlfn.XLOOKUP(Table3[[#This Row],[instant]],Table2[instant],Table2[hum], ,0,1)</f>
        <v>0.75</v>
      </c>
      <c r="J598" s="1">
        <f>_xlfn.XLOOKUP(Table3[[#This Row],[instant]],Table2[instant],Table2[windspeed], ,0,1)</f>
        <v>0.1343</v>
      </c>
      <c r="K598" s="1">
        <f>_xlfn.XLOOKUP(Table3[[#This Row],[instant]],Table2[instant],Table2[casual], ,0,1)</f>
        <v>1</v>
      </c>
      <c r="L598" s="1">
        <f>_xlfn.XLOOKUP(Table3[[#This Row],[instant]],Table2[instant],Table2[registered], ,0,1)</f>
        <v>2</v>
      </c>
      <c r="M598" s="6">
        <f>_xlfn.XLOOKUP(Table3[[#This Row],[instant]],Table2[instant],Table2[cnt], ,0,1)</f>
        <v>3</v>
      </c>
      <c r="N598" s="6" t="str">
        <f>IF(OR(Table3[[#This Row],[weekday]]=0,Table3[[#This Row],[weekday]]=6),"Weekend","Weekday")</f>
        <v>Weekday</v>
      </c>
    </row>
    <row r="599" spans="1:14" ht="15" thickBot="1" x14ac:dyDescent="0.35">
      <c r="A599" s="10">
        <v>598</v>
      </c>
      <c r="B599" s="11">
        <f>_xlfn.XLOOKUP(Table3[[#This Row],[instant]],DatSet1!A599:A1208,DatSet1!B599:B1208,_xlfn.XLOOKUP(Table3[[#This Row],[instant]],'Final Data'!A599:A988,'Final Data'!B599:B988, ,0,1),0,1)</f>
        <v>40571</v>
      </c>
      <c r="C599" s="12">
        <f>_xlfn.XLOOKUP(Table3[[#This Row],[instant]],Table1[instant],Table1[hr], ,0,1)</f>
        <v>2</v>
      </c>
      <c r="D599" s="13" t="b">
        <f>_xlfn.XLOOKUP(Table3[[#This Row],[instant]],Table1[instant],Table1[holiday], ,0,1)</f>
        <v>0</v>
      </c>
      <c r="E599" s="2">
        <f>_xlfn.XLOOKUP(Table3[[#This Row],[instant]],Table1[instant],Table1[weekday], ,0,1)</f>
        <v>5</v>
      </c>
      <c r="F599" s="2">
        <f>_xlfn.XLOOKUP(Table3[[#This Row],[instant]],Table1[instant],Table1[weathersit], ,0,1)</f>
        <v>2</v>
      </c>
      <c r="G599" s="2">
        <f>_xlfn.XLOOKUP(Table3[[#This Row],[instant]],Table1[instant],Table1[temp], ,0,1)</f>
        <v>0.2</v>
      </c>
      <c r="H599" s="24">
        <f>_xlfn.XLOOKUP(Table3[[#This Row],[instant]],Table2[instant],Table2[atemp], ,0,1)</f>
        <v>0.21210000000000001</v>
      </c>
      <c r="I599" s="1">
        <f>_xlfn.XLOOKUP(Table3[[#This Row],[instant]],Table2[instant],Table2[hum], ,0,1)</f>
        <v>0.75</v>
      </c>
      <c r="J599" s="1">
        <f>_xlfn.XLOOKUP(Table3[[#This Row],[instant]],Table2[instant],Table2[windspeed], ,0,1)</f>
        <v>0.16420000000000001</v>
      </c>
      <c r="K599" s="1">
        <f>_xlfn.XLOOKUP(Table3[[#This Row],[instant]],Table2[instant],Table2[casual], ,0,1)</f>
        <v>0</v>
      </c>
      <c r="L599" s="1">
        <f>_xlfn.XLOOKUP(Table3[[#This Row],[instant]],Table2[instant],Table2[registered], ,0,1)</f>
        <v>2</v>
      </c>
      <c r="M599" s="6">
        <f>_xlfn.XLOOKUP(Table3[[#This Row],[instant]],Table2[instant],Table2[cnt], ,0,1)</f>
        <v>2</v>
      </c>
      <c r="N599" s="6" t="str">
        <f>IF(OR(Table3[[#This Row],[weekday]]=0,Table3[[#This Row],[weekday]]=6),"Weekend","Weekday")</f>
        <v>Weekday</v>
      </c>
    </row>
    <row r="600" spans="1:14" ht="15" thickBot="1" x14ac:dyDescent="0.35">
      <c r="A600" s="10">
        <v>599</v>
      </c>
      <c r="B600" s="11">
        <f>_xlfn.XLOOKUP(Table3[[#This Row],[instant]],DatSet1!A600:A1209,DatSet1!B600:B1209,_xlfn.XLOOKUP(Table3[[#This Row],[instant]],'Final Data'!A600:A989,'Final Data'!B600:B989, ,0,1),0,1)</f>
        <v>40571</v>
      </c>
      <c r="C600" s="12">
        <f>_xlfn.XLOOKUP(Table3[[#This Row],[instant]],Table1[instant],Table1[hr], ,0,1)</f>
        <v>3</v>
      </c>
      <c r="D600" s="13" t="b">
        <f>_xlfn.XLOOKUP(Table3[[#This Row],[instant]],Table1[instant],Table1[holiday], ,0,1)</f>
        <v>0</v>
      </c>
      <c r="E600" s="2">
        <f>_xlfn.XLOOKUP(Table3[[#This Row],[instant]],Table1[instant],Table1[weekday], ,0,1)</f>
        <v>5</v>
      </c>
      <c r="F600" s="2">
        <f>_xlfn.XLOOKUP(Table3[[#This Row],[instant]],Table1[instant],Table1[weathersit], ,0,1)</f>
        <v>2</v>
      </c>
      <c r="G600" s="2">
        <f>_xlfn.XLOOKUP(Table3[[#This Row],[instant]],Table1[instant],Table1[temp], ,0,1)</f>
        <v>0.2</v>
      </c>
      <c r="H600" s="24">
        <f>_xlfn.XLOOKUP(Table3[[#This Row],[instant]],Table2[instant],Table2[atemp], ,0,1)</f>
        <v>0.2273</v>
      </c>
      <c r="I600" s="1">
        <f>_xlfn.XLOOKUP(Table3[[#This Row],[instant]],Table2[instant],Table2[hum], ,0,1)</f>
        <v>0.75</v>
      </c>
      <c r="J600" s="1">
        <f>_xlfn.XLOOKUP(Table3[[#This Row],[instant]],Table2[instant],Table2[windspeed], ,0,1)</f>
        <v>0.1045</v>
      </c>
      <c r="K600" s="1">
        <f>_xlfn.XLOOKUP(Table3[[#This Row],[instant]],Table2[instant],Table2[casual], ,0,1)</f>
        <v>1</v>
      </c>
      <c r="L600" s="1">
        <f>_xlfn.XLOOKUP(Table3[[#This Row],[instant]],Table2[instant],Table2[registered], ,0,1)</f>
        <v>0</v>
      </c>
      <c r="M600" s="6">
        <f>_xlfn.XLOOKUP(Table3[[#This Row],[instant]],Table2[instant],Table2[cnt], ,0,1)</f>
        <v>1</v>
      </c>
      <c r="N600" s="6" t="str">
        <f>IF(OR(Table3[[#This Row],[weekday]]=0,Table3[[#This Row],[weekday]]=6),"Weekend","Weekday")</f>
        <v>Weekday</v>
      </c>
    </row>
    <row r="601" spans="1:14" ht="15" thickBot="1" x14ac:dyDescent="0.35">
      <c r="A601" s="10">
        <v>600</v>
      </c>
      <c r="B601" s="11">
        <f>_xlfn.XLOOKUP(Table3[[#This Row],[instant]],DatSet1!A601:A1210,DatSet1!B601:B1210,_xlfn.XLOOKUP(Table3[[#This Row],[instant]],'Final Data'!A601:A990,'Final Data'!B601:B990, ,0,1),0,1)</f>
        <v>40571</v>
      </c>
      <c r="C601" s="12">
        <f>_xlfn.XLOOKUP(Table3[[#This Row],[instant]],Table1[instant],Table1[hr], ,0,1)</f>
        <v>5</v>
      </c>
      <c r="D601" s="13" t="b">
        <f>_xlfn.XLOOKUP(Table3[[#This Row],[instant]],Table1[instant],Table1[holiday], ,0,1)</f>
        <v>0</v>
      </c>
      <c r="E601" s="2">
        <f>_xlfn.XLOOKUP(Table3[[#This Row],[instant]],Table1[instant],Table1[weekday], ,0,1)</f>
        <v>5</v>
      </c>
      <c r="F601" s="2">
        <f>_xlfn.XLOOKUP(Table3[[#This Row],[instant]],Table1[instant],Table1[weathersit], ,0,1)</f>
        <v>2</v>
      </c>
      <c r="G601" s="2">
        <f>_xlfn.XLOOKUP(Table3[[#This Row],[instant]],Table1[instant],Table1[temp], ,0,1)</f>
        <v>0.18</v>
      </c>
      <c r="H601" s="24">
        <f>_xlfn.XLOOKUP(Table3[[#This Row],[instant]],Table2[instant],Table2[atemp], ,0,1)</f>
        <v>0.21210000000000001</v>
      </c>
      <c r="I601" s="1">
        <f>_xlfn.XLOOKUP(Table3[[#This Row],[instant]],Table2[instant],Table2[hum], ,0,1)</f>
        <v>0.8</v>
      </c>
      <c r="J601" s="1">
        <f>_xlfn.XLOOKUP(Table3[[#This Row],[instant]],Table2[instant],Table2[windspeed], ,0,1)</f>
        <v>0.1045</v>
      </c>
      <c r="K601" s="1">
        <f>_xlfn.XLOOKUP(Table3[[#This Row],[instant]],Table2[instant],Table2[casual], ,0,1)</f>
        <v>0</v>
      </c>
      <c r="L601" s="1">
        <f>_xlfn.XLOOKUP(Table3[[#This Row],[instant]],Table2[instant],Table2[registered], ,0,1)</f>
        <v>4</v>
      </c>
      <c r="M601" s="6">
        <f>_xlfn.XLOOKUP(Table3[[#This Row],[instant]],Table2[instant],Table2[cnt], ,0,1)</f>
        <v>4</v>
      </c>
      <c r="N601" s="6" t="str">
        <f>IF(OR(Table3[[#This Row],[weekday]]=0,Table3[[#This Row],[weekday]]=6),"Weekend","Weekday")</f>
        <v>Weekday</v>
      </c>
    </row>
    <row r="602" spans="1:14" ht="15" thickBot="1" x14ac:dyDescent="0.35">
      <c r="A602" s="10">
        <v>601</v>
      </c>
      <c r="B602" s="11">
        <f>_xlfn.XLOOKUP(Table3[[#This Row],[instant]],DatSet1!A602:A1211,DatSet1!B602:B1211,_xlfn.XLOOKUP(Table3[[#This Row],[instant]],'Final Data'!A602:A991,'Final Data'!B602:B991, ,0,1),0,1)</f>
        <v>40571</v>
      </c>
      <c r="C602" s="12">
        <f>_xlfn.XLOOKUP(Table3[[#This Row],[instant]],Table1[instant],Table1[hr], ,0,1)</f>
        <v>6</v>
      </c>
      <c r="D602" s="13" t="b">
        <f>_xlfn.XLOOKUP(Table3[[#This Row],[instant]],Table1[instant],Table1[holiday], ,0,1)</f>
        <v>0</v>
      </c>
      <c r="E602" s="2">
        <f>_xlfn.XLOOKUP(Table3[[#This Row],[instant]],Table1[instant],Table1[weekday], ,0,1)</f>
        <v>5</v>
      </c>
      <c r="F602" s="2">
        <f>_xlfn.XLOOKUP(Table3[[#This Row],[instant]],Table1[instant],Table1[weathersit], ,0,1)</f>
        <v>2</v>
      </c>
      <c r="G602" s="2">
        <f>_xlfn.XLOOKUP(Table3[[#This Row],[instant]],Table1[instant],Table1[temp], ,0,1)</f>
        <v>0.18</v>
      </c>
      <c r="H602" s="24">
        <f>_xlfn.XLOOKUP(Table3[[#This Row],[instant]],Table2[instant],Table2[atemp], ,0,1)</f>
        <v>0.19700000000000001</v>
      </c>
      <c r="I602" s="1">
        <f>_xlfn.XLOOKUP(Table3[[#This Row],[instant]],Table2[instant],Table2[hum], ,0,1)</f>
        <v>0.8</v>
      </c>
      <c r="J602" s="1">
        <f>_xlfn.XLOOKUP(Table3[[#This Row],[instant]],Table2[instant],Table2[windspeed], ,0,1)</f>
        <v>0.1343</v>
      </c>
      <c r="K602" s="1">
        <f>_xlfn.XLOOKUP(Table3[[#This Row],[instant]],Table2[instant],Table2[casual], ,0,1)</f>
        <v>0</v>
      </c>
      <c r="L602" s="1">
        <f>_xlfn.XLOOKUP(Table3[[#This Row],[instant]],Table2[instant],Table2[registered], ,0,1)</f>
        <v>16</v>
      </c>
      <c r="M602" s="6">
        <f>_xlfn.XLOOKUP(Table3[[#This Row],[instant]],Table2[instant],Table2[cnt], ,0,1)</f>
        <v>16</v>
      </c>
      <c r="N602" s="6" t="str">
        <f>IF(OR(Table3[[#This Row],[weekday]]=0,Table3[[#This Row],[weekday]]=6),"Weekend","Weekday")</f>
        <v>Weekday</v>
      </c>
    </row>
    <row r="603" spans="1:14" ht="15" thickBot="1" x14ac:dyDescent="0.35">
      <c r="A603" s="10">
        <v>602</v>
      </c>
      <c r="B603" s="11">
        <f>_xlfn.XLOOKUP(Table3[[#This Row],[instant]],DatSet1!A603:A1212,DatSet1!B603:B1212,_xlfn.XLOOKUP(Table3[[#This Row],[instant]],'Final Data'!A603:A992,'Final Data'!B603:B992, ,0,1),0,1)</f>
        <v>40571</v>
      </c>
      <c r="C603" s="12">
        <f>_xlfn.XLOOKUP(Table3[[#This Row],[instant]],Table1[instant],Table1[hr], ,0,1)</f>
        <v>7</v>
      </c>
      <c r="D603" s="13" t="b">
        <f>_xlfn.XLOOKUP(Table3[[#This Row],[instant]],Table1[instant],Table1[holiday], ,0,1)</f>
        <v>0</v>
      </c>
      <c r="E603" s="2">
        <f>_xlfn.XLOOKUP(Table3[[#This Row],[instant]],Table1[instant],Table1[weekday], ,0,1)</f>
        <v>5</v>
      </c>
      <c r="F603" s="2">
        <f>_xlfn.XLOOKUP(Table3[[#This Row],[instant]],Table1[instant],Table1[weathersit], ,0,1)</f>
        <v>2</v>
      </c>
      <c r="G603" s="2">
        <f>_xlfn.XLOOKUP(Table3[[#This Row],[instant]],Table1[instant],Table1[temp], ,0,1)</f>
        <v>0.16</v>
      </c>
      <c r="H603" s="24">
        <f>_xlfn.XLOOKUP(Table3[[#This Row],[instant]],Table2[instant],Table2[atemp], ,0,1)</f>
        <v>0.19700000000000001</v>
      </c>
      <c r="I603" s="1">
        <f>_xlfn.XLOOKUP(Table3[[#This Row],[instant]],Table2[instant],Table2[hum], ,0,1)</f>
        <v>0.86</v>
      </c>
      <c r="J603" s="1">
        <f>_xlfn.XLOOKUP(Table3[[#This Row],[instant]],Table2[instant],Table2[windspeed], ,0,1)</f>
        <v>8.9599999999999999E-2</v>
      </c>
      <c r="K603" s="1">
        <f>_xlfn.XLOOKUP(Table3[[#This Row],[instant]],Table2[instant],Table2[casual], ,0,1)</f>
        <v>2</v>
      </c>
      <c r="L603" s="1">
        <f>_xlfn.XLOOKUP(Table3[[#This Row],[instant]],Table2[instant],Table2[registered], ,0,1)</f>
        <v>58</v>
      </c>
      <c r="M603" s="6">
        <f>_xlfn.XLOOKUP(Table3[[#This Row],[instant]],Table2[instant],Table2[cnt], ,0,1)</f>
        <v>60</v>
      </c>
      <c r="N603" s="6" t="str">
        <f>IF(OR(Table3[[#This Row],[weekday]]=0,Table3[[#This Row],[weekday]]=6),"Weekend","Weekday")</f>
        <v>Weekday</v>
      </c>
    </row>
    <row r="604" spans="1:14" ht="15" thickBot="1" x14ac:dyDescent="0.35">
      <c r="A604" s="10">
        <v>603</v>
      </c>
      <c r="B604" s="11">
        <f>_xlfn.XLOOKUP(Table3[[#This Row],[instant]],DatSet1!A604:A1213,DatSet1!B604:B1213,_xlfn.XLOOKUP(Table3[[#This Row],[instant]],'Final Data'!A604:A993,'Final Data'!B604:B993, ,0,1),0,1)</f>
        <v>40571</v>
      </c>
      <c r="C604" s="12">
        <f>_xlfn.XLOOKUP(Table3[[#This Row],[instant]],Table1[instant],Table1[hr], ,0,1)</f>
        <v>8</v>
      </c>
      <c r="D604" s="13" t="b">
        <f>_xlfn.XLOOKUP(Table3[[#This Row],[instant]],Table1[instant],Table1[holiday], ,0,1)</f>
        <v>0</v>
      </c>
      <c r="E604" s="2">
        <f>_xlfn.XLOOKUP(Table3[[#This Row],[instant]],Table1[instant],Table1[weekday], ,0,1)</f>
        <v>5</v>
      </c>
      <c r="F604" s="2">
        <f>_xlfn.XLOOKUP(Table3[[#This Row],[instant]],Table1[instant],Table1[weathersit], ,0,1)</f>
        <v>2</v>
      </c>
      <c r="G604" s="2">
        <f>_xlfn.XLOOKUP(Table3[[#This Row],[instant]],Table1[instant],Table1[temp], ,0,1)</f>
        <v>0.16</v>
      </c>
      <c r="H604" s="24">
        <f>_xlfn.XLOOKUP(Table3[[#This Row],[instant]],Table2[instant],Table2[atemp], ,0,1)</f>
        <v>0.19700000000000001</v>
      </c>
      <c r="I604" s="1">
        <f>_xlfn.XLOOKUP(Table3[[#This Row],[instant]],Table2[instant],Table2[hum], ,0,1)</f>
        <v>0.86</v>
      </c>
      <c r="J604" s="1">
        <f>_xlfn.XLOOKUP(Table3[[#This Row],[instant]],Table2[instant],Table2[windspeed], ,0,1)</f>
        <v>8.9599999999999999E-2</v>
      </c>
      <c r="K604" s="1">
        <f>_xlfn.XLOOKUP(Table3[[#This Row],[instant]],Table2[instant],Table2[casual], ,0,1)</f>
        <v>2</v>
      </c>
      <c r="L604" s="1">
        <f>_xlfn.XLOOKUP(Table3[[#This Row],[instant]],Table2[instant],Table2[registered], ,0,1)</f>
        <v>155</v>
      </c>
      <c r="M604" s="6">
        <f>_xlfn.XLOOKUP(Table3[[#This Row],[instant]],Table2[instant],Table2[cnt], ,0,1)</f>
        <v>157</v>
      </c>
      <c r="N604" s="6" t="str">
        <f>IF(OR(Table3[[#This Row],[weekday]]=0,Table3[[#This Row],[weekday]]=6),"Weekend","Weekday")</f>
        <v>Weekday</v>
      </c>
    </row>
    <row r="605" spans="1:14" ht="15" thickBot="1" x14ac:dyDescent="0.35">
      <c r="A605" s="10">
        <v>604</v>
      </c>
      <c r="B605" s="11">
        <f>_xlfn.XLOOKUP(Table3[[#This Row],[instant]],DatSet1!A605:A1214,DatSet1!B605:B1214,_xlfn.XLOOKUP(Table3[[#This Row],[instant]],'Final Data'!A605:A994,'Final Data'!B605:B994, ,0,1),0,1)</f>
        <v>40571</v>
      </c>
      <c r="C605" s="12">
        <f>_xlfn.XLOOKUP(Table3[[#This Row],[instant]],Table1[instant],Table1[hr], ,0,1)</f>
        <v>9</v>
      </c>
      <c r="D605" s="13" t="b">
        <f>_xlfn.XLOOKUP(Table3[[#This Row],[instant]],Table1[instant],Table1[holiday], ,0,1)</f>
        <v>0</v>
      </c>
      <c r="E605" s="2">
        <f>_xlfn.XLOOKUP(Table3[[#This Row],[instant]],Table1[instant],Table1[weekday], ,0,1)</f>
        <v>5</v>
      </c>
      <c r="F605" s="2">
        <f>_xlfn.XLOOKUP(Table3[[#This Row],[instant]],Table1[instant],Table1[weathersit], ,0,1)</f>
        <v>3</v>
      </c>
      <c r="G605" s="2">
        <f>_xlfn.XLOOKUP(Table3[[#This Row],[instant]],Table1[instant],Table1[temp], ,0,1)</f>
        <v>0.18</v>
      </c>
      <c r="H605" s="24">
        <f>_xlfn.XLOOKUP(Table3[[#This Row],[instant]],Table2[instant],Table2[atemp], ,0,1)</f>
        <v>0.21210000000000001</v>
      </c>
      <c r="I605" s="1">
        <f>_xlfn.XLOOKUP(Table3[[#This Row],[instant]],Table2[instant],Table2[hum], ,0,1)</f>
        <v>0.86</v>
      </c>
      <c r="J605" s="1">
        <f>_xlfn.XLOOKUP(Table3[[#This Row],[instant]],Table2[instant],Table2[windspeed], ,0,1)</f>
        <v>8.9599999999999999E-2</v>
      </c>
      <c r="K605" s="1">
        <f>_xlfn.XLOOKUP(Table3[[#This Row],[instant]],Table2[instant],Table2[casual], ,0,1)</f>
        <v>6</v>
      </c>
      <c r="L605" s="1">
        <f>_xlfn.XLOOKUP(Table3[[#This Row],[instant]],Table2[instant],Table2[registered], ,0,1)</f>
        <v>95</v>
      </c>
      <c r="M605" s="6">
        <f>_xlfn.XLOOKUP(Table3[[#This Row],[instant]],Table2[instant],Table2[cnt], ,0,1)</f>
        <v>101</v>
      </c>
      <c r="N605" s="6" t="str">
        <f>IF(OR(Table3[[#This Row],[weekday]]=0,Table3[[#This Row],[weekday]]=6),"Weekend","Weekday")</f>
        <v>Weekday</v>
      </c>
    </row>
    <row r="606" spans="1:14" ht="15" thickBot="1" x14ac:dyDescent="0.35">
      <c r="A606" s="10">
        <v>605</v>
      </c>
      <c r="B606" s="11">
        <f>_xlfn.XLOOKUP(Table3[[#This Row],[instant]],DatSet1!A606:A1215,DatSet1!B606:B1215,_xlfn.XLOOKUP(Table3[[#This Row],[instant]],'Final Data'!A606:A995,'Final Data'!B606:B995, ,0,1),0,1)</f>
        <v>40571</v>
      </c>
      <c r="C606" s="12">
        <f>_xlfn.XLOOKUP(Table3[[#This Row],[instant]],Table1[instant],Table1[hr], ,0,1)</f>
        <v>10</v>
      </c>
      <c r="D606" s="13" t="b">
        <f>_xlfn.XLOOKUP(Table3[[#This Row],[instant]],Table1[instant],Table1[holiday], ,0,1)</f>
        <v>0</v>
      </c>
      <c r="E606" s="2">
        <f>_xlfn.XLOOKUP(Table3[[#This Row],[instant]],Table1[instant],Table1[weekday], ,0,1)</f>
        <v>5</v>
      </c>
      <c r="F606" s="2">
        <f>_xlfn.XLOOKUP(Table3[[#This Row],[instant]],Table1[instant],Table1[weathersit], ,0,1)</f>
        <v>3</v>
      </c>
      <c r="G606" s="2">
        <f>_xlfn.XLOOKUP(Table3[[#This Row],[instant]],Table1[instant],Table1[temp], ,0,1)</f>
        <v>0.18</v>
      </c>
      <c r="H606" s="24">
        <f>_xlfn.XLOOKUP(Table3[[#This Row],[instant]],Table2[instant],Table2[atemp], ,0,1)</f>
        <v>0.21210000000000001</v>
      </c>
      <c r="I606" s="1">
        <f>_xlfn.XLOOKUP(Table3[[#This Row],[instant]],Table2[instant],Table2[hum], ,0,1)</f>
        <v>0.86</v>
      </c>
      <c r="J606" s="1">
        <f>_xlfn.XLOOKUP(Table3[[#This Row],[instant]],Table2[instant],Table2[windspeed], ,0,1)</f>
        <v>0.1045</v>
      </c>
      <c r="K606" s="1">
        <f>_xlfn.XLOOKUP(Table3[[#This Row],[instant]],Table2[instant],Table2[casual], ,0,1)</f>
        <v>0</v>
      </c>
      <c r="L606" s="1">
        <f>_xlfn.XLOOKUP(Table3[[#This Row],[instant]],Table2[instant],Table2[registered], ,0,1)</f>
        <v>49</v>
      </c>
      <c r="M606" s="6">
        <f>_xlfn.XLOOKUP(Table3[[#This Row],[instant]],Table2[instant],Table2[cnt], ,0,1)</f>
        <v>49</v>
      </c>
      <c r="N606" s="6" t="str">
        <f>IF(OR(Table3[[#This Row],[weekday]]=0,Table3[[#This Row],[weekday]]=6),"Weekend","Weekday")</f>
        <v>Weekday</v>
      </c>
    </row>
    <row r="607" spans="1:14" ht="15" thickBot="1" x14ac:dyDescent="0.35">
      <c r="A607" s="10">
        <v>606</v>
      </c>
      <c r="B607" s="11">
        <f>_xlfn.XLOOKUP(Table3[[#This Row],[instant]],DatSet1!A607:A1216,DatSet1!B607:B1216,_xlfn.XLOOKUP(Table3[[#This Row],[instant]],'Final Data'!A607:A996,'Final Data'!B607:B996, ,0,1),0,1)</f>
        <v>40571</v>
      </c>
      <c r="C607" s="12">
        <f>_xlfn.XLOOKUP(Table3[[#This Row],[instant]],Table1[instant],Table1[hr], ,0,1)</f>
        <v>11</v>
      </c>
      <c r="D607" s="13" t="b">
        <f>_xlfn.XLOOKUP(Table3[[#This Row],[instant]],Table1[instant],Table1[holiday], ,0,1)</f>
        <v>0</v>
      </c>
      <c r="E607" s="2">
        <f>_xlfn.XLOOKUP(Table3[[#This Row],[instant]],Table1[instant],Table1[weekday], ,0,1)</f>
        <v>5</v>
      </c>
      <c r="F607" s="2">
        <f>_xlfn.XLOOKUP(Table3[[#This Row],[instant]],Table1[instant],Table1[weathersit], ,0,1)</f>
        <v>3</v>
      </c>
      <c r="G607" s="2">
        <f>_xlfn.XLOOKUP(Table3[[#This Row],[instant]],Table1[instant],Table1[temp], ,0,1)</f>
        <v>0.18</v>
      </c>
      <c r="H607" s="24">
        <f>_xlfn.XLOOKUP(Table3[[#This Row],[instant]],Table2[instant],Table2[atemp], ,0,1)</f>
        <v>0.21210000000000001</v>
      </c>
      <c r="I607" s="1">
        <f>_xlfn.XLOOKUP(Table3[[#This Row],[instant]],Table2[instant],Table2[hum], ,0,1)</f>
        <v>0.93</v>
      </c>
      <c r="J607" s="1">
        <f>_xlfn.XLOOKUP(Table3[[#This Row],[instant]],Table2[instant],Table2[windspeed], ,0,1)</f>
        <v>0.1045</v>
      </c>
      <c r="K607" s="1">
        <f>_xlfn.XLOOKUP(Table3[[#This Row],[instant]],Table2[instant],Table2[casual], ,0,1)</f>
        <v>0</v>
      </c>
      <c r="L607" s="1">
        <f>_xlfn.XLOOKUP(Table3[[#This Row],[instant]],Table2[instant],Table2[registered], ,0,1)</f>
        <v>30</v>
      </c>
      <c r="M607" s="6">
        <f>_xlfn.XLOOKUP(Table3[[#This Row],[instant]],Table2[instant],Table2[cnt], ,0,1)</f>
        <v>30</v>
      </c>
      <c r="N607" s="6" t="str">
        <f>IF(OR(Table3[[#This Row],[weekday]]=0,Table3[[#This Row],[weekday]]=6),"Weekend","Weekday")</f>
        <v>Weekday</v>
      </c>
    </row>
    <row r="608" spans="1:14" ht="15" thickBot="1" x14ac:dyDescent="0.35">
      <c r="A608" s="10">
        <v>607</v>
      </c>
      <c r="B608" s="11">
        <f>_xlfn.XLOOKUP(Table3[[#This Row],[instant]],DatSet1!A608:A1217,DatSet1!B608:B1217,_xlfn.XLOOKUP(Table3[[#This Row],[instant]],'Final Data'!A608:A997,'Final Data'!B608:B997, ,0,1),0,1)</f>
        <v>40571</v>
      </c>
      <c r="C608" s="12">
        <f>_xlfn.XLOOKUP(Table3[[#This Row],[instant]],Table1[instant],Table1[hr], ,0,1)</f>
        <v>12</v>
      </c>
      <c r="D608" s="13" t="b">
        <f>_xlfn.XLOOKUP(Table3[[#This Row],[instant]],Table1[instant],Table1[holiday], ,0,1)</f>
        <v>0</v>
      </c>
      <c r="E608" s="2">
        <f>_xlfn.XLOOKUP(Table3[[#This Row],[instant]],Table1[instant],Table1[weekday], ,0,1)</f>
        <v>5</v>
      </c>
      <c r="F608" s="2">
        <f>_xlfn.XLOOKUP(Table3[[#This Row],[instant]],Table1[instant],Table1[weathersit], ,0,1)</f>
        <v>3</v>
      </c>
      <c r="G608" s="2">
        <f>_xlfn.XLOOKUP(Table3[[#This Row],[instant]],Table1[instant],Table1[temp], ,0,1)</f>
        <v>0.18</v>
      </c>
      <c r="H608" s="24">
        <f>_xlfn.XLOOKUP(Table3[[#This Row],[instant]],Table2[instant],Table2[atemp], ,0,1)</f>
        <v>0.21210000000000001</v>
      </c>
      <c r="I608" s="1">
        <f>_xlfn.XLOOKUP(Table3[[#This Row],[instant]],Table2[instant],Table2[hum], ,0,1)</f>
        <v>0.93</v>
      </c>
      <c r="J608" s="1">
        <f>_xlfn.XLOOKUP(Table3[[#This Row],[instant]],Table2[instant],Table2[windspeed], ,0,1)</f>
        <v>0.1045</v>
      </c>
      <c r="K608" s="1">
        <f>_xlfn.XLOOKUP(Table3[[#This Row],[instant]],Table2[instant],Table2[casual], ,0,1)</f>
        <v>1</v>
      </c>
      <c r="L608" s="1">
        <f>_xlfn.XLOOKUP(Table3[[#This Row],[instant]],Table2[instant],Table2[registered], ,0,1)</f>
        <v>28</v>
      </c>
      <c r="M608" s="6">
        <f>_xlfn.XLOOKUP(Table3[[#This Row],[instant]],Table2[instant],Table2[cnt], ,0,1)</f>
        <v>29</v>
      </c>
      <c r="N608" s="6" t="str">
        <f>IF(OR(Table3[[#This Row],[weekday]]=0,Table3[[#This Row],[weekday]]=6),"Weekend","Weekday")</f>
        <v>Weekday</v>
      </c>
    </row>
    <row r="609" spans="1:14" ht="15" thickBot="1" x14ac:dyDescent="0.35">
      <c r="A609" s="10">
        <v>608</v>
      </c>
      <c r="B609" s="11">
        <f>_xlfn.XLOOKUP(Table3[[#This Row],[instant]],DatSet1!A609:A1218,DatSet1!B609:B1218,_xlfn.XLOOKUP(Table3[[#This Row],[instant]],'Final Data'!A609:A998,'Final Data'!B609:B998, ,0,1),0,1)</f>
        <v>40571</v>
      </c>
      <c r="C609" s="12">
        <f>_xlfn.XLOOKUP(Table3[[#This Row],[instant]],Table1[instant],Table1[hr], ,0,1)</f>
        <v>13</v>
      </c>
      <c r="D609" s="13" t="b">
        <f>_xlfn.XLOOKUP(Table3[[#This Row],[instant]],Table1[instant],Table1[holiday], ,0,1)</f>
        <v>0</v>
      </c>
      <c r="E609" s="2">
        <f>_xlfn.XLOOKUP(Table3[[#This Row],[instant]],Table1[instant],Table1[weekday], ,0,1)</f>
        <v>5</v>
      </c>
      <c r="F609" s="2">
        <f>_xlfn.XLOOKUP(Table3[[#This Row],[instant]],Table1[instant],Table1[weathersit], ,0,1)</f>
        <v>3</v>
      </c>
      <c r="G609" s="2">
        <f>_xlfn.XLOOKUP(Table3[[#This Row],[instant]],Table1[instant],Table1[temp], ,0,1)</f>
        <v>0.18</v>
      </c>
      <c r="H609" s="24">
        <f>_xlfn.XLOOKUP(Table3[[#This Row],[instant]],Table2[instant],Table2[atemp], ,0,1)</f>
        <v>0.21210000000000001</v>
      </c>
      <c r="I609" s="1">
        <f>_xlfn.XLOOKUP(Table3[[#This Row],[instant]],Table2[instant],Table2[hum], ,0,1)</f>
        <v>0.93</v>
      </c>
      <c r="J609" s="1">
        <f>_xlfn.XLOOKUP(Table3[[#This Row],[instant]],Table2[instant],Table2[windspeed], ,0,1)</f>
        <v>0.1045</v>
      </c>
      <c r="K609" s="1">
        <f>_xlfn.XLOOKUP(Table3[[#This Row],[instant]],Table2[instant],Table2[casual], ,0,1)</f>
        <v>0</v>
      </c>
      <c r="L609" s="1">
        <f>_xlfn.XLOOKUP(Table3[[#This Row],[instant]],Table2[instant],Table2[registered], ,0,1)</f>
        <v>31</v>
      </c>
      <c r="M609" s="6">
        <f>_xlfn.XLOOKUP(Table3[[#This Row],[instant]],Table2[instant],Table2[cnt], ,0,1)</f>
        <v>31</v>
      </c>
      <c r="N609" s="6" t="str">
        <f>IF(OR(Table3[[#This Row],[weekday]]=0,Table3[[#This Row],[weekday]]=6),"Weekend","Weekday")</f>
        <v>Weekday</v>
      </c>
    </row>
    <row r="610" spans="1:14" ht="15" thickBot="1" x14ac:dyDescent="0.35">
      <c r="A610" s="10">
        <v>609</v>
      </c>
      <c r="B610" s="11">
        <f>_xlfn.XLOOKUP(Table3[[#This Row],[instant]],DatSet1!A610:A1219,DatSet1!B610:B1219,_xlfn.XLOOKUP(Table3[[#This Row],[instant]],'Final Data'!A610:A999,'Final Data'!B610:B999, ,0,1),0,1)</f>
        <v>40571</v>
      </c>
      <c r="C610" s="12">
        <f>_xlfn.XLOOKUP(Table3[[#This Row],[instant]],Table1[instant],Table1[hr], ,0,1)</f>
        <v>14</v>
      </c>
      <c r="D610" s="13" t="b">
        <f>_xlfn.XLOOKUP(Table3[[#This Row],[instant]],Table1[instant],Table1[holiday], ,0,1)</f>
        <v>0</v>
      </c>
      <c r="E610" s="2">
        <f>_xlfn.XLOOKUP(Table3[[#This Row],[instant]],Table1[instant],Table1[weekday], ,0,1)</f>
        <v>5</v>
      </c>
      <c r="F610" s="2">
        <f>_xlfn.XLOOKUP(Table3[[#This Row],[instant]],Table1[instant],Table1[weathersit], ,0,1)</f>
        <v>3</v>
      </c>
      <c r="G610" s="2">
        <f>_xlfn.XLOOKUP(Table3[[#This Row],[instant]],Table1[instant],Table1[temp], ,0,1)</f>
        <v>0.22</v>
      </c>
      <c r="H610" s="24">
        <f>_xlfn.XLOOKUP(Table3[[#This Row],[instant]],Table2[instant],Table2[atemp], ,0,1)</f>
        <v>0.2727</v>
      </c>
      <c r="I610" s="1">
        <f>_xlfn.XLOOKUP(Table3[[#This Row],[instant]],Table2[instant],Table2[hum], ,0,1)</f>
        <v>0.8</v>
      </c>
      <c r="J610" s="1">
        <f>_xlfn.XLOOKUP(Table3[[#This Row],[instant]],Table2[instant],Table2[windspeed], ,0,1)</f>
        <v>0</v>
      </c>
      <c r="K610" s="1">
        <f>_xlfn.XLOOKUP(Table3[[#This Row],[instant]],Table2[instant],Table2[casual], ,0,1)</f>
        <v>2</v>
      </c>
      <c r="L610" s="1">
        <f>_xlfn.XLOOKUP(Table3[[#This Row],[instant]],Table2[instant],Table2[registered], ,0,1)</f>
        <v>36</v>
      </c>
      <c r="M610" s="6">
        <f>_xlfn.XLOOKUP(Table3[[#This Row],[instant]],Table2[instant],Table2[cnt], ,0,1)</f>
        <v>38</v>
      </c>
      <c r="N610" s="6" t="str">
        <f>IF(OR(Table3[[#This Row],[weekday]]=0,Table3[[#This Row],[weekday]]=6),"Weekend","Weekday")</f>
        <v>Weekday</v>
      </c>
    </row>
    <row r="611" spans="1:14" ht="15" thickBot="1" x14ac:dyDescent="0.35">
      <c r="A611" s="10">
        <v>610</v>
      </c>
      <c r="B611" s="11">
        <f>_xlfn.XLOOKUP(Table3[[#This Row],[instant]],DatSet1!A611:A1220,DatSet1!B611:B1220,_xlfn.XLOOKUP(Table3[[#This Row],[instant]],'Final Data'!A611:A1000,'Final Data'!B611:B1000, ,0,1),0,1)</f>
        <v>40571</v>
      </c>
      <c r="C611" s="12">
        <f>_xlfn.XLOOKUP(Table3[[#This Row],[instant]],Table1[instant],Table1[hr], ,0,1)</f>
        <v>15</v>
      </c>
      <c r="D611" s="13" t="b">
        <f>_xlfn.XLOOKUP(Table3[[#This Row],[instant]],Table1[instant],Table1[holiday], ,0,1)</f>
        <v>0</v>
      </c>
      <c r="E611" s="2">
        <f>_xlfn.XLOOKUP(Table3[[#This Row],[instant]],Table1[instant],Table1[weekday], ,0,1)</f>
        <v>5</v>
      </c>
      <c r="F611" s="2">
        <f>_xlfn.XLOOKUP(Table3[[#This Row],[instant]],Table1[instant],Table1[weathersit], ,0,1)</f>
        <v>2</v>
      </c>
      <c r="G611" s="2">
        <f>_xlfn.XLOOKUP(Table3[[#This Row],[instant]],Table1[instant],Table1[temp], ,0,1)</f>
        <v>0.2</v>
      </c>
      <c r="H611" s="24">
        <f>_xlfn.XLOOKUP(Table3[[#This Row],[instant]],Table2[instant],Table2[atemp], ,0,1)</f>
        <v>0.2576</v>
      </c>
      <c r="I611" s="1">
        <f>_xlfn.XLOOKUP(Table3[[#This Row],[instant]],Table2[instant],Table2[hum], ,0,1)</f>
        <v>0.86</v>
      </c>
      <c r="J611" s="1">
        <f>_xlfn.XLOOKUP(Table3[[#This Row],[instant]],Table2[instant],Table2[windspeed], ,0,1)</f>
        <v>0</v>
      </c>
      <c r="K611" s="1">
        <f>_xlfn.XLOOKUP(Table3[[#This Row],[instant]],Table2[instant],Table2[casual], ,0,1)</f>
        <v>1</v>
      </c>
      <c r="L611" s="1">
        <f>_xlfn.XLOOKUP(Table3[[#This Row],[instant]],Table2[instant],Table2[registered], ,0,1)</f>
        <v>40</v>
      </c>
      <c r="M611" s="6">
        <f>_xlfn.XLOOKUP(Table3[[#This Row],[instant]],Table2[instant],Table2[cnt], ,0,1)</f>
        <v>41</v>
      </c>
      <c r="N611" s="6" t="str">
        <f>IF(OR(Table3[[#This Row],[weekday]]=0,Table3[[#This Row],[weekday]]=6),"Weekend","Weekday")</f>
        <v>Weekday</v>
      </c>
    </row>
    <row r="612" spans="1:14" ht="15" thickBot="1" x14ac:dyDescent="0.35">
      <c r="A612" s="10">
        <v>611</v>
      </c>
      <c r="B612" s="11">
        <v>40571</v>
      </c>
      <c r="C612" s="12">
        <v>16</v>
      </c>
      <c r="D612" s="13" t="b">
        <v>0</v>
      </c>
      <c r="E612" s="12">
        <v>5</v>
      </c>
      <c r="F612" s="12">
        <v>1</v>
      </c>
      <c r="G612" s="1">
        <v>0.22</v>
      </c>
      <c r="H612" s="25">
        <v>0.2727</v>
      </c>
      <c r="I612" s="1">
        <v>0.8</v>
      </c>
      <c r="J612" s="1">
        <v>0</v>
      </c>
      <c r="K612" s="1">
        <v>10</v>
      </c>
      <c r="L612" s="1">
        <v>70</v>
      </c>
      <c r="M612" s="6">
        <v>80</v>
      </c>
      <c r="N612" s="6" t="str">
        <f>IF(OR(Table3[[#This Row],[weekday]]=0,Table3[[#This Row],[weekday]]=6),"Weekend","Weekday")</f>
        <v>Weekday</v>
      </c>
    </row>
    <row r="613" spans="1:14" ht="15" thickBot="1" x14ac:dyDescent="0.35">
      <c r="A613" s="10">
        <v>612</v>
      </c>
      <c r="B613" s="11">
        <v>40571</v>
      </c>
      <c r="C613" s="12">
        <v>17</v>
      </c>
      <c r="D613" s="13" t="b">
        <v>0</v>
      </c>
      <c r="E613" s="12">
        <v>5</v>
      </c>
      <c r="F613" s="12">
        <v>1</v>
      </c>
      <c r="G613" s="1">
        <v>0.24</v>
      </c>
      <c r="H613" s="25">
        <v>0.2424</v>
      </c>
      <c r="I613" s="1">
        <v>0.75</v>
      </c>
      <c r="J613" s="1">
        <v>0.1343</v>
      </c>
      <c r="K613" s="1">
        <v>2</v>
      </c>
      <c r="L613" s="1">
        <v>147</v>
      </c>
      <c r="M613" s="6">
        <v>149</v>
      </c>
      <c r="N613" s="6" t="str">
        <f>IF(OR(Table3[[#This Row],[weekday]]=0,Table3[[#This Row],[weekday]]=6),"Weekend","Weekday")</f>
        <v>Weekday</v>
      </c>
    </row>
    <row r="614" spans="1:14" ht="15" thickBot="1" x14ac:dyDescent="0.35">
      <c r="A614" s="10">
        <v>613</v>
      </c>
      <c r="B614" s="11">
        <v>40571</v>
      </c>
      <c r="C614" s="12">
        <v>18</v>
      </c>
      <c r="D614" s="13" t="b">
        <v>0</v>
      </c>
      <c r="E614" s="12">
        <v>5</v>
      </c>
      <c r="F614" s="12">
        <v>1</v>
      </c>
      <c r="G614" s="1">
        <v>0.24</v>
      </c>
      <c r="H614" s="25">
        <v>0.2273</v>
      </c>
      <c r="I614" s="1">
        <v>0.75</v>
      </c>
      <c r="J614" s="1">
        <v>0.19400000000000001</v>
      </c>
      <c r="K614" s="1">
        <v>2</v>
      </c>
      <c r="L614" s="1">
        <v>107</v>
      </c>
      <c r="M614" s="6">
        <v>109</v>
      </c>
      <c r="N614" s="6" t="str">
        <f>IF(OR(Table3[[#This Row],[weekday]]=0,Table3[[#This Row],[weekday]]=6),"Weekend","Weekday")</f>
        <v>Weekday</v>
      </c>
    </row>
    <row r="615" spans="1:14" ht="15" thickBot="1" x14ac:dyDescent="0.35">
      <c r="A615" s="10">
        <v>614</v>
      </c>
      <c r="B615" s="11">
        <v>40571</v>
      </c>
      <c r="C615" s="12">
        <v>19</v>
      </c>
      <c r="D615" s="13" t="b">
        <v>0</v>
      </c>
      <c r="E615" s="12">
        <v>5</v>
      </c>
      <c r="F615" s="12">
        <v>2</v>
      </c>
      <c r="G615" s="1">
        <v>0.24</v>
      </c>
      <c r="H615" s="25">
        <v>0.2424</v>
      </c>
      <c r="I615" s="1">
        <v>0.75</v>
      </c>
      <c r="J615" s="1">
        <v>0.1343</v>
      </c>
      <c r="K615" s="1">
        <v>5</v>
      </c>
      <c r="L615" s="1">
        <v>84</v>
      </c>
      <c r="M615" s="6">
        <v>89</v>
      </c>
      <c r="N615" s="6" t="str">
        <f>IF(OR(Table3[[#This Row],[weekday]]=0,Table3[[#This Row],[weekday]]=6),"Weekend","Weekday")</f>
        <v>Weekday</v>
      </c>
    </row>
    <row r="616" spans="1:14" ht="15" thickBot="1" x14ac:dyDescent="0.35">
      <c r="A616" s="10">
        <v>615</v>
      </c>
      <c r="B616" s="11">
        <v>40571</v>
      </c>
      <c r="C616" s="12">
        <v>20</v>
      </c>
      <c r="D616" s="13" t="b">
        <v>0</v>
      </c>
      <c r="E616" s="12">
        <v>5</v>
      </c>
      <c r="F616" s="12">
        <v>2</v>
      </c>
      <c r="G616" s="1">
        <v>0.24</v>
      </c>
      <c r="H616" s="25">
        <v>0.2273</v>
      </c>
      <c r="I616" s="1">
        <v>0.7</v>
      </c>
      <c r="J616" s="1">
        <v>0.19400000000000001</v>
      </c>
      <c r="K616" s="1">
        <v>1</v>
      </c>
      <c r="L616" s="1">
        <v>61</v>
      </c>
      <c r="M616" s="6">
        <v>62</v>
      </c>
      <c r="N616" s="6" t="str">
        <f>IF(OR(Table3[[#This Row],[weekday]]=0,Table3[[#This Row],[weekday]]=6),"Weekend","Weekday")</f>
        <v>Weekday</v>
      </c>
    </row>
    <row r="617" spans="1:14" ht="15" thickBot="1" x14ac:dyDescent="0.35">
      <c r="A617" s="10">
        <v>616</v>
      </c>
      <c r="B617" s="11">
        <v>40571</v>
      </c>
      <c r="C617" s="12">
        <v>21</v>
      </c>
      <c r="D617" s="13" t="b">
        <v>0</v>
      </c>
      <c r="E617" s="12">
        <v>5</v>
      </c>
      <c r="F617" s="12">
        <v>2</v>
      </c>
      <c r="G617" s="1">
        <v>0.22</v>
      </c>
      <c r="H617" s="25">
        <v>0.2273</v>
      </c>
      <c r="I617" s="1">
        <v>0.75</v>
      </c>
      <c r="J617" s="1">
        <v>0.1343</v>
      </c>
      <c r="K617" s="1">
        <v>1</v>
      </c>
      <c r="L617" s="1">
        <v>57</v>
      </c>
      <c r="M617" s="6">
        <v>58</v>
      </c>
      <c r="N617" s="6" t="str">
        <f>IF(OR(Table3[[#This Row],[weekday]]=0,Table3[[#This Row],[weekday]]=6),"Weekend","Weekday")</f>
        <v>Weekday</v>
      </c>
    </row>
    <row r="618" spans="1:14" ht="15" thickBot="1" x14ac:dyDescent="0.35">
      <c r="A618" s="10">
        <v>617</v>
      </c>
      <c r="B618" s="11">
        <v>40571</v>
      </c>
      <c r="C618" s="12">
        <v>22</v>
      </c>
      <c r="D618" s="13" t="b">
        <v>0</v>
      </c>
      <c r="E618" s="12">
        <v>5</v>
      </c>
      <c r="F618" s="12">
        <v>1</v>
      </c>
      <c r="G618" s="1">
        <v>0.24</v>
      </c>
      <c r="H618" s="25">
        <v>0.21210000000000001</v>
      </c>
      <c r="I618" s="1">
        <v>0.65</v>
      </c>
      <c r="J618" s="1">
        <v>0.35820000000000002</v>
      </c>
      <c r="K618" s="1">
        <v>0</v>
      </c>
      <c r="L618" s="1">
        <v>26</v>
      </c>
      <c r="M618" s="6">
        <v>26</v>
      </c>
      <c r="N618" s="6" t="str">
        <f>IF(OR(Table3[[#This Row],[weekday]]=0,Table3[[#This Row],[weekday]]=6),"Weekend","Weekday")</f>
        <v>Weekday</v>
      </c>
    </row>
    <row r="619" spans="1:14" ht="15" thickBot="1" x14ac:dyDescent="0.35">
      <c r="A619" s="10">
        <v>618</v>
      </c>
      <c r="B619" s="11">
        <v>40571</v>
      </c>
      <c r="C619" s="12">
        <v>23</v>
      </c>
      <c r="D619" s="13" t="b">
        <v>0</v>
      </c>
      <c r="E619" s="12">
        <v>5</v>
      </c>
      <c r="F619" s="12">
        <v>1</v>
      </c>
      <c r="G619" s="1">
        <v>0.24</v>
      </c>
      <c r="H619" s="25">
        <v>0.2273</v>
      </c>
      <c r="I619" s="1">
        <v>0.6</v>
      </c>
      <c r="J619" s="1">
        <v>0.22389999999999999</v>
      </c>
      <c r="K619" s="1">
        <v>1</v>
      </c>
      <c r="L619" s="1">
        <v>22</v>
      </c>
      <c r="M619" s="6">
        <v>23</v>
      </c>
      <c r="N619" s="6" t="str">
        <f>IF(OR(Table3[[#This Row],[weekday]]=0,Table3[[#This Row],[weekday]]=6),"Weekend","Weekday")</f>
        <v>Weekday</v>
      </c>
    </row>
    <row r="620" spans="1:14" ht="15" thickBot="1" x14ac:dyDescent="0.35">
      <c r="A620" s="10">
        <v>619</v>
      </c>
      <c r="B620" s="11">
        <v>40572</v>
      </c>
      <c r="C620" s="12">
        <v>0</v>
      </c>
      <c r="D620" s="13" t="b">
        <v>0</v>
      </c>
      <c r="E620" s="12">
        <v>6</v>
      </c>
      <c r="F620" s="12">
        <v>1</v>
      </c>
      <c r="G620" s="1">
        <v>0.22</v>
      </c>
      <c r="H620" s="25">
        <v>0.19700000000000001</v>
      </c>
      <c r="I620" s="1">
        <v>0.64</v>
      </c>
      <c r="J620" s="1">
        <v>0.35820000000000002</v>
      </c>
      <c r="K620" s="1">
        <v>2</v>
      </c>
      <c r="L620" s="1">
        <v>26</v>
      </c>
      <c r="M620" s="6">
        <v>28</v>
      </c>
      <c r="N620" s="6" t="str">
        <f>IF(OR(Table3[[#This Row],[weekday]]=0,Table3[[#This Row],[weekday]]=6),"Weekend","Weekday")</f>
        <v>Weekend</v>
      </c>
    </row>
    <row r="621" spans="1:14" ht="15" thickBot="1" x14ac:dyDescent="0.35">
      <c r="A621" s="10">
        <v>620</v>
      </c>
      <c r="B621" s="11">
        <v>40572</v>
      </c>
      <c r="C621" s="12">
        <v>1</v>
      </c>
      <c r="D621" s="13" t="b">
        <v>0</v>
      </c>
      <c r="E621" s="12">
        <v>6</v>
      </c>
      <c r="F621" s="12">
        <v>1</v>
      </c>
      <c r="G621" s="1">
        <v>0.22</v>
      </c>
      <c r="H621" s="25">
        <v>0.2273</v>
      </c>
      <c r="I621" s="1">
        <v>0.64</v>
      </c>
      <c r="J621" s="1">
        <v>0.19400000000000001</v>
      </c>
      <c r="K621" s="1">
        <v>0</v>
      </c>
      <c r="L621" s="1">
        <v>20</v>
      </c>
      <c r="M621" s="6">
        <v>20</v>
      </c>
      <c r="N621" s="6" t="str">
        <f>IF(OR(Table3[[#This Row],[weekday]]=0,Table3[[#This Row],[weekday]]=6),"Weekend","Weekday")</f>
        <v>Weekend</v>
      </c>
    </row>
    <row r="622" spans="1:14" ht="15" thickBot="1" x14ac:dyDescent="0.35">
      <c r="A622" s="10">
        <v>621</v>
      </c>
      <c r="B622" s="11">
        <v>40572</v>
      </c>
      <c r="C622" s="12">
        <v>2</v>
      </c>
      <c r="D622" s="13" t="b">
        <v>0</v>
      </c>
      <c r="E622" s="12">
        <v>6</v>
      </c>
      <c r="F622" s="12">
        <v>1</v>
      </c>
      <c r="G622" s="1">
        <v>0.22</v>
      </c>
      <c r="H622" s="25">
        <v>0.2273</v>
      </c>
      <c r="I622" s="1">
        <v>0.64</v>
      </c>
      <c r="J622" s="1">
        <v>0.16420000000000001</v>
      </c>
      <c r="K622" s="1">
        <v>0</v>
      </c>
      <c r="L622" s="1">
        <v>15</v>
      </c>
      <c r="M622" s="6">
        <v>15</v>
      </c>
      <c r="N622" s="6" t="str">
        <f>IF(OR(Table3[[#This Row],[weekday]]=0,Table3[[#This Row],[weekday]]=6),"Weekend","Weekday")</f>
        <v>Weekend</v>
      </c>
    </row>
    <row r="623" spans="1:14" ht="15" thickBot="1" x14ac:dyDescent="0.35">
      <c r="A623" s="10">
        <v>622</v>
      </c>
      <c r="B623" s="11">
        <v>40572</v>
      </c>
      <c r="C623" s="12">
        <v>3</v>
      </c>
      <c r="D623" s="13" t="b">
        <v>0</v>
      </c>
      <c r="E623" s="12">
        <v>6</v>
      </c>
      <c r="F623" s="12">
        <v>1</v>
      </c>
      <c r="G623" s="1">
        <v>0.2</v>
      </c>
      <c r="H623" s="25">
        <v>0.21210000000000001</v>
      </c>
      <c r="I623" s="1">
        <v>0.64</v>
      </c>
      <c r="J623" s="1">
        <v>0.1343</v>
      </c>
      <c r="K623" s="1">
        <v>3</v>
      </c>
      <c r="L623" s="1">
        <v>5</v>
      </c>
      <c r="M623" s="6">
        <v>8</v>
      </c>
      <c r="N623" s="6" t="str">
        <f>IF(OR(Table3[[#This Row],[weekday]]=0,Table3[[#This Row],[weekday]]=6),"Weekend","Weekday")</f>
        <v>Weekend</v>
      </c>
    </row>
    <row r="624" spans="1:14" ht="15" thickBot="1" x14ac:dyDescent="0.35">
      <c r="A624" s="10">
        <v>623</v>
      </c>
      <c r="B624" s="11">
        <v>40572</v>
      </c>
      <c r="C624" s="12">
        <v>4</v>
      </c>
      <c r="D624" s="13" t="b">
        <v>0</v>
      </c>
      <c r="E624" s="12">
        <v>6</v>
      </c>
      <c r="F624" s="12">
        <v>1</v>
      </c>
      <c r="G624" s="1">
        <v>0.16</v>
      </c>
      <c r="H624" s="25">
        <v>0.18179999999999999</v>
      </c>
      <c r="I624" s="1">
        <v>0.69</v>
      </c>
      <c r="J624" s="1">
        <v>0.1045</v>
      </c>
      <c r="K624" s="1">
        <v>1</v>
      </c>
      <c r="L624" s="1">
        <v>2</v>
      </c>
      <c r="M624" s="6">
        <v>3</v>
      </c>
      <c r="N624" s="6" t="str">
        <f>IF(OR(Table3[[#This Row],[weekday]]=0,Table3[[#This Row],[weekday]]=6),"Weekend","Weekday")</f>
        <v>Weekend</v>
      </c>
    </row>
    <row r="625" spans="1:14" ht="15" thickBot="1" x14ac:dyDescent="0.35">
      <c r="A625" s="10">
        <v>624</v>
      </c>
      <c r="B625" s="11">
        <v>40572</v>
      </c>
      <c r="C625" s="12">
        <v>6</v>
      </c>
      <c r="D625" s="13" t="b">
        <v>0</v>
      </c>
      <c r="E625" s="12">
        <v>6</v>
      </c>
      <c r="F625" s="12">
        <v>1</v>
      </c>
      <c r="G625" s="1">
        <v>0.16</v>
      </c>
      <c r="H625" s="25">
        <v>0.18179999999999999</v>
      </c>
      <c r="I625" s="1">
        <v>0.64</v>
      </c>
      <c r="J625" s="1">
        <v>0.1343</v>
      </c>
      <c r="K625" s="1">
        <v>0</v>
      </c>
      <c r="L625" s="1">
        <v>2</v>
      </c>
      <c r="M625" s="6">
        <v>2</v>
      </c>
      <c r="N625" s="6" t="str">
        <f>IF(OR(Table3[[#This Row],[weekday]]=0,Table3[[#This Row],[weekday]]=6),"Weekend","Weekday")</f>
        <v>Weekend</v>
      </c>
    </row>
    <row r="626" spans="1:14" ht="15" thickBot="1" x14ac:dyDescent="0.35">
      <c r="A626" s="10">
        <v>625</v>
      </c>
      <c r="B626" s="11">
        <v>40572</v>
      </c>
      <c r="C626" s="12">
        <v>7</v>
      </c>
      <c r="D626" s="13" t="b">
        <v>0</v>
      </c>
      <c r="E626" s="12">
        <v>6</v>
      </c>
      <c r="F626" s="12">
        <v>1</v>
      </c>
      <c r="G626" s="1">
        <v>0.16</v>
      </c>
      <c r="H626" s="25">
        <v>0.18179999999999999</v>
      </c>
      <c r="I626" s="1">
        <v>0.59</v>
      </c>
      <c r="J626" s="1">
        <v>0.1045</v>
      </c>
      <c r="K626" s="1">
        <v>1</v>
      </c>
      <c r="L626" s="1">
        <v>4</v>
      </c>
      <c r="M626" s="6">
        <v>5</v>
      </c>
      <c r="N626" s="6" t="str">
        <f>IF(OR(Table3[[#This Row],[weekday]]=0,Table3[[#This Row],[weekday]]=6),"Weekend","Weekday")</f>
        <v>Weekend</v>
      </c>
    </row>
    <row r="627" spans="1:14" ht="15" thickBot="1" x14ac:dyDescent="0.35">
      <c r="A627" s="10">
        <v>626</v>
      </c>
      <c r="B627" s="11">
        <v>40572</v>
      </c>
      <c r="C627" s="12">
        <v>8</v>
      </c>
      <c r="D627" s="13" t="b">
        <v>0</v>
      </c>
      <c r="E627" s="12">
        <v>6</v>
      </c>
      <c r="F627" s="12">
        <v>1</v>
      </c>
      <c r="G627" s="1">
        <v>0.18</v>
      </c>
      <c r="H627" s="25">
        <v>0.19700000000000001</v>
      </c>
      <c r="I627" s="1">
        <v>0.55000000000000004</v>
      </c>
      <c r="J627" s="1">
        <v>0.16420000000000001</v>
      </c>
      <c r="K627" s="1">
        <v>3</v>
      </c>
      <c r="L627" s="1">
        <v>31</v>
      </c>
      <c r="M627" s="6">
        <v>34</v>
      </c>
      <c r="N627" s="6" t="str">
        <f>IF(OR(Table3[[#This Row],[weekday]]=0,Table3[[#This Row],[weekday]]=6),"Weekend","Weekday")</f>
        <v>Weekend</v>
      </c>
    </row>
    <row r="628" spans="1:14" ht="15" thickBot="1" x14ac:dyDescent="0.35">
      <c r="A628" s="10">
        <v>627</v>
      </c>
      <c r="B628" s="11">
        <v>40572</v>
      </c>
      <c r="C628" s="12">
        <v>9</v>
      </c>
      <c r="D628" s="13" t="b">
        <v>0</v>
      </c>
      <c r="E628" s="12">
        <v>6</v>
      </c>
      <c r="F628" s="12">
        <v>1</v>
      </c>
      <c r="G628" s="1">
        <v>0.18</v>
      </c>
      <c r="H628" s="25">
        <v>0.21210000000000001</v>
      </c>
      <c r="I628" s="1">
        <v>0.59</v>
      </c>
      <c r="J628" s="1">
        <v>8.9599999999999999E-2</v>
      </c>
      <c r="K628" s="1">
        <v>0</v>
      </c>
      <c r="L628" s="1">
        <v>34</v>
      </c>
      <c r="M628" s="6">
        <v>34</v>
      </c>
      <c r="N628" s="6" t="str">
        <f>IF(OR(Table3[[#This Row],[weekday]]=0,Table3[[#This Row],[weekday]]=6),"Weekend","Weekday")</f>
        <v>Weekend</v>
      </c>
    </row>
    <row r="629" spans="1:14" ht="15" thickBot="1" x14ac:dyDescent="0.35">
      <c r="A629" s="10">
        <v>628</v>
      </c>
      <c r="B629" s="11">
        <v>40572</v>
      </c>
      <c r="C629" s="12">
        <v>10</v>
      </c>
      <c r="D629" s="13" t="b">
        <v>0</v>
      </c>
      <c r="E629" s="12">
        <v>6</v>
      </c>
      <c r="F629" s="12">
        <v>2</v>
      </c>
      <c r="G629" s="1">
        <v>0.18</v>
      </c>
      <c r="H629" s="25">
        <v>0.21210000000000001</v>
      </c>
      <c r="I629" s="1">
        <v>0.64</v>
      </c>
      <c r="J629" s="1">
        <v>0.1045</v>
      </c>
      <c r="K629" s="1">
        <v>4</v>
      </c>
      <c r="L629" s="1">
        <v>51</v>
      </c>
      <c r="M629" s="6">
        <v>55</v>
      </c>
      <c r="N629" s="6" t="str">
        <f>IF(OR(Table3[[#This Row],[weekday]]=0,Table3[[#This Row],[weekday]]=6),"Weekend","Weekday")</f>
        <v>Weekend</v>
      </c>
    </row>
    <row r="630" spans="1:14" ht="15" thickBot="1" x14ac:dyDescent="0.35">
      <c r="A630" s="10">
        <v>629</v>
      </c>
      <c r="B630" s="11">
        <v>40572</v>
      </c>
      <c r="C630" s="12">
        <v>11</v>
      </c>
      <c r="D630" s="13" t="b">
        <v>0</v>
      </c>
      <c r="E630" s="12">
        <v>6</v>
      </c>
      <c r="F630" s="12">
        <v>2</v>
      </c>
      <c r="G630" s="1">
        <v>0.18</v>
      </c>
      <c r="H630" s="25">
        <v>0.19700000000000001</v>
      </c>
      <c r="I630" s="1">
        <v>0.64</v>
      </c>
      <c r="J630" s="1">
        <v>0.1343</v>
      </c>
      <c r="K630" s="1">
        <v>4</v>
      </c>
      <c r="L630" s="1">
        <v>60</v>
      </c>
      <c r="M630" s="6">
        <v>64</v>
      </c>
      <c r="N630" s="6" t="str">
        <f>IF(OR(Table3[[#This Row],[weekday]]=0,Table3[[#This Row],[weekday]]=6),"Weekend","Weekday")</f>
        <v>Weekend</v>
      </c>
    </row>
    <row r="631" spans="1:14" ht="15" thickBot="1" x14ac:dyDescent="0.35">
      <c r="A631" s="10">
        <v>630</v>
      </c>
      <c r="B631" s="11">
        <v>40572</v>
      </c>
      <c r="C631" s="12">
        <v>12</v>
      </c>
      <c r="D631" s="13" t="b">
        <v>0</v>
      </c>
      <c r="E631" s="12">
        <v>6</v>
      </c>
      <c r="F631" s="12">
        <v>2</v>
      </c>
      <c r="G631" s="1">
        <v>0.2</v>
      </c>
      <c r="H631" s="25">
        <v>0.19700000000000001</v>
      </c>
      <c r="I631" s="1">
        <v>0.59</v>
      </c>
      <c r="J631" s="1">
        <v>0.19400000000000001</v>
      </c>
      <c r="K631" s="1">
        <v>12</v>
      </c>
      <c r="L631" s="1">
        <v>66</v>
      </c>
      <c r="M631" s="6">
        <v>78</v>
      </c>
      <c r="N631" s="6" t="str">
        <f>IF(OR(Table3[[#This Row],[weekday]]=0,Table3[[#This Row],[weekday]]=6),"Weekend","Weekday")</f>
        <v>Weekend</v>
      </c>
    </row>
    <row r="632" spans="1:14" ht="15" thickBot="1" x14ac:dyDescent="0.35">
      <c r="A632" s="10">
        <v>631</v>
      </c>
      <c r="B632" s="11">
        <v>40572</v>
      </c>
      <c r="C632" s="12">
        <v>13</v>
      </c>
      <c r="D632" s="13" t="b">
        <v>0</v>
      </c>
      <c r="E632" s="12">
        <v>6</v>
      </c>
      <c r="F632" s="12">
        <v>2</v>
      </c>
      <c r="G632" s="1">
        <v>0.22</v>
      </c>
      <c r="H632" s="25">
        <v>0.2273</v>
      </c>
      <c r="I632" s="1">
        <v>0.55000000000000004</v>
      </c>
      <c r="J632" s="1">
        <v>0.16420000000000001</v>
      </c>
      <c r="K632" s="1">
        <v>9</v>
      </c>
      <c r="L632" s="1">
        <v>56</v>
      </c>
      <c r="M632" s="6">
        <v>65</v>
      </c>
      <c r="N632" s="6" t="str">
        <f>IF(OR(Table3[[#This Row],[weekday]]=0,Table3[[#This Row],[weekday]]=6),"Weekend","Weekday")</f>
        <v>Weekend</v>
      </c>
    </row>
    <row r="633" spans="1:14" ht="15" thickBot="1" x14ac:dyDescent="0.35">
      <c r="A633" s="10">
        <v>632</v>
      </c>
      <c r="B633" s="11">
        <v>40572</v>
      </c>
      <c r="C633" s="12">
        <v>14</v>
      </c>
      <c r="D633" s="13" t="b">
        <v>0</v>
      </c>
      <c r="E633" s="12">
        <v>6</v>
      </c>
      <c r="F633" s="12">
        <v>2</v>
      </c>
      <c r="G633" s="1">
        <v>0.22</v>
      </c>
      <c r="H633" s="25">
        <v>0.2273</v>
      </c>
      <c r="I633" s="1">
        <v>0.6</v>
      </c>
      <c r="J633" s="1">
        <v>0.1343</v>
      </c>
      <c r="K633" s="1">
        <v>10</v>
      </c>
      <c r="L633" s="1">
        <v>89</v>
      </c>
      <c r="M633" s="6">
        <v>99</v>
      </c>
      <c r="N633" s="6" t="str">
        <f>IF(OR(Table3[[#This Row],[weekday]]=0,Table3[[#This Row],[weekday]]=6),"Weekend","Weekday")</f>
        <v>Weekend</v>
      </c>
    </row>
    <row r="634" spans="1:14" ht="15" thickBot="1" x14ac:dyDescent="0.35">
      <c r="A634" s="10">
        <v>633</v>
      </c>
      <c r="B634" s="11">
        <v>40572</v>
      </c>
      <c r="C634" s="12">
        <v>15</v>
      </c>
      <c r="D634" s="13" t="b">
        <v>0</v>
      </c>
      <c r="E634" s="12">
        <v>6</v>
      </c>
      <c r="F634" s="12">
        <v>1</v>
      </c>
      <c r="G634" s="1">
        <v>0.22</v>
      </c>
      <c r="H634" s="25">
        <v>0.21210000000000001</v>
      </c>
      <c r="I634" s="1">
        <v>0.69</v>
      </c>
      <c r="J634" s="1">
        <v>0.25369999999999998</v>
      </c>
      <c r="K634" s="1">
        <v>22</v>
      </c>
      <c r="L634" s="1">
        <v>98</v>
      </c>
      <c r="M634" s="6">
        <v>120</v>
      </c>
      <c r="N634" s="6" t="str">
        <f>IF(OR(Table3[[#This Row],[weekday]]=0,Table3[[#This Row],[weekday]]=6),"Weekend","Weekday")</f>
        <v>Weekend</v>
      </c>
    </row>
    <row r="635" spans="1:14" ht="15" thickBot="1" x14ac:dyDescent="0.35">
      <c r="A635" s="10">
        <v>634</v>
      </c>
      <c r="B635" s="11">
        <v>40572</v>
      </c>
      <c r="C635" s="12">
        <v>16</v>
      </c>
      <c r="D635" s="13" t="b">
        <v>0</v>
      </c>
      <c r="E635" s="12">
        <v>6</v>
      </c>
      <c r="F635" s="12">
        <v>1</v>
      </c>
      <c r="G635" s="1">
        <v>0.24</v>
      </c>
      <c r="H635" s="25">
        <v>0.2424</v>
      </c>
      <c r="I635" s="1">
        <v>0.6</v>
      </c>
      <c r="J635" s="1">
        <v>0.16420000000000001</v>
      </c>
      <c r="K635" s="1">
        <v>19</v>
      </c>
      <c r="L635" s="1">
        <v>88</v>
      </c>
      <c r="M635" s="6">
        <v>107</v>
      </c>
      <c r="N635" s="6" t="str">
        <f>IF(OR(Table3[[#This Row],[weekday]]=0,Table3[[#This Row],[weekday]]=6),"Weekend","Weekday")</f>
        <v>Weekend</v>
      </c>
    </row>
    <row r="636" spans="1:14" ht="15" thickBot="1" x14ac:dyDescent="0.35">
      <c r="A636" s="10">
        <v>635</v>
      </c>
      <c r="B636" s="11">
        <v>40572</v>
      </c>
      <c r="C636" s="12">
        <v>17</v>
      </c>
      <c r="D636" s="13" t="b">
        <v>0</v>
      </c>
      <c r="E636" s="12">
        <v>6</v>
      </c>
      <c r="F636" s="12">
        <v>1</v>
      </c>
      <c r="G636" s="1">
        <v>0.24</v>
      </c>
      <c r="H636" s="25">
        <v>0.28789999999999999</v>
      </c>
      <c r="I636" s="1">
        <v>0.6</v>
      </c>
      <c r="J636" s="1">
        <v>0</v>
      </c>
      <c r="K636" s="1">
        <v>9</v>
      </c>
      <c r="L636" s="1">
        <v>82</v>
      </c>
      <c r="M636" s="6">
        <v>91</v>
      </c>
      <c r="N636" s="6" t="str">
        <f>IF(OR(Table3[[#This Row],[weekday]]=0,Table3[[#This Row],[weekday]]=6),"Weekend","Weekday")</f>
        <v>Weekend</v>
      </c>
    </row>
    <row r="637" spans="1:14" ht="15" thickBot="1" x14ac:dyDescent="0.35">
      <c r="A637" s="10">
        <v>636</v>
      </c>
      <c r="B637" s="11">
        <v>40572</v>
      </c>
      <c r="C637" s="12">
        <v>18</v>
      </c>
      <c r="D637" s="13" t="b">
        <v>0</v>
      </c>
      <c r="E637" s="12">
        <v>6</v>
      </c>
      <c r="F637" s="12">
        <v>1</v>
      </c>
      <c r="G637" s="1">
        <v>0.22</v>
      </c>
      <c r="H637" s="25">
        <v>0.2273</v>
      </c>
      <c r="I637" s="1">
        <v>0.69</v>
      </c>
      <c r="J637" s="1">
        <v>0.1343</v>
      </c>
      <c r="K637" s="1">
        <v>9</v>
      </c>
      <c r="L637" s="1">
        <v>59</v>
      </c>
      <c r="M637" s="6">
        <v>68</v>
      </c>
      <c r="N637" s="6" t="str">
        <f>IF(OR(Table3[[#This Row],[weekday]]=0,Table3[[#This Row],[weekday]]=6),"Weekend","Weekday")</f>
        <v>Weekend</v>
      </c>
    </row>
    <row r="638" spans="1:14" ht="15" thickBot="1" x14ac:dyDescent="0.35">
      <c r="A638" s="10">
        <v>637</v>
      </c>
      <c r="B638" s="11">
        <v>40572</v>
      </c>
      <c r="C638" s="12">
        <v>19</v>
      </c>
      <c r="D638" s="13" t="b">
        <v>0</v>
      </c>
      <c r="E638" s="12">
        <v>6</v>
      </c>
      <c r="F638" s="12">
        <v>2</v>
      </c>
      <c r="G638" s="1">
        <v>0.22</v>
      </c>
      <c r="H638" s="25">
        <v>0.21210000000000001</v>
      </c>
      <c r="I638" s="1">
        <v>0.69</v>
      </c>
      <c r="J638" s="1">
        <v>0.25369999999999998</v>
      </c>
      <c r="K638" s="1">
        <v>6</v>
      </c>
      <c r="L638" s="1">
        <v>52</v>
      </c>
      <c r="M638" s="6">
        <v>58</v>
      </c>
      <c r="N638" s="6" t="str">
        <f>IF(OR(Table3[[#This Row],[weekday]]=0,Table3[[#This Row],[weekday]]=6),"Weekend","Weekday")</f>
        <v>Weekend</v>
      </c>
    </row>
    <row r="639" spans="1:14" ht="15" thickBot="1" x14ac:dyDescent="0.35">
      <c r="A639" s="10">
        <v>638</v>
      </c>
      <c r="B639" s="11">
        <v>40572</v>
      </c>
      <c r="C639" s="12">
        <v>20</v>
      </c>
      <c r="D639" s="13" t="b">
        <v>0</v>
      </c>
      <c r="E639" s="12">
        <v>6</v>
      </c>
      <c r="F639" s="12">
        <v>1</v>
      </c>
      <c r="G639" s="1">
        <v>0.18</v>
      </c>
      <c r="H639" s="25">
        <v>0.21210000000000001</v>
      </c>
      <c r="I639" s="1">
        <v>0.74</v>
      </c>
      <c r="J639" s="1">
        <v>8.9599999999999999E-2</v>
      </c>
      <c r="K639" s="1">
        <v>1</v>
      </c>
      <c r="L639" s="1">
        <v>42</v>
      </c>
      <c r="M639" s="6">
        <v>43</v>
      </c>
      <c r="N639" s="6" t="str">
        <f>IF(OR(Table3[[#This Row],[weekday]]=0,Table3[[#This Row],[weekday]]=6),"Weekend","Weekday")</f>
        <v>Weekend</v>
      </c>
    </row>
    <row r="640" spans="1:14" ht="15" thickBot="1" x14ac:dyDescent="0.35">
      <c r="A640" s="10">
        <v>639</v>
      </c>
      <c r="B640" s="11">
        <v>40572</v>
      </c>
      <c r="C640" s="12">
        <v>21</v>
      </c>
      <c r="D640" s="13" t="b">
        <v>0</v>
      </c>
      <c r="E640" s="12">
        <v>6</v>
      </c>
      <c r="F640" s="12">
        <v>1</v>
      </c>
      <c r="G640" s="1">
        <v>0.18</v>
      </c>
      <c r="H640" s="25">
        <v>0.21210000000000001</v>
      </c>
      <c r="I640" s="1">
        <v>0.74</v>
      </c>
      <c r="J640" s="1">
        <v>8.9599999999999999E-2</v>
      </c>
      <c r="K640" s="1">
        <v>1</v>
      </c>
      <c r="L640" s="1">
        <v>35</v>
      </c>
      <c r="M640" s="6">
        <v>36</v>
      </c>
      <c r="N640" s="6" t="str">
        <f>IF(OR(Table3[[#This Row],[weekday]]=0,Table3[[#This Row],[weekday]]=6),"Weekend","Weekday")</f>
        <v>Weekend</v>
      </c>
    </row>
    <row r="641" spans="1:14" ht="15" thickBot="1" x14ac:dyDescent="0.35">
      <c r="A641" s="10">
        <v>640</v>
      </c>
      <c r="B641" s="11">
        <v>40572</v>
      </c>
      <c r="C641" s="12">
        <v>22</v>
      </c>
      <c r="D641" s="13" t="b">
        <v>0</v>
      </c>
      <c r="E641" s="12">
        <v>6</v>
      </c>
      <c r="F641" s="12">
        <v>1</v>
      </c>
      <c r="G641" s="1">
        <v>0.16</v>
      </c>
      <c r="H641" s="25">
        <v>0.19700000000000001</v>
      </c>
      <c r="I641" s="1">
        <v>0.8</v>
      </c>
      <c r="J641" s="1">
        <v>8.9599999999999999E-2</v>
      </c>
      <c r="K641" s="1">
        <v>4</v>
      </c>
      <c r="L641" s="1">
        <v>28</v>
      </c>
      <c r="M641" s="6">
        <v>32</v>
      </c>
      <c r="N641" s="6" t="str">
        <f>IF(OR(Table3[[#This Row],[weekday]]=0,Table3[[#This Row],[weekday]]=6),"Weekend","Weekday")</f>
        <v>Weekend</v>
      </c>
    </row>
    <row r="642" spans="1:14" ht="15" thickBot="1" x14ac:dyDescent="0.35">
      <c r="A642" s="10">
        <v>641</v>
      </c>
      <c r="B642" s="11">
        <v>40572</v>
      </c>
      <c r="C642" s="12">
        <v>23</v>
      </c>
      <c r="D642" s="13" t="b">
        <v>0</v>
      </c>
      <c r="E642" s="12">
        <v>6</v>
      </c>
      <c r="F642" s="12">
        <v>1</v>
      </c>
      <c r="G642" s="1">
        <v>0.16</v>
      </c>
      <c r="H642" s="25">
        <v>0.19700000000000001</v>
      </c>
      <c r="I642" s="1">
        <v>0.8</v>
      </c>
      <c r="J642" s="1">
        <v>8.9599999999999999E-2</v>
      </c>
      <c r="K642" s="1">
        <v>3</v>
      </c>
      <c r="L642" s="1">
        <v>30</v>
      </c>
      <c r="M642" s="6">
        <v>33</v>
      </c>
      <c r="N642" s="6" t="str">
        <f>IF(OR(Table3[[#This Row],[weekday]]=0,Table3[[#This Row],[weekday]]=6),"Weekend","Weekday")</f>
        <v>Weekend</v>
      </c>
    </row>
    <row r="643" spans="1:14" ht="15" thickBot="1" x14ac:dyDescent="0.35">
      <c r="A643" s="10">
        <v>642</v>
      </c>
      <c r="B643" s="11">
        <v>40573</v>
      </c>
      <c r="C643" s="12">
        <v>0</v>
      </c>
      <c r="D643" s="13" t="b">
        <v>0</v>
      </c>
      <c r="E643" s="12">
        <v>0</v>
      </c>
      <c r="F643" s="12">
        <v>1</v>
      </c>
      <c r="G643" s="1">
        <v>0.16</v>
      </c>
      <c r="H643" s="25">
        <v>0.18179999999999999</v>
      </c>
      <c r="I643" s="1">
        <v>0.8</v>
      </c>
      <c r="J643" s="1">
        <v>0.1045</v>
      </c>
      <c r="K643" s="1">
        <v>0</v>
      </c>
      <c r="L643" s="1">
        <v>33</v>
      </c>
      <c r="M643" s="6">
        <v>33</v>
      </c>
      <c r="N643" s="6" t="str">
        <f>IF(OR(Table3[[#This Row],[weekday]]=0,Table3[[#This Row],[weekday]]=6),"Weekend","Weekday")</f>
        <v>Weekend</v>
      </c>
    </row>
    <row r="644" spans="1:14" ht="15" thickBot="1" x14ac:dyDescent="0.35">
      <c r="A644" s="10">
        <v>643</v>
      </c>
      <c r="B644" s="11">
        <v>40573</v>
      </c>
      <c r="C644" s="12">
        <v>1</v>
      </c>
      <c r="D644" s="13" t="b">
        <v>0</v>
      </c>
      <c r="E644" s="12">
        <v>0</v>
      </c>
      <c r="F644" s="12">
        <v>1</v>
      </c>
      <c r="G644" s="1">
        <v>0.14000000000000001</v>
      </c>
      <c r="H644" s="25">
        <v>0.21210000000000001</v>
      </c>
      <c r="I644" s="1">
        <v>0.8</v>
      </c>
      <c r="J644" s="1">
        <v>0</v>
      </c>
      <c r="K644" s="1">
        <v>7</v>
      </c>
      <c r="L644" s="1">
        <v>22</v>
      </c>
      <c r="M644" s="6">
        <v>29</v>
      </c>
      <c r="N644" s="6" t="str">
        <f>IF(OR(Table3[[#This Row],[weekday]]=0,Table3[[#This Row],[weekday]]=6),"Weekend","Weekday")</f>
        <v>Weekend</v>
      </c>
    </row>
    <row r="645" spans="1:14" ht="15" thickBot="1" x14ac:dyDescent="0.35">
      <c r="A645" s="10">
        <v>644</v>
      </c>
      <c r="B645" s="11">
        <v>40573</v>
      </c>
      <c r="C645" s="12">
        <v>2</v>
      </c>
      <c r="D645" s="13" t="b">
        <v>0</v>
      </c>
      <c r="E645" s="12">
        <v>0</v>
      </c>
      <c r="F645" s="12">
        <v>1</v>
      </c>
      <c r="G645" s="1">
        <v>0.16</v>
      </c>
      <c r="H645" s="25">
        <v>0.2273</v>
      </c>
      <c r="I645" s="1">
        <v>0.8</v>
      </c>
      <c r="J645" s="1">
        <v>0</v>
      </c>
      <c r="K645" s="1">
        <v>1</v>
      </c>
      <c r="L645" s="1">
        <v>10</v>
      </c>
      <c r="M645" s="6">
        <v>11</v>
      </c>
      <c r="N645" s="6" t="str">
        <f>IF(OR(Table3[[#This Row],[weekday]]=0,Table3[[#This Row],[weekday]]=6),"Weekend","Weekday")</f>
        <v>Weekend</v>
      </c>
    </row>
    <row r="646" spans="1:14" ht="15" thickBot="1" x14ac:dyDescent="0.35">
      <c r="A646" s="10">
        <v>645</v>
      </c>
      <c r="B646" s="11">
        <v>40573</v>
      </c>
      <c r="C646" s="12">
        <v>3</v>
      </c>
      <c r="D646" s="13" t="b">
        <v>0</v>
      </c>
      <c r="E646" s="12">
        <v>0</v>
      </c>
      <c r="F646" s="12">
        <v>1</v>
      </c>
      <c r="G646" s="1">
        <v>0.14000000000000001</v>
      </c>
      <c r="H646" s="25">
        <v>0.21210000000000001</v>
      </c>
      <c r="I646" s="1">
        <v>0.93</v>
      </c>
      <c r="J646" s="1">
        <v>0</v>
      </c>
      <c r="K646" s="1">
        <v>1</v>
      </c>
      <c r="L646" s="1">
        <v>7</v>
      </c>
      <c r="M646" s="6">
        <v>8</v>
      </c>
      <c r="N646" s="6" t="str">
        <f>IF(OR(Table3[[#This Row],[weekday]]=0,Table3[[#This Row],[weekday]]=6),"Weekend","Weekday")</f>
        <v>Weekend</v>
      </c>
    </row>
    <row r="647" spans="1:14" ht="15" thickBot="1" x14ac:dyDescent="0.35">
      <c r="A647" s="10">
        <v>646</v>
      </c>
      <c r="B647" s="11">
        <v>40573</v>
      </c>
      <c r="C647" s="12">
        <v>4</v>
      </c>
      <c r="D647" s="13" t="b">
        <v>0</v>
      </c>
      <c r="E647" s="12">
        <v>0</v>
      </c>
      <c r="F647" s="12">
        <v>1</v>
      </c>
      <c r="G647" s="1">
        <v>0.14000000000000001</v>
      </c>
      <c r="H647" s="25">
        <v>0.21210000000000001</v>
      </c>
      <c r="I647" s="1">
        <v>0.93</v>
      </c>
      <c r="J647" s="1">
        <v>0</v>
      </c>
      <c r="K647" s="1">
        <v>0</v>
      </c>
      <c r="L647" s="1">
        <v>1</v>
      </c>
      <c r="M647" s="6">
        <v>1</v>
      </c>
      <c r="N647" s="6" t="str">
        <f>IF(OR(Table3[[#This Row],[weekday]]=0,Table3[[#This Row],[weekday]]=6),"Weekend","Weekday")</f>
        <v>Weekend</v>
      </c>
    </row>
    <row r="648" spans="1:14" ht="15" thickBot="1" x14ac:dyDescent="0.35">
      <c r="A648" s="10">
        <v>647</v>
      </c>
      <c r="B648" s="11">
        <v>40573</v>
      </c>
      <c r="C648" s="12">
        <v>5</v>
      </c>
      <c r="D648" s="13" t="b">
        <v>0</v>
      </c>
      <c r="E648" s="12">
        <v>0</v>
      </c>
      <c r="F648" s="12">
        <v>1</v>
      </c>
      <c r="G648" s="1">
        <v>0.14000000000000001</v>
      </c>
      <c r="H648" s="25">
        <v>0.21210000000000001</v>
      </c>
      <c r="I648" s="1">
        <v>0.86</v>
      </c>
      <c r="J648" s="1">
        <v>0</v>
      </c>
      <c r="K648" s="1">
        <v>0</v>
      </c>
      <c r="L648" s="1">
        <v>3</v>
      </c>
      <c r="M648" s="6">
        <v>3</v>
      </c>
      <c r="N648" s="6" t="str">
        <f>IF(OR(Table3[[#This Row],[weekday]]=0,Table3[[#This Row],[weekday]]=6),"Weekend","Weekday")</f>
        <v>Weekend</v>
      </c>
    </row>
    <row r="649" spans="1:14" ht="15" thickBot="1" x14ac:dyDescent="0.35">
      <c r="A649" s="10">
        <v>648</v>
      </c>
      <c r="B649" s="11">
        <v>40573</v>
      </c>
      <c r="C649" s="12">
        <v>7</v>
      </c>
      <c r="D649" s="13" t="b">
        <v>0</v>
      </c>
      <c r="E649" s="12">
        <v>0</v>
      </c>
      <c r="F649" s="12">
        <v>1</v>
      </c>
      <c r="G649" s="1">
        <v>0.14000000000000001</v>
      </c>
      <c r="H649" s="25">
        <v>0.21210000000000001</v>
      </c>
      <c r="I649" s="1">
        <v>0.86</v>
      </c>
      <c r="J649" s="1">
        <v>0</v>
      </c>
      <c r="K649" s="1">
        <v>0</v>
      </c>
      <c r="L649" s="1">
        <v>3</v>
      </c>
      <c r="M649" s="6">
        <v>3</v>
      </c>
      <c r="N649" s="6" t="str">
        <f>IF(OR(Table3[[#This Row],[weekday]]=0,Table3[[#This Row],[weekday]]=6),"Weekend","Weekday")</f>
        <v>Weekend</v>
      </c>
    </row>
    <row r="650" spans="1:14" ht="15" thickBot="1" x14ac:dyDescent="0.35">
      <c r="A650" s="10">
        <v>649</v>
      </c>
      <c r="B650" s="11">
        <v>40573</v>
      </c>
      <c r="C650" s="12">
        <v>8</v>
      </c>
      <c r="D650" s="13" t="b">
        <v>0</v>
      </c>
      <c r="E650" s="12">
        <v>0</v>
      </c>
      <c r="F650" s="12">
        <v>2</v>
      </c>
      <c r="G650" s="1">
        <v>0.14000000000000001</v>
      </c>
      <c r="H650" s="25">
        <v>0.21210000000000001</v>
      </c>
      <c r="I650" s="1">
        <v>0.86</v>
      </c>
      <c r="J650" s="1">
        <v>0</v>
      </c>
      <c r="K650" s="1">
        <v>1</v>
      </c>
      <c r="L650" s="1">
        <v>11</v>
      </c>
      <c r="M650" s="6">
        <v>12</v>
      </c>
      <c r="N650" s="6" t="str">
        <f>IF(OR(Table3[[#This Row],[weekday]]=0,Table3[[#This Row],[weekday]]=6),"Weekend","Weekday")</f>
        <v>Weekend</v>
      </c>
    </row>
    <row r="651" spans="1:14" ht="15" thickBot="1" x14ac:dyDescent="0.35">
      <c r="A651" s="10">
        <v>650</v>
      </c>
      <c r="B651" s="11">
        <v>40573</v>
      </c>
      <c r="C651" s="12">
        <v>9</v>
      </c>
      <c r="D651" s="13" t="b">
        <v>0</v>
      </c>
      <c r="E651" s="12">
        <v>0</v>
      </c>
      <c r="F651" s="12">
        <v>2</v>
      </c>
      <c r="G651" s="1">
        <v>0.16</v>
      </c>
      <c r="H651" s="25">
        <v>0.2273</v>
      </c>
      <c r="I651" s="1">
        <v>0.8</v>
      </c>
      <c r="J651" s="1">
        <v>0</v>
      </c>
      <c r="K651" s="1">
        <v>4</v>
      </c>
      <c r="L651" s="1">
        <v>34</v>
      </c>
      <c r="M651" s="6">
        <v>38</v>
      </c>
      <c r="N651" s="6" t="str">
        <f>IF(OR(Table3[[#This Row],[weekday]]=0,Table3[[#This Row],[weekday]]=6),"Weekend","Weekday")</f>
        <v>Weekend</v>
      </c>
    </row>
    <row r="652" spans="1:14" ht="15" thickBot="1" x14ac:dyDescent="0.35">
      <c r="A652" s="10">
        <v>651</v>
      </c>
      <c r="B652" s="11">
        <v>40573</v>
      </c>
      <c r="C652" s="12">
        <v>10</v>
      </c>
      <c r="D652" s="13" t="b">
        <v>0</v>
      </c>
      <c r="E652" s="12">
        <v>0</v>
      </c>
      <c r="F652" s="12">
        <v>2</v>
      </c>
      <c r="G652" s="1">
        <v>0.18</v>
      </c>
      <c r="H652" s="25">
        <v>0.2424</v>
      </c>
      <c r="I652" s="1">
        <v>0.8</v>
      </c>
      <c r="J652" s="1">
        <v>0</v>
      </c>
      <c r="K652" s="1">
        <v>7</v>
      </c>
      <c r="L652" s="1">
        <v>57</v>
      </c>
      <c r="M652" s="6">
        <v>64</v>
      </c>
      <c r="N652" s="6" t="str">
        <f>IF(OR(Table3[[#This Row],[weekday]]=0,Table3[[#This Row],[weekday]]=6),"Weekend","Weekday")</f>
        <v>Weekend</v>
      </c>
    </row>
    <row r="653" spans="1:14" ht="15" thickBot="1" x14ac:dyDescent="0.35">
      <c r="A653" s="10">
        <v>652</v>
      </c>
      <c r="B653" s="11">
        <v>40573</v>
      </c>
      <c r="C653" s="12">
        <v>11</v>
      </c>
      <c r="D653" s="13" t="b">
        <v>0</v>
      </c>
      <c r="E653" s="12">
        <v>0</v>
      </c>
      <c r="F653" s="12">
        <v>1</v>
      </c>
      <c r="G653" s="1">
        <v>0.22</v>
      </c>
      <c r="H653" s="25">
        <v>0.2727</v>
      </c>
      <c r="I653" s="1">
        <v>0.75</v>
      </c>
      <c r="J653" s="1">
        <v>0</v>
      </c>
      <c r="K653" s="1">
        <v>9</v>
      </c>
      <c r="L653" s="1">
        <v>50</v>
      </c>
      <c r="M653" s="6">
        <v>59</v>
      </c>
      <c r="N653" s="6" t="str">
        <f>IF(OR(Table3[[#This Row],[weekday]]=0,Table3[[#This Row],[weekday]]=6),"Weekend","Weekday")</f>
        <v>Weekend</v>
      </c>
    </row>
    <row r="654" spans="1:14" ht="15" thickBot="1" x14ac:dyDescent="0.35">
      <c r="A654" s="10">
        <v>653</v>
      </c>
      <c r="B654" s="11">
        <v>40573</v>
      </c>
      <c r="C654" s="12">
        <v>12</v>
      </c>
      <c r="D654" s="13" t="b">
        <v>0</v>
      </c>
      <c r="E654" s="12">
        <v>0</v>
      </c>
      <c r="F654" s="12">
        <v>1</v>
      </c>
      <c r="G654" s="1">
        <v>0.3</v>
      </c>
      <c r="H654" s="25">
        <v>0.31819999999999998</v>
      </c>
      <c r="I654" s="1">
        <v>0.52</v>
      </c>
      <c r="J654" s="1">
        <v>0.1045</v>
      </c>
      <c r="K654" s="1">
        <v>10</v>
      </c>
      <c r="L654" s="1">
        <v>87</v>
      </c>
      <c r="M654" s="6">
        <v>97</v>
      </c>
      <c r="N654" s="6" t="str">
        <f>IF(OR(Table3[[#This Row],[weekday]]=0,Table3[[#This Row],[weekday]]=6),"Weekend","Weekday")</f>
        <v>Weekend</v>
      </c>
    </row>
    <row r="655" spans="1:14" ht="15" thickBot="1" x14ac:dyDescent="0.35">
      <c r="A655" s="10">
        <v>654</v>
      </c>
      <c r="B655" s="11">
        <v>40573</v>
      </c>
      <c r="C655" s="12">
        <v>13</v>
      </c>
      <c r="D655" s="13" t="b">
        <v>0</v>
      </c>
      <c r="E655" s="12">
        <v>0</v>
      </c>
      <c r="F655" s="12">
        <v>1</v>
      </c>
      <c r="G655" s="1">
        <v>0.28000000000000003</v>
      </c>
      <c r="H655" s="25">
        <v>0.28789999999999999</v>
      </c>
      <c r="I655" s="1">
        <v>0.61</v>
      </c>
      <c r="J655" s="1">
        <v>0.1045</v>
      </c>
      <c r="K655" s="1">
        <v>13</v>
      </c>
      <c r="L655" s="1">
        <v>71</v>
      </c>
      <c r="M655" s="6">
        <v>84</v>
      </c>
      <c r="N655" s="6" t="str">
        <f>IF(OR(Table3[[#This Row],[weekday]]=0,Table3[[#This Row],[weekday]]=6),"Weekend","Weekday")</f>
        <v>Weekend</v>
      </c>
    </row>
    <row r="656" spans="1:14" ht="15" thickBot="1" x14ac:dyDescent="0.35">
      <c r="A656" s="10">
        <v>655</v>
      </c>
      <c r="B656" s="11">
        <v>40573</v>
      </c>
      <c r="C656" s="12">
        <v>14</v>
      </c>
      <c r="D656" s="13" t="b">
        <v>0</v>
      </c>
      <c r="E656" s="12">
        <v>0</v>
      </c>
      <c r="F656" s="12">
        <v>1</v>
      </c>
      <c r="G656" s="1">
        <v>0.28000000000000003</v>
      </c>
      <c r="H656" s="25">
        <v>0.30299999999999999</v>
      </c>
      <c r="I656" s="1">
        <v>0.61</v>
      </c>
      <c r="J656" s="1">
        <v>8.9599999999999999E-2</v>
      </c>
      <c r="K656" s="1">
        <v>18</v>
      </c>
      <c r="L656" s="1">
        <v>104</v>
      </c>
      <c r="M656" s="6">
        <v>122</v>
      </c>
      <c r="N656" s="6" t="str">
        <f>IF(OR(Table3[[#This Row],[weekday]]=0,Table3[[#This Row],[weekday]]=6),"Weekend","Weekday")</f>
        <v>Weekend</v>
      </c>
    </row>
    <row r="657" spans="1:14" ht="15" thickBot="1" x14ac:dyDescent="0.35">
      <c r="A657" s="10">
        <v>656</v>
      </c>
      <c r="B657" s="11">
        <v>40573</v>
      </c>
      <c r="C657" s="12">
        <v>15</v>
      </c>
      <c r="D657" s="13" t="b">
        <v>0</v>
      </c>
      <c r="E657" s="12">
        <v>0</v>
      </c>
      <c r="F657" s="12">
        <v>1</v>
      </c>
      <c r="G657" s="1">
        <v>0.3</v>
      </c>
      <c r="H657" s="25">
        <v>0.33329999999999999</v>
      </c>
      <c r="I657" s="1">
        <v>0.56000000000000005</v>
      </c>
      <c r="J657" s="1">
        <v>0</v>
      </c>
      <c r="K657" s="1">
        <v>14</v>
      </c>
      <c r="L657" s="1">
        <v>95</v>
      </c>
      <c r="M657" s="6">
        <v>109</v>
      </c>
      <c r="N657" s="6" t="str">
        <f>IF(OR(Table3[[#This Row],[weekday]]=0,Table3[[#This Row],[weekday]]=6),"Weekend","Weekday")</f>
        <v>Weekend</v>
      </c>
    </row>
    <row r="658" spans="1:14" ht="15" thickBot="1" x14ac:dyDescent="0.35">
      <c r="A658" s="10">
        <v>657</v>
      </c>
      <c r="B658" s="11">
        <v>40573</v>
      </c>
      <c r="C658" s="12">
        <v>16</v>
      </c>
      <c r="D658" s="13" t="b">
        <v>0</v>
      </c>
      <c r="E658" s="12">
        <v>0</v>
      </c>
      <c r="F658" s="12">
        <v>1</v>
      </c>
      <c r="G658" s="1">
        <v>0.3</v>
      </c>
      <c r="H658" s="25">
        <v>0.33329999999999999</v>
      </c>
      <c r="I658" s="1">
        <v>0.56000000000000005</v>
      </c>
      <c r="J658" s="1">
        <v>0</v>
      </c>
      <c r="K658" s="1">
        <v>19</v>
      </c>
      <c r="L658" s="1">
        <v>104</v>
      </c>
      <c r="M658" s="6">
        <v>123</v>
      </c>
      <c r="N658" s="6" t="str">
        <f>IF(OR(Table3[[#This Row],[weekday]]=0,Table3[[#This Row],[weekday]]=6),"Weekend","Weekday")</f>
        <v>Weekend</v>
      </c>
    </row>
    <row r="659" spans="1:14" ht="15" thickBot="1" x14ac:dyDescent="0.35">
      <c r="A659" s="10">
        <v>658</v>
      </c>
      <c r="B659" s="11">
        <v>40573</v>
      </c>
      <c r="C659" s="12">
        <v>17</v>
      </c>
      <c r="D659" s="13" t="b">
        <v>0</v>
      </c>
      <c r="E659" s="12">
        <v>0</v>
      </c>
      <c r="F659" s="12">
        <v>1</v>
      </c>
      <c r="G659" s="1">
        <v>0.3</v>
      </c>
      <c r="H659" s="25">
        <v>0.28789999999999999</v>
      </c>
      <c r="I659" s="1">
        <v>0.56000000000000005</v>
      </c>
      <c r="J659" s="1">
        <v>0.19400000000000001</v>
      </c>
      <c r="K659" s="1">
        <v>6</v>
      </c>
      <c r="L659" s="1">
        <v>71</v>
      </c>
      <c r="M659" s="6">
        <v>77</v>
      </c>
      <c r="N659" s="6" t="str">
        <f>IF(OR(Table3[[#This Row],[weekday]]=0,Table3[[#This Row],[weekday]]=6),"Weekend","Weekday")</f>
        <v>Weekend</v>
      </c>
    </row>
    <row r="660" spans="1:14" ht="15" thickBot="1" x14ac:dyDescent="0.35">
      <c r="A660" s="10">
        <v>659</v>
      </c>
      <c r="B660" s="11">
        <v>40573</v>
      </c>
      <c r="C660" s="12">
        <v>18</v>
      </c>
      <c r="D660" s="13" t="b">
        <v>0</v>
      </c>
      <c r="E660" s="12">
        <v>0</v>
      </c>
      <c r="F660" s="12">
        <v>1</v>
      </c>
      <c r="G660" s="1">
        <v>0.26</v>
      </c>
      <c r="H660" s="25">
        <v>0.2576</v>
      </c>
      <c r="I660" s="1">
        <v>0.65</v>
      </c>
      <c r="J660" s="1">
        <v>0.16420000000000001</v>
      </c>
      <c r="K660" s="1">
        <v>8</v>
      </c>
      <c r="L660" s="1">
        <v>57</v>
      </c>
      <c r="M660" s="6">
        <v>65</v>
      </c>
      <c r="N660" s="6" t="str">
        <f>IF(OR(Table3[[#This Row],[weekday]]=0,Table3[[#This Row],[weekday]]=6),"Weekend","Weekday")</f>
        <v>Weekend</v>
      </c>
    </row>
    <row r="661" spans="1:14" ht="15" thickBot="1" x14ac:dyDescent="0.35">
      <c r="A661" s="10">
        <v>660</v>
      </c>
      <c r="B661" s="11">
        <v>40573</v>
      </c>
      <c r="C661" s="12">
        <v>19</v>
      </c>
      <c r="D661" s="13" t="b">
        <v>0</v>
      </c>
      <c r="E661" s="12">
        <v>0</v>
      </c>
      <c r="F661" s="12">
        <v>1</v>
      </c>
      <c r="G661" s="1">
        <v>0.26</v>
      </c>
      <c r="H661" s="25">
        <v>0.2576</v>
      </c>
      <c r="I661" s="1">
        <v>0.65</v>
      </c>
      <c r="J661" s="1">
        <v>0.19400000000000001</v>
      </c>
      <c r="K661" s="1">
        <v>9</v>
      </c>
      <c r="L661" s="1">
        <v>46</v>
      </c>
      <c r="M661" s="6">
        <v>55</v>
      </c>
      <c r="N661" s="6" t="str">
        <f>IF(OR(Table3[[#This Row],[weekday]]=0,Table3[[#This Row],[weekday]]=6),"Weekend","Weekday")</f>
        <v>Weekend</v>
      </c>
    </row>
    <row r="662" spans="1:14" ht="15" thickBot="1" x14ac:dyDescent="0.35">
      <c r="A662" s="10">
        <v>661</v>
      </c>
      <c r="B662" s="11">
        <v>40573</v>
      </c>
      <c r="C662" s="12">
        <v>20</v>
      </c>
      <c r="D662" s="13" t="b">
        <v>0</v>
      </c>
      <c r="E662" s="12">
        <v>0</v>
      </c>
      <c r="F662" s="12">
        <v>2</v>
      </c>
      <c r="G662" s="1">
        <v>0.26</v>
      </c>
      <c r="H662" s="25">
        <v>0.2727</v>
      </c>
      <c r="I662" s="1">
        <v>0.65</v>
      </c>
      <c r="J662" s="1">
        <v>0.1045</v>
      </c>
      <c r="K662" s="1">
        <v>3</v>
      </c>
      <c r="L662" s="1">
        <v>30</v>
      </c>
      <c r="M662" s="6">
        <v>33</v>
      </c>
      <c r="N662" s="6" t="str">
        <f>IF(OR(Table3[[#This Row],[weekday]]=0,Table3[[#This Row],[weekday]]=6),"Weekend","Weekday")</f>
        <v>Weekend</v>
      </c>
    </row>
    <row r="663" spans="1:14" ht="15" thickBot="1" x14ac:dyDescent="0.35">
      <c r="A663" s="10">
        <v>662</v>
      </c>
      <c r="B663" s="11">
        <v>40573</v>
      </c>
      <c r="C663" s="12">
        <v>21</v>
      </c>
      <c r="D663" s="13" t="b">
        <v>0</v>
      </c>
      <c r="E663" s="12">
        <v>0</v>
      </c>
      <c r="F663" s="12">
        <v>2</v>
      </c>
      <c r="G663" s="1">
        <v>0.24</v>
      </c>
      <c r="H663" s="25">
        <v>0.2424</v>
      </c>
      <c r="I663" s="1">
        <v>0.7</v>
      </c>
      <c r="J663" s="1">
        <v>0.16420000000000001</v>
      </c>
      <c r="K663" s="1">
        <v>3</v>
      </c>
      <c r="L663" s="1">
        <v>25</v>
      </c>
      <c r="M663" s="6">
        <v>28</v>
      </c>
      <c r="N663" s="6" t="str">
        <f>IF(OR(Table3[[#This Row],[weekday]]=0,Table3[[#This Row],[weekday]]=6),"Weekend","Weekday")</f>
        <v>Weekend</v>
      </c>
    </row>
    <row r="664" spans="1:14" ht="15" thickBot="1" x14ac:dyDescent="0.35">
      <c r="A664" s="10">
        <v>663</v>
      </c>
      <c r="B664" s="11">
        <v>40573</v>
      </c>
      <c r="C664" s="12">
        <v>22</v>
      </c>
      <c r="D664" s="13" t="b">
        <v>0</v>
      </c>
      <c r="E664" s="12">
        <v>0</v>
      </c>
      <c r="F664" s="12">
        <v>2</v>
      </c>
      <c r="G664" s="1">
        <v>0.24</v>
      </c>
      <c r="H664" s="25">
        <v>0.2273</v>
      </c>
      <c r="I664" s="1">
        <v>0.7</v>
      </c>
      <c r="J664" s="1">
        <v>0.19400000000000001</v>
      </c>
      <c r="K664" s="1">
        <v>2</v>
      </c>
      <c r="L664" s="1">
        <v>19</v>
      </c>
      <c r="M664" s="6">
        <v>21</v>
      </c>
      <c r="N664" s="6" t="str">
        <f>IF(OR(Table3[[#This Row],[weekday]]=0,Table3[[#This Row],[weekday]]=6),"Weekend","Weekday")</f>
        <v>Weekend</v>
      </c>
    </row>
    <row r="665" spans="1:14" ht="15" thickBot="1" x14ac:dyDescent="0.35">
      <c r="A665" s="10">
        <v>664</v>
      </c>
      <c r="B665" s="11">
        <v>40573</v>
      </c>
      <c r="C665" s="12">
        <v>23</v>
      </c>
      <c r="D665" s="13" t="b">
        <v>0</v>
      </c>
      <c r="E665" s="12">
        <v>0</v>
      </c>
      <c r="F665" s="12">
        <v>2</v>
      </c>
      <c r="G665" s="1">
        <v>0.24</v>
      </c>
      <c r="H665" s="25">
        <v>0.21210000000000001</v>
      </c>
      <c r="I665" s="1">
        <v>0.65</v>
      </c>
      <c r="J665" s="1">
        <v>0.28360000000000002</v>
      </c>
      <c r="K665" s="1">
        <v>5</v>
      </c>
      <c r="L665" s="1">
        <v>16</v>
      </c>
      <c r="M665" s="6">
        <v>21</v>
      </c>
      <c r="N665" s="6" t="str">
        <f>IF(OR(Table3[[#This Row],[weekday]]=0,Table3[[#This Row],[weekday]]=6),"Weekend","Weekday")</f>
        <v>Weekend</v>
      </c>
    </row>
    <row r="666" spans="1:14" ht="15" thickBot="1" x14ac:dyDescent="0.35">
      <c r="A666" s="10">
        <v>665</v>
      </c>
      <c r="B666" s="11">
        <v>40574</v>
      </c>
      <c r="C666" s="12">
        <v>0</v>
      </c>
      <c r="D666" s="13" t="b">
        <v>0</v>
      </c>
      <c r="E666" s="12">
        <v>1</v>
      </c>
      <c r="F666" s="12">
        <v>2</v>
      </c>
      <c r="G666" s="1">
        <v>0.24</v>
      </c>
      <c r="H666" s="25">
        <v>0.2273</v>
      </c>
      <c r="I666" s="1">
        <v>0.65</v>
      </c>
      <c r="J666" s="1">
        <v>0.22389999999999999</v>
      </c>
      <c r="K666" s="1">
        <v>1</v>
      </c>
      <c r="L666" s="1">
        <v>6</v>
      </c>
      <c r="M666" s="6">
        <v>7</v>
      </c>
      <c r="N666" s="6" t="str">
        <f>IF(OR(Table3[[#This Row],[weekday]]=0,Table3[[#This Row],[weekday]]=6),"Weekend","Weekday")</f>
        <v>Weekday</v>
      </c>
    </row>
    <row r="667" spans="1:14" ht="15" thickBot="1" x14ac:dyDescent="0.35">
      <c r="A667" s="10">
        <v>666</v>
      </c>
      <c r="B667" s="11">
        <v>40574</v>
      </c>
      <c r="C667" s="12">
        <v>1</v>
      </c>
      <c r="D667" s="13" t="b">
        <v>0</v>
      </c>
      <c r="E667" s="12">
        <v>1</v>
      </c>
      <c r="F667" s="12">
        <v>1</v>
      </c>
      <c r="G667" s="1">
        <v>0.22</v>
      </c>
      <c r="H667" s="25">
        <v>0.21210000000000001</v>
      </c>
      <c r="I667" s="1">
        <v>0.64</v>
      </c>
      <c r="J667" s="1">
        <v>0.25369999999999998</v>
      </c>
      <c r="K667" s="1">
        <v>2</v>
      </c>
      <c r="L667" s="1">
        <v>5</v>
      </c>
      <c r="M667" s="6">
        <v>7</v>
      </c>
      <c r="N667" s="6" t="str">
        <f>IF(OR(Table3[[#This Row],[weekday]]=0,Table3[[#This Row],[weekday]]=6),"Weekend","Weekday")</f>
        <v>Weekday</v>
      </c>
    </row>
    <row r="668" spans="1:14" ht="15" thickBot="1" x14ac:dyDescent="0.35">
      <c r="A668" s="10">
        <v>667</v>
      </c>
      <c r="B668" s="11">
        <v>40574</v>
      </c>
      <c r="C668" s="12">
        <v>2</v>
      </c>
      <c r="D668" s="13" t="b">
        <v>0</v>
      </c>
      <c r="E668" s="12">
        <v>1</v>
      </c>
      <c r="F668" s="12">
        <v>1</v>
      </c>
      <c r="G668" s="1">
        <v>0.22</v>
      </c>
      <c r="H668" s="25">
        <v>0.2273</v>
      </c>
      <c r="I668" s="1">
        <v>0.64</v>
      </c>
      <c r="J668" s="1">
        <v>0.19400000000000001</v>
      </c>
      <c r="K668" s="1">
        <v>0</v>
      </c>
      <c r="L668" s="1">
        <v>1</v>
      </c>
      <c r="M668" s="6">
        <v>1</v>
      </c>
      <c r="N668" s="6" t="str">
        <f>IF(OR(Table3[[#This Row],[weekday]]=0,Table3[[#This Row],[weekday]]=6),"Weekend","Weekday")</f>
        <v>Weekday</v>
      </c>
    </row>
    <row r="669" spans="1:14" ht="15" thickBot="1" x14ac:dyDescent="0.35">
      <c r="A669" s="10">
        <v>668</v>
      </c>
      <c r="B669" s="11">
        <v>40574</v>
      </c>
      <c r="C669" s="12">
        <v>3</v>
      </c>
      <c r="D669" s="13" t="b">
        <v>0</v>
      </c>
      <c r="E669" s="12">
        <v>1</v>
      </c>
      <c r="F669" s="12">
        <v>1</v>
      </c>
      <c r="G669" s="1">
        <v>0.22</v>
      </c>
      <c r="H669" s="25">
        <v>0.2273</v>
      </c>
      <c r="I669" s="1">
        <v>0.64</v>
      </c>
      <c r="J669" s="1">
        <v>0.19400000000000001</v>
      </c>
      <c r="K669" s="1">
        <v>0</v>
      </c>
      <c r="L669" s="1">
        <v>2</v>
      </c>
      <c r="M669" s="6">
        <v>2</v>
      </c>
      <c r="N669" s="6" t="str">
        <f>IF(OR(Table3[[#This Row],[weekday]]=0,Table3[[#This Row],[weekday]]=6),"Weekend","Weekday")</f>
        <v>Weekday</v>
      </c>
    </row>
    <row r="670" spans="1:14" ht="15" thickBot="1" x14ac:dyDescent="0.35">
      <c r="A670" s="10">
        <v>669</v>
      </c>
      <c r="B670" s="11">
        <v>40574</v>
      </c>
      <c r="C670" s="12">
        <v>4</v>
      </c>
      <c r="D670" s="13" t="b">
        <v>0</v>
      </c>
      <c r="E670" s="12">
        <v>1</v>
      </c>
      <c r="F670" s="12">
        <v>1</v>
      </c>
      <c r="G670" s="1">
        <v>0.2</v>
      </c>
      <c r="H670" s="25">
        <v>0.19700000000000001</v>
      </c>
      <c r="I670" s="1">
        <v>0.59</v>
      </c>
      <c r="J670" s="1">
        <v>0.22389999999999999</v>
      </c>
      <c r="K670" s="1">
        <v>0</v>
      </c>
      <c r="L670" s="1">
        <v>2</v>
      </c>
      <c r="M670" s="6">
        <v>2</v>
      </c>
      <c r="N670" s="6" t="str">
        <f>IF(OR(Table3[[#This Row],[weekday]]=0,Table3[[#This Row],[weekday]]=6),"Weekend","Weekday")</f>
        <v>Weekday</v>
      </c>
    </row>
    <row r="671" spans="1:14" ht="15" thickBot="1" x14ac:dyDescent="0.35">
      <c r="A671" s="10">
        <v>670</v>
      </c>
      <c r="B671" s="11">
        <v>40574</v>
      </c>
      <c r="C671" s="12">
        <v>5</v>
      </c>
      <c r="D671" s="13" t="b">
        <v>0</v>
      </c>
      <c r="E671" s="12">
        <v>1</v>
      </c>
      <c r="F671" s="12">
        <v>1</v>
      </c>
      <c r="G671" s="1">
        <v>0.18</v>
      </c>
      <c r="H671" s="25">
        <v>0.16669999999999999</v>
      </c>
      <c r="I671" s="1">
        <v>0.64</v>
      </c>
      <c r="J671" s="1">
        <v>0.28360000000000002</v>
      </c>
      <c r="K671" s="1">
        <v>0</v>
      </c>
      <c r="L671" s="1">
        <v>8</v>
      </c>
      <c r="M671" s="6">
        <v>8</v>
      </c>
      <c r="N671" s="6" t="str">
        <f>IF(OR(Table3[[#This Row],[weekday]]=0,Table3[[#This Row],[weekday]]=6),"Weekend","Weekday")</f>
        <v>Weekday</v>
      </c>
    </row>
    <row r="672" spans="1:14" ht="15" thickBot="1" x14ac:dyDescent="0.35">
      <c r="A672" s="10">
        <v>671</v>
      </c>
      <c r="B672" s="11">
        <v>40574</v>
      </c>
      <c r="C672" s="12">
        <v>6</v>
      </c>
      <c r="D672" s="13" t="b">
        <v>0</v>
      </c>
      <c r="E672" s="12">
        <v>1</v>
      </c>
      <c r="F672" s="12">
        <v>1</v>
      </c>
      <c r="G672" s="1">
        <v>0.16</v>
      </c>
      <c r="H672" s="25">
        <v>0.13639999999999999</v>
      </c>
      <c r="I672" s="1">
        <v>0.69</v>
      </c>
      <c r="J672" s="1">
        <v>0.32840000000000003</v>
      </c>
      <c r="K672" s="1">
        <v>0</v>
      </c>
      <c r="L672" s="1">
        <v>37</v>
      </c>
      <c r="M672" s="6">
        <v>37</v>
      </c>
      <c r="N672" s="6" t="str">
        <f>IF(OR(Table3[[#This Row],[weekday]]=0,Table3[[#This Row],[weekday]]=6),"Weekend","Weekday")</f>
        <v>Weekday</v>
      </c>
    </row>
    <row r="673" spans="1:14" ht="15" thickBot="1" x14ac:dyDescent="0.35">
      <c r="A673" s="10">
        <v>672</v>
      </c>
      <c r="B673" s="11">
        <v>40574</v>
      </c>
      <c r="C673" s="12">
        <v>7</v>
      </c>
      <c r="D673" s="13" t="b">
        <v>0</v>
      </c>
      <c r="E673" s="12">
        <v>1</v>
      </c>
      <c r="F673" s="12">
        <v>2</v>
      </c>
      <c r="G673" s="1">
        <v>0.16</v>
      </c>
      <c r="H673" s="25">
        <v>0.13639999999999999</v>
      </c>
      <c r="I673" s="1">
        <v>0.64</v>
      </c>
      <c r="J673" s="1">
        <v>0.28360000000000002</v>
      </c>
      <c r="K673" s="1">
        <v>1</v>
      </c>
      <c r="L673" s="1">
        <v>71</v>
      </c>
      <c r="M673" s="6">
        <v>72</v>
      </c>
      <c r="N673" s="6" t="str">
        <f>IF(OR(Table3[[#This Row],[weekday]]=0,Table3[[#This Row],[weekday]]=6),"Weekend","Weekday")</f>
        <v>Weekday</v>
      </c>
    </row>
    <row r="674" spans="1:14" ht="15" thickBot="1" x14ac:dyDescent="0.35">
      <c r="A674" s="10">
        <v>673</v>
      </c>
      <c r="B674" s="11">
        <v>40574</v>
      </c>
      <c r="C674" s="12">
        <v>8</v>
      </c>
      <c r="D674" s="13" t="b">
        <v>0</v>
      </c>
      <c r="E674" s="12">
        <v>1</v>
      </c>
      <c r="F674" s="12">
        <v>2</v>
      </c>
      <c r="G674" s="1">
        <v>0.16</v>
      </c>
      <c r="H674" s="25">
        <v>0.13639999999999999</v>
      </c>
      <c r="I674" s="1">
        <v>0.59</v>
      </c>
      <c r="J674" s="1">
        <v>0.28360000000000002</v>
      </c>
      <c r="K674" s="1">
        <v>3</v>
      </c>
      <c r="L674" s="1">
        <v>182</v>
      </c>
      <c r="M674" s="6">
        <v>185</v>
      </c>
      <c r="N674" s="6" t="str">
        <f>IF(OR(Table3[[#This Row],[weekday]]=0,Table3[[#This Row],[weekday]]=6),"Weekend","Weekday")</f>
        <v>Weekday</v>
      </c>
    </row>
    <row r="675" spans="1:14" ht="15" thickBot="1" x14ac:dyDescent="0.35">
      <c r="A675" s="10">
        <v>674</v>
      </c>
      <c r="B675" s="11">
        <v>40574</v>
      </c>
      <c r="C675" s="12">
        <v>9</v>
      </c>
      <c r="D675" s="13" t="b">
        <v>0</v>
      </c>
      <c r="E675" s="12">
        <v>1</v>
      </c>
      <c r="F675" s="12">
        <v>2</v>
      </c>
      <c r="G675" s="1">
        <v>0.16</v>
      </c>
      <c r="H675" s="25">
        <v>0.13639999999999999</v>
      </c>
      <c r="I675" s="1">
        <v>0.59</v>
      </c>
      <c r="J675" s="1">
        <v>0.29849999999999999</v>
      </c>
      <c r="K675" s="1">
        <v>0</v>
      </c>
      <c r="L675" s="1">
        <v>112</v>
      </c>
      <c r="M675" s="6">
        <v>112</v>
      </c>
      <c r="N675" s="6" t="str">
        <f>IF(OR(Table3[[#This Row],[weekday]]=0,Table3[[#This Row],[weekday]]=6),"Weekend","Weekday")</f>
        <v>Weekday</v>
      </c>
    </row>
    <row r="676" spans="1:14" ht="15" thickBot="1" x14ac:dyDescent="0.35">
      <c r="A676" s="10">
        <v>675</v>
      </c>
      <c r="B676" s="11">
        <v>40574</v>
      </c>
      <c r="C676" s="12">
        <v>10</v>
      </c>
      <c r="D676" s="13" t="b">
        <v>0</v>
      </c>
      <c r="E676" s="12">
        <v>1</v>
      </c>
      <c r="F676" s="12">
        <v>2</v>
      </c>
      <c r="G676" s="1">
        <v>0.16</v>
      </c>
      <c r="H676" s="25">
        <v>0.1515</v>
      </c>
      <c r="I676" s="1">
        <v>0.59</v>
      </c>
      <c r="J676" s="1">
        <v>0.19400000000000001</v>
      </c>
      <c r="K676" s="1">
        <v>1</v>
      </c>
      <c r="L676" s="1">
        <v>68</v>
      </c>
      <c r="M676" s="6">
        <v>69</v>
      </c>
      <c r="N676" s="6" t="str">
        <f>IF(OR(Table3[[#This Row],[weekday]]=0,Table3[[#This Row],[weekday]]=6),"Weekend","Weekday")</f>
        <v>Weekday</v>
      </c>
    </row>
    <row r="677" spans="1:14" ht="15" thickBot="1" x14ac:dyDescent="0.35">
      <c r="A677" s="10">
        <v>676</v>
      </c>
      <c r="B677" s="11">
        <v>40574</v>
      </c>
      <c r="C677" s="12">
        <v>11</v>
      </c>
      <c r="D677" s="13" t="b">
        <v>0</v>
      </c>
      <c r="E677" s="12">
        <v>1</v>
      </c>
      <c r="F677" s="12">
        <v>2</v>
      </c>
      <c r="G677" s="1">
        <v>0.16</v>
      </c>
      <c r="H677" s="25">
        <v>0.1515</v>
      </c>
      <c r="I677" s="1">
        <v>0.59</v>
      </c>
      <c r="J677" s="1">
        <v>0.19400000000000001</v>
      </c>
      <c r="K677" s="1">
        <v>2</v>
      </c>
      <c r="L677" s="1">
        <v>46</v>
      </c>
      <c r="M677" s="6">
        <v>48</v>
      </c>
      <c r="N677" s="6" t="str">
        <f>IF(OR(Table3[[#This Row],[weekday]]=0,Table3[[#This Row],[weekday]]=6),"Weekend","Weekday")</f>
        <v>Weekday</v>
      </c>
    </row>
    <row r="678" spans="1:14" ht="15" thickBot="1" x14ac:dyDescent="0.35">
      <c r="A678" s="10">
        <v>677</v>
      </c>
      <c r="B678" s="11">
        <v>40574</v>
      </c>
      <c r="C678" s="12">
        <v>12</v>
      </c>
      <c r="D678" s="13" t="b">
        <v>0</v>
      </c>
      <c r="E678" s="12">
        <v>1</v>
      </c>
      <c r="F678" s="12">
        <v>2</v>
      </c>
      <c r="G678" s="1">
        <v>0.18</v>
      </c>
      <c r="H678" s="25">
        <v>0.21210000000000001</v>
      </c>
      <c r="I678" s="1">
        <v>0.55000000000000004</v>
      </c>
      <c r="J678" s="1">
        <v>0.1045</v>
      </c>
      <c r="K678" s="1">
        <v>6</v>
      </c>
      <c r="L678" s="1">
        <v>62</v>
      </c>
      <c r="M678" s="6">
        <v>68</v>
      </c>
      <c r="N678" s="6" t="str">
        <f>IF(OR(Table3[[#This Row],[weekday]]=0,Table3[[#This Row],[weekday]]=6),"Weekend","Weekday")</f>
        <v>Weekday</v>
      </c>
    </row>
    <row r="679" spans="1:14" ht="15" thickBot="1" x14ac:dyDescent="0.35">
      <c r="A679" s="10">
        <v>678</v>
      </c>
      <c r="B679" s="11">
        <v>40574</v>
      </c>
      <c r="C679" s="12">
        <v>13</v>
      </c>
      <c r="D679" s="13" t="b">
        <v>0</v>
      </c>
      <c r="E679" s="12">
        <v>1</v>
      </c>
      <c r="F679" s="12">
        <v>2</v>
      </c>
      <c r="G679" s="1">
        <v>0.16</v>
      </c>
      <c r="H679" s="25">
        <v>0.2273</v>
      </c>
      <c r="I679" s="1">
        <v>0.59</v>
      </c>
      <c r="J679" s="1">
        <v>0</v>
      </c>
      <c r="K679" s="1">
        <v>2</v>
      </c>
      <c r="L679" s="1">
        <v>52</v>
      </c>
      <c r="M679" s="6">
        <v>54</v>
      </c>
      <c r="N679" s="6" t="str">
        <f>IF(OR(Table3[[#This Row],[weekday]]=0,Table3[[#This Row],[weekday]]=6),"Weekend","Weekday")</f>
        <v>Weekday</v>
      </c>
    </row>
    <row r="680" spans="1:14" ht="15" thickBot="1" x14ac:dyDescent="0.35">
      <c r="A680" s="10">
        <v>679</v>
      </c>
      <c r="B680" s="11">
        <v>40574</v>
      </c>
      <c r="C680" s="12">
        <v>14</v>
      </c>
      <c r="D680" s="13" t="b">
        <v>0</v>
      </c>
      <c r="E680" s="12">
        <v>1</v>
      </c>
      <c r="F680" s="12">
        <v>2</v>
      </c>
      <c r="G680" s="1">
        <v>0.18</v>
      </c>
      <c r="H680" s="25">
        <v>0.19700000000000001</v>
      </c>
      <c r="I680" s="1">
        <v>0.55000000000000004</v>
      </c>
      <c r="J680" s="1">
        <v>0.1343</v>
      </c>
      <c r="K680" s="1">
        <v>1</v>
      </c>
      <c r="L680" s="1">
        <v>85</v>
      </c>
      <c r="M680" s="6">
        <v>86</v>
      </c>
      <c r="N680" s="6" t="str">
        <f>IF(OR(Table3[[#This Row],[weekday]]=0,Table3[[#This Row],[weekday]]=6),"Weekend","Weekday")</f>
        <v>Weekday</v>
      </c>
    </row>
    <row r="681" spans="1:14" ht="15" thickBot="1" x14ac:dyDescent="0.35">
      <c r="A681" s="10">
        <v>680</v>
      </c>
      <c r="B681" s="11">
        <v>40574</v>
      </c>
      <c r="C681" s="12">
        <v>15</v>
      </c>
      <c r="D681" s="13" t="b">
        <v>0</v>
      </c>
      <c r="E681" s="12">
        <v>1</v>
      </c>
      <c r="F681" s="12">
        <v>2</v>
      </c>
      <c r="G681" s="1">
        <v>0.16</v>
      </c>
      <c r="H681" s="25">
        <v>0.18179999999999999</v>
      </c>
      <c r="I681" s="1">
        <v>0.59</v>
      </c>
      <c r="J681" s="1">
        <v>0.1343</v>
      </c>
      <c r="K681" s="1">
        <v>3</v>
      </c>
      <c r="L681" s="1">
        <v>41</v>
      </c>
      <c r="M681" s="6">
        <v>44</v>
      </c>
      <c r="N681" s="6" t="str">
        <f>IF(OR(Table3[[#This Row],[weekday]]=0,Table3[[#This Row],[weekday]]=6),"Weekend","Weekday")</f>
        <v>Weekday</v>
      </c>
    </row>
    <row r="682" spans="1:14" ht="15" thickBot="1" x14ac:dyDescent="0.35">
      <c r="A682" s="10">
        <v>681</v>
      </c>
      <c r="B682" s="11">
        <v>40574</v>
      </c>
      <c r="C682" s="12">
        <v>16</v>
      </c>
      <c r="D682" s="13" t="b">
        <v>0</v>
      </c>
      <c r="E682" s="12">
        <v>1</v>
      </c>
      <c r="F682" s="12">
        <v>2</v>
      </c>
      <c r="G682" s="1">
        <v>0.16</v>
      </c>
      <c r="H682" s="25">
        <v>0.18179999999999999</v>
      </c>
      <c r="I682" s="1">
        <v>0.56000000000000005</v>
      </c>
      <c r="J682" s="1">
        <v>0.19400000000000001</v>
      </c>
      <c r="K682" s="1">
        <v>3</v>
      </c>
      <c r="L682" s="1">
        <v>83</v>
      </c>
      <c r="M682" s="6">
        <v>86</v>
      </c>
      <c r="N682" s="6" t="str">
        <f>IF(OR(Table3[[#This Row],[weekday]]=0,Table3[[#This Row],[weekday]]=6),"Weekend","Weekday")</f>
        <v>Weekday</v>
      </c>
    </row>
    <row r="683" spans="1:14" ht="15" thickBot="1" x14ac:dyDescent="0.35">
      <c r="A683" s="10">
        <v>682</v>
      </c>
      <c r="B683" s="11">
        <v>40574</v>
      </c>
      <c r="C683" s="12">
        <v>17</v>
      </c>
      <c r="D683" s="13" t="b">
        <v>0</v>
      </c>
      <c r="E683" s="12">
        <v>1</v>
      </c>
      <c r="F683" s="12">
        <v>2</v>
      </c>
      <c r="G683" s="1">
        <v>0.16</v>
      </c>
      <c r="H683" s="25">
        <v>0.1515</v>
      </c>
      <c r="I683" s="1">
        <v>0.59</v>
      </c>
      <c r="J683" s="1">
        <v>0.19400000000000001</v>
      </c>
      <c r="K683" s="1">
        <v>6</v>
      </c>
      <c r="L683" s="1">
        <v>155</v>
      </c>
      <c r="M683" s="6">
        <v>161</v>
      </c>
      <c r="N683" s="6" t="str">
        <f>IF(OR(Table3[[#This Row],[weekday]]=0,Table3[[#This Row],[weekday]]=6),"Weekend","Weekday")</f>
        <v>Weekday</v>
      </c>
    </row>
    <row r="684" spans="1:14" ht="15" thickBot="1" x14ac:dyDescent="0.35">
      <c r="A684" s="10">
        <v>683</v>
      </c>
      <c r="B684" s="11">
        <v>40574</v>
      </c>
      <c r="C684" s="12">
        <v>18</v>
      </c>
      <c r="D684" s="13" t="b">
        <v>0</v>
      </c>
      <c r="E684" s="12">
        <v>1</v>
      </c>
      <c r="F684" s="12">
        <v>2</v>
      </c>
      <c r="G684" s="1">
        <v>0.16</v>
      </c>
      <c r="H684" s="25">
        <v>0.1515</v>
      </c>
      <c r="I684" s="1">
        <v>0.55000000000000004</v>
      </c>
      <c r="J684" s="1">
        <v>0.22389999999999999</v>
      </c>
      <c r="K684" s="1">
        <v>3</v>
      </c>
      <c r="L684" s="1">
        <v>153</v>
      </c>
      <c r="M684" s="6">
        <v>156</v>
      </c>
      <c r="N684" s="6" t="str">
        <f>IF(OR(Table3[[#This Row],[weekday]]=0,Table3[[#This Row],[weekday]]=6),"Weekend","Weekday")</f>
        <v>Weekday</v>
      </c>
    </row>
    <row r="685" spans="1:14" ht="15" thickBot="1" x14ac:dyDescent="0.35">
      <c r="A685" s="10">
        <v>684</v>
      </c>
      <c r="B685" s="11">
        <v>40574</v>
      </c>
      <c r="C685" s="12">
        <v>19</v>
      </c>
      <c r="D685" s="13" t="b">
        <v>0</v>
      </c>
      <c r="E685" s="12">
        <v>1</v>
      </c>
      <c r="F685" s="12">
        <v>1</v>
      </c>
      <c r="G685" s="1">
        <v>0.3</v>
      </c>
      <c r="H685" s="25">
        <v>0.31819999999999998</v>
      </c>
      <c r="I685" s="1">
        <v>0.61</v>
      </c>
      <c r="J685" s="1">
        <v>0.1045</v>
      </c>
      <c r="K685" s="1">
        <v>3</v>
      </c>
      <c r="L685" s="1">
        <v>108</v>
      </c>
      <c r="M685" s="6">
        <v>111</v>
      </c>
      <c r="N685" s="6" t="str">
        <f>IF(OR(Table3[[#This Row],[weekday]]=0,Table3[[#This Row],[weekday]]=6),"Weekend","Weekday")</f>
        <v>Weekday</v>
      </c>
    </row>
    <row r="686" spans="1:14" ht="15" thickBot="1" x14ac:dyDescent="0.35">
      <c r="A686" s="10">
        <v>685</v>
      </c>
      <c r="B686" s="11">
        <v>40574</v>
      </c>
      <c r="C686" s="12">
        <v>20</v>
      </c>
      <c r="D686" s="13" t="b">
        <v>0</v>
      </c>
      <c r="E686" s="12">
        <v>1</v>
      </c>
      <c r="F686" s="12">
        <v>3</v>
      </c>
      <c r="G686" s="1">
        <v>0.16</v>
      </c>
      <c r="H686" s="25">
        <v>0.16669999999999999</v>
      </c>
      <c r="I686" s="1">
        <v>0.59</v>
      </c>
      <c r="J686" s="1">
        <v>0.16420000000000001</v>
      </c>
      <c r="K686" s="1">
        <v>0</v>
      </c>
      <c r="L686" s="1">
        <v>78</v>
      </c>
      <c r="M686" s="6">
        <v>78</v>
      </c>
      <c r="N686" s="6" t="str">
        <f>IF(OR(Table3[[#This Row],[weekday]]=0,Table3[[#This Row],[weekday]]=6),"Weekend","Weekday")</f>
        <v>Weekday</v>
      </c>
    </row>
    <row r="687" spans="1:14" ht="15" thickBot="1" x14ac:dyDescent="0.35">
      <c r="A687" s="10">
        <v>686</v>
      </c>
      <c r="B687" s="11">
        <v>40574</v>
      </c>
      <c r="C687" s="12">
        <v>21</v>
      </c>
      <c r="D687" s="13" t="b">
        <v>0</v>
      </c>
      <c r="E687" s="12">
        <v>1</v>
      </c>
      <c r="F687" s="12">
        <v>3</v>
      </c>
      <c r="G687" s="1">
        <v>0.16</v>
      </c>
      <c r="H687" s="25">
        <v>0.19700000000000001</v>
      </c>
      <c r="I687" s="1">
        <v>0.59</v>
      </c>
      <c r="J687" s="1">
        <v>8.9599999999999999E-2</v>
      </c>
      <c r="K687" s="1">
        <v>3</v>
      </c>
      <c r="L687" s="1">
        <v>53</v>
      </c>
      <c r="M687" s="6">
        <v>56</v>
      </c>
      <c r="N687" s="6" t="str">
        <f>IF(OR(Table3[[#This Row],[weekday]]=0,Table3[[#This Row],[weekday]]=6),"Weekend","Weekday")</f>
        <v>Weekday</v>
      </c>
    </row>
    <row r="688" spans="1:14" ht="15" thickBot="1" x14ac:dyDescent="0.35">
      <c r="A688" s="10">
        <v>687</v>
      </c>
      <c r="B688" s="11">
        <v>40574</v>
      </c>
      <c r="C688" s="12">
        <v>22</v>
      </c>
      <c r="D688" s="13" t="b">
        <v>0</v>
      </c>
      <c r="E688" s="12">
        <v>1</v>
      </c>
      <c r="F688" s="12">
        <v>2</v>
      </c>
      <c r="G688" s="1">
        <v>0.16</v>
      </c>
      <c r="H688" s="25">
        <v>0.18179999999999999</v>
      </c>
      <c r="I688" s="1">
        <v>0.59</v>
      </c>
      <c r="J688" s="1">
        <v>0.1045</v>
      </c>
      <c r="K688" s="1">
        <v>0</v>
      </c>
      <c r="L688" s="1">
        <v>34</v>
      </c>
      <c r="M688" s="6">
        <v>34</v>
      </c>
      <c r="N688" s="6" t="str">
        <f>IF(OR(Table3[[#This Row],[weekday]]=0,Table3[[#This Row],[weekday]]=6),"Weekend","Weekday")</f>
        <v>Weekday</v>
      </c>
    </row>
    <row r="689" spans="1:14" ht="15" thickBot="1" x14ac:dyDescent="0.35">
      <c r="A689" s="10">
        <v>688</v>
      </c>
      <c r="B689" s="11">
        <v>40574</v>
      </c>
      <c r="C689" s="12">
        <v>23</v>
      </c>
      <c r="D689" s="13" t="b">
        <v>0</v>
      </c>
      <c r="E689" s="12">
        <v>1</v>
      </c>
      <c r="F689" s="12">
        <v>2</v>
      </c>
      <c r="G689" s="1">
        <v>0.16</v>
      </c>
      <c r="H689" s="25">
        <v>0.19700000000000001</v>
      </c>
      <c r="I689" s="1">
        <v>0.64</v>
      </c>
      <c r="J689" s="1">
        <v>8.9599999999999999E-2</v>
      </c>
      <c r="K689" s="1">
        <v>2</v>
      </c>
      <c r="L689" s="1">
        <v>15</v>
      </c>
      <c r="M689" s="6">
        <v>17</v>
      </c>
      <c r="N689" s="6" t="str">
        <f>IF(OR(Table3[[#This Row],[weekday]]=0,Table3[[#This Row],[weekday]]=6),"Weekend","Weekday")</f>
        <v>Weekday</v>
      </c>
    </row>
    <row r="690" spans="1:14" ht="15" thickBot="1" x14ac:dyDescent="0.35">
      <c r="A690" s="10">
        <v>689</v>
      </c>
      <c r="B690" s="11">
        <v>40575</v>
      </c>
      <c r="C690" s="12">
        <v>0</v>
      </c>
      <c r="D690" s="13" t="b">
        <v>0</v>
      </c>
      <c r="E690" s="12">
        <v>2</v>
      </c>
      <c r="F690" s="12">
        <v>2</v>
      </c>
      <c r="G690" s="1">
        <v>0.16</v>
      </c>
      <c r="H690" s="25">
        <v>0.18179999999999999</v>
      </c>
      <c r="I690" s="1">
        <v>0.64</v>
      </c>
      <c r="J690" s="1">
        <v>0.1045</v>
      </c>
      <c r="K690" s="1">
        <v>2</v>
      </c>
      <c r="L690" s="1">
        <v>6</v>
      </c>
      <c r="M690" s="6">
        <v>8</v>
      </c>
      <c r="N690" s="6" t="str">
        <f>IF(OR(Table3[[#This Row],[weekday]]=0,Table3[[#This Row],[weekday]]=6),"Weekend","Weekday")</f>
        <v>Weekday</v>
      </c>
    </row>
    <row r="691" spans="1:14" ht="15" thickBot="1" x14ac:dyDescent="0.35">
      <c r="A691" s="10">
        <v>690</v>
      </c>
      <c r="B691" s="11">
        <v>40575</v>
      </c>
      <c r="C691" s="12">
        <v>1</v>
      </c>
      <c r="D691" s="13" t="b">
        <v>0</v>
      </c>
      <c r="E691" s="12">
        <v>2</v>
      </c>
      <c r="F691" s="12">
        <v>2</v>
      </c>
      <c r="G691" s="1">
        <v>0.16</v>
      </c>
      <c r="H691" s="25">
        <v>0.18179999999999999</v>
      </c>
      <c r="I691" s="1">
        <v>0.69</v>
      </c>
      <c r="J691" s="1">
        <v>0.1045</v>
      </c>
      <c r="K691" s="1">
        <v>0</v>
      </c>
      <c r="L691" s="1">
        <v>3</v>
      </c>
      <c r="M691" s="6">
        <v>3</v>
      </c>
      <c r="N691" s="6" t="str">
        <f>IF(OR(Table3[[#This Row],[weekday]]=0,Table3[[#This Row],[weekday]]=6),"Weekend","Weekday")</f>
        <v>Weekday</v>
      </c>
    </row>
    <row r="692" spans="1:14" ht="15" thickBot="1" x14ac:dyDescent="0.35">
      <c r="A692" s="10">
        <v>691</v>
      </c>
      <c r="B692" s="11">
        <v>40575</v>
      </c>
      <c r="C692" s="12">
        <v>2</v>
      </c>
      <c r="D692" s="13" t="b">
        <v>0</v>
      </c>
      <c r="E692" s="12">
        <v>2</v>
      </c>
      <c r="F692" s="12">
        <v>2</v>
      </c>
      <c r="G692" s="1">
        <v>0.16</v>
      </c>
      <c r="H692" s="25">
        <v>0.2273</v>
      </c>
      <c r="I692" s="1">
        <v>0.69</v>
      </c>
      <c r="J692" s="1">
        <v>0</v>
      </c>
      <c r="K692" s="1">
        <v>0</v>
      </c>
      <c r="L692" s="1">
        <v>2</v>
      </c>
      <c r="M692" s="6">
        <v>2</v>
      </c>
      <c r="N692" s="6" t="str">
        <f>IF(OR(Table3[[#This Row],[weekday]]=0,Table3[[#This Row],[weekday]]=6),"Weekend","Weekday")</f>
        <v>Weekday</v>
      </c>
    </row>
    <row r="693" spans="1:14" ht="15" thickBot="1" x14ac:dyDescent="0.35">
      <c r="A693" s="10">
        <v>692</v>
      </c>
      <c r="B693" s="11">
        <v>40575</v>
      </c>
      <c r="C693" s="12">
        <v>3</v>
      </c>
      <c r="D693" s="13" t="b">
        <v>0</v>
      </c>
      <c r="E693" s="12">
        <v>2</v>
      </c>
      <c r="F693" s="12">
        <v>2</v>
      </c>
      <c r="G693" s="1">
        <v>0.16</v>
      </c>
      <c r="H693" s="25">
        <v>0.2273</v>
      </c>
      <c r="I693" s="1">
        <v>0.69</v>
      </c>
      <c r="J693" s="1">
        <v>0</v>
      </c>
      <c r="K693" s="1">
        <v>0</v>
      </c>
      <c r="L693" s="1">
        <v>2</v>
      </c>
      <c r="M693" s="6">
        <v>2</v>
      </c>
      <c r="N693" s="6" t="str">
        <f>IF(OR(Table3[[#This Row],[weekday]]=0,Table3[[#This Row],[weekday]]=6),"Weekend","Weekday")</f>
        <v>Weekday</v>
      </c>
    </row>
    <row r="694" spans="1:14" ht="15" thickBot="1" x14ac:dyDescent="0.35">
      <c r="A694" s="10">
        <v>693</v>
      </c>
      <c r="B694" s="11">
        <v>40575</v>
      </c>
      <c r="C694" s="12">
        <v>5</v>
      </c>
      <c r="D694" s="13" t="b">
        <v>0</v>
      </c>
      <c r="E694" s="12">
        <v>2</v>
      </c>
      <c r="F694" s="12">
        <v>3</v>
      </c>
      <c r="G694" s="1">
        <v>0.14000000000000001</v>
      </c>
      <c r="H694" s="25">
        <v>0.21210000000000001</v>
      </c>
      <c r="I694" s="1">
        <v>0.93</v>
      </c>
      <c r="J694" s="1">
        <v>0</v>
      </c>
      <c r="K694" s="1">
        <v>0</v>
      </c>
      <c r="L694" s="1">
        <v>3</v>
      </c>
      <c r="M694" s="6">
        <v>3</v>
      </c>
      <c r="N694" s="6" t="str">
        <f>IF(OR(Table3[[#This Row],[weekday]]=0,Table3[[#This Row],[weekday]]=6),"Weekend","Weekday")</f>
        <v>Weekday</v>
      </c>
    </row>
    <row r="695" spans="1:14" ht="15" thickBot="1" x14ac:dyDescent="0.35">
      <c r="A695" s="10">
        <v>694</v>
      </c>
      <c r="B695" s="11">
        <v>40575</v>
      </c>
      <c r="C695" s="12">
        <v>6</v>
      </c>
      <c r="D695" s="13" t="b">
        <v>0</v>
      </c>
      <c r="E695" s="12">
        <v>2</v>
      </c>
      <c r="F695" s="12">
        <v>3</v>
      </c>
      <c r="G695" s="1">
        <v>0.14000000000000001</v>
      </c>
      <c r="H695" s="25">
        <v>0.21210000000000001</v>
      </c>
      <c r="I695" s="1">
        <v>0.93</v>
      </c>
      <c r="J695" s="1">
        <v>0</v>
      </c>
      <c r="K695" s="1">
        <v>0</v>
      </c>
      <c r="L695" s="1">
        <v>22</v>
      </c>
      <c r="M695" s="6">
        <v>22</v>
      </c>
      <c r="N695" s="6" t="str">
        <f>IF(OR(Table3[[#This Row],[weekday]]=0,Table3[[#This Row],[weekday]]=6),"Weekend","Weekday")</f>
        <v>Weekday</v>
      </c>
    </row>
    <row r="696" spans="1:14" ht="15" thickBot="1" x14ac:dyDescent="0.35">
      <c r="A696" s="10">
        <v>695</v>
      </c>
      <c r="B696" s="11">
        <v>40575</v>
      </c>
      <c r="C696" s="12">
        <v>7</v>
      </c>
      <c r="D696" s="13" t="b">
        <v>0</v>
      </c>
      <c r="E696" s="12">
        <v>2</v>
      </c>
      <c r="F696" s="12">
        <v>3</v>
      </c>
      <c r="G696" s="1">
        <v>0.16</v>
      </c>
      <c r="H696" s="25">
        <v>0.2273</v>
      </c>
      <c r="I696" s="1">
        <v>0.93</v>
      </c>
      <c r="J696" s="1">
        <v>0</v>
      </c>
      <c r="K696" s="1">
        <v>0</v>
      </c>
      <c r="L696" s="1">
        <v>52</v>
      </c>
      <c r="M696" s="6">
        <v>52</v>
      </c>
      <c r="N696" s="6" t="str">
        <f>IF(OR(Table3[[#This Row],[weekday]]=0,Table3[[#This Row],[weekday]]=6),"Weekend","Weekday")</f>
        <v>Weekday</v>
      </c>
    </row>
    <row r="697" spans="1:14" ht="15" thickBot="1" x14ac:dyDescent="0.35">
      <c r="A697" s="10">
        <v>696</v>
      </c>
      <c r="B697" s="11">
        <v>40575</v>
      </c>
      <c r="C697" s="12">
        <v>8</v>
      </c>
      <c r="D697" s="13" t="b">
        <v>0</v>
      </c>
      <c r="E697" s="12">
        <v>2</v>
      </c>
      <c r="F697" s="12">
        <v>3</v>
      </c>
      <c r="G697" s="1">
        <v>0.16</v>
      </c>
      <c r="H697" s="25">
        <v>0.2273</v>
      </c>
      <c r="I697" s="1">
        <v>0.93</v>
      </c>
      <c r="J697" s="1">
        <v>0</v>
      </c>
      <c r="K697" s="1">
        <v>3</v>
      </c>
      <c r="L697" s="1">
        <v>132</v>
      </c>
      <c r="M697" s="6">
        <v>135</v>
      </c>
      <c r="N697" s="6" t="str">
        <f>IF(OR(Table3[[#This Row],[weekday]]=0,Table3[[#This Row],[weekday]]=6),"Weekend","Weekday")</f>
        <v>Weekday</v>
      </c>
    </row>
    <row r="698" spans="1:14" ht="15" thickBot="1" x14ac:dyDescent="0.35">
      <c r="A698" s="10">
        <v>697</v>
      </c>
      <c r="B698" s="11">
        <v>40575</v>
      </c>
      <c r="C698" s="12">
        <v>9</v>
      </c>
      <c r="D698" s="13" t="b">
        <v>0</v>
      </c>
      <c r="E698" s="12">
        <v>2</v>
      </c>
      <c r="F698" s="12">
        <v>2</v>
      </c>
      <c r="G698" s="1">
        <v>0.16</v>
      </c>
      <c r="H698" s="25">
        <v>0.2273</v>
      </c>
      <c r="I698" s="1">
        <v>0.93</v>
      </c>
      <c r="J698" s="1">
        <v>0</v>
      </c>
      <c r="K698" s="1">
        <v>2</v>
      </c>
      <c r="L698" s="1">
        <v>114</v>
      </c>
      <c r="M698" s="6">
        <v>116</v>
      </c>
      <c r="N698" s="6" t="str">
        <f>IF(OR(Table3[[#This Row],[weekday]]=0,Table3[[#This Row],[weekday]]=6),"Weekend","Weekday")</f>
        <v>Weekday</v>
      </c>
    </row>
    <row r="699" spans="1:14" ht="15" thickBot="1" x14ac:dyDescent="0.35">
      <c r="A699" s="10">
        <v>698</v>
      </c>
      <c r="B699" s="11">
        <v>40575</v>
      </c>
      <c r="C699" s="12">
        <v>10</v>
      </c>
      <c r="D699" s="13" t="b">
        <v>0</v>
      </c>
      <c r="E699" s="12">
        <v>2</v>
      </c>
      <c r="F699" s="12">
        <v>2</v>
      </c>
      <c r="G699" s="1">
        <v>0.16</v>
      </c>
      <c r="H699" s="25">
        <v>0.2273</v>
      </c>
      <c r="I699" s="1">
        <v>0.93</v>
      </c>
      <c r="J699" s="1">
        <v>0</v>
      </c>
      <c r="K699" s="1">
        <v>0</v>
      </c>
      <c r="L699" s="1">
        <v>47</v>
      </c>
      <c r="M699" s="6">
        <v>47</v>
      </c>
      <c r="N699" s="6" t="str">
        <f>IF(OR(Table3[[#This Row],[weekday]]=0,Table3[[#This Row],[weekday]]=6),"Weekend","Weekday")</f>
        <v>Weekday</v>
      </c>
    </row>
    <row r="700" spans="1:14" ht="15" thickBot="1" x14ac:dyDescent="0.35">
      <c r="A700" s="10">
        <v>699</v>
      </c>
      <c r="B700" s="11">
        <v>40575</v>
      </c>
      <c r="C700" s="12">
        <v>11</v>
      </c>
      <c r="D700" s="13" t="b">
        <v>0</v>
      </c>
      <c r="E700" s="12">
        <v>2</v>
      </c>
      <c r="F700" s="12">
        <v>2</v>
      </c>
      <c r="G700" s="1">
        <v>0.18</v>
      </c>
      <c r="H700" s="25">
        <v>0.2424</v>
      </c>
      <c r="I700" s="1">
        <v>0.86</v>
      </c>
      <c r="J700" s="1">
        <v>0</v>
      </c>
      <c r="K700" s="1">
        <v>2</v>
      </c>
      <c r="L700" s="1">
        <v>49</v>
      </c>
      <c r="M700" s="6">
        <v>51</v>
      </c>
      <c r="N700" s="6" t="str">
        <f>IF(OR(Table3[[#This Row],[weekday]]=0,Table3[[#This Row],[weekday]]=6),"Weekend","Weekday")</f>
        <v>Weekday</v>
      </c>
    </row>
    <row r="701" spans="1:14" ht="15" thickBot="1" x14ac:dyDescent="0.35">
      <c r="A701" s="10">
        <v>700</v>
      </c>
      <c r="B701" s="11">
        <v>40575</v>
      </c>
      <c r="C701" s="12">
        <v>12</v>
      </c>
      <c r="D701" s="13" t="b">
        <v>0</v>
      </c>
      <c r="E701" s="12">
        <v>2</v>
      </c>
      <c r="F701" s="12">
        <v>2</v>
      </c>
      <c r="G701" s="1">
        <v>0.2</v>
      </c>
      <c r="H701" s="25">
        <v>0.2576</v>
      </c>
      <c r="I701" s="1">
        <v>0.86</v>
      </c>
      <c r="J701" s="1">
        <v>0</v>
      </c>
      <c r="K701" s="1">
        <v>2</v>
      </c>
      <c r="L701" s="1">
        <v>53</v>
      </c>
      <c r="M701" s="6">
        <v>55</v>
      </c>
      <c r="N701" s="6" t="str">
        <f>IF(OR(Table3[[#This Row],[weekday]]=0,Table3[[#This Row],[weekday]]=6),"Weekend","Weekday")</f>
        <v>Weekday</v>
      </c>
    </row>
    <row r="702" spans="1:14" ht="15" thickBot="1" x14ac:dyDescent="0.35">
      <c r="A702" s="10">
        <v>701</v>
      </c>
      <c r="B702" s="11">
        <v>40575</v>
      </c>
      <c r="C702" s="12">
        <v>13</v>
      </c>
      <c r="D702" s="13" t="b">
        <v>0</v>
      </c>
      <c r="E702" s="12">
        <v>2</v>
      </c>
      <c r="F702" s="12">
        <v>2</v>
      </c>
      <c r="G702" s="1">
        <v>0.2</v>
      </c>
      <c r="H702" s="25">
        <v>0.2576</v>
      </c>
      <c r="I702" s="1">
        <v>0.86</v>
      </c>
      <c r="J702" s="1">
        <v>0</v>
      </c>
      <c r="K702" s="1">
        <v>3</v>
      </c>
      <c r="L702" s="1">
        <v>49</v>
      </c>
      <c r="M702" s="6">
        <v>52</v>
      </c>
      <c r="N702" s="6" t="str">
        <f>IF(OR(Table3[[#This Row],[weekday]]=0,Table3[[#This Row],[weekday]]=6),"Weekend","Weekday")</f>
        <v>Weekday</v>
      </c>
    </row>
    <row r="703" spans="1:14" ht="15" thickBot="1" x14ac:dyDescent="0.35">
      <c r="A703" s="10">
        <v>702</v>
      </c>
      <c r="B703" s="11">
        <v>40575</v>
      </c>
      <c r="C703" s="12">
        <v>14</v>
      </c>
      <c r="D703" s="13" t="b">
        <v>0</v>
      </c>
      <c r="E703" s="12">
        <v>2</v>
      </c>
      <c r="F703" s="12">
        <v>2</v>
      </c>
      <c r="G703" s="1">
        <v>0.22</v>
      </c>
      <c r="H703" s="25">
        <v>0.2576</v>
      </c>
      <c r="I703" s="1">
        <v>0.8</v>
      </c>
      <c r="J703" s="1">
        <v>8.9599999999999999E-2</v>
      </c>
      <c r="K703" s="1">
        <v>5</v>
      </c>
      <c r="L703" s="1">
        <v>49</v>
      </c>
      <c r="M703" s="6">
        <v>54</v>
      </c>
      <c r="N703" s="6" t="str">
        <f>IF(OR(Table3[[#This Row],[weekday]]=0,Table3[[#This Row],[weekday]]=6),"Weekend","Weekday")</f>
        <v>Weekday</v>
      </c>
    </row>
    <row r="704" spans="1:14" ht="15" thickBot="1" x14ac:dyDescent="0.35">
      <c r="A704" s="10">
        <v>703</v>
      </c>
      <c r="B704" s="11">
        <v>40575</v>
      </c>
      <c r="C704" s="12">
        <v>15</v>
      </c>
      <c r="D704" s="13" t="b">
        <v>0</v>
      </c>
      <c r="E704" s="12">
        <v>2</v>
      </c>
      <c r="F704" s="12">
        <v>2</v>
      </c>
      <c r="G704" s="1">
        <v>0.24</v>
      </c>
      <c r="H704" s="25">
        <v>0.28789999999999999</v>
      </c>
      <c r="I704" s="1">
        <v>0.75</v>
      </c>
      <c r="J704" s="1">
        <v>0</v>
      </c>
      <c r="K704" s="1">
        <v>7</v>
      </c>
      <c r="L704" s="1">
        <v>45</v>
      </c>
      <c r="M704" s="6">
        <v>52</v>
      </c>
      <c r="N704" s="6" t="str">
        <f>IF(OR(Table3[[#This Row],[weekday]]=0,Table3[[#This Row],[weekday]]=6),"Weekend","Weekday")</f>
        <v>Weekday</v>
      </c>
    </row>
    <row r="705" spans="1:14" ht="15" thickBot="1" x14ac:dyDescent="0.35">
      <c r="A705" s="10">
        <v>704</v>
      </c>
      <c r="B705" s="11">
        <v>40575</v>
      </c>
      <c r="C705" s="12">
        <v>16</v>
      </c>
      <c r="D705" s="13" t="b">
        <v>0</v>
      </c>
      <c r="E705" s="12">
        <v>2</v>
      </c>
      <c r="F705" s="12">
        <v>2</v>
      </c>
      <c r="G705" s="1">
        <v>0.24</v>
      </c>
      <c r="H705" s="25">
        <v>0.2424</v>
      </c>
      <c r="I705" s="1">
        <v>0.75</v>
      </c>
      <c r="J705" s="1">
        <v>0.1343</v>
      </c>
      <c r="K705" s="1">
        <v>3</v>
      </c>
      <c r="L705" s="1">
        <v>61</v>
      </c>
      <c r="M705" s="6">
        <v>64</v>
      </c>
      <c r="N705" s="6" t="str">
        <f>IF(OR(Table3[[#This Row],[weekday]]=0,Table3[[#This Row],[weekday]]=6),"Weekend","Weekday")</f>
        <v>Weekday</v>
      </c>
    </row>
    <row r="706" spans="1:14" ht="15" thickBot="1" x14ac:dyDescent="0.35">
      <c r="A706" s="10">
        <v>705</v>
      </c>
      <c r="B706" s="11">
        <v>40575</v>
      </c>
      <c r="C706" s="12">
        <v>17</v>
      </c>
      <c r="D706" s="13" t="b">
        <v>0</v>
      </c>
      <c r="E706" s="12">
        <v>2</v>
      </c>
      <c r="F706" s="12">
        <v>2</v>
      </c>
      <c r="G706" s="1">
        <v>0.24</v>
      </c>
      <c r="H706" s="25">
        <v>0.28789999999999999</v>
      </c>
      <c r="I706" s="1">
        <v>0.75</v>
      </c>
      <c r="J706" s="1">
        <v>0</v>
      </c>
      <c r="K706" s="1">
        <v>4</v>
      </c>
      <c r="L706" s="1">
        <v>172</v>
      </c>
      <c r="M706" s="6">
        <v>176</v>
      </c>
      <c r="N706" s="6" t="str">
        <f>IF(OR(Table3[[#This Row],[weekday]]=0,Table3[[#This Row],[weekday]]=6),"Weekend","Weekday")</f>
        <v>Weekday</v>
      </c>
    </row>
    <row r="707" spans="1:14" ht="15" thickBot="1" x14ac:dyDescent="0.35">
      <c r="A707" s="10">
        <v>706</v>
      </c>
      <c r="B707" s="11">
        <v>40575</v>
      </c>
      <c r="C707" s="12">
        <v>18</v>
      </c>
      <c r="D707" s="13" t="b">
        <v>0</v>
      </c>
      <c r="E707" s="12">
        <v>2</v>
      </c>
      <c r="F707" s="12">
        <v>2</v>
      </c>
      <c r="G707" s="1">
        <v>0.24</v>
      </c>
      <c r="H707" s="25">
        <v>0.2576</v>
      </c>
      <c r="I707" s="1">
        <v>0.81</v>
      </c>
      <c r="J707" s="1">
        <v>0.1045</v>
      </c>
      <c r="K707" s="1">
        <v>3</v>
      </c>
      <c r="L707" s="1">
        <v>165</v>
      </c>
      <c r="M707" s="6">
        <v>168</v>
      </c>
      <c r="N707" s="6" t="str">
        <f>IF(OR(Table3[[#This Row],[weekday]]=0,Table3[[#This Row],[weekday]]=6),"Weekend","Weekday")</f>
        <v>Weekday</v>
      </c>
    </row>
    <row r="708" spans="1:14" ht="15" thickBot="1" x14ac:dyDescent="0.35">
      <c r="A708" s="10">
        <v>707</v>
      </c>
      <c r="B708" s="11">
        <v>40575</v>
      </c>
      <c r="C708" s="12">
        <v>19</v>
      </c>
      <c r="D708" s="13" t="b">
        <v>0</v>
      </c>
      <c r="E708" s="12">
        <v>2</v>
      </c>
      <c r="F708" s="12">
        <v>2</v>
      </c>
      <c r="G708" s="1">
        <v>0.24</v>
      </c>
      <c r="H708" s="25">
        <v>0.2424</v>
      </c>
      <c r="I708" s="1">
        <v>0.81</v>
      </c>
      <c r="J708" s="1">
        <v>0.1343</v>
      </c>
      <c r="K708" s="1">
        <v>3</v>
      </c>
      <c r="L708" s="1">
        <v>105</v>
      </c>
      <c r="M708" s="6">
        <v>108</v>
      </c>
      <c r="N708" s="6" t="str">
        <f>IF(OR(Table3[[#This Row],[weekday]]=0,Table3[[#This Row],[weekday]]=6),"Weekend","Weekday")</f>
        <v>Weekday</v>
      </c>
    </row>
    <row r="709" spans="1:14" ht="15" thickBot="1" x14ac:dyDescent="0.35">
      <c r="A709" s="10">
        <v>708</v>
      </c>
      <c r="B709" s="11">
        <v>40575</v>
      </c>
      <c r="C709" s="12">
        <v>20</v>
      </c>
      <c r="D709" s="13" t="b">
        <v>0</v>
      </c>
      <c r="E709" s="12">
        <v>2</v>
      </c>
      <c r="F709" s="12">
        <v>2</v>
      </c>
      <c r="G709" s="1">
        <v>0.22</v>
      </c>
      <c r="H709" s="25">
        <v>0.2273</v>
      </c>
      <c r="I709" s="1">
        <v>0.87</v>
      </c>
      <c r="J709" s="1">
        <v>0.1343</v>
      </c>
      <c r="K709" s="1">
        <v>5</v>
      </c>
      <c r="L709" s="1">
        <v>69</v>
      </c>
      <c r="M709" s="6">
        <v>74</v>
      </c>
      <c r="N709" s="6" t="str">
        <f>IF(OR(Table3[[#This Row],[weekday]]=0,Table3[[#This Row],[weekday]]=6),"Weekend","Weekday")</f>
        <v>Weekday</v>
      </c>
    </row>
    <row r="710" spans="1:14" ht="15" thickBot="1" x14ac:dyDescent="0.35">
      <c r="A710" s="10">
        <v>709</v>
      </c>
      <c r="B710" s="11">
        <v>40575</v>
      </c>
      <c r="C710" s="12">
        <v>21</v>
      </c>
      <c r="D710" s="13" t="b">
        <v>0</v>
      </c>
      <c r="E710" s="12">
        <v>2</v>
      </c>
      <c r="F710" s="12">
        <v>2</v>
      </c>
      <c r="G710" s="1">
        <v>0.22</v>
      </c>
      <c r="H710" s="25">
        <v>0.2273</v>
      </c>
      <c r="I710" s="1">
        <v>0.87</v>
      </c>
      <c r="J710" s="1">
        <v>0.1343</v>
      </c>
      <c r="K710" s="1">
        <v>0</v>
      </c>
      <c r="L710" s="1">
        <v>64</v>
      </c>
      <c r="M710" s="6">
        <v>64</v>
      </c>
      <c r="N710" s="6" t="str">
        <f>IF(OR(Table3[[#This Row],[weekday]]=0,Table3[[#This Row],[weekday]]=6),"Weekend","Weekday")</f>
        <v>Weekday</v>
      </c>
    </row>
    <row r="711" spans="1:14" ht="15" thickBot="1" x14ac:dyDescent="0.35">
      <c r="A711" s="10">
        <v>710</v>
      </c>
      <c r="B711" s="11">
        <v>40575</v>
      </c>
      <c r="C711" s="12">
        <v>22</v>
      </c>
      <c r="D711" s="13" t="b">
        <v>0</v>
      </c>
      <c r="E711" s="12">
        <v>2</v>
      </c>
      <c r="F711" s="12">
        <v>2</v>
      </c>
      <c r="G711" s="1">
        <v>0.22</v>
      </c>
      <c r="H711" s="25">
        <v>0.2576</v>
      </c>
      <c r="I711" s="1">
        <v>0.87</v>
      </c>
      <c r="J711" s="1">
        <v>8.9599999999999999E-2</v>
      </c>
      <c r="K711" s="1">
        <v>2</v>
      </c>
      <c r="L711" s="1">
        <v>34</v>
      </c>
      <c r="M711" s="6">
        <v>36</v>
      </c>
      <c r="N711" s="6" t="str">
        <f>IF(OR(Table3[[#This Row],[weekday]]=0,Table3[[#This Row],[weekday]]=6),"Weekend","Weekday")</f>
        <v>Weekday</v>
      </c>
    </row>
    <row r="712" spans="1:14" ht="15" thickBot="1" x14ac:dyDescent="0.35">
      <c r="A712" s="10">
        <v>711</v>
      </c>
      <c r="B712" s="11">
        <v>40575</v>
      </c>
      <c r="C712" s="12">
        <v>23</v>
      </c>
      <c r="D712" s="13" t="b">
        <v>0</v>
      </c>
      <c r="E712" s="12">
        <v>2</v>
      </c>
      <c r="F712" s="12">
        <v>3</v>
      </c>
      <c r="G712" s="1">
        <v>0.2</v>
      </c>
      <c r="H712" s="25">
        <v>0.19700000000000001</v>
      </c>
      <c r="I712" s="1">
        <v>0.93</v>
      </c>
      <c r="J712" s="1">
        <v>0.19400000000000001</v>
      </c>
      <c r="K712" s="1">
        <v>1</v>
      </c>
      <c r="L712" s="1">
        <v>15</v>
      </c>
      <c r="M712" s="6">
        <v>16</v>
      </c>
      <c r="N712" s="6" t="str">
        <f>IF(OR(Table3[[#This Row],[weekday]]=0,Table3[[#This Row],[weekday]]=6),"Weekend","Weekday")</f>
        <v>Weekday</v>
      </c>
    </row>
    <row r="713" spans="1:14" ht="15" thickBot="1" x14ac:dyDescent="0.35">
      <c r="A713" s="10">
        <v>712</v>
      </c>
      <c r="B713" s="11">
        <v>40576</v>
      </c>
      <c r="C713" s="12">
        <v>0</v>
      </c>
      <c r="D713" s="13" t="b">
        <v>0</v>
      </c>
      <c r="E713" s="12">
        <v>3</v>
      </c>
      <c r="F713" s="12">
        <v>3</v>
      </c>
      <c r="G713" s="1">
        <v>0.22</v>
      </c>
      <c r="H713" s="25">
        <v>0.2424</v>
      </c>
      <c r="I713" s="1">
        <v>0.93</v>
      </c>
      <c r="J713" s="1">
        <v>0.1045</v>
      </c>
      <c r="K713" s="1">
        <v>0</v>
      </c>
      <c r="L713" s="1">
        <v>2</v>
      </c>
      <c r="M713" s="6">
        <v>2</v>
      </c>
      <c r="N713" s="6" t="str">
        <f>IF(OR(Table3[[#This Row],[weekday]]=0,Table3[[#This Row],[weekday]]=6),"Weekend","Weekday")</f>
        <v>Weekday</v>
      </c>
    </row>
    <row r="714" spans="1:14" ht="15" thickBot="1" x14ac:dyDescent="0.35">
      <c r="A714" s="10">
        <v>713</v>
      </c>
      <c r="B714" s="11">
        <v>40576</v>
      </c>
      <c r="C714" s="12">
        <v>1</v>
      </c>
      <c r="D714" s="13" t="b">
        <v>0</v>
      </c>
      <c r="E714" s="12">
        <v>3</v>
      </c>
      <c r="F714" s="12">
        <v>3</v>
      </c>
      <c r="G714" s="1">
        <v>0.22</v>
      </c>
      <c r="H714" s="25">
        <v>0.2273</v>
      </c>
      <c r="I714" s="1">
        <v>0.93</v>
      </c>
      <c r="J714" s="1">
        <v>0.19400000000000001</v>
      </c>
      <c r="K714" s="1">
        <v>0</v>
      </c>
      <c r="L714" s="1">
        <v>3</v>
      </c>
      <c r="M714" s="6">
        <v>3</v>
      </c>
      <c r="N714" s="6" t="str">
        <f>IF(OR(Table3[[#This Row],[weekday]]=0,Table3[[#This Row],[weekday]]=6),"Weekend","Weekday")</f>
        <v>Weekday</v>
      </c>
    </row>
    <row r="715" spans="1:14" ht="15" thickBot="1" x14ac:dyDescent="0.35">
      <c r="A715" s="10">
        <v>714</v>
      </c>
      <c r="B715" s="11">
        <v>40576</v>
      </c>
      <c r="C715" s="12">
        <v>2</v>
      </c>
      <c r="D715" s="13" t="b">
        <v>0</v>
      </c>
      <c r="E715" s="12">
        <v>3</v>
      </c>
      <c r="F715" s="12">
        <v>3</v>
      </c>
      <c r="G715" s="1">
        <v>0.22</v>
      </c>
      <c r="H715" s="25">
        <v>0.2273</v>
      </c>
      <c r="I715" s="1">
        <v>0.93</v>
      </c>
      <c r="J715" s="1">
        <v>0.1343</v>
      </c>
      <c r="K715" s="1">
        <v>4</v>
      </c>
      <c r="L715" s="1">
        <v>0</v>
      </c>
      <c r="M715" s="6">
        <v>4</v>
      </c>
      <c r="N715" s="6" t="str">
        <f>IF(OR(Table3[[#This Row],[weekday]]=0,Table3[[#This Row],[weekday]]=6),"Weekend","Weekday")</f>
        <v>Weekday</v>
      </c>
    </row>
    <row r="716" spans="1:14" ht="15" thickBot="1" x14ac:dyDescent="0.35">
      <c r="A716" s="10">
        <v>715</v>
      </c>
      <c r="B716" s="11">
        <v>40576</v>
      </c>
      <c r="C716" s="12">
        <v>3</v>
      </c>
      <c r="D716" s="13" t="b">
        <v>0</v>
      </c>
      <c r="E716" s="12">
        <v>3</v>
      </c>
      <c r="F716" s="12">
        <v>3</v>
      </c>
      <c r="G716" s="1">
        <v>0.22</v>
      </c>
      <c r="H716" s="25">
        <v>0.2273</v>
      </c>
      <c r="I716" s="1">
        <v>0.93</v>
      </c>
      <c r="J716" s="1">
        <v>0.1343</v>
      </c>
      <c r="K716" s="1">
        <v>0</v>
      </c>
      <c r="L716" s="1">
        <v>1</v>
      </c>
      <c r="M716" s="6">
        <v>1</v>
      </c>
      <c r="N716" s="6" t="str">
        <f>IF(OR(Table3[[#This Row],[weekday]]=0,Table3[[#This Row],[weekday]]=6),"Weekend","Weekday")</f>
        <v>Weekday</v>
      </c>
    </row>
    <row r="717" spans="1:14" ht="15" thickBot="1" x14ac:dyDescent="0.35">
      <c r="A717" s="10">
        <v>716</v>
      </c>
      <c r="B717" s="11">
        <v>40576</v>
      </c>
      <c r="C717" s="12">
        <v>4</v>
      </c>
      <c r="D717" s="13" t="b">
        <v>0</v>
      </c>
      <c r="E717" s="12">
        <v>3</v>
      </c>
      <c r="F717" s="12">
        <v>3</v>
      </c>
      <c r="G717" s="1">
        <v>0.22</v>
      </c>
      <c r="H717" s="25">
        <v>0.21210000000000001</v>
      </c>
      <c r="I717" s="1">
        <v>0.93</v>
      </c>
      <c r="J717" s="1">
        <v>0.28360000000000002</v>
      </c>
      <c r="K717" s="1">
        <v>0</v>
      </c>
      <c r="L717" s="1">
        <v>1</v>
      </c>
      <c r="M717" s="6">
        <v>1</v>
      </c>
      <c r="N717" s="6" t="str">
        <f>IF(OR(Table3[[#This Row],[weekday]]=0,Table3[[#This Row],[weekday]]=6),"Weekend","Weekday")</f>
        <v>Weekday</v>
      </c>
    </row>
    <row r="718" spans="1:14" ht="15" thickBot="1" x14ac:dyDescent="0.35">
      <c r="A718" s="10">
        <v>717</v>
      </c>
      <c r="B718" s="11">
        <v>40576</v>
      </c>
      <c r="C718" s="12">
        <v>5</v>
      </c>
      <c r="D718" s="13" t="b">
        <v>0</v>
      </c>
      <c r="E718" s="12">
        <v>3</v>
      </c>
      <c r="F718" s="12">
        <v>3</v>
      </c>
      <c r="G718" s="1">
        <v>0.22</v>
      </c>
      <c r="H718" s="25">
        <v>0.2424</v>
      </c>
      <c r="I718" s="1">
        <v>0.93</v>
      </c>
      <c r="J718" s="1">
        <v>0.1045</v>
      </c>
      <c r="K718" s="1">
        <v>0</v>
      </c>
      <c r="L718" s="1">
        <v>3</v>
      </c>
      <c r="M718" s="6">
        <v>3</v>
      </c>
      <c r="N718" s="6" t="str">
        <f>IF(OR(Table3[[#This Row],[weekday]]=0,Table3[[#This Row],[weekday]]=6),"Weekend","Weekday")</f>
        <v>Weekday</v>
      </c>
    </row>
    <row r="719" spans="1:14" ht="15" thickBot="1" x14ac:dyDescent="0.35">
      <c r="A719" s="10">
        <v>718</v>
      </c>
      <c r="B719" s="11">
        <v>40576</v>
      </c>
      <c r="C719" s="12">
        <v>6</v>
      </c>
      <c r="D719" s="13" t="b">
        <v>0</v>
      </c>
      <c r="E719" s="12">
        <v>3</v>
      </c>
      <c r="F719" s="12">
        <v>3</v>
      </c>
      <c r="G719" s="1">
        <v>0.22</v>
      </c>
      <c r="H719" s="25">
        <v>0.2424</v>
      </c>
      <c r="I719" s="1">
        <v>0.93</v>
      </c>
      <c r="J719" s="1">
        <v>0.1045</v>
      </c>
      <c r="K719" s="1">
        <v>1</v>
      </c>
      <c r="L719" s="1">
        <v>17</v>
      </c>
      <c r="M719" s="6">
        <v>18</v>
      </c>
      <c r="N719" s="6" t="str">
        <f>IF(OR(Table3[[#This Row],[weekday]]=0,Table3[[#This Row],[weekday]]=6),"Weekend","Weekday")</f>
        <v>Weekday</v>
      </c>
    </row>
    <row r="720" spans="1:14" ht="15" thickBot="1" x14ac:dyDescent="0.35">
      <c r="A720" s="10">
        <v>719</v>
      </c>
      <c r="B720" s="11">
        <v>40576</v>
      </c>
      <c r="C720" s="12">
        <v>7</v>
      </c>
      <c r="D720" s="13" t="b">
        <v>0</v>
      </c>
      <c r="E720" s="12">
        <v>3</v>
      </c>
      <c r="F720" s="12">
        <v>3</v>
      </c>
      <c r="G720" s="1">
        <v>0.22</v>
      </c>
      <c r="H720" s="25">
        <v>0.21210000000000001</v>
      </c>
      <c r="I720" s="1">
        <v>0.93</v>
      </c>
      <c r="J720" s="1">
        <v>0.22389999999999999</v>
      </c>
      <c r="K720" s="1">
        <v>1</v>
      </c>
      <c r="L720" s="1">
        <v>48</v>
      </c>
      <c r="M720" s="6">
        <v>49</v>
      </c>
      <c r="N720" s="6" t="str">
        <f>IF(OR(Table3[[#This Row],[weekday]]=0,Table3[[#This Row],[weekday]]=6),"Weekend","Weekday")</f>
        <v>Weekday</v>
      </c>
    </row>
    <row r="721" spans="1:14" ht="15" thickBot="1" x14ac:dyDescent="0.35">
      <c r="A721" s="10">
        <v>720</v>
      </c>
      <c r="B721" s="11">
        <v>40576</v>
      </c>
      <c r="C721" s="12">
        <v>8</v>
      </c>
      <c r="D721" s="13" t="b">
        <v>0</v>
      </c>
      <c r="E721" s="12">
        <v>3</v>
      </c>
      <c r="F721" s="12">
        <v>3</v>
      </c>
      <c r="G721" s="1">
        <v>0.22</v>
      </c>
      <c r="H721" s="25">
        <v>0.21210000000000001</v>
      </c>
      <c r="I721" s="1">
        <v>0.93</v>
      </c>
      <c r="J721" s="1">
        <v>0.22389999999999999</v>
      </c>
      <c r="K721" s="1">
        <v>1</v>
      </c>
      <c r="L721" s="1">
        <v>154</v>
      </c>
      <c r="M721" s="6">
        <v>155</v>
      </c>
      <c r="N721" s="6" t="str">
        <f>IF(OR(Table3[[#This Row],[weekday]]=0,Table3[[#This Row],[weekday]]=6),"Weekend","Weekday")</f>
        <v>Weekday</v>
      </c>
    </row>
    <row r="722" spans="1:14" ht="15" thickBot="1" x14ac:dyDescent="0.35">
      <c r="A722" s="10">
        <v>721</v>
      </c>
      <c r="B722" s="11">
        <v>40576</v>
      </c>
      <c r="C722" s="12">
        <v>9</v>
      </c>
      <c r="D722" s="13" t="b">
        <v>0</v>
      </c>
      <c r="E722" s="12">
        <v>3</v>
      </c>
      <c r="F722" s="12">
        <v>2</v>
      </c>
      <c r="G722" s="1">
        <v>0.24</v>
      </c>
      <c r="H722" s="25">
        <v>0.2576</v>
      </c>
      <c r="I722" s="1">
        <v>0.93</v>
      </c>
      <c r="J722" s="1">
        <v>8.9599999999999999E-2</v>
      </c>
      <c r="K722" s="1">
        <v>4</v>
      </c>
      <c r="L722" s="1">
        <v>119</v>
      </c>
      <c r="M722" s="6">
        <v>123</v>
      </c>
      <c r="N722" s="6" t="str">
        <f>IF(OR(Table3[[#This Row],[weekday]]=0,Table3[[#This Row],[weekday]]=6),"Weekend","Weekday")</f>
        <v>Weekday</v>
      </c>
    </row>
    <row r="723" spans="1:14" ht="15" thickBot="1" x14ac:dyDescent="0.35">
      <c r="A723" s="10">
        <v>722</v>
      </c>
      <c r="B723" s="11">
        <v>40576</v>
      </c>
      <c r="C723" s="12">
        <v>10</v>
      </c>
      <c r="D723" s="13" t="b">
        <v>0</v>
      </c>
      <c r="E723" s="12">
        <v>3</v>
      </c>
      <c r="F723" s="12">
        <v>2</v>
      </c>
      <c r="G723" s="1">
        <v>0.22</v>
      </c>
      <c r="H723" s="25">
        <v>0.2727</v>
      </c>
      <c r="I723" s="1">
        <v>1</v>
      </c>
      <c r="J723" s="1">
        <v>0</v>
      </c>
      <c r="K723" s="1">
        <v>2</v>
      </c>
      <c r="L723" s="1">
        <v>59</v>
      </c>
      <c r="M723" s="6">
        <v>61</v>
      </c>
      <c r="N723" s="6" t="str">
        <f>IF(OR(Table3[[#This Row],[weekday]]=0,Table3[[#This Row],[weekday]]=6),"Weekend","Weekday")</f>
        <v>Weekday</v>
      </c>
    </row>
    <row r="724" spans="1:14" ht="15" thickBot="1" x14ac:dyDescent="0.35">
      <c r="A724" s="10">
        <v>723</v>
      </c>
      <c r="B724" s="11">
        <v>40576</v>
      </c>
      <c r="C724" s="12">
        <v>11</v>
      </c>
      <c r="D724" s="13" t="b">
        <v>0</v>
      </c>
      <c r="E724" s="12">
        <v>3</v>
      </c>
      <c r="F724" s="12">
        <v>2</v>
      </c>
      <c r="G724" s="1">
        <v>0.24</v>
      </c>
      <c r="H724" s="25">
        <v>0.2273</v>
      </c>
      <c r="I724" s="1">
        <v>0.93</v>
      </c>
      <c r="J724" s="1">
        <v>0.19400000000000001</v>
      </c>
      <c r="K724" s="1">
        <v>5</v>
      </c>
      <c r="L724" s="1">
        <v>47</v>
      </c>
      <c r="M724" s="6">
        <v>52</v>
      </c>
      <c r="N724" s="6" t="str">
        <f>IF(OR(Table3[[#This Row],[weekday]]=0,Table3[[#This Row],[weekday]]=6),"Weekend","Weekday")</f>
        <v>Weekday</v>
      </c>
    </row>
    <row r="725" spans="1:14" ht="15" thickBot="1" x14ac:dyDescent="0.35">
      <c r="A725" s="10">
        <v>724</v>
      </c>
      <c r="B725" s="11">
        <v>40576</v>
      </c>
      <c r="C725" s="12">
        <v>12</v>
      </c>
      <c r="D725" s="13" t="b">
        <v>0</v>
      </c>
      <c r="E725" s="12">
        <v>3</v>
      </c>
      <c r="F725" s="12">
        <v>2</v>
      </c>
      <c r="G725" s="1">
        <v>0.24</v>
      </c>
      <c r="H725" s="25">
        <v>0.2273</v>
      </c>
      <c r="I725" s="1">
        <v>0.93</v>
      </c>
      <c r="J725" s="1">
        <v>0.22389999999999999</v>
      </c>
      <c r="K725" s="1">
        <v>3</v>
      </c>
      <c r="L725" s="1">
        <v>61</v>
      </c>
      <c r="M725" s="6">
        <v>64</v>
      </c>
      <c r="N725" s="6" t="str">
        <f>IF(OR(Table3[[#This Row],[weekday]]=0,Table3[[#This Row],[weekday]]=6),"Weekend","Weekday")</f>
        <v>Weekday</v>
      </c>
    </row>
    <row r="726" spans="1:14" ht="15" thickBot="1" x14ac:dyDescent="0.35">
      <c r="A726" s="10">
        <v>725</v>
      </c>
      <c r="B726" s="11">
        <v>40576</v>
      </c>
      <c r="C726" s="12">
        <v>13</v>
      </c>
      <c r="D726" s="13" t="b">
        <v>0</v>
      </c>
      <c r="E726" s="12">
        <v>3</v>
      </c>
      <c r="F726" s="12">
        <v>1</v>
      </c>
      <c r="G726" s="1">
        <v>0.34</v>
      </c>
      <c r="H726" s="25">
        <v>0.33329999999999999</v>
      </c>
      <c r="I726" s="1">
        <v>0.93</v>
      </c>
      <c r="J726" s="1">
        <v>0.16420000000000001</v>
      </c>
      <c r="K726" s="1">
        <v>1</v>
      </c>
      <c r="L726" s="1">
        <v>74</v>
      </c>
      <c r="M726" s="6">
        <v>75</v>
      </c>
      <c r="N726" s="6" t="str">
        <f>IF(OR(Table3[[#This Row],[weekday]]=0,Table3[[#This Row],[weekday]]=6),"Weekend","Weekday")</f>
        <v>Weekday</v>
      </c>
    </row>
    <row r="727" spans="1:14" ht="15" thickBot="1" x14ac:dyDescent="0.35">
      <c r="A727" s="10">
        <v>726</v>
      </c>
      <c r="B727" s="11">
        <v>40576</v>
      </c>
      <c r="C727" s="12">
        <v>14</v>
      </c>
      <c r="D727" s="13" t="b">
        <v>0</v>
      </c>
      <c r="E727" s="12">
        <v>3</v>
      </c>
      <c r="F727" s="12">
        <v>1</v>
      </c>
      <c r="G727" s="1">
        <v>0.38</v>
      </c>
      <c r="H727" s="25">
        <v>0.39389999999999997</v>
      </c>
      <c r="I727" s="1">
        <v>0.82</v>
      </c>
      <c r="J727" s="1">
        <v>0.3881</v>
      </c>
      <c r="K727" s="1">
        <v>2</v>
      </c>
      <c r="L727" s="1">
        <v>61</v>
      </c>
      <c r="M727" s="6">
        <v>63</v>
      </c>
      <c r="N727" s="6" t="str">
        <f>IF(OR(Table3[[#This Row],[weekday]]=0,Table3[[#This Row],[weekday]]=6),"Weekend","Weekday")</f>
        <v>Weekday</v>
      </c>
    </row>
    <row r="728" spans="1:14" ht="15" thickBot="1" x14ac:dyDescent="0.35">
      <c r="A728" s="10">
        <v>727</v>
      </c>
      <c r="B728" s="11">
        <v>40576</v>
      </c>
      <c r="C728" s="12">
        <v>15</v>
      </c>
      <c r="D728" s="13" t="b">
        <v>0</v>
      </c>
      <c r="E728" s="12">
        <v>3</v>
      </c>
      <c r="F728" s="12">
        <v>1</v>
      </c>
      <c r="G728" s="1">
        <v>0.38</v>
      </c>
      <c r="H728" s="25">
        <v>0.39389999999999997</v>
      </c>
      <c r="I728" s="1">
        <v>0.76</v>
      </c>
      <c r="J728" s="1">
        <v>0.32840000000000003</v>
      </c>
      <c r="K728" s="1">
        <v>10</v>
      </c>
      <c r="L728" s="1">
        <v>66</v>
      </c>
      <c r="M728" s="6">
        <v>76</v>
      </c>
      <c r="N728" s="6" t="str">
        <f>IF(OR(Table3[[#This Row],[weekday]]=0,Table3[[#This Row],[weekday]]=6),"Weekend","Weekday")</f>
        <v>Weekday</v>
      </c>
    </row>
    <row r="729" spans="1:14" ht="15" thickBot="1" x14ac:dyDescent="0.35">
      <c r="A729" s="10">
        <v>728</v>
      </c>
      <c r="B729" s="11">
        <v>40576</v>
      </c>
      <c r="C729" s="12">
        <v>16</v>
      </c>
      <c r="D729" s="13" t="b">
        <v>0</v>
      </c>
      <c r="E729" s="12">
        <v>3</v>
      </c>
      <c r="F729" s="12">
        <v>1</v>
      </c>
      <c r="G729" s="1">
        <v>0.36</v>
      </c>
      <c r="H729" s="25">
        <v>0.33329999999999999</v>
      </c>
      <c r="I729" s="1">
        <v>0.71</v>
      </c>
      <c r="J729" s="1">
        <v>0.29849999999999999</v>
      </c>
      <c r="K729" s="1">
        <v>8</v>
      </c>
      <c r="L729" s="1">
        <v>95</v>
      </c>
      <c r="M729" s="6">
        <v>103</v>
      </c>
      <c r="N729" s="6" t="str">
        <f>IF(OR(Table3[[#This Row],[weekday]]=0,Table3[[#This Row],[weekday]]=6),"Weekend","Weekday")</f>
        <v>Weekday</v>
      </c>
    </row>
    <row r="730" spans="1:14" ht="15" thickBot="1" x14ac:dyDescent="0.35">
      <c r="A730" s="10">
        <v>729</v>
      </c>
      <c r="B730" s="11">
        <v>40576</v>
      </c>
      <c r="C730" s="12">
        <v>17</v>
      </c>
      <c r="D730" s="13" t="b">
        <v>0</v>
      </c>
      <c r="E730" s="12">
        <v>3</v>
      </c>
      <c r="F730" s="12">
        <v>1</v>
      </c>
      <c r="G730" s="1">
        <v>0.36</v>
      </c>
      <c r="H730" s="25">
        <v>0.31819999999999998</v>
      </c>
      <c r="I730" s="1">
        <v>0.53</v>
      </c>
      <c r="J730" s="1">
        <v>0.52239999999999998</v>
      </c>
      <c r="K730" s="1">
        <v>7</v>
      </c>
      <c r="L730" s="1">
        <v>183</v>
      </c>
      <c r="M730" s="6">
        <v>190</v>
      </c>
      <c r="N730" s="6" t="str">
        <f>IF(OR(Table3[[#This Row],[weekday]]=0,Table3[[#This Row],[weekday]]=6),"Weekend","Weekday")</f>
        <v>Weekday</v>
      </c>
    </row>
    <row r="731" spans="1:14" ht="15" thickBot="1" x14ac:dyDescent="0.35">
      <c r="A731" s="10">
        <v>730</v>
      </c>
      <c r="B731" s="11">
        <v>40576</v>
      </c>
      <c r="C731" s="12">
        <v>18</v>
      </c>
      <c r="D731" s="13" t="b">
        <v>0</v>
      </c>
      <c r="E731" s="12">
        <v>3</v>
      </c>
      <c r="F731" s="12">
        <v>1</v>
      </c>
      <c r="G731" s="1">
        <v>0.34</v>
      </c>
      <c r="H731" s="25">
        <v>0.28789999999999999</v>
      </c>
      <c r="I731" s="1">
        <v>0.42</v>
      </c>
      <c r="J731" s="1">
        <v>0.55220000000000002</v>
      </c>
      <c r="K731" s="1">
        <v>7</v>
      </c>
      <c r="L731" s="1">
        <v>175</v>
      </c>
      <c r="M731" s="6">
        <v>182</v>
      </c>
      <c r="N731" s="6" t="str">
        <f>IF(OR(Table3[[#This Row],[weekday]]=0,Table3[[#This Row],[weekday]]=6),"Weekend","Weekday")</f>
        <v>Weekday</v>
      </c>
    </row>
    <row r="732" spans="1:14" ht="15" thickBot="1" x14ac:dyDescent="0.35">
      <c r="A732" s="10">
        <v>731</v>
      </c>
      <c r="B732" s="11">
        <v>40576</v>
      </c>
      <c r="C732" s="12">
        <v>19</v>
      </c>
      <c r="D732" s="13" t="b">
        <v>0</v>
      </c>
      <c r="E732" s="12">
        <v>3</v>
      </c>
      <c r="F732" s="12">
        <v>1</v>
      </c>
      <c r="G732" s="1">
        <v>0.28000000000000003</v>
      </c>
      <c r="H732" s="25">
        <v>0.2424</v>
      </c>
      <c r="I732" s="1">
        <v>0.45</v>
      </c>
      <c r="J732" s="1">
        <v>0.49249999999999999</v>
      </c>
      <c r="K732" s="1">
        <v>3</v>
      </c>
      <c r="L732" s="1">
        <v>88</v>
      </c>
      <c r="M732" s="6">
        <v>91</v>
      </c>
      <c r="N732" s="6" t="str">
        <f>IF(OR(Table3[[#This Row],[weekday]]=0,Table3[[#This Row],[weekday]]=6),"Weekend","Weekday")</f>
        <v>Weekday</v>
      </c>
    </row>
    <row r="733" spans="1:14" ht="15" thickBot="1" x14ac:dyDescent="0.35">
      <c r="A733" s="10">
        <v>732</v>
      </c>
      <c r="B733" s="11">
        <v>40576</v>
      </c>
      <c r="C733" s="12">
        <v>20</v>
      </c>
      <c r="D733" s="13" t="b">
        <v>0</v>
      </c>
      <c r="E733" s="12">
        <v>3</v>
      </c>
      <c r="F733" s="12">
        <v>1</v>
      </c>
      <c r="G733" s="1">
        <v>0.24</v>
      </c>
      <c r="H733" s="25">
        <v>0.19700000000000001</v>
      </c>
      <c r="I733" s="1">
        <v>0.48</v>
      </c>
      <c r="J733" s="1">
        <v>0.55220000000000002</v>
      </c>
      <c r="K733" s="1">
        <v>4</v>
      </c>
      <c r="L733" s="1">
        <v>71</v>
      </c>
      <c r="M733" s="6">
        <v>75</v>
      </c>
      <c r="N733" s="6" t="str">
        <f>IF(OR(Table3[[#This Row],[weekday]]=0,Table3[[#This Row],[weekday]]=6),"Weekend","Weekday")</f>
        <v>Weekday</v>
      </c>
    </row>
    <row r="734" spans="1:14" ht="15" thickBot="1" x14ac:dyDescent="0.35">
      <c r="A734" s="10">
        <v>733</v>
      </c>
      <c r="B734" s="11">
        <v>40576</v>
      </c>
      <c r="C734" s="12">
        <v>21</v>
      </c>
      <c r="D734" s="13" t="b">
        <v>0</v>
      </c>
      <c r="E734" s="12">
        <v>3</v>
      </c>
      <c r="F734" s="12">
        <v>1</v>
      </c>
      <c r="G734" s="1">
        <v>0.22</v>
      </c>
      <c r="H734" s="25">
        <v>0.19700000000000001</v>
      </c>
      <c r="I734" s="1">
        <v>0.47</v>
      </c>
      <c r="J734" s="1">
        <v>0.32840000000000003</v>
      </c>
      <c r="K734" s="1">
        <v>1</v>
      </c>
      <c r="L734" s="1">
        <v>62</v>
      </c>
      <c r="M734" s="6">
        <v>63</v>
      </c>
      <c r="N734" s="6" t="str">
        <f>IF(OR(Table3[[#This Row],[weekday]]=0,Table3[[#This Row],[weekday]]=6),"Weekend","Weekday")</f>
        <v>Weekday</v>
      </c>
    </row>
    <row r="735" spans="1:14" ht="15" thickBot="1" x14ac:dyDescent="0.35">
      <c r="A735" s="10">
        <v>734</v>
      </c>
      <c r="B735" s="11">
        <v>40576</v>
      </c>
      <c r="C735" s="12">
        <v>22</v>
      </c>
      <c r="D735" s="13" t="b">
        <v>0</v>
      </c>
      <c r="E735" s="12">
        <v>3</v>
      </c>
      <c r="F735" s="12">
        <v>1</v>
      </c>
      <c r="G735" s="1">
        <v>0.22</v>
      </c>
      <c r="H735" s="25">
        <v>0.21210000000000001</v>
      </c>
      <c r="I735" s="1">
        <v>0.44</v>
      </c>
      <c r="J735" s="1">
        <v>0.25369999999999998</v>
      </c>
      <c r="K735" s="1">
        <v>5</v>
      </c>
      <c r="L735" s="1">
        <v>35</v>
      </c>
      <c r="M735" s="6">
        <v>40</v>
      </c>
      <c r="N735" s="6" t="str">
        <f>IF(OR(Table3[[#This Row],[weekday]]=0,Table3[[#This Row],[weekday]]=6),"Weekend","Weekday")</f>
        <v>Weekday</v>
      </c>
    </row>
    <row r="736" spans="1:14" ht="15" thickBot="1" x14ac:dyDescent="0.35">
      <c r="A736" s="10">
        <v>735</v>
      </c>
      <c r="B736" s="11">
        <v>40576</v>
      </c>
      <c r="C736" s="12">
        <v>23</v>
      </c>
      <c r="D736" s="13" t="b">
        <v>0</v>
      </c>
      <c r="E736" s="12">
        <v>3</v>
      </c>
      <c r="F736" s="12">
        <v>1</v>
      </c>
      <c r="G736" s="1">
        <v>0.2</v>
      </c>
      <c r="H736" s="25">
        <v>0.16669999999999999</v>
      </c>
      <c r="I736" s="1">
        <v>0.44</v>
      </c>
      <c r="J736" s="1">
        <v>0.44779999999999998</v>
      </c>
      <c r="K736" s="1">
        <v>3</v>
      </c>
      <c r="L736" s="1">
        <v>29</v>
      </c>
      <c r="M736" s="6">
        <v>32</v>
      </c>
      <c r="N736" s="6" t="str">
        <f>IF(OR(Table3[[#This Row],[weekday]]=0,Table3[[#This Row],[weekday]]=6),"Weekend","Weekday")</f>
        <v>Weekday</v>
      </c>
    </row>
    <row r="737" spans="1:14" ht="15" thickBot="1" x14ac:dyDescent="0.35">
      <c r="A737" s="10">
        <v>736</v>
      </c>
      <c r="B737" s="11">
        <v>40577</v>
      </c>
      <c r="C737" s="12">
        <v>0</v>
      </c>
      <c r="D737" s="13" t="b">
        <v>0</v>
      </c>
      <c r="E737" s="12">
        <v>4</v>
      </c>
      <c r="F737" s="12">
        <v>1</v>
      </c>
      <c r="G737" s="1">
        <v>0.2</v>
      </c>
      <c r="H737" s="25">
        <v>0.16669999999999999</v>
      </c>
      <c r="I737" s="1">
        <v>0.4</v>
      </c>
      <c r="J737" s="1">
        <v>0.44779999999999998</v>
      </c>
      <c r="K737" s="1">
        <v>1</v>
      </c>
      <c r="L737" s="1">
        <v>11</v>
      </c>
      <c r="M737" s="6">
        <v>12</v>
      </c>
      <c r="N737" s="6" t="str">
        <f>IF(OR(Table3[[#This Row],[weekday]]=0,Table3[[#This Row],[weekday]]=6),"Weekend","Weekday")</f>
        <v>Weekday</v>
      </c>
    </row>
    <row r="738" spans="1:14" ht="15" thickBot="1" x14ac:dyDescent="0.35">
      <c r="A738" s="10">
        <v>737</v>
      </c>
      <c r="B738" s="11">
        <v>40577</v>
      </c>
      <c r="C738" s="12">
        <v>1</v>
      </c>
      <c r="D738" s="13" t="b">
        <v>0</v>
      </c>
      <c r="E738" s="12">
        <v>4</v>
      </c>
      <c r="F738" s="12">
        <v>1</v>
      </c>
      <c r="G738" s="1">
        <v>0.2</v>
      </c>
      <c r="H738" s="25">
        <v>0.1515</v>
      </c>
      <c r="I738" s="1">
        <v>0.44</v>
      </c>
      <c r="J738" s="1">
        <v>0.52239999999999998</v>
      </c>
      <c r="K738" s="1">
        <v>0</v>
      </c>
      <c r="L738" s="1">
        <v>5</v>
      </c>
      <c r="M738" s="6">
        <v>5</v>
      </c>
      <c r="N738" s="6" t="str">
        <f>IF(OR(Table3[[#This Row],[weekday]]=0,Table3[[#This Row],[weekday]]=6),"Weekend","Weekday")</f>
        <v>Weekday</v>
      </c>
    </row>
    <row r="739" spans="1:14" ht="15" thickBot="1" x14ac:dyDescent="0.35">
      <c r="A739" s="10">
        <v>738</v>
      </c>
      <c r="B739" s="11">
        <v>40577</v>
      </c>
      <c r="C739" s="12">
        <v>2</v>
      </c>
      <c r="D739" s="13" t="b">
        <v>0</v>
      </c>
      <c r="E739" s="12">
        <v>4</v>
      </c>
      <c r="F739" s="12">
        <v>1</v>
      </c>
      <c r="G739" s="1">
        <v>0.18</v>
      </c>
      <c r="H739" s="25">
        <v>0.16669999999999999</v>
      </c>
      <c r="I739" s="1">
        <v>0.43</v>
      </c>
      <c r="J739" s="1">
        <v>0.25369999999999998</v>
      </c>
      <c r="K739" s="1">
        <v>0</v>
      </c>
      <c r="L739" s="1">
        <v>2</v>
      </c>
      <c r="M739" s="6">
        <v>2</v>
      </c>
      <c r="N739" s="6" t="str">
        <f>IF(OR(Table3[[#This Row],[weekday]]=0,Table3[[#This Row],[weekday]]=6),"Weekend","Weekday")</f>
        <v>Weekday</v>
      </c>
    </row>
    <row r="740" spans="1:14" ht="15" thickBot="1" x14ac:dyDescent="0.35">
      <c r="A740" s="10">
        <v>739</v>
      </c>
      <c r="B740" s="11">
        <v>40577</v>
      </c>
      <c r="C740" s="12">
        <v>3</v>
      </c>
      <c r="D740" s="13" t="b">
        <v>0</v>
      </c>
      <c r="E740" s="12">
        <v>4</v>
      </c>
      <c r="F740" s="12">
        <v>1</v>
      </c>
      <c r="G740" s="1">
        <v>0.18</v>
      </c>
      <c r="H740" s="25">
        <v>0.16669999999999999</v>
      </c>
      <c r="I740" s="1">
        <v>0.43</v>
      </c>
      <c r="J740" s="1">
        <v>0.25369999999999998</v>
      </c>
      <c r="K740" s="1">
        <v>0</v>
      </c>
      <c r="L740" s="1">
        <v>1</v>
      </c>
      <c r="M740" s="6">
        <v>1</v>
      </c>
      <c r="N740" s="6" t="str">
        <f>IF(OR(Table3[[#This Row],[weekday]]=0,Table3[[#This Row],[weekday]]=6),"Weekend","Weekday")</f>
        <v>Weekday</v>
      </c>
    </row>
    <row r="741" spans="1:14" ht="15" thickBot="1" x14ac:dyDescent="0.35">
      <c r="A741" s="10">
        <v>740</v>
      </c>
      <c r="B741" s="11">
        <v>40577</v>
      </c>
      <c r="C741" s="12">
        <v>5</v>
      </c>
      <c r="D741" s="13" t="b">
        <v>0</v>
      </c>
      <c r="E741" s="12">
        <v>4</v>
      </c>
      <c r="F741" s="12">
        <v>1</v>
      </c>
      <c r="G741" s="1">
        <v>0.16</v>
      </c>
      <c r="H741" s="25">
        <v>0.13639999999999999</v>
      </c>
      <c r="I741" s="1">
        <v>0.5</v>
      </c>
      <c r="J741" s="1">
        <v>0.29849999999999999</v>
      </c>
      <c r="K741" s="1">
        <v>0</v>
      </c>
      <c r="L741" s="1">
        <v>2</v>
      </c>
      <c r="M741" s="6">
        <v>2</v>
      </c>
      <c r="N741" s="6" t="str">
        <f>IF(OR(Table3[[#This Row],[weekday]]=0,Table3[[#This Row],[weekday]]=6),"Weekend","Weekday")</f>
        <v>Weekday</v>
      </c>
    </row>
    <row r="742" spans="1:14" ht="15" thickBot="1" x14ac:dyDescent="0.35">
      <c r="A742" s="10">
        <v>741</v>
      </c>
      <c r="B742" s="11">
        <v>40577</v>
      </c>
      <c r="C742" s="12">
        <v>6</v>
      </c>
      <c r="D742" s="13" t="b">
        <v>0</v>
      </c>
      <c r="E742" s="12">
        <v>4</v>
      </c>
      <c r="F742" s="12">
        <v>1</v>
      </c>
      <c r="G742" s="1">
        <v>0.16</v>
      </c>
      <c r="H742" s="25">
        <v>0.13639999999999999</v>
      </c>
      <c r="I742" s="1">
        <v>0.43</v>
      </c>
      <c r="J742" s="1">
        <v>0.35820000000000002</v>
      </c>
      <c r="K742" s="1">
        <v>0</v>
      </c>
      <c r="L742" s="1">
        <v>39</v>
      </c>
      <c r="M742" s="6">
        <v>39</v>
      </c>
      <c r="N742" s="6" t="str">
        <f>IF(OR(Table3[[#This Row],[weekday]]=0,Table3[[#This Row],[weekday]]=6),"Weekend","Weekday")</f>
        <v>Weekday</v>
      </c>
    </row>
    <row r="743" spans="1:14" ht="15" thickBot="1" x14ac:dyDescent="0.35">
      <c r="A743" s="10">
        <v>742</v>
      </c>
      <c r="B743" s="11">
        <v>40577</v>
      </c>
      <c r="C743" s="12">
        <v>7</v>
      </c>
      <c r="D743" s="13" t="b">
        <v>0</v>
      </c>
      <c r="E743" s="12">
        <v>4</v>
      </c>
      <c r="F743" s="12">
        <v>1</v>
      </c>
      <c r="G743" s="1">
        <v>0.14000000000000001</v>
      </c>
      <c r="H743" s="25">
        <v>0.1212</v>
      </c>
      <c r="I743" s="1">
        <v>0.5</v>
      </c>
      <c r="J743" s="1">
        <v>0.32840000000000003</v>
      </c>
      <c r="K743" s="1">
        <v>1</v>
      </c>
      <c r="L743" s="1">
        <v>86</v>
      </c>
      <c r="M743" s="6">
        <v>87</v>
      </c>
      <c r="N743" s="6" t="str">
        <f>IF(OR(Table3[[#This Row],[weekday]]=0,Table3[[#This Row],[weekday]]=6),"Weekend","Weekday")</f>
        <v>Weekday</v>
      </c>
    </row>
    <row r="744" spans="1:14" ht="15" thickBot="1" x14ac:dyDescent="0.35">
      <c r="A744" s="10">
        <v>743</v>
      </c>
      <c r="B744" s="11">
        <v>40577</v>
      </c>
      <c r="C744" s="12">
        <v>8</v>
      </c>
      <c r="D744" s="13" t="b">
        <v>0</v>
      </c>
      <c r="E744" s="12">
        <v>4</v>
      </c>
      <c r="F744" s="12">
        <v>1</v>
      </c>
      <c r="G744" s="1">
        <v>0.14000000000000001</v>
      </c>
      <c r="H744" s="25">
        <v>0.1212</v>
      </c>
      <c r="I744" s="1">
        <v>0.5</v>
      </c>
      <c r="J744" s="1">
        <v>0.35820000000000002</v>
      </c>
      <c r="K744" s="1">
        <v>4</v>
      </c>
      <c r="L744" s="1">
        <v>184</v>
      </c>
      <c r="M744" s="6">
        <v>188</v>
      </c>
      <c r="N744" s="6" t="str">
        <f>IF(OR(Table3[[#This Row],[weekday]]=0,Table3[[#This Row],[weekday]]=6),"Weekend","Weekday")</f>
        <v>Weekday</v>
      </c>
    </row>
    <row r="745" spans="1:14" ht="15" thickBot="1" x14ac:dyDescent="0.35">
      <c r="A745" s="10">
        <v>744</v>
      </c>
      <c r="B745" s="11">
        <v>40577</v>
      </c>
      <c r="C745" s="12">
        <v>9</v>
      </c>
      <c r="D745" s="13" t="b">
        <v>0</v>
      </c>
      <c r="E745" s="12">
        <v>4</v>
      </c>
      <c r="F745" s="12">
        <v>1</v>
      </c>
      <c r="G745" s="1">
        <v>0.16</v>
      </c>
      <c r="H745" s="25">
        <v>0.13639999999999999</v>
      </c>
      <c r="I745" s="1">
        <v>0.47</v>
      </c>
      <c r="J745" s="1">
        <v>0.29849999999999999</v>
      </c>
      <c r="K745" s="1">
        <v>6</v>
      </c>
      <c r="L745" s="1">
        <v>127</v>
      </c>
      <c r="M745" s="6">
        <v>133</v>
      </c>
      <c r="N745" s="6" t="str">
        <f>IF(OR(Table3[[#This Row],[weekday]]=0,Table3[[#This Row],[weekday]]=6),"Weekend","Weekday")</f>
        <v>Weekday</v>
      </c>
    </row>
    <row r="746" spans="1:14" ht="15" thickBot="1" x14ac:dyDescent="0.35">
      <c r="A746" s="10">
        <v>745</v>
      </c>
      <c r="B746" s="11">
        <v>40577</v>
      </c>
      <c r="C746" s="12">
        <v>10</v>
      </c>
      <c r="D746" s="13" t="b">
        <v>0</v>
      </c>
      <c r="E746" s="12">
        <v>4</v>
      </c>
      <c r="F746" s="12">
        <v>1</v>
      </c>
      <c r="G746" s="1">
        <v>0.18</v>
      </c>
      <c r="H746" s="25">
        <v>0.1515</v>
      </c>
      <c r="I746" s="1">
        <v>0.43</v>
      </c>
      <c r="J746" s="1">
        <v>0.32840000000000003</v>
      </c>
      <c r="K746" s="1">
        <v>2</v>
      </c>
      <c r="L746" s="1">
        <v>50</v>
      </c>
      <c r="M746" s="6">
        <v>52</v>
      </c>
      <c r="N746" s="6" t="str">
        <f>IF(OR(Table3[[#This Row],[weekday]]=0,Table3[[#This Row],[weekday]]=6),"Weekend","Weekday")</f>
        <v>Weekday</v>
      </c>
    </row>
    <row r="747" spans="1:14" ht="15" thickBot="1" x14ac:dyDescent="0.35">
      <c r="A747" s="10">
        <v>746</v>
      </c>
      <c r="B747" s="11">
        <v>40577</v>
      </c>
      <c r="C747" s="12">
        <v>11</v>
      </c>
      <c r="D747" s="13" t="b">
        <v>0</v>
      </c>
      <c r="E747" s="12">
        <v>4</v>
      </c>
      <c r="F747" s="12">
        <v>1</v>
      </c>
      <c r="G747" s="1">
        <v>0.18</v>
      </c>
      <c r="H747" s="25">
        <v>0.13639999999999999</v>
      </c>
      <c r="I747" s="1">
        <v>0.43</v>
      </c>
      <c r="J747" s="1">
        <v>0.44779999999999998</v>
      </c>
      <c r="K747" s="1">
        <v>9</v>
      </c>
      <c r="L747" s="1">
        <v>55</v>
      </c>
      <c r="M747" s="6">
        <v>64</v>
      </c>
      <c r="N747" s="6" t="str">
        <f>IF(OR(Table3[[#This Row],[weekday]]=0,Table3[[#This Row],[weekday]]=6),"Weekend","Weekday")</f>
        <v>Weekday</v>
      </c>
    </row>
    <row r="748" spans="1:14" ht="15" thickBot="1" x14ac:dyDescent="0.35">
      <c r="A748" s="10">
        <v>747</v>
      </c>
      <c r="B748" s="11">
        <v>40577</v>
      </c>
      <c r="C748" s="12">
        <v>12</v>
      </c>
      <c r="D748" s="13" t="b">
        <v>0</v>
      </c>
      <c r="E748" s="12">
        <v>4</v>
      </c>
      <c r="F748" s="12">
        <v>1</v>
      </c>
      <c r="G748" s="1">
        <v>0.2</v>
      </c>
      <c r="H748" s="25">
        <v>0.18179999999999999</v>
      </c>
      <c r="I748" s="1">
        <v>0.4</v>
      </c>
      <c r="J748" s="1">
        <v>0.35820000000000002</v>
      </c>
      <c r="K748" s="1">
        <v>2</v>
      </c>
      <c r="L748" s="1">
        <v>67</v>
      </c>
      <c r="M748" s="6">
        <v>69</v>
      </c>
      <c r="N748" s="6" t="str">
        <f>IF(OR(Table3[[#This Row],[weekday]]=0,Table3[[#This Row],[weekday]]=6),"Weekend","Weekday")</f>
        <v>Weekday</v>
      </c>
    </row>
    <row r="749" spans="1:14" ht="15" thickBot="1" x14ac:dyDescent="0.35">
      <c r="A749" s="10">
        <v>748</v>
      </c>
      <c r="B749" s="11">
        <v>40577</v>
      </c>
      <c r="C749" s="12">
        <v>13</v>
      </c>
      <c r="D749" s="13" t="b">
        <v>0</v>
      </c>
      <c r="E749" s="12">
        <v>4</v>
      </c>
      <c r="F749" s="12">
        <v>1</v>
      </c>
      <c r="G749" s="1">
        <v>0.2</v>
      </c>
      <c r="H749" s="25">
        <v>0.16669999999999999</v>
      </c>
      <c r="I749" s="1">
        <v>0.4</v>
      </c>
      <c r="J749" s="1">
        <v>0.41789999999999999</v>
      </c>
      <c r="K749" s="1">
        <v>4</v>
      </c>
      <c r="L749" s="1">
        <v>47</v>
      </c>
      <c r="M749" s="6">
        <v>51</v>
      </c>
      <c r="N749" s="6" t="str">
        <f>IF(OR(Table3[[#This Row],[weekday]]=0,Table3[[#This Row],[weekday]]=6),"Weekend","Weekday")</f>
        <v>Weekday</v>
      </c>
    </row>
    <row r="750" spans="1:14" ht="15" thickBot="1" x14ac:dyDescent="0.35">
      <c r="A750" s="10">
        <v>749</v>
      </c>
      <c r="B750" s="11">
        <v>40577</v>
      </c>
      <c r="C750" s="12">
        <v>14</v>
      </c>
      <c r="D750" s="13" t="b">
        <v>0</v>
      </c>
      <c r="E750" s="12">
        <v>4</v>
      </c>
      <c r="F750" s="12">
        <v>1</v>
      </c>
      <c r="G750" s="1">
        <v>0.22</v>
      </c>
      <c r="H750" s="25">
        <v>0.19700000000000001</v>
      </c>
      <c r="I750" s="1">
        <v>0.37</v>
      </c>
      <c r="J750" s="1">
        <v>0.3881</v>
      </c>
      <c r="K750" s="1">
        <v>4</v>
      </c>
      <c r="L750" s="1">
        <v>43</v>
      </c>
      <c r="M750" s="6">
        <v>47</v>
      </c>
      <c r="N750" s="6" t="str">
        <f>IF(OR(Table3[[#This Row],[weekday]]=0,Table3[[#This Row],[weekday]]=6),"Weekend","Weekday")</f>
        <v>Weekday</v>
      </c>
    </row>
    <row r="751" spans="1:14" ht="15" thickBot="1" x14ac:dyDescent="0.35">
      <c r="A751" s="10">
        <v>750</v>
      </c>
      <c r="B751" s="11">
        <v>40577</v>
      </c>
      <c r="C751" s="12">
        <v>15</v>
      </c>
      <c r="D751" s="13" t="b">
        <v>0</v>
      </c>
      <c r="E751" s="12">
        <v>4</v>
      </c>
      <c r="F751" s="12">
        <v>1</v>
      </c>
      <c r="G751" s="1">
        <v>0.22</v>
      </c>
      <c r="H751" s="25">
        <v>0.19700000000000001</v>
      </c>
      <c r="I751" s="1">
        <v>0.37</v>
      </c>
      <c r="J751" s="1">
        <v>0.32840000000000003</v>
      </c>
      <c r="K751" s="1">
        <v>4</v>
      </c>
      <c r="L751" s="1">
        <v>56</v>
      </c>
      <c r="M751" s="6">
        <v>60</v>
      </c>
      <c r="N751" s="6" t="str">
        <f>IF(OR(Table3[[#This Row],[weekday]]=0,Table3[[#This Row],[weekday]]=6),"Weekend","Weekday")</f>
        <v>Weekday</v>
      </c>
    </row>
    <row r="752" spans="1:14" ht="15" thickBot="1" x14ac:dyDescent="0.35">
      <c r="A752" s="10">
        <v>751</v>
      </c>
      <c r="B752" s="11">
        <v>40577</v>
      </c>
      <c r="C752" s="12">
        <v>16</v>
      </c>
      <c r="D752" s="13" t="b">
        <v>0</v>
      </c>
      <c r="E752" s="12">
        <v>4</v>
      </c>
      <c r="F752" s="12">
        <v>1</v>
      </c>
      <c r="G752" s="1">
        <v>0.22</v>
      </c>
      <c r="H752" s="25">
        <v>0.21210000000000001</v>
      </c>
      <c r="I752" s="1">
        <v>0.37</v>
      </c>
      <c r="J752" s="1">
        <v>0.25369999999999998</v>
      </c>
      <c r="K752" s="1">
        <v>5</v>
      </c>
      <c r="L752" s="1">
        <v>73</v>
      </c>
      <c r="M752" s="6">
        <v>78</v>
      </c>
      <c r="N752" s="6" t="str">
        <f>IF(OR(Table3[[#This Row],[weekday]]=0,Table3[[#This Row],[weekday]]=6),"Weekend","Weekday")</f>
        <v>Weekday</v>
      </c>
    </row>
    <row r="753" spans="1:14" ht="15" thickBot="1" x14ac:dyDescent="0.35">
      <c r="A753" s="10">
        <v>752</v>
      </c>
      <c r="B753" s="11">
        <v>40577</v>
      </c>
      <c r="C753" s="12">
        <v>17</v>
      </c>
      <c r="D753" s="13" t="b">
        <v>0</v>
      </c>
      <c r="E753" s="12">
        <v>4</v>
      </c>
      <c r="F753" s="12">
        <v>1</v>
      </c>
      <c r="G753" s="1">
        <v>0.2</v>
      </c>
      <c r="H753" s="25">
        <v>0.19700000000000001</v>
      </c>
      <c r="I753" s="1">
        <v>0.4</v>
      </c>
      <c r="J753" s="1">
        <v>0.19400000000000001</v>
      </c>
      <c r="K753" s="1">
        <v>5</v>
      </c>
      <c r="L753" s="1">
        <v>170</v>
      </c>
      <c r="M753" s="6">
        <v>175</v>
      </c>
      <c r="N753" s="6" t="str">
        <f>IF(OR(Table3[[#This Row],[weekday]]=0,Table3[[#This Row],[weekday]]=6),"Weekend","Weekday")</f>
        <v>Weekday</v>
      </c>
    </row>
    <row r="754" spans="1:14" ht="15" thickBot="1" x14ac:dyDescent="0.35">
      <c r="A754" s="10">
        <v>753</v>
      </c>
      <c r="B754" s="11">
        <v>40577</v>
      </c>
      <c r="C754" s="12">
        <v>18</v>
      </c>
      <c r="D754" s="13" t="b">
        <v>0</v>
      </c>
      <c r="E754" s="12">
        <v>4</v>
      </c>
      <c r="F754" s="12">
        <v>1</v>
      </c>
      <c r="G754" s="1">
        <v>0.2</v>
      </c>
      <c r="H754" s="25">
        <v>0.21210000000000001</v>
      </c>
      <c r="I754" s="1">
        <v>0.4</v>
      </c>
      <c r="J754" s="1">
        <v>0.16420000000000001</v>
      </c>
      <c r="K754" s="1">
        <v>2</v>
      </c>
      <c r="L754" s="1">
        <v>145</v>
      </c>
      <c r="M754" s="6">
        <v>147</v>
      </c>
      <c r="N754" s="6" t="str">
        <f>IF(OR(Table3[[#This Row],[weekday]]=0,Table3[[#This Row],[weekday]]=6),"Weekend","Weekday")</f>
        <v>Weekday</v>
      </c>
    </row>
    <row r="755" spans="1:14" ht="15" thickBot="1" x14ac:dyDescent="0.35">
      <c r="A755" s="10">
        <v>754</v>
      </c>
      <c r="B755" s="11">
        <v>40577</v>
      </c>
      <c r="C755" s="12">
        <v>19</v>
      </c>
      <c r="D755" s="13" t="b">
        <v>0</v>
      </c>
      <c r="E755" s="12">
        <v>4</v>
      </c>
      <c r="F755" s="12">
        <v>1</v>
      </c>
      <c r="G755" s="1">
        <v>0.2</v>
      </c>
      <c r="H755" s="25">
        <v>0.2576</v>
      </c>
      <c r="I755" s="1">
        <v>0.4</v>
      </c>
      <c r="J755" s="1">
        <v>0</v>
      </c>
      <c r="K755" s="1">
        <v>4</v>
      </c>
      <c r="L755" s="1">
        <v>92</v>
      </c>
      <c r="M755" s="6">
        <v>96</v>
      </c>
      <c r="N755" s="6" t="str">
        <f>IF(OR(Table3[[#This Row],[weekday]]=0,Table3[[#This Row],[weekday]]=6),"Weekend","Weekday")</f>
        <v>Weekday</v>
      </c>
    </row>
    <row r="756" spans="1:14" ht="15" thickBot="1" x14ac:dyDescent="0.35">
      <c r="A756" s="10">
        <v>755</v>
      </c>
      <c r="B756" s="11">
        <v>40577</v>
      </c>
      <c r="C756" s="12">
        <v>20</v>
      </c>
      <c r="D756" s="13" t="b">
        <v>0</v>
      </c>
      <c r="E756" s="12">
        <v>4</v>
      </c>
      <c r="F756" s="12">
        <v>1</v>
      </c>
      <c r="G756" s="1">
        <v>0.2</v>
      </c>
      <c r="H756" s="25">
        <v>0.2273</v>
      </c>
      <c r="I756" s="1">
        <v>0.47</v>
      </c>
      <c r="J756" s="1">
        <v>8.9599999999999999E-2</v>
      </c>
      <c r="K756" s="1">
        <v>1</v>
      </c>
      <c r="L756" s="1">
        <v>108</v>
      </c>
      <c r="M756" s="6">
        <v>109</v>
      </c>
      <c r="N756" s="6" t="str">
        <f>IF(OR(Table3[[#This Row],[weekday]]=0,Table3[[#This Row],[weekday]]=6),"Weekend","Weekday")</f>
        <v>Weekday</v>
      </c>
    </row>
    <row r="757" spans="1:14" ht="15" thickBot="1" x14ac:dyDescent="0.35">
      <c r="A757" s="10">
        <v>756</v>
      </c>
      <c r="B757" s="11">
        <v>40577</v>
      </c>
      <c r="C757" s="12">
        <v>21</v>
      </c>
      <c r="D757" s="13" t="b">
        <v>0</v>
      </c>
      <c r="E757" s="12">
        <v>4</v>
      </c>
      <c r="F757" s="12">
        <v>1</v>
      </c>
      <c r="G757" s="1">
        <v>0.18</v>
      </c>
      <c r="H757" s="25">
        <v>0.21210000000000001</v>
      </c>
      <c r="I757" s="1">
        <v>0.55000000000000004</v>
      </c>
      <c r="J757" s="1">
        <v>0.1045</v>
      </c>
      <c r="K757" s="1">
        <v>1</v>
      </c>
      <c r="L757" s="1">
        <v>53</v>
      </c>
      <c r="M757" s="6">
        <v>54</v>
      </c>
      <c r="N757" s="6" t="str">
        <f>IF(OR(Table3[[#This Row],[weekday]]=0,Table3[[#This Row],[weekday]]=6),"Weekend","Weekday")</f>
        <v>Weekday</v>
      </c>
    </row>
    <row r="758" spans="1:14" ht="15" thickBot="1" x14ac:dyDescent="0.35">
      <c r="A758" s="10">
        <v>757</v>
      </c>
      <c r="B758" s="11">
        <v>40577</v>
      </c>
      <c r="C758" s="12">
        <v>22</v>
      </c>
      <c r="D758" s="13" t="b">
        <v>0</v>
      </c>
      <c r="E758" s="12">
        <v>4</v>
      </c>
      <c r="F758" s="12">
        <v>1</v>
      </c>
      <c r="G758" s="1">
        <v>0.18</v>
      </c>
      <c r="H758" s="25">
        <v>0.21210000000000001</v>
      </c>
      <c r="I758" s="1">
        <v>0.51</v>
      </c>
      <c r="J758" s="1">
        <v>8.9599999999999999E-2</v>
      </c>
      <c r="K758" s="1">
        <v>2</v>
      </c>
      <c r="L758" s="1">
        <v>39</v>
      </c>
      <c r="M758" s="6">
        <v>41</v>
      </c>
      <c r="N758" s="6" t="str">
        <f>IF(OR(Table3[[#This Row],[weekday]]=0,Table3[[#This Row],[weekday]]=6),"Weekend","Weekday")</f>
        <v>Weekday</v>
      </c>
    </row>
    <row r="759" spans="1:14" ht="15" thickBot="1" x14ac:dyDescent="0.35">
      <c r="A759" s="10">
        <v>758</v>
      </c>
      <c r="B759" s="11">
        <v>40577</v>
      </c>
      <c r="C759" s="12">
        <v>23</v>
      </c>
      <c r="D759" s="13" t="b">
        <v>0</v>
      </c>
      <c r="E759" s="12">
        <v>4</v>
      </c>
      <c r="F759" s="12">
        <v>1</v>
      </c>
      <c r="G759" s="1">
        <v>0.2</v>
      </c>
      <c r="H759" s="25">
        <v>0.2273</v>
      </c>
      <c r="I759" s="1">
        <v>0.47</v>
      </c>
      <c r="J759" s="1">
        <v>0.1045</v>
      </c>
      <c r="K759" s="1">
        <v>4</v>
      </c>
      <c r="L759" s="1">
        <v>34</v>
      </c>
      <c r="M759" s="6">
        <v>38</v>
      </c>
      <c r="N759" s="6" t="str">
        <f>IF(OR(Table3[[#This Row],[weekday]]=0,Table3[[#This Row],[weekday]]=6),"Weekend","Weekday")</f>
        <v>Weekday</v>
      </c>
    </row>
    <row r="760" spans="1:14" ht="15" thickBot="1" x14ac:dyDescent="0.35">
      <c r="A760" s="10">
        <v>759</v>
      </c>
      <c r="B760" s="11">
        <v>40578</v>
      </c>
      <c r="C760" s="12">
        <v>0</v>
      </c>
      <c r="D760" s="13" t="b">
        <v>0</v>
      </c>
      <c r="E760" s="12">
        <v>5</v>
      </c>
      <c r="F760" s="12">
        <v>2</v>
      </c>
      <c r="G760" s="1">
        <v>0.2</v>
      </c>
      <c r="H760" s="25">
        <v>0.2576</v>
      </c>
      <c r="I760" s="1">
        <v>0.44</v>
      </c>
      <c r="J760" s="1">
        <v>0</v>
      </c>
      <c r="K760" s="1">
        <v>3</v>
      </c>
      <c r="L760" s="1">
        <v>10</v>
      </c>
      <c r="M760" s="6">
        <v>13</v>
      </c>
      <c r="N760" s="6" t="str">
        <f>IF(OR(Table3[[#This Row],[weekday]]=0,Table3[[#This Row],[weekday]]=6),"Weekend","Weekday")</f>
        <v>Weekday</v>
      </c>
    </row>
    <row r="761" spans="1:14" ht="15" thickBot="1" x14ac:dyDescent="0.35">
      <c r="A761" s="10">
        <v>760</v>
      </c>
      <c r="B761" s="11">
        <v>40578</v>
      </c>
      <c r="C761" s="12">
        <v>1</v>
      </c>
      <c r="D761" s="13" t="b">
        <v>0</v>
      </c>
      <c r="E761" s="12">
        <v>5</v>
      </c>
      <c r="F761" s="12">
        <v>2</v>
      </c>
      <c r="G761" s="1">
        <v>0.16</v>
      </c>
      <c r="H761" s="25">
        <v>0.2273</v>
      </c>
      <c r="I761" s="1">
        <v>0.59</v>
      </c>
      <c r="J761" s="1">
        <v>0</v>
      </c>
      <c r="K761" s="1">
        <v>0</v>
      </c>
      <c r="L761" s="1">
        <v>7</v>
      </c>
      <c r="M761" s="6">
        <v>7</v>
      </c>
      <c r="N761" s="6" t="str">
        <f>IF(OR(Table3[[#This Row],[weekday]]=0,Table3[[#This Row],[weekday]]=6),"Weekend","Weekday")</f>
        <v>Weekday</v>
      </c>
    </row>
    <row r="762" spans="1:14" ht="15" thickBot="1" x14ac:dyDescent="0.35">
      <c r="A762" s="10">
        <v>761</v>
      </c>
      <c r="B762" s="11">
        <v>40578</v>
      </c>
      <c r="C762" s="12">
        <v>2</v>
      </c>
      <c r="D762" s="13" t="b">
        <v>0</v>
      </c>
      <c r="E762" s="12">
        <v>5</v>
      </c>
      <c r="F762" s="12">
        <v>2</v>
      </c>
      <c r="G762" s="1">
        <v>0.14000000000000001</v>
      </c>
      <c r="H762" s="25">
        <v>0.16669999999999999</v>
      </c>
      <c r="I762" s="1">
        <v>0.63</v>
      </c>
      <c r="J762" s="1">
        <v>0.1045</v>
      </c>
      <c r="K762" s="1">
        <v>0</v>
      </c>
      <c r="L762" s="1">
        <v>1</v>
      </c>
      <c r="M762" s="6">
        <v>1</v>
      </c>
      <c r="N762" s="6" t="str">
        <f>IF(OR(Table3[[#This Row],[weekday]]=0,Table3[[#This Row],[weekday]]=6),"Weekend","Weekday")</f>
        <v>Weekday</v>
      </c>
    </row>
    <row r="763" spans="1:14" ht="15" thickBot="1" x14ac:dyDescent="0.35">
      <c r="A763" s="10">
        <v>762</v>
      </c>
      <c r="B763" s="11">
        <v>40578</v>
      </c>
      <c r="C763" s="12">
        <v>3</v>
      </c>
      <c r="D763" s="13" t="b">
        <v>0</v>
      </c>
      <c r="E763" s="12">
        <v>5</v>
      </c>
      <c r="F763" s="12">
        <v>2</v>
      </c>
      <c r="G763" s="1">
        <v>0.14000000000000001</v>
      </c>
      <c r="H763" s="25">
        <v>0.16669999999999999</v>
      </c>
      <c r="I763" s="1">
        <v>0.63</v>
      </c>
      <c r="J763" s="1">
        <v>0.1045</v>
      </c>
      <c r="K763" s="1">
        <v>0</v>
      </c>
      <c r="L763" s="1">
        <v>1</v>
      </c>
      <c r="M763" s="6">
        <v>1</v>
      </c>
      <c r="N763" s="6" t="str">
        <f>IF(OR(Table3[[#This Row],[weekday]]=0,Table3[[#This Row],[weekday]]=6),"Weekend","Weekday")</f>
        <v>Weekday</v>
      </c>
    </row>
    <row r="764" spans="1:14" ht="15" thickBot="1" x14ac:dyDescent="0.35">
      <c r="A764" s="10">
        <v>763</v>
      </c>
      <c r="B764" s="11">
        <v>40578</v>
      </c>
      <c r="C764" s="12">
        <v>5</v>
      </c>
      <c r="D764" s="13" t="b">
        <v>0</v>
      </c>
      <c r="E764" s="12">
        <v>5</v>
      </c>
      <c r="F764" s="12">
        <v>2</v>
      </c>
      <c r="G764" s="1">
        <v>0.14000000000000001</v>
      </c>
      <c r="H764" s="25">
        <v>0.1515</v>
      </c>
      <c r="I764" s="1">
        <v>0.63</v>
      </c>
      <c r="J764" s="1">
        <v>0.1343</v>
      </c>
      <c r="K764" s="1">
        <v>0</v>
      </c>
      <c r="L764" s="1">
        <v>7</v>
      </c>
      <c r="M764" s="6">
        <v>7</v>
      </c>
      <c r="N764" s="6" t="str">
        <f>IF(OR(Table3[[#This Row],[weekday]]=0,Table3[[#This Row],[weekday]]=6),"Weekend","Weekday")</f>
        <v>Weekday</v>
      </c>
    </row>
    <row r="765" spans="1:14" ht="15" thickBot="1" x14ac:dyDescent="0.35">
      <c r="A765" s="10">
        <v>764</v>
      </c>
      <c r="B765" s="11">
        <v>40578</v>
      </c>
      <c r="C765" s="12">
        <v>6</v>
      </c>
      <c r="D765" s="13" t="b">
        <v>0</v>
      </c>
      <c r="E765" s="12">
        <v>5</v>
      </c>
      <c r="F765" s="12">
        <v>2</v>
      </c>
      <c r="G765" s="1">
        <v>0.16</v>
      </c>
      <c r="H765" s="25">
        <v>0.2273</v>
      </c>
      <c r="I765" s="1">
        <v>0.55000000000000004</v>
      </c>
      <c r="J765" s="1">
        <v>0</v>
      </c>
      <c r="K765" s="1">
        <v>2</v>
      </c>
      <c r="L765" s="1">
        <v>26</v>
      </c>
      <c r="M765" s="6">
        <v>28</v>
      </c>
      <c r="N765" s="6" t="str">
        <f>IF(OR(Table3[[#This Row],[weekday]]=0,Table3[[#This Row],[weekday]]=6),"Weekend","Weekday")</f>
        <v>Weekday</v>
      </c>
    </row>
    <row r="766" spans="1:14" ht="15" thickBot="1" x14ac:dyDescent="0.35">
      <c r="A766" s="10">
        <v>765</v>
      </c>
      <c r="B766" s="11">
        <v>40578</v>
      </c>
      <c r="C766" s="12">
        <v>7</v>
      </c>
      <c r="D766" s="13" t="b">
        <v>0</v>
      </c>
      <c r="E766" s="12">
        <v>5</v>
      </c>
      <c r="F766" s="12">
        <v>1</v>
      </c>
      <c r="G766" s="1">
        <v>0.14000000000000001</v>
      </c>
      <c r="H766" s="25">
        <v>0.21210000000000001</v>
      </c>
      <c r="I766" s="1">
        <v>0.59</v>
      </c>
      <c r="J766" s="1">
        <v>0</v>
      </c>
      <c r="K766" s="1">
        <v>0</v>
      </c>
      <c r="L766" s="1">
        <v>87</v>
      </c>
      <c r="M766" s="6">
        <v>87</v>
      </c>
      <c r="N766" s="6" t="str">
        <f>IF(OR(Table3[[#This Row],[weekday]]=0,Table3[[#This Row],[weekday]]=6),"Weekend","Weekday")</f>
        <v>Weekday</v>
      </c>
    </row>
    <row r="767" spans="1:14" ht="15" thickBot="1" x14ac:dyDescent="0.35">
      <c r="A767" s="10">
        <v>766</v>
      </c>
      <c r="B767" s="11">
        <v>40578</v>
      </c>
      <c r="C767" s="12">
        <v>8</v>
      </c>
      <c r="D767" s="13" t="b">
        <v>0</v>
      </c>
      <c r="E767" s="12">
        <v>5</v>
      </c>
      <c r="F767" s="12">
        <v>1</v>
      </c>
      <c r="G767" s="1">
        <v>0.14000000000000001</v>
      </c>
      <c r="H767" s="25">
        <v>0.1515</v>
      </c>
      <c r="I767" s="1">
        <v>0.74</v>
      </c>
      <c r="J767" s="1">
        <v>0.1343</v>
      </c>
      <c r="K767" s="1">
        <v>3</v>
      </c>
      <c r="L767" s="1">
        <v>217</v>
      </c>
      <c r="M767" s="6">
        <v>220</v>
      </c>
      <c r="N767" s="6" t="str">
        <f>IF(OR(Table3[[#This Row],[weekday]]=0,Table3[[#This Row],[weekday]]=6),"Weekend","Weekday")</f>
        <v>Weekday</v>
      </c>
    </row>
    <row r="768" spans="1:14" ht="15" thickBot="1" x14ac:dyDescent="0.35">
      <c r="A768" s="10">
        <v>767</v>
      </c>
      <c r="B768" s="11">
        <v>40578</v>
      </c>
      <c r="C768" s="12">
        <v>9</v>
      </c>
      <c r="D768" s="13" t="b">
        <v>0</v>
      </c>
      <c r="E768" s="12">
        <v>5</v>
      </c>
      <c r="F768" s="12">
        <v>2</v>
      </c>
      <c r="G768" s="1">
        <v>0.16</v>
      </c>
      <c r="H768" s="25">
        <v>0.18179999999999999</v>
      </c>
      <c r="I768" s="1">
        <v>0.8</v>
      </c>
      <c r="J768" s="1">
        <v>0.1343</v>
      </c>
      <c r="K768" s="1">
        <v>3</v>
      </c>
      <c r="L768" s="1">
        <v>124</v>
      </c>
      <c r="M768" s="6">
        <v>127</v>
      </c>
      <c r="N768" s="6" t="str">
        <f>IF(OR(Table3[[#This Row],[weekday]]=0,Table3[[#This Row],[weekday]]=6),"Weekend","Weekday")</f>
        <v>Weekday</v>
      </c>
    </row>
    <row r="769" spans="1:14" ht="15" thickBot="1" x14ac:dyDescent="0.35">
      <c r="A769" s="10">
        <v>768</v>
      </c>
      <c r="B769" s="11">
        <v>40578</v>
      </c>
      <c r="C769" s="12">
        <v>10</v>
      </c>
      <c r="D769" s="13" t="b">
        <v>0</v>
      </c>
      <c r="E769" s="12">
        <v>5</v>
      </c>
      <c r="F769" s="12">
        <v>2</v>
      </c>
      <c r="G769" s="1">
        <v>0.2</v>
      </c>
      <c r="H769" s="25">
        <v>0.21210000000000001</v>
      </c>
      <c r="I769" s="1">
        <v>0.51</v>
      </c>
      <c r="J769" s="1">
        <v>0.1343</v>
      </c>
      <c r="K769" s="1">
        <v>5</v>
      </c>
      <c r="L769" s="1">
        <v>46</v>
      </c>
      <c r="M769" s="6">
        <v>51</v>
      </c>
      <c r="N769" s="6" t="str">
        <f>IF(OR(Table3[[#This Row],[weekday]]=0,Table3[[#This Row],[weekday]]=6),"Weekend","Weekday")</f>
        <v>Weekday</v>
      </c>
    </row>
    <row r="770" spans="1:14" ht="15" thickBot="1" x14ac:dyDescent="0.35">
      <c r="A770" s="10">
        <v>769</v>
      </c>
      <c r="B770" s="11">
        <v>40578</v>
      </c>
      <c r="C770" s="12">
        <v>11</v>
      </c>
      <c r="D770" s="13" t="b">
        <v>0</v>
      </c>
      <c r="E770" s="12">
        <v>5</v>
      </c>
      <c r="F770" s="12">
        <v>1</v>
      </c>
      <c r="G770" s="1">
        <v>0.22</v>
      </c>
      <c r="H770" s="25">
        <v>0.2273</v>
      </c>
      <c r="I770" s="1">
        <v>0.51</v>
      </c>
      <c r="J770" s="1">
        <v>0.16420000000000001</v>
      </c>
      <c r="K770" s="1">
        <v>3</v>
      </c>
      <c r="L770" s="1">
        <v>61</v>
      </c>
      <c r="M770" s="6">
        <v>64</v>
      </c>
      <c r="N770" s="6" t="str">
        <f>IF(OR(Table3[[#This Row],[weekday]]=0,Table3[[#This Row],[weekday]]=6),"Weekend","Weekday")</f>
        <v>Weekday</v>
      </c>
    </row>
    <row r="771" spans="1:14" ht="15" thickBot="1" x14ac:dyDescent="0.35">
      <c r="A771" s="10">
        <v>770</v>
      </c>
      <c r="B771" s="11">
        <v>40578</v>
      </c>
      <c r="C771" s="12">
        <v>12</v>
      </c>
      <c r="D771" s="13" t="b">
        <v>0</v>
      </c>
      <c r="E771" s="12">
        <v>5</v>
      </c>
      <c r="F771" s="12">
        <v>2</v>
      </c>
      <c r="G771" s="1">
        <v>0.24</v>
      </c>
      <c r="H771" s="25">
        <v>0.2424</v>
      </c>
      <c r="I771" s="1">
        <v>0.48</v>
      </c>
      <c r="J771" s="1">
        <v>0.16420000000000001</v>
      </c>
      <c r="K771" s="1">
        <v>8</v>
      </c>
      <c r="L771" s="1">
        <v>78</v>
      </c>
      <c r="M771" s="6">
        <v>86</v>
      </c>
      <c r="N771" s="6" t="str">
        <f>IF(OR(Table3[[#This Row],[weekday]]=0,Table3[[#This Row],[weekday]]=6),"Weekend","Weekday")</f>
        <v>Weekday</v>
      </c>
    </row>
    <row r="772" spans="1:14" ht="15" thickBot="1" x14ac:dyDescent="0.35">
      <c r="A772" s="10">
        <v>771</v>
      </c>
      <c r="B772" s="11">
        <v>40578</v>
      </c>
      <c r="C772" s="12">
        <v>13</v>
      </c>
      <c r="D772" s="13" t="b">
        <v>0</v>
      </c>
      <c r="E772" s="12">
        <v>5</v>
      </c>
      <c r="F772" s="12">
        <v>2</v>
      </c>
      <c r="G772" s="1">
        <v>0.26</v>
      </c>
      <c r="H772" s="25">
        <v>0.2576</v>
      </c>
      <c r="I772" s="1">
        <v>0.5</v>
      </c>
      <c r="J772" s="1">
        <v>0.22389999999999999</v>
      </c>
      <c r="K772" s="1">
        <v>9</v>
      </c>
      <c r="L772" s="1">
        <v>73</v>
      </c>
      <c r="M772" s="6">
        <v>82</v>
      </c>
      <c r="N772" s="6" t="str">
        <f>IF(OR(Table3[[#This Row],[weekday]]=0,Table3[[#This Row],[weekday]]=6),"Weekend","Weekday")</f>
        <v>Weekday</v>
      </c>
    </row>
    <row r="773" spans="1:14" ht="15" thickBot="1" x14ac:dyDescent="0.35">
      <c r="A773" s="10">
        <v>772</v>
      </c>
      <c r="B773" s="11">
        <v>40578</v>
      </c>
      <c r="C773" s="12">
        <v>14</v>
      </c>
      <c r="D773" s="13" t="b">
        <v>0</v>
      </c>
      <c r="E773" s="12">
        <v>5</v>
      </c>
      <c r="F773" s="12">
        <v>2</v>
      </c>
      <c r="G773" s="1">
        <v>0.28000000000000003</v>
      </c>
      <c r="H773" s="25">
        <v>0.2727</v>
      </c>
      <c r="I773" s="1">
        <v>0.45</v>
      </c>
      <c r="J773" s="1">
        <v>0.16420000000000001</v>
      </c>
      <c r="K773" s="1">
        <v>15</v>
      </c>
      <c r="L773" s="1">
        <v>76</v>
      </c>
      <c r="M773" s="6">
        <v>91</v>
      </c>
      <c r="N773" s="6" t="str">
        <f>IF(OR(Table3[[#This Row],[weekday]]=0,Table3[[#This Row],[weekday]]=6),"Weekend","Weekday")</f>
        <v>Weekday</v>
      </c>
    </row>
    <row r="774" spans="1:14" ht="15" thickBot="1" x14ac:dyDescent="0.35">
      <c r="A774" s="10">
        <v>773</v>
      </c>
      <c r="B774" s="11">
        <v>40578</v>
      </c>
      <c r="C774" s="12">
        <v>15</v>
      </c>
      <c r="D774" s="13" t="b">
        <v>0</v>
      </c>
      <c r="E774" s="12">
        <v>5</v>
      </c>
      <c r="F774" s="12">
        <v>2</v>
      </c>
      <c r="G774" s="1">
        <v>0.28000000000000003</v>
      </c>
      <c r="H774" s="25">
        <v>0.2727</v>
      </c>
      <c r="I774" s="1">
        <v>0.48</v>
      </c>
      <c r="J774" s="1">
        <v>0.25369999999999998</v>
      </c>
      <c r="K774" s="1">
        <v>9</v>
      </c>
      <c r="L774" s="1">
        <v>81</v>
      </c>
      <c r="M774" s="6">
        <v>90</v>
      </c>
      <c r="N774" s="6" t="str">
        <f>IF(OR(Table3[[#This Row],[weekday]]=0,Table3[[#This Row],[weekday]]=6),"Weekend","Weekday")</f>
        <v>Weekday</v>
      </c>
    </row>
    <row r="775" spans="1:14" ht="15" thickBot="1" x14ac:dyDescent="0.35">
      <c r="A775" s="10">
        <v>774</v>
      </c>
      <c r="B775" s="11">
        <v>40578</v>
      </c>
      <c r="C775" s="12">
        <v>16</v>
      </c>
      <c r="D775" s="13" t="b">
        <v>0</v>
      </c>
      <c r="E775" s="12">
        <v>5</v>
      </c>
      <c r="F775" s="12">
        <v>2</v>
      </c>
      <c r="G775" s="1">
        <v>0.3</v>
      </c>
      <c r="H775" s="25">
        <v>0.28789999999999999</v>
      </c>
      <c r="I775" s="1">
        <v>0.42</v>
      </c>
      <c r="J775" s="1">
        <v>0.22389999999999999</v>
      </c>
      <c r="K775" s="1">
        <v>8</v>
      </c>
      <c r="L775" s="1">
        <v>91</v>
      </c>
      <c r="M775" s="6">
        <v>99</v>
      </c>
      <c r="N775" s="6" t="str">
        <f>IF(OR(Table3[[#This Row],[weekday]]=0,Table3[[#This Row],[weekday]]=6),"Weekend","Weekday")</f>
        <v>Weekday</v>
      </c>
    </row>
    <row r="776" spans="1:14" ht="15" thickBot="1" x14ac:dyDescent="0.35">
      <c r="A776" s="10">
        <v>775</v>
      </c>
      <c r="B776" s="11">
        <v>40578</v>
      </c>
      <c r="C776" s="12">
        <v>17</v>
      </c>
      <c r="D776" s="13" t="b">
        <v>0</v>
      </c>
      <c r="E776" s="12">
        <v>5</v>
      </c>
      <c r="F776" s="12">
        <v>2</v>
      </c>
      <c r="G776" s="1">
        <v>0.26</v>
      </c>
      <c r="H776" s="25">
        <v>0.2727</v>
      </c>
      <c r="I776" s="1">
        <v>0.56000000000000005</v>
      </c>
      <c r="J776" s="1">
        <v>0.1343</v>
      </c>
      <c r="K776" s="1">
        <v>10</v>
      </c>
      <c r="L776" s="1">
        <v>195</v>
      </c>
      <c r="M776" s="6">
        <v>205</v>
      </c>
      <c r="N776" s="6" t="str">
        <f>IF(OR(Table3[[#This Row],[weekday]]=0,Table3[[#This Row],[weekday]]=6),"Weekend","Weekday")</f>
        <v>Weekday</v>
      </c>
    </row>
    <row r="777" spans="1:14" ht="15" thickBot="1" x14ac:dyDescent="0.35">
      <c r="A777" s="10">
        <v>776</v>
      </c>
      <c r="B777" s="11">
        <v>40578</v>
      </c>
      <c r="C777" s="12">
        <v>18</v>
      </c>
      <c r="D777" s="13" t="b">
        <v>0</v>
      </c>
      <c r="E777" s="12">
        <v>5</v>
      </c>
      <c r="F777" s="12">
        <v>2</v>
      </c>
      <c r="G777" s="1">
        <v>0.24</v>
      </c>
      <c r="H777" s="25">
        <v>0.2576</v>
      </c>
      <c r="I777" s="1">
        <v>0.6</v>
      </c>
      <c r="J777" s="1">
        <v>0.1045</v>
      </c>
      <c r="K777" s="1">
        <v>3</v>
      </c>
      <c r="L777" s="1">
        <v>152</v>
      </c>
      <c r="M777" s="6">
        <v>155</v>
      </c>
      <c r="N777" s="6" t="str">
        <f>IF(OR(Table3[[#This Row],[weekday]]=0,Table3[[#This Row],[weekday]]=6),"Weekend","Weekday")</f>
        <v>Weekday</v>
      </c>
    </row>
    <row r="778" spans="1:14" ht="15" thickBot="1" x14ac:dyDescent="0.35">
      <c r="A778" s="10">
        <v>777</v>
      </c>
      <c r="B778" s="11">
        <v>40578</v>
      </c>
      <c r="C778" s="12">
        <v>19</v>
      </c>
      <c r="D778" s="13" t="b">
        <v>0</v>
      </c>
      <c r="E778" s="12">
        <v>5</v>
      </c>
      <c r="F778" s="12">
        <v>2</v>
      </c>
      <c r="G778" s="1">
        <v>0.24</v>
      </c>
      <c r="H778" s="25">
        <v>0.2424</v>
      </c>
      <c r="I778" s="1">
        <v>0.65</v>
      </c>
      <c r="J778" s="1">
        <v>0.1343</v>
      </c>
      <c r="K778" s="1">
        <v>1</v>
      </c>
      <c r="L778" s="1">
        <v>102</v>
      </c>
      <c r="M778" s="6">
        <v>103</v>
      </c>
      <c r="N778" s="6" t="str">
        <f>IF(OR(Table3[[#This Row],[weekday]]=0,Table3[[#This Row],[weekday]]=6),"Weekend","Weekday")</f>
        <v>Weekday</v>
      </c>
    </row>
    <row r="779" spans="1:14" ht="15" thickBot="1" x14ac:dyDescent="0.35">
      <c r="A779" s="10">
        <v>778</v>
      </c>
      <c r="B779" s="11">
        <v>40578</v>
      </c>
      <c r="C779" s="12">
        <v>20</v>
      </c>
      <c r="D779" s="13" t="b">
        <v>0</v>
      </c>
      <c r="E779" s="12">
        <v>5</v>
      </c>
      <c r="F779" s="12">
        <v>2</v>
      </c>
      <c r="G779" s="1">
        <v>0.24</v>
      </c>
      <c r="H779" s="25">
        <v>0.2424</v>
      </c>
      <c r="I779" s="1">
        <v>0.65</v>
      </c>
      <c r="J779" s="1">
        <v>0.16420000000000001</v>
      </c>
      <c r="K779" s="1">
        <v>2</v>
      </c>
      <c r="L779" s="1">
        <v>69</v>
      </c>
      <c r="M779" s="6">
        <v>71</v>
      </c>
      <c r="N779" s="6" t="str">
        <f>IF(OR(Table3[[#This Row],[weekday]]=0,Table3[[#This Row],[weekday]]=6),"Weekend","Weekday")</f>
        <v>Weekday</v>
      </c>
    </row>
    <row r="780" spans="1:14" ht="15" thickBot="1" x14ac:dyDescent="0.35">
      <c r="A780" s="10">
        <v>779</v>
      </c>
      <c r="B780" s="11">
        <v>40578</v>
      </c>
      <c r="C780" s="12">
        <v>21</v>
      </c>
      <c r="D780" s="13" t="b">
        <v>0</v>
      </c>
      <c r="E780" s="12">
        <v>5</v>
      </c>
      <c r="F780" s="12">
        <v>2</v>
      </c>
      <c r="G780" s="1">
        <v>0.24</v>
      </c>
      <c r="H780" s="25">
        <v>0.2424</v>
      </c>
      <c r="I780" s="1">
        <v>0.7</v>
      </c>
      <c r="J780" s="1">
        <v>0.16420000000000001</v>
      </c>
      <c r="K780" s="1">
        <v>2</v>
      </c>
      <c r="L780" s="1">
        <v>41</v>
      </c>
      <c r="M780" s="6">
        <v>43</v>
      </c>
      <c r="N780" s="6" t="str">
        <f>IF(OR(Table3[[#This Row],[weekday]]=0,Table3[[#This Row],[weekday]]=6),"Weekend","Weekday")</f>
        <v>Weekday</v>
      </c>
    </row>
    <row r="781" spans="1:14" ht="15" thickBot="1" x14ac:dyDescent="0.35">
      <c r="A781" s="10">
        <v>780</v>
      </c>
      <c r="B781" s="11">
        <v>40578</v>
      </c>
      <c r="C781" s="12">
        <v>22</v>
      </c>
      <c r="D781" s="13" t="b">
        <v>0</v>
      </c>
      <c r="E781" s="12">
        <v>5</v>
      </c>
      <c r="F781" s="12">
        <v>2</v>
      </c>
      <c r="G781" s="1">
        <v>0.24</v>
      </c>
      <c r="H781" s="25">
        <v>0.2424</v>
      </c>
      <c r="I781" s="1">
        <v>0.65</v>
      </c>
      <c r="J781" s="1">
        <v>0.16420000000000001</v>
      </c>
      <c r="K781" s="1">
        <v>1</v>
      </c>
      <c r="L781" s="1">
        <v>45</v>
      </c>
      <c r="M781" s="6">
        <v>46</v>
      </c>
      <c r="N781" s="6" t="str">
        <f>IF(OR(Table3[[#This Row],[weekday]]=0,Table3[[#This Row],[weekday]]=6),"Weekend","Weekday")</f>
        <v>Weekday</v>
      </c>
    </row>
    <row r="782" spans="1:14" ht="15" thickBot="1" x14ac:dyDescent="0.35">
      <c r="A782" s="10">
        <v>781</v>
      </c>
      <c r="B782" s="11">
        <v>40578</v>
      </c>
      <c r="C782" s="12">
        <v>23</v>
      </c>
      <c r="D782" s="13" t="b">
        <v>0</v>
      </c>
      <c r="E782" s="12">
        <v>5</v>
      </c>
      <c r="F782" s="12">
        <v>2</v>
      </c>
      <c r="G782" s="1">
        <v>0.24</v>
      </c>
      <c r="H782" s="25">
        <v>0.2424</v>
      </c>
      <c r="I782" s="1">
        <v>0.7</v>
      </c>
      <c r="J782" s="1">
        <v>0.1343</v>
      </c>
      <c r="K782" s="1">
        <v>1</v>
      </c>
      <c r="L782" s="1">
        <v>30</v>
      </c>
      <c r="M782" s="6">
        <v>31</v>
      </c>
      <c r="N782" s="6" t="str">
        <f>IF(OR(Table3[[#This Row],[weekday]]=0,Table3[[#This Row],[weekday]]=6),"Weekend","Weekday")</f>
        <v>Weekday</v>
      </c>
    </row>
    <row r="783" spans="1:14" ht="15" thickBot="1" x14ac:dyDescent="0.35">
      <c r="A783" s="10">
        <v>782</v>
      </c>
      <c r="B783" s="11">
        <v>40579</v>
      </c>
      <c r="C783" s="12">
        <v>0</v>
      </c>
      <c r="D783" s="13" t="b">
        <v>0</v>
      </c>
      <c r="E783" s="12">
        <v>6</v>
      </c>
      <c r="F783" s="12">
        <v>2</v>
      </c>
      <c r="G783" s="1">
        <v>0.24</v>
      </c>
      <c r="H783" s="25">
        <v>0.2424</v>
      </c>
      <c r="I783" s="1">
        <v>0.7</v>
      </c>
      <c r="J783" s="1">
        <v>0.16420000000000001</v>
      </c>
      <c r="K783" s="1">
        <v>3</v>
      </c>
      <c r="L783" s="1">
        <v>36</v>
      </c>
      <c r="M783" s="6">
        <v>39</v>
      </c>
      <c r="N783" s="6" t="str">
        <f>IF(OR(Table3[[#This Row],[weekday]]=0,Table3[[#This Row],[weekday]]=6),"Weekend","Weekday")</f>
        <v>Weekend</v>
      </c>
    </row>
    <row r="784" spans="1:14" ht="15" thickBot="1" x14ac:dyDescent="0.35">
      <c r="A784" s="10">
        <v>783</v>
      </c>
      <c r="B784" s="11">
        <v>40579</v>
      </c>
      <c r="C784" s="12">
        <v>1</v>
      </c>
      <c r="D784" s="13" t="b">
        <v>0</v>
      </c>
      <c r="E784" s="12">
        <v>6</v>
      </c>
      <c r="F784" s="12">
        <v>2</v>
      </c>
      <c r="G784" s="1">
        <v>0.24</v>
      </c>
      <c r="H784" s="25">
        <v>0.2424</v>
      </c>
      <c r="I784" s="1">
        <v>0.65</v>
      </c>
      <c r="J784" s="1">
        <v>0.16420000000000001</v>
      </c>
      <c r="K784" s="1">
        <v>1</v>
      </c>
      <c r="L784" s="1">
        <v>17</v>
      </c>
      <c r="M784" s="6">
        <v>18</v>
      </c>
      <c r="N784" s="6" t="str">
        <f>IF(OR(Table3[[#This Row],[weekday]]=0,Table3[[#This Row],[weekday]]=6),"Weekend","Weekday")</f>
        <v>Weekend</v>
      </c>
    </row>
    <row r="785" spans="1:14" ht="15" thickBot="1" x14ac:dyDescent="0.35">
      <c r="A785" s="10">
        <v>784</v>
      </c>
      <c r="B785" s="11">
        <v>40579</v>
      </c>
      <c r="C785" s="12">
        <v>2</v>
      </c>
      <c r="D785" s="13" t="b">
        <v>0</v>
      </c>
      <c r="E785" s="12">
        <v>6</v>
      </c>
      <c r="F785" s="12">
        <v>2</v>
      </c>
      <c r="G785" s="1">
        <v>0.24</v>
      </c>
      <c r="H785" s="25">
        <v>0.2424</v>
      </c>
      <c r="I785" s="1">
        <v>0.75</v>
      </c>
      <c r="J785" s="1">
        <v>0.16420000000000001</v>
      </c>
      <c r="K785" s="1">
        <v>5</v>
      </c>
      <c r="L785" s="1">
        <v>12</v>
      </c>
      <c r="M785" s="6">
        <v>17</v>
      </c>
      <c r="N785" s="6" t="str">
        <f>IF(OR(Table3[[#This Row],[weekday]]=0,Table3[[#This Row],[weekday]]=6),"Weekend","Weekday")</f>
        <v>Weekend</v>
      </c>
    </row>
    <row r="786" spans="1:14" ht="15" thickBot="1" x14ac:dyDescent="0.35">
      <c r="A786" s="10">
        <v>785</v>
      </c>
      <c r="B786" s="11">
        <v>40579</v>
      </c>
      <c r="C786" s="12">
        <v>3</v>
      </c>
      <c r="D786" s="13" t="b">
        <v>0</v>
      </c>
      <c r="E786" s="12">
        <v>6</v>
      </c>
      <c r="F786" s="12">
        <v>2</v>
      </c>
      <c r="G786" s="1">
        <v>0.24</v>
      </c>
      <c r="H786" s="25">
        <v>0.2424</v>
      </c>
      <c r="I786" s="1">
        <v>0.75</v>
      </c>
      <c r="J786" s="1">
        <v>0.16420000000000001</v>
      </c>
      <c r="K786" s="1">
        <v>1</v>
      </c>
      <c r="L786" s="1">
        <v>10</v>
      </c>
      <c r="M786" s="6">
        <v>11</v>
      </c>
      <c r="N786" s="6" t="str">
        <f>IF(OR(Table3[[#This Row],[weekday]]=0,Table3[[#This Row],[weekday]]=6),"Weekend","Weekday")</f>
        <v>Weekend</v>
      </c>
    </row>
    <row r="787" spans="1:14" ht="15" thickBot="1" x14ac:dyDescent="0.35">
      <c r="A787" s="10">
        <v>786</v>
      </c>
      <c r="B787" s="11">
        <v>40579</v>
      </c>
      <c r="C787" s="12">
        <v>4</v>
      </c>
      <c r="D787" s="13" t="b">
        <v>0</v>
      </c>
      <c r="E787" s="12">
        <v>6</v>
      </c>
      <c r="F787" s="12">
        <v>3</v>
      </c>
      <c r="G787" s="1">
        <v>0.22</v>
      </c>
      <c r="H787" s="25">
        <v>0.2273</v>
      </c>
      <c r="I787" s="1">
        <v>0.93</v>
      </c>
      <c r="J787" s="1">
        <v>0.1343</v>
      </c>
      <c r="K787" s="1">
        <v>0</v>
      </c>
      <c r="L787" s="1">
        <v>8</v>
      </c>
      <c r="M787" s="6">
        <v>8</v>
      </c>
      <c r="N787" s="6" t="str">
        <f>IF(OR(Table3[[#This Row],[weekday]]=0,Table3[[#This Row],[weekday]]=6),"Weekend","Weekday")</f>
        <v>Weekend</v>
      </c>
    </row>
    <row r="788" spans="1:14" ht="15" thickBot="1" x14ac:dyDescent="0.35">
      <c r="A788" s="10">
        <v>787</v>
      </c>
      <c r="B788" s="11">
        <v>40579</v>
      </c>
      <c r="C788" s="12">
        <v>5</v>
      </c>
      <c r="D788" s="13" t="b">
        <v>0</v>
      </c>
      <c r="E788" s="12">
        <v>6</v>
      </c>
      <c r="F788" s="12">
        <v>3</v>
      </c>
      <c r="G788" s="1">
        <v>0.2</v>
      </c>
      <c r="H788" s="25">
        <v>0.2273</v>
      </c>
      <c r="I788" s="1">
        <v>1</v>
      </c>
      <c r="J788" s="1">
        <v>8.9599999999999999E-2</v>
      </c>
      <c r="K788" s="1">
        <v>0</v>
      </c>
      <c r="L788" s="1">
        <v>9</v>
      </c>
      <c r="M788" s="6">
        <v>9</v>
      </c>
      <c r="N788" s="6" t="str">
        <f>IF(OR(Table3[[#This Row],[weekday]]=0,Table3[[#This Row],[weekday]]=6),"Weekend","Weekday")</f>
        <v>Weekend</v>
      </c>
    </row>
    <row r="789" spans="1:14" ht="15" thickBot="1" x14ac:dyDescent="0.35">
      <c r="A789" s="10">
        <v>788</v>
      </c>
      <c r="B789" s="11">
        <v>40579</v>
      </c>
      <c r="C789" s="12">
        <v>6</v>
      </c>
      <c r="D789" s="13" t="b">
        <v>0</v>
      </c>
      <c r="E789" s="12">
        <v>6</v>
      </c>
      <c r="F789" s="12">
        <v>3</v>
      </c>
      <c r="G789" s="1">
        <v>0.2</v>
      </c>
      <c r="H789" s="25">
        <v>0.2576</v>
      </c>
      <c r="I789" s="1">
        <v>1</v>
      </c>
      <c r="J789" s="1">
        <v>0</v>
      </c>
      <c r="K789" s="1">
        <v>0</v>
      </c>
      <c r="L789" s="1">
        <v>4</v>
      </c>
      <c r="M789" s="6">
        <v>4</v>
      </c>
      <c r="N789" s="6" t="str">
        <f>IF(OR(Table3[[#This Row],[weekday]]=0,Table3[[#This Row],[weekday]]=6),"Weekend","Weekday")</f>
        <v>Weekend</v>
      </c>
    </row>
    <row r="790" spans="1:14" ht="15" thickBot="1" x14ac:dyDescent="0.35">
      <c r="A790" s="10">
        <v>789</v>
      </c>
      <c r="B790" s="11">
        <v>40579</v>
      </c>
      <c r="C790" s="12">
        <v>7</v>
      </c>
      <c r="D790" s="13" t="b">
        <v>0</v>
      </c>
      <c r="E790" s="12">
        <v>6</v>
      </c>
      <c r="F790" s="12">
        <v>3</v>
      </c>
      <c r="G790" s="1">
        <v>0.22</v>
      </c>
      <c r="H790" s="25">
        <v>0.2576</v>
      </c>
      <c r="I790" s="1">
        <v>0.93</v>
      </c>
      <c r="J790" s="1">
        <v>8.9599999999999999E-2</v>
      </c>
      <c r="K790" s="1">
        <v>0</v>
      </c>
      <c r="L790" s="1">
        <v>4</v>
      </c>
      <c r="M790" s="6">
        <v>4</v>
      </c>
      <c r="N790" s="6" t="str">
        <f>IF(OR(Table3[[#This Row],[weekday]]=0,Table3[[#This Row],[weekday]]=6),"Weekend","Weekday")</f>
        <v>Weekend</v>
      </c>
    </row>
    <row r="791" spans="1:14" ht="15" thickBot="1" x14ac:dyDescent="0.35">
      <c r="A791" s="10">
        <v>790</v>
      </c>
      <c r="B791" s="11">
        <v>40579</v>
      </c>
      <c r="C791" s="12">
        <v>8</v>
      </c>
      <c r="D791" s="13" t="b">
        <v>0</v>
      </c>
      <c r="E791" s="12">
        <v>6</v>
      </c>
      <c r="F791" s="12">
        <v>3</v>
      </c>
      <c r="G791" s="1">
        <v>0.2</v>
      </c>
      <c r="H791" s="25">
        <v>0.2273</v>
      </c>
      <c r="I791" s="1">
        <v>1</v>
      </c>
      <c r="J791" s="1">
        <v>8.9599999999999999E-2</v>
      </c>
      <c r="K791" s="1">
        <v>0</v>
      </c>
      <c r="L791" s="1">
        <v>10</v>
      </c>
      <c r="M791" s="6">
        <v>10</v>
      </c>
      <c r="N791" s="6" t="str">
        <f>IF(OR(Table3[[#This Row],[weekday]]=0,Table3[[#This Row],[weekday]]=6),"Weekend","Weekday")</f>
        <v>Weekend</v>
      </c>
    </row>
    <row r="792" spans="1:14" ht="15" thickBot="1" x14ac:dyDescent="0.35">
      <c r="A792" s="10">
        <v>791</v>
      </c>
      <c r="B792" s="11">
        <v>40579</v>
      </c>
      <c r="C792" s="12">
        <v>9</v>
      </c>
      <c r="D792" s="13" t="b">
        <v>0</v>
      </c>
      <c r="E792" s="12">
        <v>6</v>
      </c>
      <c r="F792" s="12">
        <v>3</v>
      </c>
      <c r="G792" s="1">
        <v>0.2</v>
      </c>
      <c r="H792" s="25">
        <v>0.2273</v>
      </c>
      <c r="I792" s="1">
        <v>1</v>
      </c>
      <c r="J792" s="1">
        <v>8.9599999999999999E-2</v>
      </c>
      <c r="K792" s="1">
        <v>3</v>
      </c>
      <c r="L792" s="1">
        <v>17</v>
      </c>
      <c r="M792" s="6">
        <v>20</v>
      </c>
      <c r="N792" s="6" t="str">
        <f>IF(OR(Table3[[#This Row],[weekday]]=0,Table3[[#This Row],[weekday]]=6),"Weekend","Weekday")</f>
        <v>Weekend</v>
      </c>
    </row>
    <row r="793" spans="1:14" ht="15" thickBot="1" x14ac:dyDescent="0.35">
      <c r="A793" s="10">
        <v>792</v>
      </c>
      <c r="B793" s="11">
        <v>40579</v>
      </c>
      <c r="C793" s="12">
        <v>10</v>
      </c>
      <c r="D793" s="13" t="b">
        <v>0</v>
      </c>
      <c r="E793" s="12">
        <v>6</v>
      </c>
      <c r="F793" s="12">
        <v>3</v>
      </c>
      <c r="G793" s="1">
        <v>0.2</v>
      </c>
      <c r="H793" s="25">
        <v>0.21210000000000001</v>
      </c>
      <c r="I793" s="1">
        <v>1</v>
      </c>
      <c r="J793" s="1">
        <v>0.1343</v>
      </c>
      <c r="K793" s="1">
        <v>3</v>
      </c>
      <c r="L793" s="1">
        <v>31</v>
      </c>
      <c r="M793" s="6">
        <v>34</v>
      </c>
      <c r="N793" s="6" t="str">
        <f>IF(OR(Table3[[#This Row],[weekday]]=0,Table3[[#This Row],[weekday]]=6),"Weekend","Weekday")</f>
        <v>Weekend</v>
      </c>
    </row>
    <row r="794" spans="1:14" ht="15" thickBot="1" x14ac:dyDescent="0.35">
      <c r="A794" s="10">
        <v>793</v>
      </c>
      <c r="B794" s="11">
        <v>40579</v>
      </c>
      <c r="C794" s="12">
        <v>11</v>
      </c>
      <c r="D794" s="13" t="b">
        <v>0</v>
      </c>
      <c r="E794" s="12">
        <v>6</v>
      </c>
      <c r="F794" s="12">
        <v>3</v>
      </c>
      <c r="G794" s="1">
        <v>0.22</v>
      </c>
      <c r="H794" s="25">
        <v>0.2273</v>
      </c>
      <c r="I794" s="1">
        <v>1</v>
      </c>
      <c r="J794" s="1">
        <v>0.1343</v>
      </c>
      <c r="K794" s="1">
        <v>1</v>
      </c>
      <c r="L794" s="1">
        <v>46</v>
      </c>
      <c r="M794" s="6">
        <v>47</v>
      </c>
      <c r="N794" s="6" t="str">
        <f>IF(OR(Table3[[#This Row],[weekday]]=0,Table3[[#This Row],[weekday]]=6),"Weekend","Weekday")</f>
        <v>Weekend</v>
      </c>
    </row>
    <row r="795" spans="1:14" ht="15" thickBot="1" x14ac:dyDescent="0.35">
      <c r="A795" s="10">
        <v>794</v>
      </c>
      <c r="B795" s="11">
        <v>40579</v>
      </c>
      <c r="C795" s="12">
        <v>12</v>
      </c>
      <c r="D795" s="13" t="b">
        <v>0</v>
      </c>
      <c r="E795" s="12">
        <v>6</v>
      </c>
      <c r="F795" s="12">
        <v>3</v>
      </c>
      <c r="G795" s="1">
        <v>0.22</v>
      </c>
      <c r="H795" s="25">
        <v>0.2273</v>
      </c>
      <c r="I795" s="1">
        <v>1</v>
      </c>
      <c r="J795" s="1">
        <v>0.16420000000000001</v>
      </c>
      <c r="K795" s="1">
        <v>10</v>
      </c>
      <c r="L795" s="1">
        <v>42</v>
      </c>
      <c r="M795" s="6">
        <v>52</v>
      </c>
      <c r="N795" s="6" t="str">
        <f>IF(OR(Table3[[#This Row],[weekday]]=0,Table3[[#This Row],[weekday]]=6),"Weekend","Weekday")</f>
        <v>Weekend</v>
      </c>
    </row>
    <row r="796" spans="1:14" ht="15" thickBot="1" x14ac:dyDescent="0.35">
      <c r="A796" s="10">
        <v>795</v>
      </c>
      <c r="B796" s="11">
        <v>40579</v>
      </c>
      <c r="C796" s="12">
        <v>13</v>
      </c>
      <c r="D796" s="13" t="b">
        <v>0</v>
      </c>
      <c r="E796" s="12">
        <v>6</v>
      </c>
      <c r="F796" s="12">
        <v>3</v>
      </c>
      <c r="G796" s="1">
        <v>0.22</v>
      </c>
      <c r="H796" s="25">
        <v>0.2273</v>
      </c>
      <c r="I796" s="1">
        <v>1</v>
      </c>
      <c r="J796" s="1">
        <v>0.16420000000000001</v>
      </c>
      <c r="K796" s="1">
        <v>10</v>
      </c>
      <c r="L796" s="1">
        <v>62</v>
      </c>
      <c r="M796" s="6">
        <v>72</v>
      </c>
      <c r="N796" s="6" t="str">
        <f>IF(OR(Table3[[#This Row],[weekday]]=0,Table3[[#This Row],[weekday]]=6),"Weekend","Weekday")</f>
        <v>Weekend</v>
      </c>
    </row>
    <row r="797" spans="1:14" ht="15" thickBot="1" x14ac:dyDescent="0.35">
      <c r="A797" s="10">
        <v>796</v>
      </c>
      <c r="B797" s="11">
        <v>40579</v>
      </c>
      <c r="C797" s="12">
        <v>14</v>
      </c>
      <c r="D797" s="13" t="b">
        <v>0</v>
      </c>
      <c r="E797" s="12">
        <v>6</v>
      </c>
      <c r="F797" s="12">
        <v>3</v>
      </c>
      <c r="G797" s="1">
        <v>0.22</v>
      </c>
      <c r="H797" s="25">
        <v>0.2727</v>
      </c>
      <c r="I797" s="1">
        <v>1</v>
      </c>
      <c r="J797" s="1">
        <v>0</v>
      </c>
      <c r="K797" s="1">
        <v>5</v>
      </c>
      <c r="L797" s="1">
        <v>50</v>
      </c>
      <c r="M797" s="6">
        <v>55</v>
      </c>
      <c r="N797" s="6" t="str">
        <f>IF(OR(Table3[[#This Row],[weekday]]=0,Table3[[#This Row],[weekday]]=6),"Weekend","Weekday")</f>
        <v>Weekend</v>
      </c>
    </row>
    <row r="798" spans="1:14" ht="15" thickBot="1" x14ac:dyDescent="0.35">
      <c r="A798" s="10">
        <v>797</v>
      </c>
      <c r="B798" s="11">
        <v>40579</v>
      </c>
      <c r="C798" s="12">
        <v>15</v>
      </c>
      <c r="D798" s="13" t="b">
        <v>0</v>
      </c>
      <c r="E798" s="12">
        <v>6</v>
      </c>
      <c r="F798" s="12">
        <v>3</v>
      </c>
      <c r="G798" s="1">
        <v>0.22</v>
      </c>
      <c r="H798" s="25">
        <v>0.2727</v>
      </c>
      <c r="I798" s="1">
        <v>1</v>
      </c>
      <c r="J798" s="1">
        <v>0</v>
      </c>
      <c r="K798" s="1">
        <v>11</v>
      </c>
      <c r="L798" s="1">
        <v>49</v>
      </c>
      <c r="M798" s="6">
        <v>60</v>
      </c>
      <c r="N798" s="6" t="str">
        <f>IF(OR(Table3[[#This Row],[weekday]]=0,Table3[[#This Row],[weekday]]=6),"Weekend","Weekday")</f>
        <v>Weekend</v>
      </c>
    </row>
    <row r="799" spans="1:14" ht="15" thickBot="1" x14ac:dyDescent="0.35">
      <c r="A799" s="10">
        <v>798</v>
      </c>
      <c r="B799" s="11">
        <v>40579</v>
      </c>
      <c r="C799" s="12">
        <v>16</v>
      </c>
      <c r="D799" s="13" t="b">
        <v>0</v>
      </c>
      <c r="E799" s="12">
        <v>6</v>
      </c>
      <c r="F799" s="12">
        <v>3</v>
      </c>
      <c r="G799" s="1">
        <v>0.22</v>
      </c>
      <c r="H799" s="25">
        <v>0.2273</v>
      </c>
      <c r="I799" s="1">
        <v>1</v>
      </c>
      <c r="J799" s="1">
        <v>0.1343</v>
      </c>
      <c r="K799" s="1">
        <v>8</v>
      </c>
      <c r="L799" s="1">
        <v>63</v>
      </c>
      <c r="M799" s="6">
        <v>71</v>
      </c>
      <c r="N799" s="6" t="str">
        <f>IF(OR(Table3[[#This Row],[weekday]]=0,Table3[[#This Row],[weekday]]=6),"Weekend","Weekday")</f>
        <v>Weekend</v>
      </c>
    </row>
    <row r="800" spans="1:14" ht="15" thickBot="1" x14ac:dyDescent="0.35">
      <c r="A800" s="10">
        <v>799</v>
      </c>
      <c r="B800" s="11">
        <v>40579</v>
      </c>
      <c r="C800" s="12">
        <v>17</v>
      </c>
      <c r="D800" s="13" t="b">
        <v>0</v>
      </c>
      <c r="E800" s="12">
        <v>6</v>
      </c>
      <c r="F800" s="12">
        <v>2</v>
      </c>
      <c r="G800" s="1">
        <v>0.24</v>
      </c>
      <c r="H800" s="25">
        <v>0.21210000000000001</v>
      </c>
      <c r="I800" s="1">
        <v>1</v>
      </c>
      <c r="J800" s="1">
        <v>0.28360000000000002</v>
      </c>
      <c r="K800" s="1">
        <v>14</v>
      </c>
      <c r="L800" s="1">
        <v>64</v>
      </c>
      <c r="M800" s="6">
        <v>78</v>
      </c>
      <c r="N800" s="6" t="str">
        <f>IF(OR(Table3[[#This Row],[weekday]]=0,Table3[[#This Row],[weekday]]=6),"Weekend","Weekday")</f>
        <v>Weekend</v>
      </c>
    </row>
    <row r="801" spans="1:14" ht="15" thickBot="1" x14ac:dyDescent="0.35">
      <c r="A801" s="10">
        <v>800</v>
      </c>
      <c r="B801" s="11">
        <v>40579</v>
      </c>
      <c r="C801" s="12">
        <v>18</v>
      </c>
      <c r="D801" s="13" t="b">
        <v>0</v>
      </c>
      <c r="E801" s="12">
        <v>6</v>
      </c>
      <c r="F801" s="12">
        <v>2</v>
      </c>
      <c r="G801" s="1">
        <v>0.28000000000000003</v>
      </c>
      <c r="H801" s="25">
        <v>0.2424</v>
      </c>
      <c r="I801" s="1">
        <v>0.93</v>
      </c>
      <c r="J801" s="1">
        <v>0.44779999999999998</v>
      </c>
      <c r="K801" s="1">
        <v>2</v>
      </c>
      <c r="L801" s="1">
        <v>81</v>
      </c>
      <c r="M801" s="6">
        <v>83</v>
      </c>
      <c r="N801" s="6" t="str">
        <f>IF(OR(Table3[[#This Row],[weekday]]=0,Table3[[#This Row],[weekday]]=6),"Weekend","Weekday")</f>
        <v>Weekend</v>
      </c>
    </row>
    <row r="802" spans="1:14" ht="15" thickBot="1" x14ac:dyDescent="0.35">
      <c r="A802" s="10">
        <v>801</v>
      </c>
      <c r="B802" s="11">
        <v>40579</v>
      </c>
      <c r="C802" s="12">
        <v>19</v>
      </c>
      <c r="D802" s="13" t="b">
        <v>0</v>
      </c>
      <c r="E802" s="12">
        <v>6</v>
      </c>
      <c r="F802" s="12">
        <v>2</v>
      </c>
      <c r="G802" s="1">
        <v>0.28000000000000003</v>
      </c>
      <c r="H802" s="25">
        <v>0.2424</v>
      </c>
      <c r="I802" s="1">
        <v>0.93</v>
      </c>
      <c r="J802" s="1">
        <v>0.44779999999999998</v>
      </c>
      <c r="K802" s="1">
        <v>6</v>
      </c>
      <c r="L802" s="1">
        <v>78</v>
      </c>
      <c r="M802" s="6">
        <v>84</v>
      </c>
      <c r="N802" s="6" t="str">
        <f>IF(OR(Table3[[#This Row],[weekday]]=0,Table3[[#This Row],[weekday]]=6),"Weekend","Weekday")</f>
        <v>Weekend</v>
      </c>
    </row>
    <row r="803" spans="1:14" ht="15" thickBot="1" x14ac:dyDescent="0.35">
      <c r="A803" s="10">
        <v>802</v>
      </c>
      <c r="B803" s="11">
        <v>40579</v>
      </c>
      <c r="C803" s="12">
        <v>20</v>
      </c>
      <c r="D803" s="13" t="b">
        <v>0</v>
      </c>
      <c r="E803" s="12">
        <v>6</v>
      </c>
      <c r="F803" s="12">
        <v>1</v>
      </c>
      <c r="G803" s="1">
        <v>0.3</v>
      </c>
      <c r="H803" s="25">
        <v>0.28789999999999999</v>
      </c>
      <c r="I803" s="1">
        <v>0.87</v>
      </c>
      <c r="J803" s="1">
        <v>0.25369999999999998</v>
      </c>
      <c r="K803" s="1">
        <v>5</v>
      </c>
      <c r="L803" s="1">
        <v>64</v>
      </c>
      <c r="M803" s="6">
        <v>69</v>
      </c>
      <c r="N803" s="6" t="str">
        <f>IF(OR(Table3[[#This Row],[weekday]]=0,Table3[[#This Row],[weekday]]=6),"Weekend","Weekday")</f>
        <v>Weekend</v>
      </c>
    </row>
    <row r="804" spans="1:14" ht="15" thickBot="1" x14ac:dyDescent="0.35">
      <c r="A804" s="10">
        <v>803</v>
      </c>
      <c r="B804" s="11">
        <v>40579</v>
      </c>
      <c r="C804" s="12">
        <v>21</v>
      </c>
      <c r="D804" s="13" t="b">
        <v>0</v>
      </c>
      <c r="E804" s="12">
        <v>6</v>
      </c>
      <c r="F804" s="12">
        <v>1</v>
      </c>
      <c r="G804" s="1">
        <v>0.26</v>
      </c>
      <c r="H804" s="25">
        <v>0.2576</v>
      </c>
      <c r="I804" s="1">
        <v>1</v>
      </c>
      <c r="J804" s="1">
        <v>0.19400000000000001</v>
      </c>
      <c r="K804" s="1">
        <v>3</v>
      </c>
      <c r="L804" s="1">
        <v>53</v>
      </c>
      <c r="M804" s="6">
        <v>56</v>
      </c>
      <c r="N804" s="6" t="str">
        <f>IF(OR(Table3[[#This Row],[weekday]]=0,Table3[[#This Row],[weekday]]=6),"Weekend","Weekday")</f>
        <v>Weekend</v>
      </c>
    </row>
    <row r="805" spans="1:14" ht="15" thickBot="1" x14ac:dyDescent="0.35">
      <c r="A805" s="10">
        <v>804</v>
      </c>
      <c r="B805" s="11">
        <v>40579</v>
      </c>
      <c r="C805" s="12">
        <v>22</v>
      </c>
      <c r="D805" s="13" t="b">
        <v>0</v>
      </c>
      <c r="E805" s="12">
        <v>6</v>
      </c>
      <c r="F805" s="12">
        <v>1</v>
      </c>
      <c r="G805" s="1">
        <v>0.26</v>
      </c>
      <c r="H805" s="25">
        <v>0.2727</v>
      </c>
      <c r="I805" s="1">
        <v>0.93</v>
      </c>
      <c r="J805" s="1">
        <v>0.1343</v>
      </c>
      <c r="K805" s="1">
        <v>2</v>
      </c>
      <c r="L805" s="1">
        <v>43</v>
      </c>
      <c r="M805" s="6">
        <v>45</v>
      </c>
      <c r="N805" s="6" t="str">
        <f>IF(OR(Table3[[#This Row],[weekday]]=0,Table3[[#This Row],[weekday]]=6),"Weekend","Weekday")</f>
        <v>Weekend</v>
      </c>
    </row>
    <row r="806" spans="1:14" ht="15" thickBot="1" x14ac:dyDescent="0.35">
      <c r="A806" s="10">
        <v>805</v>
      </c>
      <c r="B806" s="11">
        <v>40579</v>
      </c>
      <c r="C806" s="12">
        <v>23</v>
      </c>
      <c r="D806" s="13" t="b">
        <v>0</v>
      </c>
      <c r="E806" s="12">
        <v>6</v>
      </c>
      <c r="F806" s="12">
        <v>1</v>
      </c>
      <c r="G806" s="1">
        <v>0.26</v>
      </c>
      <c r="H806" s="25">
        <v>0.2576</v>
      </c>
      <c r="I806" s="1">
        <v>0.93</v>
      </c>
      <c r="J806" s="1">
        <v>0.22389999999999999</v>
      </c>
      <c r="K806" s="1">
        <v>7</v>
      </c>
      <c r="L806" s="1">
        <v>52</v>
      </c>
      <c r="M806" s="6">
        <v>59</v>
      </c>
      <c r="N806" s="6" t="str">
        <f>IF(OR(Table3[[#This Row],[weekday]]=0,Table3[[#This Row],[weekday]]=6),"Weekend","Weekday")</f>
        <v>Weekend</v>
      </c>
    </row>
    <row r="807" spans="1:14" ht="15" thickBot="1" x14ac:dyDescent="0.35">
      <c r="A807" s="10">
        <v>806</v>
      </c>
      <c r="B807" s="11">
        <v>40580</v>
      </c>
      <c r="C807" s="12">
        <v>0</v>
      </c>
      <c r="D807" s="13" t="b">
        <v>0</v>
      </c>
      <c r="E807" s="12">
        <v>0</v>
      </c>
      <c r="F807" s="12">
        <v>1</v>
      </c>
      <c r="G807" s="1">
        <v>0.26</v>
      </c>
      <c r="H807" s="25">
        <v>0.2576</v>
      </c>
      <c r="I807" s="1">
        <v>0.7</v>
      </c>
      <c r="J807" s="1">
        <v>0.19400000000000001</v>
      </c>
      <c r="K807" s="1">
        <v>2</v>
      </c>
      <c r="L807" s="1">
        <v>37</v>
      </c>
      <c r="M807" s="6">
        <v>39</v>
      </c>
      <c r="N807" s="6" t="str">
        <f>IF(OR(Table3[[#This Row],[weekday]]=0,Table3[[#This Row],[weekday]]=6),"Weekend","Weekday")</f>
        <v>Weekend</v>
      </c>
    </row>
    <row r="808" spans="1:14" ht="15" thickBot="1" x14ac:dyDescent="0.35">
      <c r="A808" s="10">
        <v>807</v>
      </c>
      <c r="B808" s="11">
        <v>40580</v>
      </c>
      <c r="C808" s="12">
        <v>1</v>
      </c>
      <c r="D808" s="13" t="b">
        <v>0</v>
      </c>
      <c r="E808" s="12">
        <v>0</v>
      </c>
      <c r="F808" s="12">
        <v>1</v>
      </c>
      <c r="G808" s="1">
        <v>0.26</v>
      </c>
      <c r="H808" s="25">
        <v>0.2273</v>
      </c>
      <c r="I808" s="1">
        <v>0.65</v>
      </c>
      <c r="J808" s="1">
        <v>0.41789999999999999</v>
      </c>
      <c r="K808" s="1">
        <v>4</v>
      </c>
      <c r="L808" s="1">
        <v>40</v>
      </c>
      <c r="M808" s="6">
        <v>44</v>
      </c>
      <c r="N808" s="6" t="str">
        <f>IF(OR(Table3[[#This Row],[weekday]]=0,Table3[[#This Row],[weekday]]=6),"Weekend","Weekday")</f>
        <v>Weekend</v>
      </c>
    </row>
    <row r="809" spans="1:14" ht="15" thickBot="1" x14ac:dyDescent="0.35">
      <c r="A809" s="10">
        <v>808</v>
      </c>
      <c r="B809" s="11">
        <v>40580</v>
      </c>
      <c r="C809" s="12">
        <v>2</v>
      </c>
      <c r="D809" s="13" t="b">
        <v>0</v>
      </c>
      <c r="E809" s="12">
        <v>0</v>
      </c>
      <c r="F809" s="12">
        <v>1</v>
      </c>
      <c r="G809" s="1">
        <v>0.26</v>
      </c>
      <c r="H809" s="25">
        <v>0.2273</v>
      </c>
      <c r="I809" s="1">
        <v>0.6</v>
      </c>
      <c r="J809" s="1">
        <v>0.32840000000000003</v>
      </c>
      <c r="K809" s="1">
        <v>0</v>
      </c>
      <c r="L809" s="1">
        <v>20</v>
      </c>
      <c r="M809" s="6">
        <v>20</v>
      </c>
      <c r="N809" s="6" t="str">
        <f>IF(OR(Table3[[#This Row],[weekday]]=0,Table3[[#This Row],[weekday]]=6),"Weekend","Weekday")</f>
        <v>Weekend</v>
      </c>
    </row>
    <row r="810" spans="1:14" ht="15" thickBot="1" x14ac:dyDescent="0.35">
      <c r="A810" s="10">
        <v>809</v>
      </c>
      <c r="B810" s="11">
        <v>40580</v>
      </c>
      <c r="C810" s="12">
        <v>3</v>
      </c>
      <c r="D810" s="13" t="b">
        <v>0</v>
      </c>
      <c r="E810" s="12">
        <v>0</v>
      </c>
      <c r="F810" s="12">
        <v>1</v>
      </c>
      <c r="G810" s="1">
        <v>0.26</v>
      </c>
      <c r="H810" s="25">
        <v>0.28789999999999999</v>
      </c>
      <c r="I810" s="1">
        <v>0.6</v>
      </c>
      <c r="J810" s="1">
        <v>8.9599999999999999E-2</v>
      </c>
      <c r="K810" s="1">
        <v>3</v>
      </c>
      <c r="L810" s="1">
        <v>10</v>
      </c>
      <c r="M810" s="6">
        <v>13</v>
      </c>
      <c r="N810" s="6" t="str">
        <f>IF(OR(Table3[[#This Row],[weekday]]=0,Table3[[#This Row],[weekday]]=6),"Weekend","Weekday")</f>
        <v>Weekend</v>
      </c>
    </row>
    <row r="811" spans="1:14" ht="15" thickBot="1" x14ac:dyDescent="0.35">
      <c r="A811" s="10">
        <v>810</v>
      </c>
      <c r="B811" s="11">
        <v>40580</v>
      </c>
      <c r="C811" s="12">
        <v>4</v>
      </c>
      <c r="D811" s="13" t="b">
        <v>0</v>
      </c>
      <c r="E811" s="12">
        <v>0</v>
      </c>
      <c r="F811" s="12">
        <v>1</v>
      </c>
      <c r="G811" s="1">
        <v>0.26</v>
      </c>
      <c r="H811" s="25">
        <v>0.2273</v>
      </c>
      <c r="I811" s="1">
        <v>0.6</v>
      </c>
      <c r="J811" s="1">
        <v>0.35820000000000002</v>
      </c>
      <c r="K811" s="1">
        <v>0</v>
      </c>
      <c r="L811" s="1">
        <v>2</v>
      </c>
      <c r="M811" s="6">
        <v>2</v>
      </c>
      <c r="N811" s="6" t="str">
        <f>IF(OR(Table3[[#This Row],[weekday]]=0,Table3[[#This Row],[weekday]]=6),"Weekend","Weekday")</f>
        <v>Weekend</v>
      </c>
    </row>
    <row r="812" spans="1:14" ht="15" thickBot="1" x14ac:dyDescent="0.35">
      <c r="A812" s="10">
        <v>811</v>
      </c>
      <c r="B812" s="11">
        <v>40580</v>
      </c>
      <c r="C812" s="12">
        <v>5</v>
      </c>
      <c r="D812" s="13" t="b">
        <v>0</v>
      </c>
      <c r="E812" s="12">
        <v>0</v>
      </c>
      <c r="F812" s="12">
        <v>1</v>
      </c>
      <c r="G812" s="1">
        <v>0.26</v>
      </c>
      <c r="H812" s="25">
        <v>0.2576</v>
      </c>
      <c r="I812" s="1">
        <v>0.6</v>
      </c>
      <c r="J812" s="1">
        <v>0.22389999999999999</v>
      </c>
      <c r="K812" s="1">
        <v>0</v>
      </c>
      <c r="L812" s="1">
        <v>1</v>
      </c>
      <c r="M812" s="6">
        <v>1</v>
      </c>
      <c r="N812" s="6" t="str">
        <f>IF(OR(Table3[[#This Row],[weekday]]=0,Table3[[#This Row],[weekday]]=6),"Weekend","Weekday")</f>
        <v>Weekend</v>
      </c>
    </row>
    <row r="813" spans="1:14" ht="15" thickBot="1" x14ac:dyDescent="0.35">
      <c r="A813" s="10">
        <v>812</v>
      </c>
      <c r="B813" s="11">
        <v>40580</v>
      </c>
      <c r="C813" s="12">
        <v>6</v>
      </c>
      <c r="D813" s="13" t="b">
        <v>0</v>
      </c>
      <c r="E813" s="12">
        <v>0</v>
      </c>
      <c r="F813" s="12">
        <v>1</v>
      </c>
      <c r="G813" s="1">
        <v>0.26</v>
      </c>
      <c r="H813" s="25">
        <v>0.2576</v>
      </c>
      <c r="I813" s="1">
        <v>0.6</v>
      </c>
      <c r="J813" s="1">
        <v>0.22389999999999999</v>
      </c>
      <c r="K813" s="1">
        <v>0</v>
      </c>
      <c r="L813" s="1">
        <v>1</v>
      </c>
      <c r="M813" s="6">
        <v>1</v>
      </c>
      <c r="N813" s="6" t="str">
        <f>IF(OR(Table3[[#This Row],[weekday]]=0,Table3[[#This Row],[weekday]]=6),"Weekend","Weekday")</f>
        <v>Weekend</v>
      </c>
    </row>
    <row r="814" spans="1:14" ht="15" thickBot="1" x14ac:dyDescent="0.35">
      <c r="A814" s="10">
        <v>813</v>
      </c>
      <c r="B814" s="11">
        <v>40580</v>
      </c>
      <c r="C814" s="12">
        <v>7</v>
      </c>
      <c r="D814" s="13" t="b">
        <v>0</v>
      </c>
      <c r="E814" s="12">
        <v>0</v>
      </c>
      <c r="F814" s="12">
        <v>1</v>
      </c>
      <c r="G814" s="1">
        <v>0.24</v>
      </c>
      <c r="H814" s="25">
        <v>0.2424</v>
      </c>
      <c r="I814" s="1">
        <v>0.65</v>
      </c>
      <c r="J814" s="1">
        <v>0.16420000000000001</v>
      </c>
      <c r="K814" s="1">
        <v>0</v>
      </c>
      <c r="L814" s="1">
        <v>8</v>
      </c>
      <c r="M814" s="6">
        <v>8</v>
      </c>
      <c r="N814" s="6" t="str">
        <f>IF(OR(Table3[[#This Row],[weekday]]=0,Table3[[#This Row],[weekday]]=6),"Weekend","Weekday")</f>
        <v>Weekend</v>
      </c>
    </row>
    <row r="815" spans="1:14" ht="15" thickBot="1" x14ac:dyDescent="0.35">
      <c r="A815" s="10">
        <v>814</v>
      </c>
      <c r="B815" s="11">
        <v>40580</v>
      </c>
      <c r="C815" s="12">
        <v>8</v>
      </c>
      <c r="D815" s="13" t="b">
        <v>0</v>
      </c>
      <c r="E815" s="12">
        <v>0</v>
      </c>
      <c r="F815" s="12">
        <v>1</v>
      </c>
      <c r="G815" s="1">
        <v>0.24</v>
      </c>
      <c r="H815" s="25">
        <v>0.2576</v>
      </c>
      <c r="I815" s="1">
        <v>0.65</v>
      </c>
      <c r="J815" s="1">
        <v>0.1045</v>
      </c>
      <c r="K815" s="1">
        <v>2</v>
      </c>
      <c r="L815" s="1">
        <v>21</v>
      </c>
      <c r="M815" s="6">
        <v>23</v>
      </c>
      <c r="N815" s="6" t="str">
        <f>IF(OR(Table3[[#This Row],[weekday]]=0,Table3[[#This Row],[weekday]]=6),"Weekend","Weekday")</f>
        <v>Weekend</v>
      </c>
    </row>
    <row r="816" spans="1:14" ht="15" thickBot="1" x14ac:dyDescent="0.35">
      <c r="A816" s="10">
        <v>815</v>
      </c>
      <c r="B816" s="11">
        <v>40580</v>
      </c>
      <c r="C816" s="12">
        <v>9</v>
      </c>
      <c r="D816" s="13" t="b">
        <v>0</v>
      </c>
      <c r="E816" s="12">
        <v>0</v>
      </c>
      <c r="F816" s="12">
        <v>1</v>
      </c>
      <c r="G816" s="1">
        <v>0.28000000000000003</v>
      </c>
      <c r="H816" s="25">
        <v>0.28789999999999999</v>
      </c>
      <c r="I816" s="1">
        <v>0.56000000000000005</v>
      </c>
      <c r="J816" s="1">
        <v>0.1045</v>
      </c>
      <c r="K816" s="1">
        <v>7</v>
      </c>
      <c r="L816" s="1">
        <v>38</v>
      </c>
      <c r="M816" s="6">
        <v>45</v>
      </c>
      <c r="N816" s="6" t="str">
        <f>IF(OR(Table3[[#This Row],[weekday]]=0,Table3[[#This Row],[weekday]]=6),"Weekend","Weekday")</f>
        <v>Weekend</v>
      </c>
    </row>
    <row r="817" spans="1:14" ht="15" thickBot="1" x14ac:dyDescent="0.35">
      <c r="A817" s="10">
        <v>816</v>
      </c>
      <c r="B817" s="11">
        <v>40580</v>
      </c>
      <c r="C817" s="12">
        <v>10</v>
      </c>
      <c r="D817" s="13" t="b">
        <v>0</v>
      </c>
      <c r="E817" s="12">
        <v>0</v>
      </c>
      <c r="F817" s="12">
        <v>1</v>
      </c>
      <c r="G817" s="1">
        <v>0.3</v>
      </c>
      <c r="H817" s="25">
        <v>0.28789999999999999</v>
      </c>
      <c r="I817" s="1">
        <v>0.52</v>
      </c>
      <c r="J817" s="1">
        <v>0.25369999999999998</v>
      </c>
      <c r="K817" s="1">
        <v>15</v>
      </c>
      <c r="L817" s="1">
        <v>74</v>
      </c>
      <c r="M817" s="6">
        <v>89</v>
      </c>
      <c r="N817" s="6" t="str">
        <f>IF(OR(Table3[[#This Row],[weekday]]=0,Table3[[#This Row],[weekday]]=6),"Weekend","Weekday")</f>
        <v>Weekend</v>
      </c>
    </row>
    <row r="818" spans="1:14" ht="15" thickBot="1" x14ac:dyDescent="0.35">
      <c r="A818" s="10">
        <v>817</v>
      </c>
      <c r="B818" s="11">
        <v>40580</v>
      </c>
      <c r="C818" s="12">
        <v>11</v>
      </c>
      <c r="D818" s="13" t="b">
        <v>0</v>
      </c>
      <c r="E818" s="12">
        <v>0</v>
      </c>
      <c r="F818" s="12">
        <v>1</v>
      </c>
      <c r="G818" s="1">
        <v>0.32</v>
      </c>
      <c r="H818" s="25">
        <v>0.30299999999999999</v>
      </c>
      <c r="I818" s="1">
        <v>0.49</v>
      </c>
      <c r="J818" s="1">
        <v>0.25369999999999998</v>
      </c>
      <c r="K818" s="1">
        <v>28</v>
      </c>
      <c r="L818" s="1">
        <v>89</v>
      </c>
      <c r="M818" s="6">
        <v>117</v>
      </c>
      <c r="N818" s="6" t="str">
        <f>IF(OR(Table3[[#This Row],[weekday]]=0,Table3[[#This Row],[weekday]]=6),"Weekend","Weekday")</f>
        <v>Weekend</v>
      </c>
    </row>
    <row r="819" spans="1:14" ht="15" thickBot="1" x14ac:dyDescent="0.35">
      <c r="A819" s="10">
        <v>818</v>
      </c>
      <c r="B819" s="11">
        <v>40580</v>
      </c>
      <c r="C819" s="12">
        <v>12</v>
      </c>
      <c r="D819" s="13" t="b">
        <v>0</v>
      </c>
      <c r="E819" s="12">
        <v>0</v>
      </c>
      <c r="F819" s="12">
        <v>1</v>
      </c>
      <c r="G819" s="1">
        <v>0.34</v>
      </c>
      <c r="H819" s="25">
        <v>0.33329999999999999</v>
      </c>
      <c r="I819" s="1">
        <v>0.46</v>
      </c>
      <c r="J819" s="1">
        <v>0</v>
      </c>
      <c r="K819" s="1">
        <v>48</v>
      </c>
      <c r="L819" s="1">
        <v>126</v>
      </c>
      <c r="M819" s="6">
        <v>174</v>
      </c>
      <c r="N819" s="6" t="str">
        <f>IF(OR(Table3[[#This Row],[weekday]]=0,Table3[[#This Row],[weekday]]=6),"Weekend","Weekday")</f>
        <v>Weekend</v>
      </c>
    </row>
    <row r="820" spans="1:14" ht="15" thickBot="1" x14ac:dyDescent="0.35">
      <c r="A820" s="10">
        <v>819</v>
      </c>
      <c r="B820" s="11">
        <v>40580</v>
      </c>
      <c r="C820" s="12">
        <v>13</v>
      </c>
      <c r="D820" s="13" t="b">
        <v>0</v>
      </c>
      <c r="E820" s="12">
        <v>0</v>
      </c>
      <c r="F820" s="12">
        <v>1</v>
      </c>
      <c r="G820" s="1">
        <v>0.34</v>
      </c>
      <c r="H820" s="25">
        <v>0.36359999999999998</v>
      </c>
      <c r="I820" s="1">
        <v>0.46</v>
      </c>
      <c r="J820" s="1">
        <v>0</v>
      </c>
      <c r="K820" s="1">
        <v>47</v>
      </c>
      <c r="L820" s="1">
        <v>135</v>
      </c>
      <c r="M820" s="6">
        <v>182</v>
      </c>
      <c r="N820" s="6" t="str">
        <f>IF(OR(Table3[[#This Row],[weekday]]=0,Table3[[#This Row],[weekday]]=6),"Weekend","Weekday")</f>
        <v>Weekend</v>
      </c>
    </row>
    <row r="821" spans="1:14" ht="15" thickBot="1" x14ac:dyDescent="0.35">
      <c r="A821" s="10">
        <v>820</v>
      </c>
      <c r="B821" s="11">
        <v>40580</v>
      </c>
      <c r="C821" s="12">
        <v>14</v>
      </c>
      <c r="D821" s="13" t="b">
        <v>0</v>
      </c>
      <c r="E821" s="12">
        <v>0</v>
      </c>
      <c r="F821" s="12">
        <v>1</v>
      </c>
      <c r="G821" s="1">
        <v>0.34</v>
      </c>
      <c r="H821" s="25">
        <v>0.34849999999999998</v>
      </c>
      <c r="I821" s="1">
        <v>0.46</v>
      </c>
      <c r="J821" s="1">
        <v>8.9599999999999999E-2</v>
      </c>
      <c r="K821" s="1">
        <v>47</v>
      </c>
      <c r="L821" s="1">
        <v>114</v>
      </c>
      <c r="M821" s="6">
        <v>161</v>
      </c>
      <c r="N821" s="6" t="str">
        <f>IF(OR(Table3[[#This Row],[weekday]]=0,Table3[[#This Row],[weekday]]=6),"Weekend","Weekday")</f>
        <v>Weekend</v>
      </c>
    </row>
    <row r="822" spans="1:14" ht="15" thickBot="1" x14ac:dyDescent="0.35">
      <c r="A822" s="10">
        <v>821</v>
      </c>
      <c r="B822" s="11">
        <v>40580</v>
      </c>
      <c r="C822" s="12">
        <v>15</v>
      </c>
      <c r="D822" s="13" t="b">
        <v>0</v>
      </c>
      <c r="E822" s="12">
        <v>0</v>
      </c>
      <c r="F822" s="12">
        <v>1</v>
      </c>
      <c r="G822" s="1">
        <v>0.34</v>
      </c>
      <c r="H822" s="25">
        <v>0.34849999999999998</v>
      </c>
      <c r="I822" s="1">
        <v>0.46</v>
      </c>
      <c r="J822" s="1">
        <v>8.9599999999999999E-2</v>
      </c>
      <c r="K822" s="1">
        <v>52</v>
      </c>
      <c r="L822" s="1">
        <v>130</v>
      </c>
      <c r="M822" s="6">
        <v>182</v>
      </c>
      <c r="N822" s="6" t="str">
        <f>IF(OR(Table3[[#This Row],[weekday]]=0,Table3[[#This Row],[weekday]]=6),"Weekend","Weekday")</f>
        <v>Weekend</v>
      </c>
    </row>
    <row r="823" spans="1:14" ht="15" thickBot="1" x14ac:dyDescent="0.35">
      <c r="A823" s="10">
        <v>822</v>
      </c>
      <c r="B823" s="11">
        <v>40580</v>
      </c>
      <c r="C823" s="12">
        <v>16</v>
      </c>
      <c r="D823" s="13" t="b">
        <v>0</v>
      </c>
      <c r="E823" s="12">
        <v>0</v>
      </c>
      <c r="F823" s="12">
        <v>1</v>
      </c>
      <c r="G823" s="1">
        <v>0.34</v>
      </c>
      <c r="H823" s="25">
        <v>0.34849999999999998</v>
      </c>
      <c r="I823" s="1">
        <v>0.49</v>
      </c>
      <c r="J823" s="1">
        <v>0.1045</v>
      </c>
      <c r="K823" s="1">
        <v>42</v>
      </c>
      <c r="L823" s="1">
        <v>115</v>
      </c>
      <c r="M823" s="6">
        <v>157</v>
      </c>
      <c r="N823" s="6" t="str">
        <f>IF(OR(Table3[[#This Row],[weekday]]=0,Table3[[#This Row],[weekday]]=6),"Weekend","Weekday")</f>
        <v>Weekend</v>
      </c>
    </row>
    <row r="824" spans="1:14" ht="15" thickBot="1" x14ac:dyDescent="0.35">
      <c r="A824" s="10">
        <v>823</v>
      </c>
      <c r="B824" s="11">
        <v>40580</v>
      </c>
      <c r="C824" s="12">
        <v>17</v>
      </c>
      <c r="D824" s="13" t="b">
        <v>0</v>
      </c>
      <c r="E824" s="12">
        <v>0</v>
      </c>
      <c r="F824" s="12">
        <v>1</v>
      </c>
      <c r="G824" s="1">
        <v>0.34</v>
      </c>
      <c r="H824" s="25">
        <v>0.36359999999999998</v>
      </c>
      <c r="I824" s="1">
        <v>0.46</v>
      </c>
      <c r="J824" s="1">
        <v>0</v>
      </c>
      <c r="K824" s="1">
        <v>24</v>
      </c>
      <c r="L824" s="1">
        <v>97</v>
      </c>
      <c r="M824" s="6">
        <v>121</v>
      </c>
      <c r="N824" s="6" t="str">
        <f>IF(OR(Table3[[#This Row],[weekday]]=0,Table3[[#This Row],[weekday]]=6),"Weekend","Weekday")</f>
        <v>Weekend</v>
      </c>
    </row>
    <row r="825" spans="1:14" ht="15" thickBot="1" x14ac:dyDescent="0.35">
      <c r="A825" s="10">
        <v>824</v>
      </c>
      <c r="B825" s="11">
        <v>40580</v>
      </c>
      <c r="C825" s="12">
        <v>18</v>
      </c>
      <c r="D825" s="13" t="b">
        <v>0</v>
      </c>
      <c r="E825" s="12">
        <v>0</v>
      </c>
      <c r="F825" s="12">
        <v>1</v>
      </c>
      <c r="G825" s="1">
        <v>0.3</v>
      </c>
      <c r="H825" s="25">
        <v>0.30299999999999999</v>
      </c>
      <c r="I825" s="1">
        <v>0.56000000000000005</v>
      </c>
      <c r="J825" s="1">
        <v>0.16420000000000001</v>
      </c>
      <c r="K825" s="1">
        <v>13</v>
      </c>
      <c r="L825" s="1">
        <v>65</v>
      </c>
      <c r="M825" s="6">
        <v>78</v>
      </c>
      <c r="N825" s="6" t="str">
        <f>IF(OR(Table3[[#This Row],[weekday]]=0,Table3[[#This Row],[weekday]]=6),"Weekend","Weekday")</f>
        <v>Weekend</v>
      </c>
    </row>
    <row r="826" spans="1:14" ht="15" thickBot="1" x14ac:dyDescent="0.35">
      <c r="A826" s="10">
        <v>825</v>
      </c>
      <c r="B826" s="11">
        <v>40580</v>
      </c>
      <c r="C826" s="12">
        <v>19</v>
      </c>
      <c r="D826" s="13" t="b">
        <v>0</v>
      </c>
      <c r="E826" s="12">
        <v>0</v>
      </c>
      <c r="F826" s="12">
        <v>1</v>
      </c>
      <c r="G826" s="1">
        <v>0.28000000000000003</v>
      </c>
      <c r="H826" s="25">
        <v>0.28789999999999999</v>
      </c>
      <c r="I826" s="1">
        <v>0.61</v>
      </c>
      <c r="J826" s="1">
        <v>0.1343</v>
      </c>
      <c r="K826" s="1">
        <v>1</v>
      </c>
      <c r="L826" s="1">
        <v>20</v>
      </c>
      <c r="M826" s="6">
        <v>21</v>
      </c>
      <c r="N826" s="6" t="str">
        <f>IF(OR(Table3[[#This Row],[weekday]]=0,Table3[[#This Row],[weekday]]=6),"Weekend","Weekday")</f>
        <v>Weekend</v>
      </c>
    </row>
    <row r="827" spans="1:14" ht="15" thickBot="1" x14ac:dyDescent="0.35">
      <c r="A827" s="10">
        <v>826</v>
      </c>
      <c r="B827" s="11">
        <v>40580</v>
      </c>
      <c r="C827" s="12">
        <v>20</v>
      </c>
      <c r="D827" s="13" t="b">
        <v>0</v>
      </c>
      <c r="E827" s="12">
        <v>0</v>
      </c>
      <c r="F827" s="12">
        <v>1</v>
      </c>
      <c r="G827" s="1">
        <v>0.28000000000000003</v>
      </c>
      <c r="H827" s="25">
        <v>0.28789999999999999</v>
      </c>
      <c r="I827" s="1">
        <v>0.61</v>
      </c>
      <c r="J827" s="1">
        <v>0.1045</v>
      </c>
      <c r="K827" s="1">
        <v>5</v>
      </c>
      <c r="L827" s="1">
        <v>21</v>
      </c>
      <c r="M827" s="6">
        <v>26</v>
      </c>
      <c r="N827" s="6" t="str">
        <f>IF(OR(Table3[[#This Row],[weekday]]=0,Table3[[#This Row],[weekday]]=6),"Weekend","Weekday")</f>
        <v>Weekend</v>
      </c>
    </row>
    <row r="828" spans="1:14" ht="15" thickBot="1" x14ac:dyDescent="0.35">
      <c r="A828" s="10">
        <v>827</v>
      </c>
      <c r="B828" s="11">
        <v>40580</v>
      </c>
      <c r="C828" s="12">
        <v>21</v>
      </c>
      <c r="D828" s="13" t="b">
        <v>0</v>
      </c>
      <c r="E828" s="12">
        <v>0</v>
      </c>
      <c r="F828" s="12">
        <v>1</v>
      </c>
      <c r="G828" s="1">
        <v>0.26</v>
      </c>
      <c r="H828" s="25">
        <v>0.30299999999999999</v>
      </c>
      <c r="I828" s="1">
        <v>0.6</v>
      </c>
      <c r="J828" s="1">
        <v>0</v>
      </c>
      <c r="K828" s="1">
        <v>5</v>
      </c>
      <c r="L828" s="1">
        <v>22</v>
      </c>
      <c r="M828" s="6">
        <v>27</v>
      </c>
      <c r="N828" s="6" t="str">
        <f>IF(OR(Table3[[#This Row],[weekday]]=0,Table3[[#This Row],[weekday]]=6),"Weekend","Weekday")</f>
        <v>Weekend</v>
      </c>
    </row>
    <row r="829" spans="1:14" ht="15" thickBot="1" x14ac:dyDescent="0.35">
      <c r="A829" s="10">
        <v>828</v>
      </c>
      <c r="B829" s="11">
        <v>40580</v>
      </c>
      <c r="C829" s="12">
        <v>22</v>
      </c>
      <c r="D829" s="13" t="b">
        <v>0</v>
      </c>
      <c r="E829" s="12">
        <v>0</v>
      </c>
      <c r="F829" s="12">
        <v>1</v>
      </c>
      <c r="G829" s="1">
        <v>0.26</v>
      </c>
      <c r="H829" s="25">
        <v>0.30299999999999999</v>
      </c>
      <c r="I829" s="1">
        <v>0.6</v>
      </c>
      <c r="J829" s="1">
        <v>0</v>
      </c>
      <c r="K829" s="1">
        <v>5</v>
      </c>
      <c r="L829" s="1">
        <v>57</v>
      </c>
      <c r="M829" s="6">
        <v>62</v>
      </c>
      <c r="N829" s="6" t="str">
        <f>IF(OR(Table3[[#This Row],[weekday]]=0,Table3[[#This Row],[weekday]]=6),"Weekend","Weekday")</f>
        <v>Weekend</v>
      </c>
    </row>
    <row r="830" spans="1:14" ht="15" thickBot="1" x14ac:dyDescent="0.35">
      <c r="A830" s="10">
        <v>829</v>
      </c>
      <c r="B830" s="11">
        <v>40580</v>
      </c>
      <c r="C830" s="12">
        <v>23</v>
      </c>
      <c r="D830" s="13" t="b">
        <v>0</v>
      </c>
      <c r="E830" s="12">
        <v>0</v>
      </c>
      <c r="F830" s="12">
        <v>1</v>
      </c>
      <c r="G830" s="1">
        <v>0.24</v>
      </c>
      <c r="H830" s="25">
        <v>0.28789999999999999</v>
      </c>
      <c r="I830" s="1">
        <v>0.65</v>
      </c>
      <c r="J830" s="1">
        <v>0</v>
      </c>
      <c r="K830" s="1">
        <v>4</v>
      </c>
      <c r="L830" s="1">
        <v>26</v>
      </c>
      <c r="M830" s="6">
        <v>30</v>
      </c>
      <c r="N830" s="6" t="str">
        <f>IF(OR(Table3[[#This Row],[weekday]]=0,Table3[[#This Row],[weekday]]=6),"Weekend","Weekday")</f>
        <v>Weekend</v>
      </c>
    </row>
    <row r="831" spans="1:14" ht="15" thickBot="1" x14ac:dyDescent="0.35">
      <c r="A831" s="10">
        <v>830</v>
      </c>
      <c r="B831" s="11">
        <v>40581</v>
      </c>
      <c r="C831" s="12">
        <v>0</v>
      </c>
      <c r="D831" s="13" t="b">
        <v>0</v>
      </c>
      <c r="E831" s="12">
        <v>1</v>
      </c>
      <c r="F831" s="12">
        <v>1</v>
      </c>
      <c r="G831" s="1">
        <v>0.24</v>
      </c>
      <c r="H831" s="25">
        <v>0.28789999999999999</v>
      </c>
      <c r="I831" s="1">
        <v>0.65</v>
      </c>
      <c r="J831" s="1">
        <v>0</v>
      </c>
      <c r="K831" s="1">
        <v>1</v>
      </c>
      <c r="L831" s="1">
        <v>14</v>
      </c>
      <c r="M831" s="6">
        <v>15</v>
      </c>
      <c r="N831" s="6" t="str">
        <f>IF(OR(Table3[[#This Row],[weekday]]=0,Table3[[#This Row],[weekday]]=6),"Weekend","Weekday")</f>
        <v>Weekday</v>
      </c>
    </row>
    <row r="832" spans="1:14" ht="15" thickBot="1" x14ac:dyDescent="0.35">
      <c r="A832" s="10">
        <v>831</v>
      </c>
      <c r="B832" s="11">
        <v>40581</v>
      </c>
      <c r="C832" s="12">
        <v>1</v>
      </c>
      <c r="D832" s="13" t="b">
        <v>0</v>
      </c>
      <c r="E832" s="12">
        <v>1</v>
      </c>
      <c r="F832" s="12">
        <v>1</v>
      </c>
      <c r="G832" s="1">
        <v>0.22</v>
      </c>
      <c r="H832" s="25">
        <v>0.2727</v>
      </c>
      <c r="I832" s="1">
        <v>0.75</v>
      </c>
      <c r="J832" s="1">
        <v>0</v>
      </c>
      <c r="K832" s="1">
        <v>1</v>
      </c>
      <c r="L832" s="1">
        <v>4</v>
      </c>
      <c r="M832" s="6">
        <v>5</v>
      </c>
      <c r="N832" s="6" t="str">
        <f>IF(OR(Table3[[#This Row],[weekday]]=0,Table3[[#This Row],[weekday]]=6),"Weekend","Weekday")</f>
        <v>Weekday</v>
      </c>
    </row>
    <row r="833" spans="1:14" ht="15" thickBot="1" x14ac:dyDescent="0.35">
      <c r="A833" s="10">
        <v>832</v>
      </c>
      <c r="B833" s="11">
        <v>40581</v>
      </c>
      <c r="C833" s="12">
        <v>2</v>
      </c>
      <c r="D833" s="13" t="b">
        <v>0</v>
      </c>
      <c r="E833" s="12">
        <v>1</v>
      </c>
      <c r="F833" s="12">
        <v>1</v>
      </c>
      <c r="G833" s="1">
        <v>0.2</v>
      </c>
      <c r="H833" s="25">
        <v>0.2576</v>
      </c>
      <c r="I833" s="1">
        <v>0.8</v>
      </c>
      <c r="J833" s="1">
        <v>0</v>
      </c>
      <c r="K833" s="1">
        <v>0</v>
      </c>
      <c r="L833" s="1">
        <v>3</v>
      </c>
      <c r="M833" s="6">
        <v>3</v>
      </c>
      <c r="N833" s="6" t="str">
        <f>IF(OR(Table3[[#This Row],[weekday]]=0,Table3[[#This Row],[weekday]]=6),"Weekend","Weekday")</f>
        <v>Weekday</v>
      </c>
    </row>
    <row r="834" spans="1:14" ht="15" thickBot="1" x14ac:dyDescent="0.35">
      <c r="A834" s="10">
        <v>833</v>
      </c>
      <c r="B834" s="11">
        <v>40581</v>
      </c>
      <c r="C834" s="12">
        <v>3</v>
      </c>
      <c r="D834" s="13" t="b">
        <v>0</v>
      </c>
      <c r="E834" s="12">
        <v>1</v>
      </c>
      <c r="F834" s="12">
        <v>1</v>
      </c>
      <c r="G834" s="1">
        <v>0.2</v>
      </c>
      <c r="H834" s="25">
        <v>0.2576</v>
      </c>
      <c r="I834" s="1">
        <v>0.86</v>
      </c>
      <c r="J834" s="1">
        <v>0</v>
      </c>
      <c r="K834" s="1">
        <v>0</v>
      </c>
      <c r="L834" s="1">
        <v>1</v>
      </c>
      <c r="M834" s="6">
        <v>1</v>
      </c>
      <c r="N834" s="6" t="str">
        <f>IF(OR(Table3[[#This Row],[weekday]]=0,Table3[[#This Row],[weekday]]=6),"Weekend","Weekday")</f>
        <v>Weekday</v>
      </c>
    </row>
    <row r="835" spans="1:14" ht="15" thickBot="1" x14ac:dyDescent="0.35">
      <c r="A835" s="10">
        <v>834</v>
      </c>
      <c r="B835" s="11">
        <v>40581</v>
      </c>
      <c r="C835" s="12">
        <v>4</v>
      </c>
      <c r="D835" s="13" t="b">
        <v>0</v>
      </c>
      <c r="E835" s="12">
        <v>1</v>
      </c>
      <c r="F835" s="12">
        <v>1</v>
      </c>
      <c r="G835" s="1">
        <v>0.2</v>
      </c>
      <c r="H835" s="25">
        <v>0.2576</v>
      </c>
      <c r="I835" s="1">
        <v>0.86</v>
      </c>
      <c r="J835" s="1">
        <v>0</v>
      </c>
      <c r="K835" s="1">
        <v>1</v>
      </c>
      <c r="L835" s="1">
        <v>1</v>
      </c>
      <c r="M835" s="6">
        <v>2</v>
      </c>
      <c r="N835" s="6" t="str">
        <f>IF(OR(Table3[[#This Row],[weekday]]=0,Table3[[#This Row],[weekday]]=6),"Weekend","Weekday")</f>
        <v>Weekday</v>
      </c>
    </row>
    <row r="836" spans="1:14" ht="15" thickBot="1" x14ac:dyDescent="0.35">
      <c r="A836" s="10">
        <v>835</v>
      </c>
      <c r="B836" s="11">
        <v>40581</v>
      </c>
      <c r="C836" s="12">
        <v>5</v>
      </c>
      <c r="D836" s="13" t="b">
        <v>0</v>
      </c>
      <c r="E836" s="12">
        <v>1</v>
      </c>
      <c r="F836" s="12">
        <v>1</v>
      </c>
      <c r="G836" s="1">
        <v>0.2</v>
      </c>
      <c r="H836" s="25">
        <v>0.2576</v>
      </c>
      <c r="I836" s="1">
        <v>0.86</v>
      </c>
      <c r="J836" s="1">
        <v>0</v>
      </c>
      <c r="K836" s="1">
        <v>1</v>
      </c>
      <c r="L836" s="1">
        <v>9</v>
      </c>
      <c r="M836" s="6">
        <v>10</v>
      </c>
      <c r="N836" s="6" t="str">
        <f>IF(OR(Table3[[#This Row],[weekday]]=0,Table3[[#This Row],[weekday]]=6),"Weekend","Weekday")</f>
        <v>Weekday</v>
      </c>
    </row>
    <row r="837" spans="1:14" ht="15" thickBot="1" x14ac:dyDescent="0.35">
      <c r="A837" s="10">
        <v>836</v>
      </c>
      <c r="B837" s="11">
        <v>40581</v>
      </c>
      <c r="C837" s="12">
        <v>6</v>
      </c>
      <c r="D837" s="13" t="b">
        <v>0</v>
      </c>
      <c r="E837" s="12">
        <v>1</v>
      </c>
      <c r="F837" s="12">
        <v>1</v>
      </c>
      <c r="G837" s="1">
        <v>0.18</v>
      </c>
      <c r="H837" s="25">
        <v>0.2424</v>
      </c>
      <c r="I837" s="1">
        <v>0.93</v>
      </c>
      <c r="J837" s="1">
        <v>0</v>
      </c>
      <c r="K837" s="1">
        <v>1</v>
      </c>
      <c r="L837" s="1">
        <v>29</v>
      </c>
      <c r="M837" s="6">
        <v>30</v>
      </c>
      <c r="N837" s="6" t="str">
        <f>IF(OR(Table3[[#This Row],[weekday]]=0,Table3[[#This Row],[weekday]]=6),"Weekend","Weekday")</f>
        <v>Weekday</v>
      </c>
    </row>
    <row r="838" spans="1:14" ht="15" thickBot="1" x14ac:dyDescent="0.35">
      <c r="A838" s="10">
        <v>837</v>
      </c>
      <c r="B838" s="11">
        <v>40581</v>
      </c>
      <c r="C838" s="12">
        <v>7</v>
      </c>
      <c r="D838" s="13" t="b">
        <v>0</v>
      </c>
      <c r="E838" s="12">
        <v>1</v>
      </c>
      <c r="F838" s="12">
        <v>1</v>
      </c>
      <c r="G838" s="1">
        <v>0.18</v>
      </c>
      <c r="H838" s="25">
        <v>0.2424</v>
      </c>
      <c r="I838" s="1">
        <v>0.86</v>
      </c>
      <c r="J838" s="1">
        <v>0</v>
      </c>
      <c r="K838" s="1">
        <v>6</v>
      </c>
      <c r="L838" s="1">
        <v>89</v>
      </c>
      <c r="M838" s="6">
        <v>95</v>
      </c>
      <c r="N838" s="6" t="str">
        <f>IF(OR(Table3[[#This Row],[weekday]]=0,Table3[[#This Row],[weekday]]=6),"Weekend","Weekday")</f>
        <v>Weekday</v>
      </c>
    </row>
    <row r="839" spans="1:14" ht="15" thickBot="1" x14ac:dyDescent="0.35">
      <c r="A839" s="10">
        <v>838</v>
      </c>
      <c r="B839" s="11">
        <v>40581</v>
      </c>
      <c r="C839" s="12">
        <v>8</v>
      </c>
      <c r="D839" s="13" t="b">
        <v>0</v>
      </c>
      <c r="E839" s="12">
        <v>1</v>
      </c>
      <c r="F839" s="12">
        <v>2</v>
      </c>
      <c r="G839" s="1">
        <v>0.16</v>
      </c>
      <c r="H839" s="25">
        <v>0.2273</v>
      </c>
      <c r="I839" s="1">
        <v>1</v>
      </c>
      <c r="J839" s="1">
        <v>0</v>
      </c>
      <c r="K839" s="1">
        <v>7</v>
      </c>
      <c r="L839" s="1">
        <v>223</v>
      </c>
      <c r="M839" s="6">
        <v>230</v>
      </c>
      <c r="N839" s="6" t="str">
        <f>IF(OR(Table3[[#This Row],[weekday]]=0,Table3[[#This Row],[weekday]]=6),"Weekend","Weekday")</f>
        <v>Weekday</v>
      </c>
    </row>
    <row r="840" spans="1:14" ht="15" thickBot="1" x14ac:dyDescent="0.35">
      <c r="A840" s="10">
        <v>839</v>
      </c>
      <c r="B840" s="11">
        <v>40581</v>
      </c>
      <c r="C840" s="12">
        <v>9</v>
      </c>
      <c r="D840" s="13" t="b">
        <v>0</v>
      </c>
      <c r="E840" s="12">
        <v>1</v>
      </c>
      <c r="F840" s="12">
        <v>1</v>
      </c>
      <c r="G840" s="1">
        <v>0.22</v>
      </c>
      <c r="H840" s="25">
        <v>0.2727</v>
      </c>
      <c r="I840" s="1">
        <v>0.8</v>
      </c>
      <c r="J840" s="1">
        <v>0</v>
      </c>
      <c r="K840" s="1">
        <v>3</v>
      </c>
      <c r="L840" s="1">
        <v>115</v>
      </c>
      <c r="M840" s="6">
        <v>118</v>
      </c>
      <c r="N840" s="6" t="str">
        <f>IF(OR(Table3[[#This Row],[weekday]]=0,Table3[[#This Row],[weekday]]=6),"Weekend","Weekday")</f>
        <v>Weekday</v>
      </c>
    </row>
    <row r="841" spans="1:14" ht="15" thickBot="1" x14ac:dyDescent="0.35">
      <c r="A841" s="10">
        <v>840</v>
      </c>
      <c r="B841" s="11">
        <v>40581</v>
      </c>
      <c r="C841" s="12">
        <v>10</v>
      </c>
      <c r="D841" s="13" t="b">
        <v>0</v>
      </c>
      <c r="E841" s="12">
        <v>1</v>
      </c>
      <c r="F841" s="12">
        <v>1</v>
      </c>
      <c r="G841" s="1">
        <v>0.24</v>
      </c>
      <c r="H841" s="25">
        <v>0.2576</v>
      </c>
      <c r="I841" s="1">
        <v>0.75</v>
      </c>
      <c r="J841" s="1">
        <v>0.1045</v>
      </c>
      <c r="K841" s="1">
        <v>6</v>
      </c>
      <c r="L841" s="1">
        <v>49</v>
      </c>
      <c r="M841" s="6">
        <v>55</v>
      </c>
      <c r="N841" s="6" t="str">
        <f>IF(OR(Table3[[#This Row],[weekday]]=0,Table3[[#This Row],[weekday]]=6),"Weekend","Weekday")</f>
        <v>Weekday</v>
      </c>
    </row>
    <row r="842" spans="1:14" ht="15" thickBot="1" x14ac:dyDescent="0.35">
      <c r="A842" s="10">
        <v>841</v>
      </c>
      <c r="B842" s="11">
        <v>40581</v>
      </c>
      <c r="C842" s="12">
        <v>11</v>
      </c>
      <c r="D842" s="13" t="b">
        <v>0</v>
      </c>
      <c r="E842" s="12">
        <v>1</v>
      </c>
      <c r="F842" s="12">
        <v>1</v>
      </c>
      <c r="G842" s="1">
        <v>0.3</v>
      </c>
      <c r="H842" s="25">
        <v>0.31819999999999998</v>
      </c>
      <c r="I842" s="1">
        <v>0.65</v>
      </c>
      <c r="J842" s="1">
        <v>8.9599999999999999E-2</v>
      </c>
      <c r="K842" s="1">
        <v>11</v>
      </c>
      <c r="L842" s="1">
        <v>36</v>
      </c>
      <c r="M842" s="6">
        <v>47</v>
      </c>
      <c r="N842" s="6" t="str">
        <f>IF(OR(Table3[[#This Row],[weekday]]=0,Table3[[#This Row],[weekday]]=6),"Weekend","Weekday")</f>
        <v>Weekday</v>
      </c>
    </row>
    <row r="843" spans="1:14" ht="15" thickBot="1" x14ac:dyDescent="0.35">
      <c r="A843" s="10">
        <v>842</v>
      </c>
      <c r="B843" s="11">
        <v>40581</v>
      </c>
      <c r="C843" s="12">
        <v>12</v>
      </c>
      <c r="D843" s="13" t="b">
        <v>0</v>
      </c>
      <c r="E843" s="12">
        <v>1</v>
      </c>
      <c r="F843" s="12">
        <v>2</v>
      </c>
      <c r="G843" s="1">
        <v>0.32</v>
      </c>
      <c r="H843" s="25">
        <v>0.34849999999999998</v>
      </c>
      <c r="I843" s="1">
        <v>0.62</v>
      </c>
      <c r="J843" s="1">
        <v>0</v>
      </c>
      <c r="K843" s="1">
        <v>7</v>
      </c>
      <c r="L843" s="1">
        <v>59</v>
      </c>
      <c r="M843" s="6">
        <v>66</v>
      </c>
      <c r="N843" s="6" t="str">
        <f>IF(OR(Table3[[#This Row],[weekday]]=0,Table3[[#This Row],[weekday]]=6),"Weekend","Weekday")</f>
        <v>Weekday</v>
      </c>
    </row>
    <row r="844" spans="1:14" ht="15" thickBot="1" x14ac:dyDescent="0.35">
      <c r="A844" s="10">
        <v>843</v>
      </c>
      <c r="B844" s="11">
        <v>40581</v>
      </c>
      <c r="C844" s="12">
        <v>13</v>
      </c>
      <c r="D844" s="13" t="b">
        <v>0</v>
      </c>
      <c r="E844" s="12">
        <v>1</v>
      </c>
      <c r="F844" s="12">
        <v>2</v>
      </c>
      <c r="G844" s="1">
        <v>0.36</v>
      </c>
      <c r="H844" s="25">
        <v>0.36359999999999998</v>
      </c>
      <c r="I844" s="1">
        <v>0.56999999999999995</v>
      </c>
      <c r="J844" s="1">
        <v>8.9599999999999999E-2</v>
      </c>
      <c r="K844" s="1">
        <v>10</v>
      </c>
      <c r="L844" s="1">
        <v>54</v>
      </c>
      <c r="M844" s="6">
        <v>64</v>
      </c>
      <c r="N844" s="6" t="str">
        <f>IF(OR(Table3[[#This Row],[weekday]]=0,Table3[[#This Row],[weekday]]=6),"Weekend","Weekday")</f>
        <v>Weekday</v>
      </c>
    </row>
    <row r="845" spans="1:14" ht="15" thickBot="1" x14ac:dyDescent="0.35">
      <c r="A845" s="10">
        <v>844</v>
      </c>
      <c r="B845" s="11">
        <v>40581</v>
      </c>
      <c r="C845" s="12">
        <v>14</v>
      </c>
      <c r="D845" s="13" t="b">
        <v>0</v>
      </c>
      <c r="E845" s="12">
        <v>1</v>
      </c>
      <c r="F845" s="12">
        <v>2</v>
      </c>
      <c r="G845" s="1">
        <v>0.36</v>
      </c>
      <c r="H845" s="25">
        <v>0.36359999999999998</v>
      </c>
      <c r="I845" s="1">
        <v>0.56999999999999995</v>
      </c>
      <c r="J845" s="1">
        <v>8.9599999999999999E-2</v>
      </c>
      <c r="K845" s="1">
        <v>8</v>
      </c>
      <c r="L845" s="1">
        <v>52</v>
      </c>
      <c r="M845" s="6">
        <v>60</v>
      </c>
      <c r="N845" s="6" t="str">
        <f>IF(OR(Table3[[#This Row],[weekday]]=0,Table3[[#This Row],[weekday]]=6),"Weekend","Weekday")</f>
        <v>Weekday</v>
      </c>
    </row>
    <row r="846" spans="1:14" ht="15" thickBot="1" x14ac:dyDescent="0.35">
      <c r="A846" s="10">
        <v>845</v>
      </c>
      <c r="B846" s="11">
        <v>40581</v>
      </c>
      <c r="C846" s="12">
        <v>15</v>
      </c>
      <c r="D846" s="13" t="b">
        <v>0</v>
      </c>
      <c r="E846" s="12">
        <v>1</v>
      </c>
      <c r="F846" s="12">
        <v>2</v>
      </c>
      <c r="G846" s="1">
        <v>0.38</v>
      </c>
      <c r="H846" s="25">
        <v>0.39389999999999997</v>
      </c>
      <c r="I846" s="1">
        <v>0.54</v>
      </c>
      <c r="J846" s="1">
        <v>8.9599999999999999E-2</v>
      </c>
      <c r="K846" s="1">
        <v>4</v>
      </c>
      <c r="L846" s="1">
        <v>46</v>
      </c>
      <c r="M846" s="6">
        <v>50</v>
      </c>
      <c r="N846" s="6" t="str">
        <f>IF(OR(Table3[[#This Row],[weekday]]=0,Table3[[#This Row],[weekday]]=6),"Weekend","Weekday")</f>
        <v>Weekday</v>
      </c>
    </row>
    <row r="847" spans="1:14" ht="15" thickBot="1" x14ac:dyDescent="0.35">
      <c r="A847" s="10">
        <v>846</v>
      </c>
      <c r="B847" s="11">
        <v>40581</v>
      </c>
      <c r="C847" s="12">
        <v>16</v>
      </c>
      <c r="D847" s="13" t="b">
        <v>0</v>
      </c>
      <c r="E847" s="12">
        <v>1</v>
      </c>
      <c r="F847" s="12">
        <v>2</v>
      </c>
      <c r="G847" s="1">
        <v>0.36</v>
      </c>
      <c r="H847" s="25">
        <v>0.34849999999999998</v>
      </c>
      <c r="I847" s="1">
        <v>0.56999999999999995</v>
      </c>
      <c r="J847" s="1">
        <v>0.1343</v>
      </c>
      <c r="K847" s="1">
        <v>16</v>
      </c>
      <c r="L847" s="1">
        <v>98</v>
      </c>
      <c r="M847" s="6">
        <v>114</v>
      </c>
      <c r="N847" s="6" t="str">
        <f>IF(OR(Table3[[#This Row],[weekday]]=0,Table3[[#This Row],[weekday]]=6),"Weekend","Weekday")</f>
        <v>Weekday</v>
      </c>
    </row>
    <row r="848" spans="1:14" ht="15" thickBot="1" x14ac:dyDescent="0.35">
      <c r="A848" s="10">
        <v>847</v>
      </c>
      <c r="B848" s="11">
        <v>40581</v>
      </c>
      <c r="C848" s="12">
        <v>17</v>
      </c>
      <c r="D848" s="13" t="b">
        <v>0</v>
      </c>
      <c r="E848" s="12">
        <v>1</v>
      </c>
      <c r="F848" s="12">
        <v>2</v>
      </c>
      <c r="G848" s="1">
        <v>0.32</v>
      </c>
      <c r="H848" s="25">
        <v>0.31819999999999998</v>
      </c>
      <c r="I848" s="1">
        <v>0.7</v>
      </c>
      <c r="J848" s="1">
        <v>0.16420000000000001</v>
      </c>
      <c r="K848" s="1">
        <v>9</v>
      </c>
      <c r="L848" s="1">
        <v>207</v>
      </c>
      <c r="M848" s="6">
        <v>216</v>
      </c>
      <c r="N848" s="6" t="str">
        <f>IF(OR(Table3[[#This Row],[weekday]]=0,Table3[[#This Row],[weekday]]=6),"Weekend","Weekday")</f>
        <v>Weekday</v>
      </c>
    </row>
    <row r="849" spans="1:14" ht="15" thickBot="1" x14ac:dyDescent="0.35">
      <c r="A849" s="10">
        <v>848</v>
      </c>
      <c r="B849" s="11">
        <v>40581</v>
      </c>
      <c r="C849" s="12">
        <v>18</v>
      </c>
      <c r="D849" s="13" t="b">
        <v>0</v>
      </c>
      <c r="E849" s="12">
        <v>1</v>
      </c>
      <c r="F849" s="12">
        <v>2</v>
      </c>
      <c r="G849" s="1">
        <v>0.34</v>
      </c>
      <c r="H849" s="25">
        <v>0.33329999999999999</v>
      </c>
      <c r="I849" s="1">
        <v>0.66</v>
      </c>
      <c r="J849" s="1">
        <v>0.1343</v>
      </c>
      <c r="K849" s="1">
        <v>5</v>
      </c>
      <c r="L849" s="1">
        <v>170</v>
      </c>
      <c r="M849" s="6">
        <v>175</v>
      </c>
      <c r="N849" s="6" t="str">
        <f>IF(OR(Table3[[#This Row],[weekday]]=0,Table3[[#This Row],[weekday]]=6),"Weekend","Weekday")</f>
        <v>Weekday</v>
      </c>
    </row>
    <row r="850" spans="1:14" ht="15" thickBot="1" x14ac:dyDescent="0.35">
      <c r="A850" s="10">
        <v>849</v>
      </c>
      <c r="B850" s="11">
        <v>40581</v>
      </c>
      <c r="C850" s="12">
        <v>19</v>
      </c>
      <c r="D850" s="13" t="b">
        <v>0</v>
      </c>
      <c r="E850" s="12">
        <v>1</v>
      </c>
      <c r="F850" s="12">
        <v>2</v>
      </c>
      <c r="G850" s="1">
        <v>0.32</v>
      </c>
      <c r="H850" s="25">
        <v>0.34849999999999998</v>
      </c>
      <c r="I850" s="1">
        <v>0.7</v>
      </c>
      <c r="J850" s="1">
        <v>0</v>
      </c>
      <c r="K850" s="1">
        <v>5</v>
      </c>
      <c r="L850" s="1">
        <v>123</v>
      </c>
      <c r="M850" s="6">
        <v>128</v>
      </c>
      <c r="N850" s="6" t="str">
        <f>IF(OR(Table3[[#This Row],[weekday]]=0,Table3[[#This Row],[weekday]]=6),"Weekend","Weekday")</f>
        <v>Weekday</v>
      </c>
    </row>
    <row r="851" spans="1:14" ht="15" thickBot="1" x14ac:dyDescent="0.35">
      <c r="A851" s="10">
        <v>850</v>
      </c>
      <c r="B851" s="11">
        <v>40581</v>
      </c>
      <c r="C851" s="12">
        <v>20</v>
      </c>
      <c r="D851" s="13" t="b">
        <v>0</v>
      </c>
      <c r="E851" s="12">
        <v>1</v>
      </c>
      <c r="F851" s="12">
        <v>2</v>
      </c>
      <c r="G851" s="1">
        <v>0.32</v>
      </c>
      <c r="H851" s="25">
        <v>0.33329999999999999</v>
      </c>
      <c r="I851" s="1">
        <v>0.7</v>
      </c>
      <c r="J851" s="1">
        <v>0.1045</v>
      </c>
      <c r="K851" s="1">
        <v>6</v>
      </c>
      <c r="L851" s="1">
        <v>82</v>
      </c>
      <c r="M851" s="6">
        <v>88</v>
      </c>
      <c r="N851" s="6" t="str">
        <f>IF(OR(Table3[[#This Row],[weekday]]=0,Table3[[#This Row],[weekday]]=6),"Weekend","Weekday")</f>
        <v>Weekday</v>
      </c>
    </row>
    <row r="852" spans="1:14" ht="15" thickBot="1" x14ac:dyDescent="0.35">
      <c r="A852" s="10">
        <v>851</v>
      </c>
      <c r="B852" s="11">
        <v>40581</v>
      </c>
      <c r="C852" s="12">
        <v>21</v>
      </c>
      <c r="D852" s="13" t="b">
        <v>0</v>
      </c>
      <c r="E852" s="12">
        <v>1</v>
      </c>
      <c r="F852" s="12">
        <v>1</v>
      </c>
      <c r="G852" s="1">
        <v>0.32</v>
      </c>
      <c r="H852" s="25">
        <v>0.34849999999999998</v>
      </c>
      <c r="I852" s="1">
        <v>0.7</v>
      </c>
      <c r="J852" s="1">
        <v>0</v>
      </c>
      <c r="K852" s="1">
        <v>3</v>
      </c>
      <c r="L852" s="1">
        <v>75</v>
      </c>
      <c r="M852" s="6">
        <v>78</v>
      </c>
      <c r="N852" s="6" t="str">
        <f>IF(OR(Table3[[#This Row],[weekday]]=0,Table3[[#This Row],[weekday]]=6),"Weekend","Weekday")</f>
        <v>Weekday</v>
      </c>
    </row>
    <row r="853" spans="1:14" ht="15" thickBot="1" x14ac:dyDescent="0.35">
      <c r="A853" s="10">
        <v>852</v>
      </c>
      <c r="B853" s="11">
        <v>40581</v>
      </c>
      <c r="C853" s="12">
        <v>22</v>
      </c>
      <c r="D853" s="13" t="b">
        <v>0</v>
      </c>
      <c r="E853" s="12">
        <v>1</v>
      </c>
      <c r="F853" s="12">
        <v>1</v>
      </c>
      <c r="G853" s="1">
        <v>0.28000000000000003</v>
      </c>
      <c r="H853" s="25">
        <v>0.30299999999999999</v>
      </c>
      <c r="I853" s="1">
        <v>0.81</v>
      </c>
      <c r="J853" s="1">
        <v>8.9599999999999999E-2</v>
      </c>
      <c r="K853" s="1">
        <v>3</v>
      </c>
      <c r="L853" s="1">
        <v>34</v>
      </c>
      <c r="M853" s="6">
        <v>37</v>
      </c>
      <c r="N853" s="6" t="str">
        <f>IF(OR(Table3[[#This Row],[weekday]]=0,Table3[[#This Row],[weekday]]=6),"Weekend","Weekday")</f>
        <v>Weekday</v>
      </c>
    </row>
    <row r="854" spans="1:14" ht="15" thickBot="1" x14ac:dyDescent="0.35">
      <c r="A854" s="10">
        <v>853</v>
      </c>
      <c r="B854" s="11">
        <v>40581</v>
      </c>
      <c r="C854" s="12">
        <v>23</v>
      </c>
      <c r="D854" s="13" t="b">
        <v>0</v>
      </c>
      <c r="E854" s="12">
        <v>1</v>
      </c>
      <c r="F854" s="12">
        <v>2</v>
      </c>
      <c r="G854" s="1">
        <v>0.3</v>
      </c>
      <c r="H854" s="25">
        <v>0.33329999999999999</v>
      </c>
      <c r="I854" s="1">
        <v>0.81</v>
      </c>
      <c r="J854" s="1">
        <v>0</v>
      </c>
      <c r="K854" s="1">
        <v>6</v>
      </c>
      <c r="L854" s="1">
        <v>19</v>
      </c>
      <c r="M854" s="6">
        <v>25</v>
      </c>
      <c r="N854" s="6" t="str">
        <f>IF(OR(Table3[[#This Row],[weekday]]=0,Table3[[#This Row],[weekday]]=6),"Weekend","Weekday")</f>
        <v>Weekday</v>
      </c>
    </row>
    <row r="855" spans="1:14" ht="15" thickBot="1" x14ac:dyDescent="0.35">
      <c r="A855" s="10">
        <v>854</v>
      </c>
      <c r="B855" s="11">
        <v>40582</v>
      </c>
      <c r="C855" s="12">
        <v>0</v>
      </c>
      <c r="D855" s="13" t="b">
        <v>0</v>
      </c>
      <c r="E855" s="12">
        <v>2</v>
      </c>
      <c r="F855" s="12">
        <v>2</v>
      </c>
      <c r="G855" s="1">
        <v>0.28000000000000003</v>
      </c>
      <c r="H855" s="25">
        <v>0.31819999999999998</v>
      </c>
      <c r="I855" s="1">
        <v>0.87</v>
      </c>
      <c r="J855" s="1">
        <v>0</v>
      </c>
      <c r="K855" s="1">
        <v>4</v>
      </c>
      <c r="L855" s="1">
        <v>6</v>
      </c>
      <c r="M855" s="6">
        <v>10</v>
      </c>
      <c r="N855" s="6" t="str">
        <f>IF(OR(Table3[[#This Row],[weekday]]=0,Table3[[#This Row],[weekday]]=6),"Weekend","Weekday")</f>
        <v>Weekday</v>
      </c>
    </row>
    <row r="856" spans="1:14" ht="15" thickBot="1" x14ac:dyDescent="0.35">
      <c r="A856" s="10">
        <v>855</v>
      </c>
      <c r="B856" s="11">
        <v>40582</v>
      </c>
      <c r="C856" s="12">
        <v>1</v>
      </c>
      <c r="D856" s="13" t="b">
        <v>0</v>
      </c>
      <c r="E856" s="12">
        <v>2</v>
      </c>
      <c r="F856" s="12">
        <v>2</v>
      </c>
      <c r="G856" s="1">
        <v>0.28000000000000003</v>
      </c>
      <c r="H856" s="25">
        <v>0.31819999999999998</v>
      </c>
      <c r="I856" s="1">
        <v>0.87</v>
      </c>
      <c r="J856" s="1">
        <v>0</v>
      </c>
      <c r="K856" s="1">
        <v>0</v>
      </c>
      <c r="L856" s="1">
        <v>4</v>
      </c>
      <c r="M856" s="6">
        <v>4</v>
      </c>
      <c r="N856" s="6" t="str">
        <f>IF(OR(Table3[[#This Row],[weekday]]=0,Table3[[#This Row],[weekday]]=6),"Weekend","Weekday")</f>
        <v>Weekday</v>
      </c>
    </row>
    <row r="857" spans="1:14" ht="15" thickBot="1" x14ac:dyDescent="0.35">
      <c r="A857" s="10">
        <v>856</v>
      </c>
      <c r="B857" s="11">
        <v>40582</v>
      </c>
      <c r="C857" s="12">
        <v>2</v>
      </c>
      <c r="D857" s="13" t="b">
        <v>0</v>
      </c>
      <c r="E857" s="12">
        <v>2</v>
      </c>
      <c r="F857" s="12">
        <v>2</v>
      </c>
      <c r="G857" s="1">
        <v>0.26</v>
      </c>
      <c r="H857" s="25">
        <v>0.2727</v>
      </c>
      <c r="I857" s="1">
        <v>0.93</v>
      </c>
      <c r="J857" s="1">
        <v>0.1045</v>
      </c>
      <c r="K857" s="1">
        <v>1</v>
      </c>
      <c r="L857" s="1">
        <v>1</v>
      </c>
      <c r="M857" s="6">
        <v>2</v>
      </c>
      <c r="N857" s="6" t="str">
        <f>IF(OR(Table3[[#This Row],[weekday]]=0,Table3[[#This Row],[weekday]]=6),"Weekend","Weekday")</f>
        <v>Weekday</v>
      </c>
    </row>
    <row r="858" spans="1:14" ht="15" thickBot="1" x14ac:dyDescent="0.35">
      <c r="A858" s="10">
        <v>857</v>
      </c>
      <c r="B858" s="11">
        <v>40582</v>
      </c>
      <c r="C858" s="12">
        <v>3</v>
      </c>
      <c r="D858" s="13" t="b">
        <v>0</v>
      </c>
      <c r="E858" s="12">
        <v>2</v>
      </c>
      <c r="F858" s="12">
        <v>3</v>
      </c>
      <c r="G858" s="1">
        <v>0.28000000000000003</v>
      </c>
      <c r="H858" s="25">
        <v>0.2727</v>
      </c>
      <c r="I858" s="1">
        <v>0.93</v>
      </c>
      <c r="J858" s="1">
        <v>0.16420000000000001</v>
      </c>
      <c r="K858" s="1">
        <v>0</v>
      </c>
      <c r="L858" s="1">
        <v>1</v>
      </c>
      <c r="M858" s="6">
        <v>1</v>
      </c>
      <c r="N858" s="6" t="str">
        <f>IF(OR(Table3[[#This Row],[weekday]]=0,Table3[[#This Row],[weekday]]=6),"Weekend","Weekday")</f>
        <v>Weekday</v>
      </c>
    </row>
    <row r="859" spans="1:14" ht="15" thickBot="1" x14ac:dyDescent="0.35">
      <c r="A859" s="10">
        <v>858</v>
      </c>
      <c r="B859" s="11">
        <v>40582</v>
      </c>
      <c r="C859" s="12">
        <v>4</v>
      </c>
      <c r="D859" s="13" t="b">
        <v>0</v>
      </c>
      <c r="E859" s="12">
        <v>2</v>
      </c>
      <c r="F859" s="12">
        <v>1</v>
      </c>
      <c r="G859" s="1">
        <v>0.26</v>
      </c>
      <c r="H859" s="25">
        <v>0.2576</v>
      </c>
      <c r="I859" s="1">
        <v>0.93</v>
      </c>
      <c r="J859" s="1">
        <v>0.16420000000000001</v>
      </c>
      <c r="K859" s="1">
        <v>0</v>
      </c>
      <c r="L859" s="1">
        <v>3</v>
      </c>
      <c r="M859" s="6">
        <v>3</v>
      </c>
      <c r="N859" s="6" t="str">
        <f>IF(OR(Table3[[#This Row],[weekday]]=0,Table3[[#This Row],[weekday]]=6),"Weekend","Weekday")</f>
        <v>Weekday</v>
      </c>
    </row>
    <row r="860" spans="1:14" ht="15" thickBot="1" x14ac:dyDescent="0.35">
      <c r="A860" s="10">
        <v>859</v>
      </c>
      <c r="B860" s="11">
        <v>40582</v>
      </c>
      <c r="C860" s="12">
        <v>5</v>
      </c>
      <c r="D860" s="13" t="b">
        <v>0</v>
      </c>
      <c r="E860" s="12">
        <v>2</v>
      </c>
      <c r="F860" s="12">
        <v>1</v>
      </c>
      <c r="G860" s="1">
        <v>0.26</v>
      </c>
      <c r="H860" s="25">
        <v>0.2273</v>
      </c>
      <c r="I860" s="1">
        <v>0.81</v>
      </c>
      <c r="J860" s="1">
        <v>0.32840000000000003</v>
      </c>
      <c r="K860" s="1">
        <v>0</v>
      </c>
      <c r="L860" s="1">
        <v>2</v>
      </c>
      <c r="M860" s="6">
        <v>2</v>
      </c>
      <c r="N860" s="6" t="str">
        <f>IF(OR(Table3[[#This Row],[weekday]]=0,Table3[[#This Row],[weekday]]=6),"Weekend","Weekday")</f>
        <v>Weekday</v>
      </c>
    </row>
    <row r="861" spans="1:14" ht="15" thickBot="1" x14ac:dyDescent="0.35">
      <c r="A861" s="10">
        <v>860</v>
      </c>
      <c r="B861" s="11">
        <v>40582</v>
      </c>
      <c r="C861" s="12">
        <v>6</v>
      </c>
      <c r="D861" s="13" t="b">
        <v>0</v>
      </c>
      <c r="E861" s="12">
        <v>2</v>
      </c>
      <c r="F861" s="12">
        <v>1</v>
      </c>
      <c r="G861" s="1">
        <v>0.26</v>
      </c>
      <c r="H861" s="25">
        <v>0.2273</v>
      </c>
      <c r="I861" s="1">
        <v>0.7</v>
      </c>
      <c r="J861" s="1">
        <v>0.32840000000000003</v>
      </c>
      <c r="K861" s="1">
        <v>0</v>
      </c>
      <c r="L861" s="1">
        <v>39</v>
      </c>
      <c r="M861" s="6">
        <v>39</v>
      </c>
      <c r="N861" s="6" t="str">
        <f>IF(OR(Table3[[#This Row],[weekday]]=0,Table3[[#This Row],[weekday]]=6),"Weekend","Weekday")</f>
        <v>Weekday</v>
      </c>
    </row>
    <row r="862" spans="1:14" ht="15" thickBot="1" x14ac:dyDescent="0.35">
      <c r="A862" s="10">
        <v>861</v>
      </c>
      <c r="B862" s="11">
        <v>40582</v>
      </c>
      <c r="C862" s="12">
        <v>7</v>
      </c>
      <c r="D862" s="13" t="b">
        <v>0</v>
      </c>
      <c r="E862" s="12">
        <v>2</v>
      </c>
      <c r="F862" s="12">
        <v>1</v>
      </c>
      <c r="G862" s="1">
        <v>0.24</v>
      </c>
      <c r="H862" s="25">
        <v>0.19700000000000001</v>
      </c>
      <c r="I862" s="1">
        <v>0.65</v>
      </c>
      <c r="J862" s="1">
        <v>0.41789999999999999</v>
      </c>
      <c r="K862" s="1">
        <v>3</v>
      </c>
      <c r="L862" s="1">
        <v>97</v>
      </c>
      <c r="M862" s="6">
        <v>100</v>
      </c>
      <c r="N862" s="6" t="str">
        <f>IF(OR(Table3[[#This Row],[weekday]]=0,Table3[[#This Row],[weekday]]=6),"Weekend","Weekday")</f>
        <v>Weekday</v>
      </c>
    </row>
    <row r="863" spans="1:14" ht="15" thickBot="1" x14ac:dyDescent="0.35">
      <c r="A863" s="10">
        <v>862</v>
      </c>
      <c r="B863" s="11">
        <v>40582</v>
      </c>
      <c r="C863" s="12">
        <v>8</v>
      </c>
      <c r="D863" s="13" t="b">
        <v>0</v>
      </c>
      <c r="E863" s="12">
        <v>2</v>
      </c>
      <c r="F863" s="12">
        <v>1</v>
      </c>
      <c r="G863" s="1">
        <v>0.24</v>
      </c>
      <c r="H863" s="25">
        <v>0.19700000000000001</v>
      </c>
      <c r="I863" s="1">
        <v>0.56000000000000005</v>
      </c>
      <c r="J863" s="1">
        <v>0.49249999999999999</v>
      </c>
      <c r="K863" s="1">
        <v>7</v>
      </c>
      <c r="L863" s="1">
        <v>236</v>
      </c>
      <c r="M863" s="6">
        <v>243</v>
      </c>
      <c r="N863" s="6" t="str">
        <f>IF(OR(Table3[[#This Row],[weekday]]=0,Table3[[#This Row],[weekday]]=6),"Weekend","Weekday")</f>
        <v>Weekday</v>
      </c>
    </row>
    <row r="864" spans="1:14" ht="15" thickBot="1" x14ac:dyDescent="0.35">
      <c r="A864" s="10">
        <v>863</v>
      </c>
      <c r="B864" s="11">
        <v>40582</v>
      </c>
      <c r="C864" s="12">
        <v>9</v>
      </c>
      <c r="D864" s="13" t="b">
        <v>0</v>
      </c>
      <c r="E864" s="12">
        <v>2</v>
      </c>
      <c r="F864" s="12">
        <v>1</v>
      </c>
      <c r="G864" s="1">
        <v>0.24</v>
      </c>
      <c r="H864" s="25">
        <v>0.19700000000000001</v>
      </c>
      <c r="I864" s="1">
        <v>0.52</v>
      </c>
      <c r="J864" s="1">
        <v>0.49249999999999999</v>
      </c>
      <c r="K864" s="1">
        <v>7</v>
      </c>
      <c r="L864" s="1">
        <v>128</v>
      </c>
      <c r="M864" s="6">
        <v>135</v>
      </c>
      <c r="N864" s="6" t="str">
        <f>IF(OR(Table3[[#This Row],[weekday]]=0,Table3[[#This Row],[weekday]]=6),"Weekend","Weekday")</f>
        <v>Weekday</v>
      </c>
    </row>
    <row r="865" spans="1:14" ht="15" thickBot="1" x14ac:dyDescent="0.35">
      <c r="A865" s="10">
        <v>864</v>
      </c>
      <c r="B865" s="11">
        <v>40582</v>
      </c>
      <c r="C865" s="12">
        <v>10</v>
      </c>
      <c r="D865" s="13" t="b">
        <v>0</v>
      </c>
      <c r="E865" s="12">
        <v>2</v>
      </c>
      <c r="F865" s="12">
        <v>1</v>
      </c>
      <c r="G865" s="1">
        <v>0.22</v>
      </c>
      <c r="H865" s="25">
        <v>0.18179999999999999</v>
      </c>
      <c r="I865" s="1">
        <v>0.47</v>
      </c>
      <c r="J865" s="1">
        <v>0.55220000000000002</v>
      </c>
      <c r="K865" s="1">
        <v>4</v>
      </c>
      <c r="L865" s="1">
        <v>44</v>
      </c>
      <c r="M865" s="6">
        <v>48</v>
      </c>
      <c r="N865" s="6" t="str">
        <f>IF(OR(Table3[[#This Row],[weekday]]=0,Table3[[#This Row],[weekday]]=6),"Weekend","Weekday")</f>
        <v>Weekday</v>
      </c>
    </row>
    <row r="866" spans="1:14" ht="15" thickBot="1" x14ac:dyDescent="0.35">
      <c r="A866" s="10">
        <v>865</v>
      </c>
      <c r="B866" s="11">
        <v>40582</v>
      </c>
      <c r="C866" s="12">
        <v>11</v>
      </c>
      <c r="D866" s="13" t="b">
        <v>0</v>
      </c>
      <c r="E866" s="12">
        <v>2</v>
      </c>
      <c r="F866" s="12">
        <v>1</v>
      </c>
      <c r="G866" s="1">
        <v>0.22</v>
      </c>
      <c r="H866" s="25">
        <v>0.18179999999999999</v>
      </c>
      <c r="I866" s="1">
        <v>0.47</v>
      </c>
      <c r="J866" s="1">
        <v>0.4627</v>
      </c>
      <c r="K866" s="1">
        <v>1</v>
      </c>
      <c r="L866" s="1">
        <v>49</v>
      </c>
      <c r="M866" s="6">
        <v>50</v>
      </c>
      <c r="N866" s="6" t="str">
        <f>IF(OR(Table3[[#This Row],[weekday]]=0,Table3[[#This Row],[weekday]]=6),"Weekend","Weekday")</f>
        <v>Weekday</v>
      </c>
    </row>
    <row r="867" spans="1:14" ht="15" thickBot="1" x14ac:dyDescent="0.35">
      <c r="A867" s="10">
        <v>866</v>
      </c>
      <c r="B867" s="11">
        <v>40582</v>
      </c>
      <c r="C867" s="12">
        <v>12</v>
      </c>
      <c r="D867" s="13" t="b">
        <v>0</v>
      </c>
      <c r="E867" s="12">
        <v>2</v>
      </c>
      <c r="F867" s="12">
        <v>1</v>
      </c>
      <c r="G867" s="1">
        <v>0.24</v>
      </c>
      <c r="H867" s="25">
        <v>0.19700000000000001</v>
      </c>
      <c r="I867" s="1">
        <v>0.38</v>
      </c>
      <c r="J867" s="1">
        <v>0.49249999999999999</v>
      </c>
      <c r="K867" s="1">
        <v>2</v>
      </c>
      <c r="L867" s="1">
        <v>63</v>
      </c>
      <c r="M867" s="6">
        <v>65</v>
      </c>
      <c r="N867" s="6" t="str">
        <f>IF(OR(Table3[[#This Row],[weekday]]=0,Table3[[#This Row],[weekday]]=6),"Weekend","Weekday")</f>
        <v>Weekday</v>
      </c>
    </row>
    <row r="868" spans="1:14" ht="15" thickBot="1" x14ac:dyDescent="0.35">
      <c r="A868" s="10">
        <v>867</v>
      </c>
      <c r="B868" s="11">
        <v>40582</v>
      </c>
      <c r="C868" s="12">
        <v>13</v>
      </c>
      <c r="D868" s="13" t="b">
        <v>0</v>
      </c>
      <c r="E868" s="12">
        <v>2</v>
      </c>
      <c r="F868" s="12">
        <v>2</v>
      </c>
      <c r="G868" s="1">
        <v>0.24</v>
      </c>
      <c r="H868" s="25">
        <v>0.19700000000000001</v>
      </c>
      <c r="I868" s="1">
        <v>0.32</v>
      </c>
      <c r="J868" s="1">
        <v>0.44779999999999998</v>
      </c>
      <c r="K868" s="1">
        <v>2</v>
      </c>
      <c r="L868" s="1">
        <v>48</v>
      </c>
      <c r="M868" s="6">
        <v>50</v>
      </c>
      <c r="N868" s="6" t="str">
        <f>IF(OR(Table3[[#This Row],[weekday]]=0,Table3[[#This Row],[weekday]]=6),"Weekend","Weekday")</f>
        <v>Weekday</v>
      </c>
    </row>
    <row r="869" spans="1:14" ht="15" thickBot="1" x14ac:dyDescent="0.35">
      <c r="A869" s="10">
        <v>868</v>
      </c>
      <c r="B869" s="11">
        <v>40582</v>
      </c>
      <c r="C869" s="12">
        <v>14</v>
      </c>
      <c r="D869" s="13" t="b">
        <v>0</v>
      </c>
      <c r="E869" s="12">
        <v>2</v>
      </c>
      <c r="F869" s="12">
        <v>1</v>
      </c>
      <c r="G869" s="1">
        <v>0.22</v>
      </c>
      <c r="H869" s="25">
        <v>0.19700000000000001</v>
      </c>
      <c r="I869" s="1">
        <v>0.37</v>
      </c>
      <c r="J869" s="1">
        <v>0.41789999999999999</v>
      </c>
      <c r="K869" s="1">
        <v>3</v>
      </c>
      <c r="L869" s="1">
        <v>61</v>
      </c>
      <c r="M869" s="6">
        <v>64</v>
      </c>
      <c r="N869" s="6" t="str">
        <f>IF(OR(Table3[[#This Row],[weekday]]=0,Table3[[#This Row],[weekday]]=6),"Weekend","Weekday")</f>
        <v>Weekday</v>
      </c>
    </row>
    <row r="870" spans="1:14" ht="15" thickBot="1" x14ac:dyDescent="0.35">
      <c r="A870" s="10">
        <v>869</v>
      </c>
      <c r="B870" s="11">
        <v>40582</v>
      </c>
      <c r="C870" s="12">
        <v>15</v>
      </c>
      <c r="D870" s="13" t="b">
        <v>0</v>
      </c>
      <c r="E870" s="12">
        <v>2</v>
      </c>
      <c r="F870" s="12">
        <v>1</v>
      </c>
      <c r="G870" s="1">
        <v>0.22</v>
      </c>
      <c r="H870" s="25">
        <v>0.19700000000000001</v>
      </c>
      <c r="I870" s="1">
        <v>0.35</v>
      </c>
      <c r="J870" s="1">
        <v>0.3881</v>
      </c>
      <c r="K870" s="1">
        <v>6</v>
      </c>
      <c r="L870" s="1">
        <v>45</v>
      </c>
      <c r="M870" s="6">
        <v>51</v>
      </c>
      <c r="N870" s="6" t="str">
        <f>IF(OR(Table3[[#This Row],[weekday]]=0,Table3[[#This Row],[weekday]]=6),"Weekend","Weekday")</f>
        <v>Weekday</v>
      </c>
    </row>
    <row r="871" spans="1:14" ht="15" thickBot="1" x14ac:dyDescent="0.35">
      <c r="A871" s="10">
        <v>870</v>
      </c>
      <c r="B871" s="11">
        <v>40582</v>
      </c>
      <c r="C871" s="12">
        <v>16</v>
      </c>
      <c r="D871" s="13" t="b">
        <v>0</v>
      </c>
      <c r="E871" s="12">
        <v>2</v>
      </c>
      <c r="F871" s="12">
        <v>1</v>
      </c>
      <c r="G871" s="1">
        <v>0.22</v>
      </c>
      <c r="H871" s="25">
        <v>0.18179999999999999</v>
      </c>
      <c r="I871" s="1">
        <v>0.35</v>
      </c>
      <c r="J871" s="1">
        <v>0.52239999999999998</v>
      </c>
      <c r="K871" s="1">
        <v>4</v>
      </c>
      <c r="L871" s="1">
        <v>79</v>
      </c>
      <c r="M871" s="6">
        <v>83</v>
      </c>
      <c r="N871" s="6" t="str">
        <f>IF(OR(Table3[[#This Row],[weekday]]=0,Table3[[#This Row],[weekday]]=6),"Weekend","Weekday")</f>
        <v>Weekday</v>
      </c>
    </row>
    <row r="872" spans="1:14" ht="15" thickBot="1" x14ac:dyDescent="0.35">
      <c r="A872" s="10">
        <v>871</v>
      </c>
      <c r="B872" s="11">
        <v>40582</v>
      </c>
      <c r="C872" s="12">
        <v>17</v>
      </c>
      <c r="D872" s="13" t="b">
        <v>0</v>
      </c>
      <c r="E872" s="12">
        <v>2</v>
      </c>
      <c r="F872" s="12">
        <v>1</v>
      </c>
      <c r="G872" s="1">
        <v>0.22</v>
      </c>
      <c r="H872" s="25">
        <v>0.18179999999999999</v>
      </c>
      <c r="I872" s="1">
        <v>0.32</v>
      </c>
      <c r="J872" s="1">
        <v>0.58209999999999995</v>
      </c>
      <c r="K872" s="1">
        <v>4</v>
      </c>
      <c r="L872" s="1">
        <v>172</v>
      </c>
      <c r="M872" s="6">
        <v>176</v>
      </c>
      <c r="N872" s="6" t="str">
        <f>IF(OR(Table3[[#This Row],[weekday]]=0,Table3[[#This Row],[weekday]]=6),"Weekend","Weekday")</f>
        <v>Weekday</v>
      </c>
    </row>
    <row r="873" spans="1:14" ht="15" thickBot="1" x14ac:dyDescent="0.35">
      <c r="A873" s="10">
        <v>872</v>
      </c>
      <c r="B873" s="11">
        <v>40582</v>
      </c>
      <c r="C873" s="12">
        <v>18</v>
      </c>
      <c r="D873" s="13" t="b">
        <v>0</v>
      </c>
      <c r="E873" s="12">
        <v>2</v>
      </c>
      <c r="F873" s="12">
        <v>1</v>
      </c>
      <c r="G873" s="1">
        <v>0.2</v>
      </c>
      <c r="H873" s="25">
        <v>0.18179999999999999</v>
      </c>
      <c r="I873" s="1">
        <v>0.32</v>
      </c>
      <c r="J873" s="1">
        <v>0.3881</v>
      </c>
      <c r="K873" s="1">
        <v>1</v>
      </c>
      <c r="L873" s="1">
        <v>151</v>
      </c>
      <c r="M873" s="6">
        <v>152</v>
      </c>
      <c r="N873" s="6" t="str">
        <f>IF(OR(Table3[[#This Row],[weekday]]=0,Table3[[#This Row],[weekday]]=6),"Weekend","Weekday")</f>
        <v>Weekday</v>
      </c>
    </row>
    <row r="874" spans="1:14" ht="15" thickBot="1" x14ac:dyDescent="0.35">
      <c r="A874" s="10">
        <v>873</v>
      </c>
      <c r="B874" s="11">
        <v>40582</v>
      </c>
      <c r="C874" s="12">
        <v>19</v>
      </c>
      <c r="D874" s="13" t="b">
        <v>0</v>
      </c>
      <c r="E874" s="12">
        <v>2</v>
      </c>
      <c r="F874" s="12">
        <v>1</v>
      </c>
      <c r="G874" s="1">
        <v>0.16</v>
      </c>
      <c r="H874" s="25">
        <v>0.1212</v>
      </c>
      <c r="I874" s="1">
        <v>0.4</v>
      </c>
      <c r="J874" s="1">
        <v>0.4627</v>
      </c>
      <c r="K874" s="1">
        <v>1</v>
      </c>
      <c r="L874" s="1">
        <v>100</v>
      </c>
      <c r="M874" s="6">
        <v>101</v>
      </c>
      <c r="N874" s="6" t="str">
        <f>IF(OR(Table3[[#This Row],[weekday]]=0,Table3[[#This Row],[weekday]]=6),"Weekend","Weekday")</f>
        <v>Weekday</v>
      </c>
    </row>
    <row r="875" spans="1:14" ht="15" thickBot="1" x14ac:dyDescent="0.35">
      <c r="A875" s="10">
        <v>874</v>
      </c>
      <c r="B875" s="11">
        <v>40582</v>
      </c>
      <c r="C875" s="12">
        <v>20</v>
      </c>
      <c r="D875" s="13" t="b">
        <v>0</v>
      </c>
      <c r="E875" s="12">
        <v>2</v>
      </c>
      <c r="F875" s="12">
        <v>1</v>
      </c>
      <c r="G875" s="1">
        <v>0.16</v>
      </c>
      <c r="H875" s="25">
        <v>0.13639999999999999</v>
      </c>
      <c r="I875" s="1">
        <v>0.4</v>
      </c>
      <c r="J875" s="1">
        <v>0.32840000000000003</v>
      </c>
      <c r="K875" s="1">
        <v>3</v>
      </c>
      <c r="L875" s="1">
        <v>53</v>
      </c>
      <c r="M875" s="6">
        <v>56</v>
      </c>
      <c r="N875" s="6" t="str">
        <f>IF(OR(Table3[[#This Row],[weekday]]=0,Table3[[#This Row],[weekday]]=6),"Weekend","Weekday")</f>
        <v>Weekday</v>
      </c>
    </row>
    <row r="876" spans="1:14" ht="15" thickBot="1" x14ac:dyDescent="0.35">
      <c r="A876" s="10">
        <v>875</v>
      </c>
      <c r="B876" s="11">
        <v>40582</v>
      </c>
      <c r="C876" s="12">
        <v>21</v>
      </c>
      <c r="D876" s="13" t="b">
        <v>0</v>
      </c>
      <c r="E876" s="12">
        <v>2</v>
      </c>
      <c r="F876" s="12">
        <v>1</v>
      </c>
      <c r="G876" s="1">
        <v>0.14000000000000001</v>
      </c>
      <c r="H876" s="25">
        <v>0.1061</v>
      </c>
      <c r="I876" s="1">
        <v>0.33</v>
      </c>
      <c r="J876" s="1">
        <v>0.4627</v>
      </c>
      <c r="K876" s="1">
        <v>8</v>
      </c>
      <c r="L876" s="1">
        <v>46</v>
      </c>
      <c r="M876" s="6">
        <v>54</v>
      </c>
      <c r="N876" s="6" t="str">
        <f>IF(OR(Table3[[#This Row],[weekday]]=0,Table3[[#This Row],[weekday]]=6),"Weekend","Weekday")</f>
        <v>Weekday</v>
      </c>
    </row>
    <row r="877" spans="1:14" ht="15" thickBot="1" x14ac:dyDescent="0.35">
      <c r="A877" s="10">
        <v>876</v>
      </c>
      <c r="B877" s="11">
        <v>40582</v>
      </c>
      <c r="C877" s="12">
        <v>22</v>
      </c>
      <c r="D877" s="13" t="b">
        <v>0</v>
      </c>
      <c r="E877" s="12">
        <v>2</v>
      </c>
      <c r="F877" s="12">
        <v>1</v>
      </c>
      <c r="G877" s="1">
        <v>0.12</v>
      </c>
      <c r="H877" s="25">
        <v>0.1061</v>
      </c>
      <c r="I877" s="1">
        <v>0.33</v>
      </c>
      <c r="J877" s="1">
        <v>0.35820000000000002</v>
      </c>
      <c r="K877" s="1">
        <v>0</v>
      </c>
      <c r="L877" s="1">
        <v>29</v>
      </c>
      <c r="M877" s="6">
        <v>29</v>
      </c>
      <c r="N877" s="6" t="str">
        <f>IF(OR(Table3[[#This Row],[weekday]]=0,Table3[[#This Row],[weekday]]=6),"Weekend","Weekday")</f>
        <v>Weekday</v>
      </c>
    </row>
    <row r="878" spans="1:14" ht="15" thickBot="1" x14ac:dyDescent="0.35">
      <c r="A878" s="10">
        <v>877</v>
      </c>
      <c r="B878" s="11">
        <v>40582</v>
      </c>
      <c r="C878" s="12">
        <v>23</v>
      </c>
      <c r="D878" s="13" t="b">
        <v>0</v>
      </c>
      <c r="E878" s="12">
        <v>2</v>
      </c>
      <c r="F878" s="12">
        <v>1</v>
      </c>
      <c r="G878" s="1">
        <v>0.12</v>
      </c>
      <c r="H878" s="25">
        <v>0.1061</v>
      </c>
      <c r="I878" s="1">
        <v>0.33</v>
      </c>
      <c r="J878" s="1">
        <v>0.32840000000000003</v>
      </c>
      <c r="K878" s="1">
        <v>3</v>
      </c>
      <c r="L878" s="1">
        <v>9</v>
      </c>
      <c r="M878" s="6">
        <v>12</v>
      </c>
      <c r="N878" s="6" t="str">
        <f>IF(OR(Table3[[#This Row],[weekday]]=0,Table3[[#This Row],[weekday]]=6),"Weekend","Weekday")</f>
        <v>Weekday</v>
      </c>
    </row>
    <row r="879" spans="1:14" ht="15" thickBot="1" x14ac:dyDescent="0.35">
      <c r="A879" s="10">
        <v>878</v>
      </c>
      <c r="B879" s="11">
        <v>40583</v>
      </c>
      <c r="C879" s="12">
        <v>0</v>
      </c>
      <c r="D879" s="13" t="b">
        <v>0</v>
      </c>
      <c r="E879" s="12">
        <v>3</v>
      </c>
      <c r="F879" s="12">
        <v>1</v>
      </c>
      <c r="G879" s="1">
        <v>0.1</v>
      </c>
      <c r="H879" s="25">
        <v>7.5800000000000006E-2</v>
      </c>
      <c r="I879" s="1">
        <v>0.36</v>
      </c>
      <c r="J879" s="1">
        <v>0.35820000000000002</v>
      </c>
      <c r="K879" s="1">
        <v>0</v>
      </c>
      <c r="L879" s="1">
        <v>17</v>
      </c>
      <c r="M879" s="6">
        <v>17</v>
      </c>
      <c r="N879" s="6" t="str">
        <f>IF(OR(Table3[[#This Row],[weekday]]=0,Table3[[#This Row],[weekday]]=6),"Weekend","Weekday")</f>
        <v>Weekday</v>
      </c>
    </row>
    <row r="880" spans="1:14" ht="15" thickBot="1" x14ac:dyDescent="0.35">
      <c r="A880" s="10">
        <v>879</v>
      </c>
      <c r="B880" s="11">
        <v>40583</v>
      </c>
      <c r="C880" s="12">
        <v>1</v>
      </c>
      <c r="D880" s="13" t="b">
        <v>0</v>
      </c>
      <c r="E880" s="12">
        <v>3</v>
      </c>
      <c r="F880" s="12">
        <v>1</v>
      </c>
      <c r="G880" s="1">
        <v>0.1</v>
      </c>
      <c r="H880" s="25">
        <v>0.1061</v>
      </c>
      <c r="I880" s="1">
        <v>0.36</v>
      </c>
      <c r="J880" s="1">
        <v>0.22389999999999999</v>
      </c>
      <c r="K880" s="1">
        <v>0</v>
      </c>
      <c r="L880" s="1">
        <v>7</v>
      </c>
      <c r="M880" s="6">
        <v>7</v>
      </c>
      <c r="N880" s="6" t="str">
        <f>IF(OR(Table3[[#This Row],[weekday]]=0,Table3[[#This Row],[weekday]]=6),"Weekend","Weekday")</f>
        <v>Weekday</v>
      </c>
    </row>
    <row r="881" spans="1:14" ht="15" thickBot="1" x14ac:dyDescent="0.35">
      <c r="A881" s="10">
        <v>880</v>
      </c>
      <c r="B881" s="11">
        <v>40583</v>
      </c>
      <c r="C881" s="12">
        <v>2</v>
      </c>
      <c r="D881" s="13" t="b">
        <v>0</v>
      </c>
      <c r="E881" s="12">
        <v>3</v>
      </c>
      <c r="F881" s="12">
        <v>1</v>
      </c>
      <c r="G881" s="1">
        <v>0.08</v>
      </c>
      <c r="H881" s="25">
        <v>7.5800000000000006E-2</v>
      </c>
      <c r="I881" s="1">
        <v>0.38</v>
      </c>
      <c r="J881" s="1">
        <v>0.28360000000000002</v>
      </c>
      <c r="K881" s="1">
        <v>1</v>
      </c>
      <c r="L881" s="1">
        <v>2</v>
      </c>
      <c r="M881" s="6">
        <v>3</v>
      </c>
      <c r="N881" s="6" t="str">
        <f>IF(OR(Table3[[#This Row],[weekday]]=0,Table3[[#This Row],[weekday]]=6),"Weekend","Weekday")</f>
        <v>Weekday</v>
      </c>
    </row>
    <row r="882" spans="1:14" ht="15" thickBot="1" x14ac:dyDescent="0.35">
      <c r="A882" s="10">
        <v>881</v>
      </c>
      <c r="B882" s="11">
        <v>40583</v>
      </c>
      <c r="C882" s="12">
        <v>3</v>
      </c>
      <c r="D882" s="13" t="b">
        <v>0</v>
      </c>
      <c r="E882" s="12">
        <v>3</v>
      </c>
      <c r="F882" s="12">
        <v>1</v>
      </c>
      <c r="G882" s="1">
        <v>0.06</v>
      </c>
      <c r="H882" s="25">
        <v>7.5800000000000006E-2</v>
      </c>
      <c r="I882" s="1">
        <v>0.45</v>
      </c>
      <c r="J882" s="1">
        <v>0.1343</v>
      </c>
      <c r="K882" s="1">
        <v>0</v>
      </c>
      <c r="L882" s="1">
        <v>2</v>
      </c>
      <c r="M882" s="6">
        <v>2</v>
      </c>
      <c r="N882" s="6" t="str">
        <f>IF(OR(Table3[[#This Row],[weekday]]=0,Table3[[#This Row],[weekday]]=6),"Weekend","Weekday")</f>
        <v>Weekday</v>
      </c>
    </row>
    <row r="883" spans="1:14" ht="15" thickBot="1" x14ac:dyDescent="0.35">
      <c r="A883" s="10">
        <v>882</v>
      </c>
      <c r="B883" s="11">
        <v>40583</v>
      </c>
      <c r="C883" s="12">
        <v>5</v>
      </c>
      <c r="D883" s="13" t="b">
        <v>0</v>
      </c>
      <c r="E883" s="12">
        <v>3</v>
      </c>
      <c r="F883" s="12">
        <v>1</v>
      </c>
      <c r="G883" s="1">
        <v>0.06</v>
      </c>
      <c r="H883" s="25">
        <v>0.1061</v>
      </c>
      <c r="I883" s="1">
        <v>0.45</v>
      </c>
      <c r="J883" s="1">
        <v>0.1045</v>
      </c>
      <c r="K883" s="1">
        <v>0</v>
      </c>
      <c r="L883" s="1">
        <v>7</v>
      </c>
      <c r="M883" s="6">
        <v>7</v>
      </c>
      <c r="N883" s="6" t="str">
        <f>IF(OR(Table3[[#This Row],[weekday]]=0,Table3[[#This Row],[weekday]]=6),"Weekend","Weekday")</f>
        <v>Weekday</v>
      </c>
    </row>
    <row r="884" spans="1:14" ht="15" thickBot="1" x14ac:dyDescent="0.35">
      <c r="A884" s="10">
        <v>883</v>
      </c>
      <c r="B884" s="11">
        <v>40583</v>
      </c>
      <c r="C884" s="12">
        <v>6</v>
      </c>
      <c r="D884" s="13" t="b">
        <v>0</v>
      </c>
      <c r="E884" s="12">
        <v>3</v>
      </c>
      <c r="F884" s="12">
        <v>1</v>
      </c>
      <c r="G884" s="1">
        <v>0.06</v>
      </c>
      <c r="H884" s="25">
        <v>0.1515</v>
      </c>
      <c r="I884" s="1">
        <v>0.45</v>
      </c>
      <c r="J884" s="1">
        <v>0</v>
      </c>
      <c r="K884" s="1">
        <v>0</v>
      </c>
      <c r="L884" s="1">
        <v>43</v>
      </c>
      <c r="M884" s="6">
        <v>43</v>
      </c>
      <c r="N884" s="6" t="str">
        <f>IF(OR(Table3[[#This Row],[weekday]]=0,Table3[[#This Row],[weekday]]=6),"Weekend","Weekday")</f>
        <v>Weekday</v>
      </c>
    </row>
    <row r="885" spans="1:14" ht="15" thickBot="1" x14ac:dyDescent="0.35">
      <c r="A885" s="10">
        <v>884</v>
      </c>
      <c r="B885" s="11">
        <v>40583</v>
      </c>
      <c r="C885" s="12">
        <v>7</v>
      </c>
      <c r="D885" s="13" t="b">
        <v>0</v>
      </c>
      <c r="E885" s="12">
        <v>3</v>
      </c>
      <c r="F885" s="12">
        <v>1</v>
      </c>
      <c r="G885" s="1">
        <v>0.06</v>
      </c>
      <c r="H885" s="25">
        <v>0.1061</v>
      </c>
      <c r="I885" s="1">
        <v>0.49</v>
      </c>
      <c r="J885" s="1">
        <v>0.1045</v>
      </c>
      <c r="K885" s="1">
        <v>4</v>
      </c>
      <c r="L885" s="1">
        <v>95</v>
      </c>
      <c r="M885" s="6">
        <v>99</v>
      </c>
      <c r="N885" s="6" t="str">
        <f>IF(OR(Table3[[#This Row],[weekday]]=0,Table3[[#This Row],[weekday]]=6),"Weekend","Weekday")</f>
        <v>Weekday</v>
      </c>
    </row>
    <row r="886" spans="1:14" ht="15" thickBot="1" x14ac:dyDescent="0.35">
      <c r="A886" s="10">
        <v>885</v>
      </c>
      <c r="B886" s="11">
        <v>40583</v>
      </c>
      <c r="C886" s="12">
        <v>8</v>
      </c>
      <c r="D886" s="13" t="b">
        <v>0</v>
      </c>
      <c r="E886" s="12">
        <v>3</v>
      </c>
      <c r="F886" s="12">
        <v>1</v>
      </c>
      <c r="G886" s="1">
        <v>0.1</v>
      </c>
      <c r="H886" s="25">
        <v>0.13639999999999999</v>
      </c>
      <c r="I886" s="1">
        <v>0.42</v>
      </c>
      <c r="J886" s="1">
        <v>0</v>
      </c>
      <c r="K886" s="1">
        <v>1</v>
      </c>
      <c r="L886" s="1">
        <v>198</v>
      </c>
      <c r="M886" s="6">
        <v>199</v>
      </c>
      <c r="N886" s="6" t="str">
        <f>IF(OR(Table3[[#This Row],[weekday]]=0,Table3[[#This Row],[weekday]]=6),"Weekend","Weekday")</f>
        <v>Weekday</v>
      </c>
    </row>
    <row r="887" spans="1:14" ht="15" thickBot="1" x14ac:dyDescent="0.35">
      <c r="A887" s="10">
        <v>886</v>
      </c>
      <c r="B887" s="11">
        <v>40583</v>
      </c>
      <c r="C887" s="12">
        <v>9</v>
      </c>
      <c r="D887" s="13" t="b">
        <v>0</v>
      </c>
      <c r="E887" s="12">
        <v>3</v>
      </c>
      <c r="F887" s="12">
        <v>1</v>
      </c>
      <c r="G887" s="1">
        <v>0.12</v>
      </c>
      <c r="H887" s="25">
        <v>0.13639999999999999</v>
      </c>
      <c r="I887" s="1">
        <v>0.39</v>
      </c>
      <c r="J887" s="1">
        <v>0.16420000000000001</v>
      </c>
      <c r="K887" s="1">
        <v>4</v>
      </c>
      <c r="L887" s="1">
        <v>119</v>
      </c>
      <c r="M887" s="6">
        <v>123</v>
      </c>
      <c r="N887" s="6" t="str">
        <f>IF(OR(Table3[[#This Row],[weekday]]=0,Table3[[#This Row],[weekday]]=6),"Weekend","Weekday")</f>
        <v>Weekday</v>
      </c>
    </row>
    <row r="888" spans="1:14" ht="15" thickBot="1" x14ac:dyDescent="0.35">
      <c r="A888" s="10">
        <v>887</v>
      </c>
      <c r="B888" s="11">
        <v>40583</v>
      </c>
      <c r="C888" s="12">
        <v>10</v>
      </c>
      <c r="D888" s="13" t="b">
        <v>0</v>
      </c>
      <c r="E888" s="12">
        <v>3</v>
      </c>
      <c r="F888" s="12">
        <v>1</v>
      </c>
      <c r="G888" s="1">
        <v>0.14000000000000001</v>
      </c>
      <c r="H888" s="25">
        <v>0.18179999999999999</v>
      </c>
      <c r="I888" s="1">
        <v>0.36</v>
      </c>
      <c r="J888" s="1">
        <v>0</v>
      </c>
      <c r="K888" s="1">
        <v>8</v>
      </c>
      <c r="L888" s="1">
        <v>51</v>
      </c>
      <c r="M888" s="6">
        <v>59</v>
      </c>
      <c r="N888" s="6" t="str">
        <f>IF(OR(Table3[[#This Row],[weekday]]=0,Table3[[#This Row],[weekday]]=6),"Weekend","Weekday")</f>
        <v>Weekday</v>
      </c>
    </row>
    <row r="889" spans="1:14" ht="15" thickBot="1" x14ac:dyDescent="0.35">
      <c r="A889" s="10">
        <v>888</v>
      </c>
      <c r="B889" s="11">
        <v>40583</v>
      </c>
      <c r="C889" s="12">
        <v>11</v>
      </c>
      <c r="D889" s="13" t="b">
        <v>0</v>
      </c>
      <c r="E889" s="12">
        <v>3</v>
      </c>
      <c r="F889" s="12">
        <v>2</v>
      </c>
      <c r="G889" s="1">
        <v>0.14000000000000001</v>
      </c>
      <c r="H889" s="25">
        <v>0.1515</v>
      </c>
      <c r="I889" s="1">
        <v>0.43</v>
      </c>
      <c r="J889" s="1">
        <v>0.16420000000000001</v>
      </c>
      <c r="K889" s="1">
        <v>1</v>
      </c>
      <c r="L889" s="1">
        <v>40</v>
      </c>
      <c r="M889" s="6">
        <v>41</v>
      </c>
      <c r="N889" s="6" t="str">
        <f>IF(OR(Table3[[#This Row],[weekday]]=0,Table3[[#This Row],[weekday]]=6),"Weekend","Weekday")</f>
        <v>Weekday</v>
      </c>
    </row>
    <row r="890" spans="1:14" ht="15" thickBot="1" x14ac:dyDescent="0.35">
      <c r="A890" s="10">
        <v>889</v>
      </c>
      <c r="B890" s="11">
        <v>40583</v>
      </c>
      <c r="C890" s="12">
        <v>12</v>
      </c>
      <c r="D890" s="13" t="b">
        <v>0</v>
      </c>
      <c r="E890" s="12">
        <v>3</v>
      </c>
      <c r="F890" s="12">
        <v>2</v>
      </c>
      <c r="G890" s="1">
        <v>0.18</v>
      </c>
      <c r="H890" s="25">
        <v>0.18179999999999999</v>
      </c>
      <c r="I890" s="1">
        <v>0.4</v>
      </c>
      <c r="J890" s="1">
        <v>0.22389999999999999</v>
      </c>
      <c r="K890" s="1">
        <v>4</v>
      </c>
      <c r="L890" s="1">
        <v>57</v>
      </c>
      <c r="M890" s="6">
        <v>61</v>
      </c>
      <c r="N890" s="6" t="str">
        <f>IF(OR(Table3[[#This Row],[weekday]]=0,Table3[[#This Row],[weekday]]=6),"Weekend","Weekday")</f>
        <v>Weekday</v>
      </c>
    </row>
    <row r="891" spans="1:14" ht="15" thickBot="1" x14ac:dyDescent="0.35">
      <c r="A891" s="10">
        <v>890</v>
      </c>
      <c r="B891" s="11">
        <v>40583</v>
      </c>
      <c r="C891" s="12">
        <v>13</v>
      </c>
      <c r="D891" s="13" t="b">
        <v>0</v>
      </c>
      <c r="E891" s="12">
        <v>3</v>
      </c>
      <c r="F891" s="12">
        <v>1</v>
      </c>
      <c r="G891" s="1">
        <v>0.18</v>
      </c>
      <c r="H891" s="25">
        <v>0.16669999999999999</v>
      </c>
      <c r="I891" s="1">
        <v>0.4</v>
      </c>
      <c r="J891" s="1">
        <v>0.25369999999999998</v>
      </c>
      <c r="K891" s="1">
        <v>2</v>
      </c>
      <c r="L891" s="1">
        <v>67</v>
      </c>
      <c r="M891" s="6">
        <v>69</v>
      </c>
      <c r="N891" s="6" t="str">
        <f>IF(OR(Table3[[#This Row],[weekday]]=0,Table3[[#This Row],[weekday]]=6),"Weekend","Weekday")</f>
        <v>Weekday</v>
      </c>
    </row>
    <row r="892" spans="1:14" ht="15" thickBot="1" x14ac:dyDescent="0.35">
      <c r="A892" s="10">
        <v>891</v>
      </c>
      <c r="B892" s="11">
        <v>40583</v>
      </c>
      <c r="C892" s="12">
        <v>14</v>
      </c>
      <c r="D892" s="13" t="b">
        <v>0</v>
      </c>
      <c r="E892" s="12">
        <v>3</v>
      </c>
      <c r="F892" s="12">
        <v>1</v>
      </c>
      <c r="G892" s="1">
        <v>0.2</v>
      </c>
      <c r="H892" s="25">
        <v>0.18179999999999999</v>
      </c>
      <c r="I892" s="1">
        <v>0.34</v>
      </c>
      <c r="J892" s="1">
        <v>0.29849999999999999</v>
      </c>
      <c r="K892" s="1">
        <v>2</v>
      </c>
      <c r="L892" s="1">
        <v>56</v>
      </c>
      <c r="M892" s="6">
        <v>58</v>
      </c>
      <c r="N892" s="6" t="str">
        <f>IF(OR(Table3[[#This Row],[weekday]]=0,Table3[[#This Row],[weekday]]=6),"Weekend","Weekday")</f>
        <v>Weekday</v>
      </c>
    </row>
    <row r="893" spans="1:14" ht="15" thickBot="1" x14ac:dyDescent="0.35">
      <c r="A893" s="10">
        <v>892</v>
      </c>
      <c r="B893" s="11">
        <v>40583</v>
      </c>
      <c r="C893" s="12">
        <v>15</v>
      </c>
      <c r="D893" s="13" t="b">
        <v>0</v>
      </c>
      <c r="E893" s="12">
        <v>3</v>
      </c>
      <c r="F893" s="12">
        <v>2</v>
      </c>
      <c r="G893" s="1">
        <v>0.2</v>
      </c>
      <c r="H893" s="25">
        <v>0.18179999999999999</v>
      </c>
      <c r="I893" s="1">
        <v>0.34</v>
      </c>
      <c r="J893" s="1">
        <v>0.28360000000000002</v>
      </c>
      <c r="K893" s="1">
        <v>3</v>
      </c>
      <c r="L893" s="1">
        <v>61</v>
      </c>
      <c r="M893" s="6">
        <v>64</v>
      </c>
      <c r="N893" s="6" t="str">
        <f>IF(OR(Table3[[#This Row],[weekday]]=0,Table3[[#This Row],[weekday]]=6),"Weekend","Weekday")</f>
        <v>Weekday</v>
      </c>
    </row>
    <row r="894" spans="1:14" ht="15" thickBot="1" x14ac:dyDescent="0.35">
      <c r="A894" s="10">
        <v>893</v>
      </c>
      <c r="B894" s="11">
        <v>40583</v>
      </c>
      <c r="C894" s="12">
        <v>16</v>
      </c>
      <c r="D894" s="13" t="b">
        <v>0</v>
      </c>
      <c r="E894" s="12">
        <v>3</v>
      </c>
      <c r="F894" s="12">
        <v>2</v>
      </c>
      <c r="G894" s="1">
        <v>0.2</v>
      </c>
      <c r="H894" s="25">
        <v>0.19700000000000001</v>
      </c>
      <c r="I894" s="1">
        <v>0.37</v>
      </c>
      <c r="J894" s="1">
        <v>0.25369999999999998</v>
      </c>
      <c r="K894" s="1">
        <v>7</v>
      </c>
      <c r="L894" s="1">
        <v>72</v>
      </c>
      <c r="M894" s="6">
        <v>79</v>
      </c>
      <c r="N894" s="6" t="str">
        <f>IF(OR(Table3[[#This Row],[weekday]]=0,Table3[[#This Row],[weekday]]=6),"Weekend","Weekday")</f>
        <v>Weekday</v>
      </c>
    </row>
    <row r="895" spans="1:14" ht="15" thickBot="1" x14ac:dyDescent="0.35">
      <c r="A895" s="10">
        <v>894</v>
      </c>
      <c r="B895" s="11">
        <v>40583</v>
      </c>
      <c r="C895" s="12">
        <v>17</v>
      </c>
      <c r="D895" s="13" t="b">
        <v>0</v>
      </c>
      <c r="E895" s="12">
        <v>3</v>
      </c>
      <c r="F895" s="12">
        <v>2</v>
      </c>
      <c r="G895" s="1">
        <v>0.2</v>
      </c>
      <c r="H895" s="25">
        <v>0.19700000000000001</v>
      </c>
      <c r="I895" s="1">
        <v>0.34</v>
      </c>
      <c r="J895" s="1">
        <v>0.25369999999999998</v>
      </c>
      <c r="K895" s="1">
        <v>9</v>
      </c>
      <c r="L895" s="1">
        <v>157</v>
      </c>
      <c r="M895" s="6">
        <v>166</v>
      </c>
      <c r="N895" s="6" t="str">
        <f>IF(OR(Table3[[#This Row],[weekday]]=0,Table3[[#This Row],[weekday]]=6),"Weekend","Weekday")</f>
        <v>Weekday</v>
      </c>
    </row>
    <row r="896" spans="1:14" ht="15" thickBot="1" x14ac:dyDescent="0.35">
      <c r="A896" s="10">
        <v>895</v>
      </c>
      <c r="B896" s="11">
        <v>40583</v>
      </c>
      <c r="C896" s="12">
        <v>18</v>
      </c>
      <c r="D896" s="13" t="b">
        <v>0</v>
      </c>
      <c r="E896" s="12">
        <v>3</v>
      </c>
      <c r="F896" s="12">
        <v>2</v>
      </c>
      <c r="G896" s="1">
        <v>0.18</v>
      </c>
      <c r="H896" s="25">
        <v>0.16669999999999999</v>
      </c>
      <c r="I896" s="1">
        <v>0.47</v>
      </c>
      <c r="J896" s="1">
        <v>0.29849999999999999</v>
      </c>
      <c r="K896" s="1">
        <v>2</v>
      </c>
      <c r="L896" s="1">
        <v>168</v>
      </c>
      <c r="M896" s="6">
        <v>170</v>
      </c>
      <c r="N896" s="6" t="str">
        <f>IF(OR(Table3[[#This Row],[weekday]]=0,Table3[[#This Row],[weekday]]=6),"Weekend","Weekday")</f>
        <v>Weekday</v>
      </c>
    </row>
    <row r="897" spans="1:14" ht="15" thickBot="1" x14ac:dyDescent="0.35">
      <c r="A897" s="10">
        <v>896</v>
      </c>
      <c r="B897" s="11">
        <v>40583</v>
      </c>
      <c r="C897" s="12">
        <v>19</v>
      </c>
      <c r="D897" s="13" t="b">
        <v>0</v>
      </c>
      <c r="E897" s="12">
        <v>3</v>
      </c>
      <c r="F897" s="12">
        <v>3</v>
      </c>
      <c r="G897" s="1">
        <v>0.14000000000000001</v>
      </c>
      <c r="H897" s="25">
        <v>0.1212</v>
      </c>
      <c r="I897" s="1">
        <v>0.86</v>
      </c>
      <c r="J897" s="1">
        <v>0.25369999999999998</v>
      </c>
      <c r="K897" s="1">
        <v>1</v>
      </c>
      <c r="L897" s="1">
        <v>87</v>
      </c>
      <c r="M897" s="6">
        <v>88</v>
      </c>
      <c r="N897" s="6" t="str">
        <f>IF(OR(Table3[[#This Row],[weekday]]=0,Table3[[#This Row],[weekday]]=6),"Weekend","Weekday")</f>
        <v>Weekday</v>
      </c>
    </row>
    <row r="898" spans="1:14" ht="15" thickBot="1" x14ac:dyDescent="0.35">
      <c r="A898" s="10">
        <v>897</v>
      </c>
      <c r="B898" s="11">
        <v>40583</v>
      </c>
      <c r="C898" s="12">
        <v>20</v>
      </c>
      <c r="D898" s="13" t="b">
        <v>0</v>
      </c>
      <c r="E898" s="12">
        <v>3</v>
      </c>
      <c r="F898" s="12">
        <v>3</v>
      </c>
      <c r="G898" s="1">
        <v>0.14000000000000001</v>
      </c>
      <c r="H898" s="25">
        <v>0.1515</v>
      </c>
      <c r="I898" s="1">
        <v>0.86</v>
      </c>
      <c r="J898" s="1">
        <v>0.16420000000000001</v>
      </c>
      <c r="K898" s="1">
        <v>0</v>
      </c>
      <c r="L898" s="1">
        <v>84</v>
      </c>
      <c r="M898" s="6">
        <v>84</v>
      </c>
      <c r="N898" s="6" t="str">
        <f>IF(OR(Table3[[#This Row],[weekday]]=0,Table3[[#This Row],[weekday]]=6),"Weekend","Weekday")</f>
        <v>Weekday</v>
      </c>
    </row>
    <row r="899" spans="1:14" ht="15" thickBot="1" x14ac:dyDescent="0.35">
      <c r="A899" s="10">
        <v>898</v>
      </c>
      <c r="B899" s="11">
        <v>40583</v>
      </c>
      <c r="C899" s="12">
        <v>21</v>
      </c>
      <c r="D899" s="13" t="b">
        <v>0</v>
      </c>
      <c r="E899" s="12">
        <v>3</v>
      </c>
      <c r="F899" s="12">
        <v>2</v>
      </c>
      <c r="G899" s="1">
        <v>0.14000000000000001</v>
      </c>
      <c r="H899" s="25">
        <v>0.1515</v>
      </c>
      <c r="I899" s="1">
        <v>0.86</v>
      </c>
      <c r="J899" s="1">
        <v>0.16420000000000001</v>
      </c>
      <c r="K899" s="1">
        <v>0</v>
      </c>
      <c r="L899" s="1">
        <v>83</v>
      </c>
      <c r="M899" s="6">
        <v>83</v>
      </c>
      <c r="N899" s="6" t="str">
        <f>IF(OR(Table3[[#This Row],[weekday]]=0,Table3[[#This Row],[weekday]]=6),"Weekend","Weekday")</f>
        <v>Weekday</v>
      </c>
    </row>
    <row r="900" spans="1:14" ht="15" thickBot="1" x14ac:dyDescent="0.35">
      <c r="A900" s="10">
        <v>899</v>
      </c>
      <c r="B900" s="11">
        <v>40583</v>
      </c>
      <c r="C900" s="12">
        <v>22</v>
      </c>
      <c r="D900" s="13" t="b">
        <v>0</v>
      </c>
      <c r="E900" s="12">
        <v>3</v>
      </c>
      <c r="F900" s="12">
        <v>3</v>
      </c>
      <c r="G900" s="1">
        <v>0.16</v>
      </c>
      <c r="H900" s="25">
        <v>0.16669999999999999</v>
      </c>
      <c r="I900" s="1">
        <v>0.8</v>
      </c>
      <c r="J900" s="1">
        <v>0.16420000000000001</v>
      </c>
      <c r="K900" s="1">
        <v>4</v>
      </c>
      <c r="L900" s="1">
        <v>42</v>
      </c>
      <c r="M900" s="6">
        <v>46</v>
      </c>
      <c r="N900" s="6" t="str">
        <f>IF(OR(Table3[[#This Row],[weekday]]=0,Table3[[#This Row],[weekday]]=6),"Weekend","Weekday")</f>
        <v>Weekday</v>
      </c>
    </row>
    <row r="901" spans="1:14" ht="15" thickBot="1" x14ac:dyDescent="0.35">
      <c r="A901" s="10">
        <v>900</v>
      </c>
      <c r="B901" s="11">
        <v>40583</v>
      </c>
      <c r="C901" s="12">
        <v>23</v>
      </c>
      <c r="D901" s="13" t="b">
        <v>0</v>
      </c>
      <c r="E901" s="12">
        <v>3</v>
      </c>
      <c r="F901" s="12">
        <v>3</v>
      </c>
      <c r="G901" s="1">
        <v>0.16</v>
      </c>
      <c r="H901" s="25">
        <v>0.1515</v>
      </c>
      <c r="I901" s="1">
        <v>0.8</v>
      </c>
      <c r="J901" s="1">
        <v>0.19400000000000001</v>
      </c>
      <c r="K901" s="1">
        <v>0</v>
      </c>
      <c r="L901" s="1">
        <v>37</v>
      </c>
      <c r="M901" s="6">
        <v>37</v>
      </c>
      <c r="N901" s="6" t="str">
        <f>IF(OR(Table3[[#This Row],[weekday]]=0,Table3[[#This Row],[weekday]]=6),"Weekend","Weekday")</f>
        <v>Weekday</v>
      </c>
    </row>
    <row r="902" spans="1:14" ht="15" thickBot="1" x14ac:dyDescent="0.35">
      <c r="A902" s="10">
        <v>901</v>
      </c>
      <c r="B902" s="11">
        <v>40584</v>
      </c>
      <c r="C902" s="12">
        <v>0</v>
      </c>
      <c r="D902" s="13" t="b">
        <v>0</v>
      </c>
      <c r="E902" s="12">
        <v>4</v>
      </c>
      <c r="F902" s="12">
        <v>3</v>
      </c>
      <c r="G902" s="1">
        <v>0.14000000000000001</v>
      </c>
      <c r="H902" s="25">
        <v>0.13639999999999999</v>
      </c>
      <c r="I902" s="1">
        <v>0.86</v>
      </c>
      <c r="J902" s="1">
        <v>0.19400000000000001</v>
      </c>
      <c r="K902" s="1">
        <v>0</v>
      </c>
      <c r="L902" s="1">
        <v>16</v>
      </c>
      <c r="M902" s="6">
        <v>16</v>
      </c>
      <c r="N902" s="6" t="str">
        <f>IF(OR(Table3[[#This Row],[weekday]]=0,Table3[[#This Row],[weekday]]=6),"Weekend","Weekday")</f>
        <v>Weekday</v>
      </c>
    </row>
    <row r="903" spans="1:14" ht="15" thickBot="1" x14ac:dyDescent="0.35">
      <c r="A903" s="10">
        <v>902</v>
      </c>
      <c r="B903" s="11">
        <v>40584</v>
      </c>
      <c r="C903" s="12">
        <v>1</v>
      </c>
      <c r="D903" s="13" t="b">
        <v>0</v>
      </c>
      <c r="E903" s="12">
        <v>4</v>
      </c>
      <c r="F903" s="12">
        <v>3</v>
      </c>
      <c r="G903" s="1">
        <v>0.14000000000000001</v>
      </c>
      <c r="H903" s="25">
        <v>0.1515</v>
      </c>
      <c r="I903" s="1">
        <v>0.8</v>
      </c>
      <c r="J903" s="1">
        <v>0.1343</v>
      </c>
      <c r="K903" s="1">
        <v>0</v>
      </c>
      <c r="L903" s="1">
        <v>7</v>
      </c>
      <c r="M903" s="6">
        <v>7</v>
      </c>
      <c r="N903" s="6" t="str">
        <f>IF(OR(Table3[[#This Row],[weekday]]=0,Table3[[#This Row],[weekday]]=6),"Weekend","Weekday")</f>
        <v>Weekday</v>
      </c>
    </row>
    <row r="904" spans="1:14" ht="15" thickBot="1" x14ac:dyDescent="0.35">
      <c r="A904" s="10">
        <v>903</v>
      </c>
      <c r="B904" s="11">
        <v>40584</v>
      </c>
      <c r="C904" s="12">
        <v>2</v>
      </c>
      <c r="D904" s="13" t="b">
        <v>0</v>
      </c>
      <c r="E904" s="12">
        <v>4</v>
      </c>
      <c r="F904" s="12">
        <v>3</v>
      </c>
      <c r="G904" s="1">
        <v>0.14000000000000001</v>
      </c>
      <c r="H904" s="25">
        <v>0.1515</v>
      </c>
      <c r="I904" s="1">
        <v>0.8</v>
      </c>
      <c r="J904" s="1">
        <v>0.1343</v>
      </c>
      <c r="K904" s="1">
        <v>0</v>
      </c>
      <c r="L904" s="1">
        <v>3</v>
      </c>
      <c r="M904" s="6">
        <v>3</v>
      </c>
      <c r="N904" s="6" t="str">
        <f>IF(OR(Table3[[#This Row],[weekday]]=0,Table3[[#This Row],[weekday]]=6),"Weekend","Weekday")</f>
        <v>Weekday</v>
      </c>
    </row>
    <row r="905" spans="1:14" ht="15" thickBot="1" x14ac:dyDescent="0.35">
      <c r="A905" s="10">
        <v>904</v>
      </c>
      <c r="B905" s="11">
        <v>40584</v>
      </c>
      <c r="C905" s="12">
        <v>4</v>
      </c>
      <c r="D905" s="13" t="b">
        <v>0</v>
      </c>
      <c r="E905" s="12">
        <v>4</v>
      </c>
      <c r="F905" s="12">
        <v>2</v>
      </c>
      <c r="G905" s="1">
        <v>0.14000000000000001</v>
      </c>
      <c r="H905" s="25">
        <v>0.13639999999999999</v>
      </c>
      <c r="I905" s="1">
        <v>0.59</v>
      </c>
      <c r="J905" s="1">
        <v>0.22389999999999999</v>
      </c>
      <c r="K905" s="1">
        <v>0</v>
      </c>
      <c r="L905" s="1">
        <v>1</v>
      </c>
      <c r="M905" s="6">
        <v>1</v>
      </c>
      <c r="N905" s="6" t="str">
        <f>IF(OR(Table3[[#This Row],[weekday]]=0,Table3[[#This Row],[weekday]]=6),"Weekend","Weekday")</f>
        <v>Weekday</v>
      </c>
    </row>
    <row r="906" spans="1:14" ht="15" thickBot="1" x14ac:dyDescent="0.35">
      <c r="A906" s="10">
        <v>905</v>
      </c>
      <c r="B906" s="11">
        <v>40584</v>
      </c>
      <c r="C906" s="12">
        <v>5</v>
      </c>
      <c r="D906" s="13" t="b">
        <v>0</v>
      </c>
      <c r="E906" s="12">
        <v>4</v>
      </c>
      <c r="F906" s="12">
        <v>2</v>
      </c>
      <c r="G906" s="1">
        <v>0.12</v>
      </c>
      <c r="H906" s="25">
        <v>0.1212</v>
      </c>
      <c r="I906" s="1">
        <v>0.5</v>
      </c>
      <c r="J906" s="1">
        <v>0.22389999999999999</v>
      </c>
      <c r="K906" s="1">
        <v>0</v>
      </c>
      <c r="L906" s="1">
        <v>6</v>
      </c>
      <c r="M906" s="6">
        <v>6</v>
      </c>
      <c r="N906" s="6" t="str">
        <f>IF(OR(Table3[[#This Row],[weekday]]=0,Table3[[#This Row],[weekday]]=6),"Weekend","Weekday")</f>
        <v>Weekday</v>
      </c>
    </row>
    <row r="907" spans="1:14" ht="15" thickBot="1" x14ac:dyDescent="0.35">
      <c r="A907" s="10">
        <v>906</v>
      </c>
      <c r="B907" s="11">
        <v>40584</v>
      </c>
      <c r="C907" s="12">
        <v>6</v>
      </c>
      <c r="D907" s="13" t="b">
        <v>0</v>
      </c>
      <c r="E907" s="12">
        <v>4</v>
      </c>
      <c r="F907" s="12">
        <v>2</v>
      </c>
      <c r="G907" s="1">
        <v>0.12</v>
      </c>
      <c r="H907" s="25">
        <v>0.1212</v>
      </c>
      <c r="I907" s="1">
        <v>0.54</v>
      </c>
      <c r="J907" s="1">
        <v>0.28360000000000002</v>
      </c>
      <c r="K907" s="1">
        <v>0</v>
      </c>
      <c r="L907" s="1">
        <v>26</v>
      </c>
      <c r="M907" s="6">
        <v>26</v>
      </c>
      <c r="N907" s="6" t="str">
        <f>IF(OR(Table3[[#This Row],[weekday]]=0,Table3[[#This Row],[weekday]]=6),"Weekend","Weekday")</f>
        <v>Weekday</v>
      </c>
    </row>
    <row r="908" spans="1:14" ht="15" thickBot="1" x14ac:dyDescent="0.35">
      <c r="A908" s="10">
        <v>907</v>
      </c>
      <c r="B908" s="11">
        <v>40584</v>
      </c>
      <c r="C908" s="12">
        <v>7</v>
      </c>
      <c r="D908" s="13" t="b">
        <v>0</v>
      </c>
      <c r="E908" s="12">
        <v>4</v>
      </c>
      <c r="F908" s="12">
        <v>1</v>
      </c>
      <c r="G908" s="1">
        <v>0.1</v>
      </c>
      <c r="H908" s="25">
        <v>7.5800000000000006E-2</v>
      </c>
      <c r="I908" s="1">
        <v>0.5</v>
      </c>
      <c r="J908" s="1">
        <v>0.41789999999999999</v>
      </c>
      <c r="K908" s="1">
        <v>0</v>
      </c>
      <c r="L908" s="1">
        <v>99</v>
      </c>
      <c r="M908" s="6">
        <v>99</v>
      </c>
      <c r="N908" s="6" t="str">
        <f>IF(OR(Table3[[#This Row],[weekday]]=0,Table3[[#This Row],[weekday]]=6),"Weekend","Weekday")</f>
        <v>Weekday</v>
      </c>
    </row>
    <row r="909" spans="1:14" ht="15" thickBot="1" x14ac:dyDescent="0.35">
      <c r="A909" s="10">
        <v>908</v>
      </c>
      <c r="B909" s="11">
        <v>40584</v>
      </c>
      <c r="C909" s="12">
        <v>8</v>
      </c>
      <c r="D909" s="13" t="b">
        <v>0</v>
      </c>
      <c r="E909" s="12">
        <v>4</v>
      </c>
      <c r="F909" s="12">
        <v>1</v>
      </c>
      <c r="G909" s="1">
        <v>0.1</v>
      </c>
      <c r="H909" s="25">
        <v>7.5800000000000006E-2</v>
      </c>
      <c r="I909" s="1">
        <v>0.49</v>
      </c>
      <c r="J909" s="1">
        <v>0.32840000000000003</v>
      </c>
      <c r="K909" s="1">
        <v>5</v>
      </c>
      <c r="L909" s="1">
        <v>173</v>
      </c>
      <c r="M909" s="6">
        <v>178</v>
      </c>
      <c r="N909" s="6" t="str">
        <f>IF(OR(Table3[[#This Row],[weekday]]=0,Table3[[#This Row],[weekday]]=6),"Weekend","Weekday")</f>
        <v>Weekday</v>
      </c>
    </row>
    <row r="910" spans="1:14" ht="15" thickBot="1" x14ac:dyDescent="0.35">
      <c r="A910" s="10">
        <v>909</v>
      </c>
      <c r="B910" s="11">
        <v>40584</v>
      </c>
      <c r="C910" s="12">
        <v>9</v>
      </c>
      <c r="D910" s="13" t="b">
        <v>0</v>
      </c>
      <c r="E910" s="12">
        <v>4</v>
      </c>
      <c r="F910" s="12">
        <v>1</v>
      </c>
      <c r="G910" s="1">
        <v>0.12</v>
      </c>
      <c r="H910" s="25">
        <v>0.1061</v>
      </c>
      <c r="I910" s="1">
        <v>0.42</v>
      </c>
      <c r="J910" s="1">
        <v>0.35820000000000002</v>
      </c>
      <c r="K910" s="1">
        <v>1</v>
      </c>
      <c r="L910" s="1">
        <v>121</v>
      </c>
      <c r="M910" s="6">
        <v>122</v>
      </c>
      <c r="N910" s="6" t="str">
        <f>IF(OR(Table3[[#This Row],[weekday]]=0,Table3[[#This Row],[weekday]]=6),"Weekend","Weekday")</f>
        <v>Weekday</v>
      </c>
    </row>
    <row r="911" spans="1:14" ht="15" thickBot="1" x14ac:dyDescent="0.35">
      <c r="A911" s="10">
        <v>910</v>
      </c>
      <c r="B911" s="11">
        <v>40584</v>
      </c>
      <c r="C911" s="12">
        <v>10</v>
      </c>
      <c r="D911" s="13" t="b">
        <v>0</v>
      </c>
      <c r="E911" s="12">
        <v>4</v>
      </c>
      <c r="F911" s="12">
        <v>1</v>
      </c>
      <c r="G911" s="1">
        <v>0.12</v>
      </c>
      <c r="H911" s="25">
        <v>0.1061</v>
      </c>
      <c r="I911" s="1">
        <v>0.42</v>
      </c>
      <c r="J911" s="1">
        <v>0.29849999999999999</v>
      </c>
      <c r="K911" s="1">
        <v>1</v>
      </c>
      <c r="L911" s="1">
        <v>34</v>
      </c>
      <c r="M911" s="6">
        <v>35</v>
      </c>
      <c r="N911" s="6" t="str">
        <f>IF(OR(Table3[[#This Row],[weekday]]=0,Table3[[#This Row],[weekday]]=6),"Weekend","Weekday")</f>
        <v>Weekday</v>
      </c>
    </row>
    <row r="912" spans="1:14" ht="15" thickBot="1" x14ac:dyDescent="0.35">
      <c r="A912" s="10">
        <v>911</v>
      </c>
      <c r="B912" s="11">
        <v>40584</v>
      </c>
      <c r="C912" s="12">
        <v>11</v>
      </c>
      <c r="D912" s="13" t="b">
        <v>0</v>
      </c>
      <c r="E912" s="12">
        <v>4</v>
      </c>
      <c r="F912" s="12">
        <v>1</v>
      </c>
      <c r="G912" s="1">
        <v>0.14000000000000001</v>
      </c>
      <c r="H912" s="25">
        <v>0.1212</v>
      </c>
      <c r="I912" s="1">
        <v>0.39</v>
      </c>
      <c r="J912" s="1">
        <v>0.35820000000000002</v>
      </c>
      <c r="K912" s="1">
        <v>1</v>
      </c>
      <c r="L912" s="1">
        <v>44</v>
      </c>
      <c r="M912" s="6">
        <v>45</v>
      </c>
      <c r="N912" s="6" t="str">
        <f>IF(OR(Table3[[#This Row],[weekday]]=0,Table3[[#This Row],[weekday]]=6),"Weekend","Weekday")</f>
        <v>Weekday</v>
      </c>
    </row>
    <row r="913" spans="1:14" ht="15" thickBot="1" x14ac:dyDescent="0.35">
      <c r="A913" s="10">
        <v>912</v>
      </c>
      <c r="B913" s="11">
        <v>40584</v>
      </c>
      <c r="C913" s="12">
        <v>12</v>
      </c>
      <c r="D913" s="13" t="b">
        <v>0</v>
      </c>
      <c r="E913" s="12">
        <v>4</v>
      </c>
      <c r="F913" s="12">
        <v>1</v>
      </c>
      <c r="G913" s="1">
        <v>0.16</v>
      </c>
      <c r="H913" s="25">
        <v>0.13639999999999999</v>
      </c>
      <c r="I913" s="1">
        <v>0.34</v>
      </c>
      <c r="J913" s="1">
        <v>0.3881</v>
      </c>
      <c r="K913" s="1">
        <v>4</v>
      </c>
      <c r="L913" s="1">
        <v>65</v>
      </c>
      <c r="M913" s="6">
        <v>69</v>
      </c>
      <c r="N913" s="6" t="str">
        <f>IF(OR(Table3[[#This Row],[weekday]]=0,Table3[[#This Row],[weekday]]=6),"Weekend","Weekday")</f>
        <v>Weekday</v>
      </c>
    </row>
    <row r="914" spans="1:14" ht="15" thickBot="1" x14ac:dyDescent="0.35">
      <c r="A914" s="10">
        <v>913</v>
      </c>
      <c r="B914" s="11">
        <v>40584</v>
      </c>
      <c r="C914" s="12">
        <v>13</v>
      </c>
      <c r="D914" s="13" t="b">
        <v>0</v>
      </c>
      <c r="E914" s="12">
        <v>4</v>
      </c>
      <c r="F914" s="12">
        <v>1</v>
      </c>
      <c r="G914" s="1">
        <v>0.18</v>
      </c>
      <c r="H914" s="25">
        <v>0.16669999999999999</v>
      </c>
      <c r="I914" s="1">
        <v>0.28999999999999998</v>
      </c>
      <c r="J914" s="1">
        <v>0.29849999999999999</v>
      </c>
      <c r="K914" s="1">
        <v>3</v>
      </c>
      <c r="L914" s="1">
        <v>59</v>
      </c>
      <c r="M914" s="6">
        <v>62</v>
      </c>
      <c r="N914" s="6" t="str">
        <f>IF(OR(Table3[[#This Row],[weekday]]=0,Table3[[#This Row],[weekday]]=6),"Weekend","Weekday")</f>
        <v>Weekday</v>
      </c>
    </row>
    <row r="915" spans="1:14" ht="15" thickBot="1" x14ac:dyDescent="0.35">
      <c r="A915" s="10">
        <v>914</v>
      </c>
      <c r="B915" s="11">
        <v>40584</v>
      </c>
      <c r="C915" s="12">
        <v>14</v>
      </c>
      <c r="D915" s="13" t="b">
        <v>0</v>
      </c>
      <c r="E915" s="12">
        <v>4</v>
      </c>
      <c r="F915" s="12">
        <v>1</v>
      </c>
      <c r="G915" s="1">
        <v>0.2</v>
      </c>
      <c r="H915" s="25">
        <v>0.18179999999999999</v>
      </c>
      <c r="I915" s="1">
        <v>0.27</v>
      </c>
      <c r="J915" s="1">
        <v>0.28360000000000002</v>
      </c>
      <c r="K915" s="1">
        <v>6</v>
      </c>
      <c r="L915" s="1">
        <v>42</v>
      </c>
      <c r="M915" s="6">
        <v>48</v>
      </c>
      <c r="N915" s="6" t="str">
        <f>IF(OR(Table3[[#This Row],[weekday]]=0,Table3[[#This Row],[weekday]]=6),"Weekend","Weekday")</f>
        <v>Weekday</v>
      </c>
    </row>
    <row r="916" spans="1:14" ht="15" thickBot="1" x14ac:dyDescent="0.35">
      <c r="A916" s="10">
        <v>915</v>
      </c>
      <c r="B916" s="11">
        <v>40584</v>
      </c>
      <c r="C916" s="12">
        <v>15</v>
      </c>
      <c r="D916" s="13" t="b">
        <v>0</v>
      </c>
      <c r="E916" s="12">
        <v>4</v>
      </c>
      <c r="F916" s="12">
        <v>1</v>
      </c>
      <c r="G916" s="1">
        <v>0.2</v>
      </c>
      <c r="H916" s="25">
        <v>0.19700000000000001</v>
      </c>
      <c r="I916" s="1">
        <v>0.25</v>
      </c>
      <c r="J916" s="1">
        <v>0.25369999999999998</v>
      </c>
      <c r="K916" s="1">
        <v>0</v>
      </c>
      <c r="L916" s="1">
        <v>50</v>
      </c>
      <c r="M916" s="6">
        <v>50</v>
      </c>
      <c r="N916" s="6" t="str">
        <f>IF(OR(Table3[[#This Row],[weekday]]=0,Table3[[#This Row],[weekday]]=6),"Weekend","Weekday")</f>
        <v>Weekday</v>
      </c>
    </row>
    <row r="917" spans="1:14" ht="15" thickBot="1" x14ac:dyDescent="0.35">
      <c r="A917" s="10">
        <v>916</v>
      </c>
      <c r="B917" s="11">
        <v>40584</v>
      </c>
      <c r="C917" s="12">
        <v>16</v>
      </c>
      <c r="D917" s="13" t="b">
        <v>0</v>
      </c>
      <c r="E917" s="12">
        <v>4</v>
      </c>
      <c r="F917" s="12">
        <v>1</v>
      </c>
      <c r="G917" s="1">
        <v>0.2</v>
      </c>
      <c r="H917" s="25">
        <v>0.18179999999999999</v>
      </c>
      <c r="I917" s="1">
        <v>0.27</v>
      </c>
      <c r="J917" s="1">
        <v>0.29849999999999999</v>
      </c>
      <c r="K917" s="1">
        <v>4</v>
      </c>
      <c r="L917" s="1">
        <v>76</v>
      </c>
      <c r="M917" s="6">
        <v>80</v>
      </c>
      <c r="N917" s="6" t="str">
        <f>IF(OR(Table3[[#This Row],[weekday]]=0,Table3[[#This Row],[weekday]]=6),"Weekend","Weekday")</f>
        <v>Weekday</v>
      </c>
    </row>
    <row r="918" spans="1:14" ht="15" thickBot="1" x14ac:dyDescent="0.35">
      <c r="A918" s="10">
        <v>917</v>
      </c>
      <c r="B918" s="11">
        <v>40584</v>
      </c>
      <c r="C918" s="12">
        <v>17</v>
      </c>
      <c r="D918" s="13" t="b">
        <v>0</v>
      </c>
      <c r="E918" s="12">
        <v>4</v>
      </c>
      <c r="F918" s="12">
        <v>1</v>
      </c>
      <c r="G918" s="1">
        <v>0.18</v>
      </c>
      <c r="H918" s="25">
        <v>0.18179999999999999</v>
      </c>
      <c r="I918" s="1">
        <v>0.26</v>
      </c>
      <c r="J918" s="1">
        <v>0.19400000000000001</v>
      </c>
      <c r="K918" s="1">
        <v>6</v>
      </c>
      <c r="L918" s="1">
        <v>159</v>
      </c>
      <c r="M918" s="6">
        <v>165</v>
      </c>
      <c r="N918" s="6" t="str">
        <f>IF(OR(Table3[[#This Row],[weekday]]=0,Table3[[#This Row],[weekday]]=6),"Weekend","Weekday")</f>
        <v>Weekday</v>
      </c>
    </row>
    <row r="919" spans="1:14" ht="15" thickBot="1" x14ac:dyDescent="0.35">
      <c r="A919" s="10">
        <v>918</v>
      </c>
      <c r="B919" s="11">
        <v>40584</v>
      </c>
      <c r="C919" s="12">
        <v>18</v>
      </c>
      <c r="D919" s="13" t="b">
        <v>0</v>
      </c>
      <c r="E919" s="12">
        <v>4</v>
      </c>
      <c r="F919" s="12">
        <v>1</v>
      </c>
      <c r="G919" s="1">
        <v>0.16</v>
      </c>
      <c r="H919" s="25">
        <v>0.18179999999999999</v>
      </c>
      <c r="I919" s="1">
        <v>0.28000000000000003</v>
      </c>
      <c r="J919" s="1">
        <v>0.1343</v>
      </c>
      <c r="K919" s="1">
        <v>3</v>
      </c>
      <c r="L919" s="1">
        <v>157</v>
      </c>
      <c r="M919" s="6">
        <v>160</v>
      </c>
      <c r="N919" s="6" t="str">
        <f>IF(OR(Table3[[#This Row],[weekday]]=0,Table3[[#This Row],[weekday]]=6),"Weekend","Weekday")</f>
        <v>Weekday</v>
      </c>
    </row>
    <row r="920" spans="1:14" ht="15" thickBot="1" x14ac:dyDescent="0.35">
      <c r="A920" s="10">
        <v>919</v>
      </c>
      <c r="B920" s="11">
        <v>40584</v>
      </c>
      <c r="C920" s="12">
        <v>19</v>
      </c>
      <c r="D920" s="13" t="b">
        <v>0</v>
      </c>
      <c r="E920" s="12">
        <v>4</v>
      </c>
      <c r="F920" s="12">
        <v>1</v>
      </c>
      <c r="G920" s="1">
        <v>0.14000000000000001</v>
      </c>
      <c r="H920" s="25">
        <v>0.16669999999999999</v>
      </c>
      <c r="I920" s="1">
        <v>0.28000000000000003</v>
      </c>
      <c r="J920" s="1">
        <v>0.1045</v>
      </c>
      <c r="K920" s="1">
        <v>2</v>
      </c>
      <c r="L920" s="1">
        <v>110</v>
      </c>
      <c r="M920" s="6">
        <v>112</v>
      </c>
      <c r="N920" s="6" t="str">
        <f>IF(OR(Table3[[#This Row],[weekday]]=0,Table3[[#This Row],[weekday]]=6),"Weekend","Weekday")</f>
        <v>Weekday</v>
      </c>
    </row>
    <row r="921" spans="1:14" ht="15" thickBot="1" x14ac:dyDescent="0.35">
      <c r="A921" s="10">
        <v>920</v>
      </c>
      <c r="B921" s="11">
        <v>40584</v>
      </c>
      <c r="C921" s="12">
        <v>20</v>
      </c>
      <c r="D921" s="13" t="b">
        <v>0</v>
      </c>
      <c r="E921" s="12">
        <v>4</v>
      </c>
      <c r="F921" s="12">
        <v>1</v>
      </c>
      <c r="G921" s="1">
        <v>0.14000000000000001</v>
      </c>
      <c r="H921" s="25">
        <v>0.18179999999999999</v>
      </c>
      <c r="I921" s="1">
        <v>0.31</v>
      </c>
      <c r="J921" s="1">
        <v>8.9599999999999999E-2</v>
      </c>
      <c r="K921" s="1">
        <v>4</v>
      </c>
      <c r="L921" s="1">
        <v>93</v>
      </c>
      <c r="M921" s="6">
        <v>97</v>
      </c>
      <c r="N921" s="6" t="str">
        <f>IF(OR(Table3[[#This Row],[weekday]]=0,Table3[[#This Row],[weekday]]=6),"Weekend","Weekday")</f>
        <v>Weekday</v>
      </c>
    </row>
    <row r="922" spans="1:14" ht="15" thickBot="1" x14ac:dyDescent="0.35">
      <c r="A922" s="10">
        <v>921</v>
      </c>
      <c r="B922" s="11">
        <v>40584</v>
      </c>
      <c r="C922" s="12">
        <v>21</v>
      </c>
      <c r="D922" s="13" t="b">
        <v>0</v>
      </c>
      <c r="E922" s="12">
        <v>4</v>
      </c>
      <c r="F922" s="12">
        <v>1</v>
      </c>
      <c r="G922" s="1">
        <v>0.14000000000000001</v>
      </c>
      <c r="H922" s="25">
        <v>0.21210000000000001</v>
      </c>
      <c r="I922" s="1">
        <v>0.39</v>
      </c>
      <c r="J922" s="1">
        <v>0</v>
      </c>
      <c r="K922" s="1">
        <v>2</v>
      </c>
      <c r="L922" s="1">
        <v>70</v>
      </c>
      <c r="M922" s="6">
        <v>72</v>
      </c>
      <c r="N922" s="6" t="str">
        <f>IF(OR(Table3[[#This Row],[weekday]]=0,Table3[[#This Row],[weekday]]=6),"Weekend","Weekday")</f>
        <v>Weekday</v>
      </c>
    </row>
    <row r="923" spans="1:14" ht="15" thickBot="1" x14ac:dyDescent="0.35">
      <c r="A923" s="10">
        <v>922</v>
      </c>
      <c r="B923" s="11">
        <v>40584</v>
      </c>
      <c r="C923" s="12">
        <v>22</v>
      </c>
      <c r="D923" s="13" t="b">
        <v>0</v>
      </c>
      <c r="E923" s="12">
        <v>4</v>
      </c>
      <c r="F923" s="12">
        <v>1</v>
      </c>
      <c r="G923" s="1">
        <v>0.12</v>
      </c>
      <c r="H923" s="25">
        <v>0.19700000000000001</v>
      </c>
      <c r="I923" s="1">
        <v>0.39</v>
      </c>
      <c r="J923" s="1">
        <v>0</v>
      </c>
      <c r="K923" s="1">
        <v>4</v>
      </c>
      <c r="L923" s="1">
        <v>47</v>
      </c>
      <c r="M923" s="6">
        <v>51</v>
      </c>
      <c r="N923" s="6" t="str">
        <f>IF(OR(Table3[[#This Row],[weekday]]=0,Table3[[#This Row],[weekday]]=6),"Weekend","Weekday")</f>
        <v>Weekday</v>
      </c>
    </row>
    <row r="924" spans="1:14" ht="15" thickBot="1" x14ac:dyDescent="0.35">
      <c r="A924" s="10">
        <v>923</v>
      </c>
      <c r="B924" s="11">
        <v>40584</v>
      </c>
      <c r="C924" s="12">
        <v>23</v>
      </c>
      <c r="D924" s="13" t="b">
        <v>0</v>
      </c>
      <c r="E924" s="12">
        <v>4</v>
      </c>
      <c r="F924" s="12">
        <v>1</v>
      </c>
      <c r="G924" s="1">
        <v>0.12</v>
      </c>
      <c r="H924" s="25">
        <v>0.1515</v>
      </c>
      <c r="I924" s="1">
        <v>0.42</v>
      </c>
      <c r="J924" s="1">
        <v>0.1045</v>
      </c>
      <c r="K924" s="1">
        <v>1</v>
      </c>
      <c r="L924" s="1">
        <v>33</v>
      </c>
      <c r="M924" s="6">
        <v>34</v>
      </c>
      <c r="N924" s="6" t="str">
        <f>IF(OR(Table3[[#This Row],[weekday]]=0,Table3[[#This Row],[weekday]]=6),"Weekend","Weekday")</f>
        <v>Weekday</v>
      </c>
    </row>
    <row r="925" spans="1:14" ht="15" thickBot="1" x14ac:dyDescent="0.35">
      <c r="A925" s="10">
        <v>924</v>
      </c>
      <c r="B925" s="11">
        <v>40585</v>
      </c>
      <c r="C925" s="12">
        <v>0</v>
      </c>
      <c r="D925" s="13" t="b">
        <v>0</v>
      </c>
      <c r="E925" s="12">
        <v>5</v>
      </c>
      <c r="F925" s="12">
        <v>1</v>
      </c>
      <c r="G925" s="1">
        <v>0.1</v>
      </c>
      <c r="H925" s="25">
        <v>0.13639999999999999</v>
      </c>
      <c r="I925" s="1">
        <v>0.49</v>
      </c>
      <c r="J925" s="1">
        <v>0.1045</v>
      </c>
      <c r="K925" s="1">
        <v>2</v>
      </c>
      <c r="L925" s="1">
        <v>12</v>
      </c>
      <c r="M925" s="6">
        <v>14</v>
      </c>
      <c r="N925" s="6" t="str">
        <f>IF(OR(Table3[[#This Row],[weekday]]=0,Table3[[#This Row],[weekday]]=6),"Weekend","Weekday")</f>
        <v>Weekday</v>
      </c>
    </row>
    <row r="926" spans="1:14" ht="15" thickBot="1" x14ac:dyDescent="0.35">
      <c r="A926" s="10">
        <v>925</v>
      </c>
      <c r="B926" s="11">
        <v>40585</v>
      </c>
      <c r="C926" s="12">
        <v>1</v>
      </c>
      <c r="D926" s="13" t="b">
        <v>0</v>
      </c>
      <c r="E926" s="12">
        <v>5</v>
      </c>
      <c r="F926" s="12">
        <v>1</v>
      </c>
      <c r="G926" s="1">
        <v>0.1</v>
      </c>
      <c r="H926" s="25">
        <v>0.13639999999999999</v>
      </c>
      <c r="I926" s="1">
        <v>0.54</v>
      </c>
      <c r="J926" s="1">
        <v>8.9599999999999999E-2</v>
      </c>
      <c r="K926" s="1">
        <v>1</v>
      </c>
      <c r="L926" s="1">
        <v>6</v>
      </c>
      <c r="M926" s="6">
        <v>7</v>
      </c>
      <c r="N926" s="6" t="str">
        <f>IF(OR(Table3[[#This Row],[weekday]]=0,Table3[[#This Row],[weekday]]=6),"Weekend","Weekday")</f>
        <v>Weekday</v>
      </c>
    </row>
    <row r="927" spans="1:14" ht="15" thickBot="1" x14ac:dyDescent="0.35">
      <c r="A927" s="10">
        <v>926</v>
      </c>
      <c r="B927" s="11">
        <v>40585</v>
      </c>
      <c r="C927" s="12">
        <v>2</v>
      </c>
      <c r="D927" s="13" t="b">
        <v>0</v>
      </c>
      <c r="E927" s="12">
        <v>5</v>
      </c>
      <c r="F927" s="12">
        <v>1</v>
      </c>
      <c r="G927" s="1">
        <v>0.1</v>
      </c>
      <c r="H927" s="25">
        <v>0.13639999999999999</v>
      </c>
      <c r="I927" s="1">
        <v>0.54</v>
      </c>
      <c r="J927" s="1">
        <v>8.9599999999999999E-2</v>
      </c>
      <c r="K927" s="1">
        <v>0</v>
      </c>
      <c r="L927" s="1">
        <v>3</v>
      </c>
      <c r="M927" s="6">
        <v>3</v>
      </c>
      <c r="N927" s="6" t="str">
        <f>IF(OR(Table3[[#This Row],[weekday]]=0,Table3[[#This Row],[weekday]]=6),"Weekend","Weekday")</f>
        <v>Weekday</v>
      </c>
    </row>
    <row r="928" spans="1:14" ht="15" thickBot="1" x14ac:dyDescent="0.35">
      <c r="A928" s="10">
        <v>927</v>
      </c>
      <c r="B928" s="11">
        <v>40585</v>
      </c>
      <c r="C928" s="12">
        <v>5</v>
      </c>
      <c r="D928" s="13" t="b">
        <v>0</v>
      </c>
      <c r="E928" s="12">
        <v>5</v>
      </c>
      <c r="F928" s="12">
        <v>1</v>
      </c>
      <c r="G928" s="1">
        <v>0.08</v>
      </c>
      <c r="H928" s="25">
        <v>0.1212</v>
      </c>
      <c r="I928" s="1">
        <v>0.63</v>
      </c>
      <c r="J928" s="1">
        <v>8.9599999999999999E-2</v>
      </c>
      <c r="K928" s="1">
        <v>0</v>
      </c>
      <c r="L928" s="1">
        <v>4</v>
      </c>
      <c r="M928" s="6">
        <v>4</v>
      </c>
      <c r="N928" s="6" t="str">
        <f>IF(OR(Table3[[#This Row],[weekday]]=0,Table3[[#This Row],[weekday]]=6),"Weekend","Weekday")</f>
        <v>Weekday</v>
      </c>
    </row>
    <row r="929" spans="1:14" ht="15" thickBot="1" x14ac:dyDescent="0.35">
      <c r="A929" s="10">
        <v>928</v>
      </c>
      <c r="B929" s="11">
        <v>40585</v>
      </c>
      <c r="C929" s="12">
        <v>6</v>
      </c>
      <c r="D929" s="13" t="b">
        <v>0</v>
      </c>
      <c r="E929" s="12">
        <v>5</v>
      </c>
      <c r="F929" s="12">
        <v>1</v>
      </c>
      <c r="G929" s="1">
        <v>0.1</v>
      </c>
      <c r="H929" s="25">
        <v>0.18179999999999999</v>
      </c>
      <c r="I929" s="1">
        <v>0.68</v>
      </c>
      <c r="J929" s="1">
        <v>0</v>
      </c>
      <c r="K929" s="1">
        <v>1</v>
      </c>
      <c r="L929" s="1">
        <v>23</v>
      </c>
      <c r="M929" s="6">
        <v>24</v>
      </c>
      <c r="N929" s="6" t="str">
        <f>IF(OR(Table3[[#This Row],[weekday]]=0,Table3[[#This Row],[weekday]]=6),"Weekend","Weekday")</f>
        <v>Weekday</v>
      </c>
    </row>
    <row r="930" spans="1:14" ht="15" thickBot="1" x14ac:dyDescent="0.35">
      <c r="A930" s="10">
        <v>929</v>
      </c>
      <c r="B930" s="11">
        <v>40585</v>
      </c>
      <c r="C930" s="12">
        <v>7</v>
      </c>
      <c r="D930" s="13" t="b">
        <v>0</v>
      </c>
      <c r="E930" s="12">
        <v>5</v>
      </c>
      <c r="F930" s="12">
        <v>1</v>
      </c>
      <c r="G930" s="1">
        <v>0.08</v>
      </c>
      <c r="H930" s="25">
        <v>0.16669999999999999</v>
      </c>
      <c r="I930" s="1">
        <v>0.73</v>
      </c>
      <c r="J930" s="1">
        <v>0</v>
      </c>
      <c r="K930" s="1">
        <v>1</v>
      </c>
      <c r="L930" s="1">
        <v>73</v>
      </c>
      <c r="M930" s="6">
        <v>74</v>
      </c>
      <c r="N930" s="6" t="str">
        <f>IF(OR(Table3[[#This Row],[weekday]]=0,Table3[[#This Row],[weekday]]=6),"Weekend","Weekday")</f>
        <v>Weekday</v>
      </c>
    </row>
    <row r="931" spans="1:14" ht="15" thickBot="1" x14ac:dyDescent="0.35">
      <c r="A931" s="10">
        <v>930</v>
      </c>
      <c r="B931" s="11">
        <v>40585</v>
      </c>
      <c r="C931" s="12">
        <v>8</v>
      </c>
      <c r="D931" s="13" t="b">
        <v>0</v>
      </c>
      <c r="E931" s="12">
        <v>5</v>
      </c>
      <c r="F931" s="12">
        <v>1</v>
      </c>
      <c r="G931" s="1">
        <v>0.1</v>
      </c>
      <c r="H931" s="25">
        <v>0.1212</v>
      </c>
      <c r="I931" s="1">
        <v>0.74</v>
      </c>
      <c r="J931" s="1">
        <v>0.16420000000000001</v>
      </c>
      <c r="K931" s="1">
        <v>4</v>
      </c>
      <c r="L931" s="1">
        <v>212</v>
      </c>
      <c r="M931" s="6">
        <v>216</v>
      </c>
      <c r="N931" s="6" t="str">
        <f>IF(OR(Table3[[#This Row],[weekday]]=0,Table3[[#This Row],[weekday]]=6),"Weekend","Weekday")</f>
        <v>Weekday</v>
      </c>
    </row>
    <row r="932" spans="1:14" ht="15" thickBot="1" x14ac:dyDescent="0.35">
      <c r="A932" s="10">
        <v>931</v>
      </c>
      <c r="B932" s="11">
        <v>40585</v>
      </c>
      <c r="C932" s="12">
        <v>9</v>
      </c>
      <c r="D932" s="13" t="b">
        <v>0</v>
      </c>
      <c r="E932" s="12">
        <v>5</v>
      </c>
      <c r="F932" s="12">
        <v>1</v>
      </c>
      <c r="G932" s="1">
        <v>0.12</v>
      </c>
      <c r="H932" s="25">
        <v>0.1212</v>
      </c>
      <c r="I932" s="1">
        <v>0.74</v>
      </c>
      <c r="J932" s="1">
        <v>0.22389999999999999</v>
      </c>
      <c r="K932" s="1">
        <v>8</v>
      </c>
      <c r="L932" s="1">
        <v>132</v>
      </c>
      <c r="M932" s="6">
        <v>140</v>
      </c>
      <c r="N932" s="6" t="str">
        <f>IF(OR(Table3[[#This Row],[weekday]]=0,Table3[[#This Row],[weekday]]=6),"Weekend","Weekday")</f>
        <v>Weekday</v>
      </c>
    </row>
    <row r="933" spans="1:14" ht="15" thickBot="1" x14ac:dyDescent="0.35">
      <c r="A933" s="10">
        <v>932</v>
      </c>
      <c r="B933" s="11">
        <v>40585</v>
      </c>
      <c r="C933" s="12">
        <v>10</v>
      </c>
      <c r="D933" s="13" t="b">
        <v>0</v>
      </c>
      <c r="E933" s="12">
        <v>5</v>
      </c>
      <c r="F933" s="12">
        <v>1</v>
      </c>
      <c r="G933" s="1">
        <v>0.14000000000000001</v>
      </c>
      <c r="H933" s="25">
        <v>0.13639999999999999</v>
      </c>
      <c r="I933" s="1">
        <v>0.69</v>
      </c>
      <c r="J933" s="1">
        <v>0.19400000000000001</v>
      </c>
      <c r="K933" s="1">
        <v>5</v>
      </c>
      <c r="L933" s="1">
        <v>39</v>
      </c>
      <c r="M933" s="6">
        <v>44</v>
      </c>
      <c r="N933" s="6" t="str">
        <f>IF(OR(Table3[[#This Row],[weekday]]=0,Table3[[#This Row],[weekday]]=6),"Weekend","Weekday")</f>
        <v>Weekday</v>
      </c>
    </row>
    <row r="934" spans="1:14" ht="15" thickBot="1" x14ac:dyDescent="0.35">
      <c r="A934" s="10">
        <v>933</v>
      </c>
      <c r="B934" s="11">
        <v>40585</v>
      </c>
      <c r="C934" s="12">
        <v>11</v>
      </c>
      <c r="D934" s="13" t="b">
        <v>0</v>
      </c>
      <c r="E934" s="12">
        <v>5</v>
      </c>
      <c r="F934" s="12">
        <v>1</v>
      </c>
      <c r="G934" s="1">
        <v>0.22</v>
      </c>
      <c r="H934" s="25">
        <v>0.2273</v>
      </c>
      <c r="I934" s="1">
        <v>0.47</v>
      </c>
      <c r="J934" s="1">
        <v>0.1343</v>
      </c>
      <c r="K934" s="1">
        <v>12</v>
      </c>
      <c r="L934" s="1">
        <v>52</v>
      </c>
      <c r="M934" s="6">
        <v>64</v>
      </c>
      <c r="N934" s="6" t="str">
        <f>IF(OR(Table3[[#This Row],[weekday]]=0,Table3[[#This Row],[weekday]]=6),"Weekend","Weekday")</f>
        <v>Weekday</v>
      </c>
    </row>
    <row r="935" spans="1:14" ht="15" thickBot="1" x14ac:dyDescent="0.35">
      <c r="A935" s="10">
        <v>934</v>
      </c>
      <c r="B935" s="11">
        <v>40585</v>
      </c>
      <c r="C935" s="12">
        <v>12</v>
      </c>
      <c r="D935" s="13" t="b">
        <v>0</v>
      </c>
      <c r="E935" s="12">
        <v>5</v>
      </c>
      <c r="F935" s="12">
        <v>1</v>
      </c>
      <c r="G935" s="1">
        <v>0.22</v>
      </c>
      <c r="H935" s="25">
        <v>0.2273</v>
      </c>
      <c r="I935" s="1">
        <v>0.47</v>
      </c>
      <c r="J935" s="1">
        <v>0.1343</v>
      </c>
      <c r="K935" s="1">
        <v>7</v>
      </c>
      <c r="L935" s="1">
        <v>64</v>
      </c>
      <c r="M935" s="6">
        <v>71</v>
      </c>
      <c r="N935" s="6" t="str">
        <f>IF(OR(Table3[[#This Row],[weekday]]=0,Table3[[#This Row],[weekday]]=6),"Weekend","Weekday")</f>
        <v>Weekday</v>
      </c>
    </row>
    <row r="936" spans="1:14" ht="15" thickBot="1" x14ac:dyDescent="0.35">
      <c r="A936" s="10">
        <v>935</v>
      </c>
      <c r="B936" s="11">
        <v>40585</v>
      </c>
      <c r="C936" s="12">
        <v>13</v>
      </c>
      <c r="D936" s="13" t="b">
        <v>0</v>
      </c>
      <c r="E936" s="12">
        <v>5</v>
      </c>
      <c r="F936" s="12">
        <v>1</v>
      </c>
      <c r="G936" s="1">
        <v>0.24</v>
      </c>
      <c r="H936" s="25">
        <v>0.2273</v>
      </c>
      <c r="I936" s="1">
        <v>0.35</v>
      </c>
      <c r="J936" s="1">
        <v>0.19400000000000001</v>
      </c>
      <c r="K936" s="1">
        <v>21</v>
      </c>
      <c r="L936" s="1">
        <v>89</v>
      </c>
      <c r="M936" s="6">
        <v>110</v>
      </c>
      <c r="N936" s="6" t="str">
        <f>IF(OR(Table3[[#This Row],[weekday]]=0,Table3[[#This Row],[weekday]]=6),"Weekend","Weekday")</f>
        <v>Weekday</v>
      </c>
    </row>
    <row r="937" spans="1:14" ht="15" thickBot="1" x14ac:dyDescent="0.35">
      <c r="A937" s="10">
        <v>936</v>
      </c>
      <c r="B937" s="11">
        <v>40585</v>
      </c>
      <c r="C937" s="12">
        <v>14</v>
      </c>
      <c r="D937" s="13" t="b">
        <v>0</v>
      </c>
      <c r="E937" s="12">
        <v>5</v>
      </c>
      <c r="F937" s="12">
        <v>1</v>
      </c>
      <c r="G937" s="1">
        <v>0.3</v>
      </c>
      <c r="H937" s="25">
        <v>0.28789999999999999</v>
      </c>
      <c r="I937" s="1">
        <v>0.26</v>
      </c>
      <c r="J937" s="1">
        <v>0.25369999999999998</v>
      </c>
      <c r="K937" s="1">
        <v>17</v>
      </c>
      <c r="L937" s="1">
        <v>67</v>
      </c>
      <c r="M937" s="6">
        <v>84</v>
      </c>
      <c r="N937" s="6" t="str">
        <f>IF(OR(Table3[[#This Row],[weekday]]=0,Table3[[#This Row],[weekday]]=6),"Weekend","Weekday")</f>
        <v>Weekday</v>
      </c>
    </row>
    <row r="938" spans="1:14" ht="15" thickBot="1" x14ac:dyDescent="0.35">
      <c r="A938" s="10">
        <v>937</v>
      </c>
      <c r="B938" s="11">
        <v>40585</v>
      </c>
      <c r="C938" s="12">
        <v>15</v>
      </c>
      <c r="D938" s="13" t="b">
        <v>0</v>
      </c>
      <c r="E938" s="12">
        <v>5</v>
      </c>
      <c r="F938" s="12">
        <v>1</v>
      </c>
      <c r="G938" s="1">
        <v>0.32</v>
      </c>
      <c r="H938" s="25">
        <v>0.31819999999999998</v>
      </c>
      <c r="I938" s="1">
        <v>0.21</v>
      </c>
      <c r="J938" s="1">
        <v>0.16420000000000001</v>
      </c>
      <c r="K938" s="1">
        <v>12</v>
      </c>
      <c r="L938" s="1">
        <v>62</v>
      </c>
      <c r="M938" s="6">
        <v>74</v>
      </c>
      <c r="N938" s="6" t="str">
        <f>IF(OR(Table3[[#This Row],[weekday]]=0,Table3[[#This Row],[weekday]]=6),"Weekend","Weekday")</f>
        <v>Weekday</v>
      </c>
    </row>
    <row r="939" spans="1:14" ht="15" thickBot="1" x14ac:dyDescent="0.35">
      <c r="A939" s="10">
        <v>938</v>
      </c>
      <c r="B939" s="11">
        <v>40585</v>
      </c>
      <c r="C939" s="12">
        <v>16</v>
      </c>
      <c r="D939" s="13" t="b">
        <v>0</v>
      </c>
      <c r="E939" s="12">
        <v>5</v>
      </c>
      <c r="F939" s="12">
        <v>1</v>
      </c>
      <c r="G939" s="1">
        <v>0.3</v>
      </c>
      <c r="H939" s="25">
        <v>0.28789999999999999</v>
      </c>
      <c r="I939" s="1">
        <v>0.28000000000000003</v>
      </c>
      <c r="J939" s="1">
        <v>0.19400000000000001</v>
      </c>
      <c r="K939" s="1">
        <v>14</v>
      </c>
      <c r="L939" s="1">
        <v>111</v>
      </c>
      <c r="M939" s="6">
        <v>125</v>
      </c>
      <c r="N939" s="6" t="str">
        <f>IF(OR(Table3[[#This Row],[weekday]]=0,Table3[[#This Row],[weekday]]=6),"Weekend","Weekday")</f>
        <v>Weekday</v>
      </c>
    </row>
    <row r="940" spans="1:14" ht="15" thickBot="1" x14ac:dyDescent="0.35">
      <c r="A940" s="10">
        <v>939</v>
      </c>
      <c r="B940" s="11">
        <v>40585</v>
      </c>
      <c r="C940" s="12">
        <v>17</v>
      </c>
      <c r="D940" s="13" t="b">
        <v>0</v>
      </c>
      <c r="E940" s="12">
        <v>5</v>
      </c>
      <c r="F940" s="12">
        <v>1</v>
      </c>
      <c r="G940" s="1">
        <v>0.3</v>
      </c>
      <c r="H940" s="25">
        <v>0.33329999999999999</v>
      </c>
      <c r="I940" s="1">
        <v>0.24</v>
      </c>
      <c r="J940" s="1">
        <v>0</v>
      </c>
      <c r="K940" s="1">
        <v>18</v>
      </c>
      <c r="L940" s="1">
        <v>193</v>
      </c>
      <c r="M940" s="6">
        <v>211</v>
      </c>
      <c r="N940" s="6" t="str">
        <f>IF(OR(Table3[[#This Row],[weekday]]=0,Table3[[#This Row],[weekday]]=6),"Weekend","Weekday")</f>
        <v>Weekday</v>
      </c>
    </row>
    <row r="941" spans="1:14" ht="15" thickBot="1" x14ac:dyDescent="0.35">
      <c r="A941" s="10">
        <v>940</v>
      </c>
      <c r="B941" s="11">
        <v>40585</v>
      </c>
      <c r="C941" s="12">
        <v>18</v>
      </c>
      <c r="D941" s="13" t="b">
        <v>0</v>
      </c>
      <c r="E941" s="12">
        <v>5</v>
      </c>
      <c r="F941" s="12">
        <v>1</v>
      </c>
      <c r="G941" s="1">
        <v>0.28000000000000003</v>
      </c>
      <c r="H941" s="25">
        <v>0.31819999999999998</v>
      </c>
      <c r="I941" s="1">
        <v>0.28000000000000003</v>
      </c>
      <c r="J941" s="1">
        <v>0</v>
      </c>
      <c r="K941" s="1">
        <v>9</v>
      </c>
      <c r="L941" s="1">
        <v>165</v>
      </c>
      <c r="M941" s="6">
        <v>174</v>
      </c>
      <c r="N941" s="6" t="str">
        <f>IF(OR(Table3[[#This Row],[weekday]]=0,Table3[[#This Row],[weekday]]=6),"Weekend","Weekday")</f>
        <v>Weekday</v>
      </c>
    </row>
    <row r="942" spans="1:14" ht="15" thickBot="1" x14ac:dyDescent="0.35">
      <c r="A942" s="10">
        <v>941</v>
      </c>
      <c r="B942" s="11">
        <v>40585</v>
      </c>
      <c r="C942" s="12">
        <v>19</v>
      </c>
      <c r="D942" s="13" t="b">
        <v>0</v>
      </c>
      <c r="E942" s="12">
        <v>5</v>
      </c>
      <c r="F942" s="12">
        <v>1</v>
      </c>
      <c r="G942" s="1">
        <v>0.26</v>
      </c>
      <c r="H942" s="25">
        <v>0.30299999999999999</v>
      </c>
      <c r="I942" s="1">
        <v>0.33</v>
      </c>
      <c r="J942" s="1">
        <v>0</v>
      </c>
      <c r="K942" s="1">
        <v>7</v>
      </c>
      <c r="L942" s="1">
        <v>94</v>
      </c>
      <c r="M942" s="6">
        <v>101</v>
      </c>
      <c r="N942" s="6" t="str">
        <f>IF(OR(Table3[[#This Row],[weekday]]=0,Table3[[#This Row],[weekday]]=6),"Weekend","Weekday")</f>
        <v>Weekday</v>
      </c>
    </row>
    <row r="943" spans="1:14" ht="15" thickBot="1" x14ac:dyDescent="0.35">
      <c r="A943" s="10">
        <v>942</v>
      </c>
      <c r="B943" s="11">
        <v>40585</v>
      </c>
      <c r="C943" s="12">
        <v>20</v>
      </c>
      <c r="D943" s="13" t="b">
        <v>0</v>
      </c>
      <c r="E943" s="12">
        <v>5</v>
      </c>
      <c r="F943" s="12">
        <v>1</v>
      </c>
      <c r="G943" s="1">
        <v>0.22</v>
      </c>
      <c r="H943" s="25">
        <v>0.2273</v>
      </c>
      <c r="I943" s="1">
        <v>0.55000000000000004</v>
      </c>
      <c r="J943" s="1">
        <v>0.1343</v>
      </c>
      <c r="K943" s="1">
        <v>2</v>
      </c>
      <c r="L943" s="1">
        <v>61</v>
      </c>
      <c r="M943" s="6">
        <v>63</v>
      </c>
      <c r="N943" s="6" t="str">
        <f>IF(OR(Table3[[#This Row],[weekday]]=0,Table3[[#This Row],[weekday]]=6),"Weekend","Weekday")</f>
        <v>Weekday</v>
      </c>
    </row>
    <row r="944" spans="1:14" ht="15" thickBot="1" x14ac:dyDescent="0.35">
      <c r="A944" s="10">
        <v>943</v>
      </c>
      <c r="B944" s="11">
        <v>40585</v>
      </c>
      <c r="C944" s="12">
        <v>21</v>
      </c>
      <c r="D944" s="13" t="b">
        <v>0</v>
      </c>
      <c r="E944" s="12">
        <v>5</v>
      </c>
      <c r="F944" s="12">
        <v>1</v>
      </c>
      <c r="G944" s="1">
        <v>0.2</v>
      </c>
      <c r="H944" s="25">
        <v>0.21210000000000001</v>
      </c>
      <c r="I944" s="1">
        <v>0.59</v>
      </c>
      <c r="J944" s="1">
        <v>0.1343</v>
      </c>
      <c r="K944" s="1">
        <v>1</v>
      </c>
      <c r="L944" s="1">
        <v>46</v>
      </c>
      <c r="M944" s="6">
        <v>47</v>
      </c>
      <c r="N944" s="6" t="str">
        <f>IF(OR(Table3[[#This Row],[weekday]]=0,Table3[[#This Row],[weekday]]=6),"Weekend","Weekday")</f>
        <v>Weekday</v>
      </c>
    </row>
    <row r="945" spans="1:14" ht="15" thickBot="1" x14ac:dyDescent="0.35">
      <c r="A945" s="10">
        <v>944</v>
      </c>
      <c r="B945" s="11">
        <v>40585</v>
      </c>
      <c r="C945" s="12">
        <v>22</v>
      </c>
      <c r="D945" s="13" t="b">
        <v>0</v>
      </c>
      <c r="E945" s="12">
        <v>5</v>
      </c>
      <c r="F945" s="12">
        <v>1</v>
      </c>
      <c r="G945" s="1">
        <v>0.2</v>
      </c>
      <c r="H945" s="25">
        <v>0.2273</v>
      </c>
      <c r="I945" s="1">
        <v>0.64</v>
      </c>
      <c r="J945" s="1">
        <v>8.9599999999999999E-2</v>
      </c>
      <c r="K945" s="1">
        <v>2</v>
      </c>
      <c r="L945" s="1">
        <v>41</v>
      </c>
      <c r="M945" s="6">
        <v>43</v>
      </c>
      <c r="N945" s="6" t="str">
        <f>IF(OR(Table3[[#This Row],[weekday]]=0,Table3[[#This Row],[weekday]]=6),"Weekend","Weekday")</f>
        <v>Weekday</v>
      </c>
    </row>
    <row r="946" spans="1:14" ht="15" thickBot="1" x14ac:dyDescent="0.35">
      <c r="A946" s="10">
        <v>945</v>
      </c>
      <c r="B946" s="11">
        <v>40585</v>
      </c>
      <c r="C946" s="12">
        <v>23</v>
      </c>
      <c r="D946" s="13" t="b">
        <v>0</v>
      </c>
      <c r="E946" s="12">
        <v>5</v>
      </c>
      <c r="F946" s="12">
        <v>1</v>
      </c>
      <c r="G946" s="1">
        <v>0.18</v>
      </c>
      <c r="H946" s="25">
        <v>0.2424</v>
      </c>
      <c r="I946" s="1">
        <v>0.69</v>
      </c>
      <c r="J946" s="1">
        <v>0</v>
      </c>
      <c r="K946" s="1">
        <v>5</v>
      </c>
      <c r="L946" s="1">
        <v>48</v>
      </c>
      <c r="M946" s="6">
        <v>53</v>
      </c>
      <c r="N946" s="6" t="str">
        <f>IF(OR(Table3[[#This Row],[weekday]]=0,Table3[[#This Row],[weekday]]=6),"Weekend","Weekday")</f>
        <v>Weekday</v>
      </c>
    </row>
    <row r="947" spans="1:14" ht="15" thickBot="1" x14ac:dyDescent="0.35">
      <c r="A947" s="10">
        <v>946</v>
      </c>
      <c r="B947" s="11">
        <v>40586</v>
      </c>
      <c r="C947" s="12">
        <v>0</v>
      </c>
      <c r="D947" s="13" t="b">
        <v>0</v>
      </c>
      <c r="E947" s="12">
        <v>6</v>
      </c>
      <c r="F947" s="12">
        <v>1</v>
      </c>
      <c r="G947" s="1">
        <v>0.16</v>
      </c>
      <c r="H947" s="25">
        <v>0.19700000000000001</v>
      </c>
      <c r="I947" s="1">
        <v>0.69</v>
      </c>
      <c r="J947" s="1">
        <v>8.9599999999999999E-2</v>
      </c>
      <c r="K947" s="1">
        <v>3</v>
      </c>
      <c r="L947" s="1">
        <v>27</v>
      </c>
      <c r="M947" s="6">
        <v>30</v>
      </c>
      <c r="N947" s="6" t="str">
        <f>IF(OR(Table3[[#This Row],[weekday]]=0,Table3[[#This Row],[weekday]]=6),"Weekend","Weekday")</f>
        <v>Weekend</v>
      </c>
    </row>
    <row r="948" spans="1:14" ht="15" thickBot="1" x14ac:dyDescent="0.35">
      <c r="A948" s="10">
        <v>947</v>
      </c>
      <c r="B948" s="11">
        <v>40586</v>
      </c>
      <c r="C948" s="12">
        <v>1</v>
      </c>
      <c r="D948" s="13" t="b">
        <v>0</v>
      </c>
      <c r="E948" s="12">
        <v>6</v>
      </c>
      <c r="F948" s="12">
        <v>1</v>
      </c>
      <c r="G948" s="1">
        <v>0.14000000000000001</v>
      </c>
      <c r="H948" s="25">
        <v>0.21210000000000001</v>
      </c>
      <c r="I948" s="1">
        <v>0.86</v>
      </c>
      <c r="J948" s="1">
        <v>0</v>
      </c>
      <c r="K948" s="1">
        <v>2</v>
      </c>
      <c r="L948" s="1">
        <v>22</v>
      </c>
      <c r="M948" s="6">
        <v>24</v>
      </c>
      <c r="N948" s="6" t="str">
        <f>IF(OR(Table3[[#This Row],[weekday]]=0,Table3[[#This Row],[weekday]]=6),"Weekend","Weekday")</f>
        <v>Weekend</v>
      </c>
    </row>
    <row r="949" spans="1:14" ht="15" thickBot="1" x14ac:dyDescent="0.35">
      <c r="A949" s="10">
        <v>948</v>
      </c>
      <c r="B949" s="11">
        <v>40586</v>
      </c>
      <c r="C949" s="12">
        <v>2</v>
      </c>
      <c r="D949" s="13" t="b">
        <v>0</v>
      </c>
      <c r="E949" s="12">
        <v>6</v>
      </c>
      <c r="F949" s="12">
        <v>1</v>
      </c>
      <c r="G949" s="1">
        <v>0.14000000000000001</v>
      </c>
      <c r="H949" s="25">
        <v>0.21210000000000001</v>
      </c>
      <c r="I949" s="1">
        <v>0.8</v>
      </c>
      <c r="J949" s="1">
        <v>0</v>
      </c>
      <c r="K949" s="1">
        <v>2</v>
      </c>
      <c r="L949" s="1">
        <v>13</v>
      </c>
      <c r="M949" s="6">
        <v>15</v>
      </c>
      <c r="N949" s="6" t="str">
        <f>IF(OR(Table3[[#This Row],[weekday]]=0,Table3[[#This Row],[weekday]]=6),"Weekend","Weekday")</f>
        <v>Weekend</v>
      </c>
    </row>
    <row r="950" spans="1:14" ht="15" thickBot="1" x14ac:dyDescent="0.35">
      <c r="A950" s="10">
        <v>949</v>
      </c>
      <c r="B950" s="11">
        <v>40586</v>
      </c>
      <c r="C950" s="12">
        <v>3</v>
      </c>
      <c r="D950" s="13" t="b">
        <v>0</v>
      </c>
      <c r="E950" s="12">
        <v>6</v>
      </c>
      <c r="F950" s="12">
        <v>1</v>
      </c>
      <c r="G950" s="1">
        <v>0.12</v>
      </c>
      <c r="H950" s="25">
        <v>0.19700000000000001</v>
      </c>
      <c r="I950" s="1">
        <v>0.8</v>
      </c>
      <c r="J950" s="1">
        <v>0</v>
      </c>
      <c r="K950" s="1">
        <v>3</v>
      </c>
      <c r="L950" s="1">
        <v>7</v>
      </c>
      <c r="M950" s="6">
        <v>10</v>
      </c>
      <c r="N950" s="6" t="str">
        <f>IF(OR(Table3[[#This Row],[weekday]]=0,Table3[[#This Row],[weekday]]=6),"Weekend","Weekday")</f>
        <v>Weekend</v>
      </c>
    </row>
    <row r="951" spans="1:14" ht="15" thickBot="1" x14ac:dyDescent="0.35">
      <c r="A951" s="10">
        <v>950</v>
      </c>
      <c r="B951" s="11">
        <v>40586</v>
      </c>
      <c r="C951" s="12">
        <v>4</v>
      </c>
      <c r="D951" s="13" t="b">
        <v>0</v>
      </c>
      <c r="E951" s="12">
        <v>6</v>
      </c>
      <c r="F951" s="12">
        <v>1</v>
      </c>
      <c r="G951" s="1">
        <v>0.12</v>
      </c>
      <c r="H951" s="25">
        <v>0.16669999999999999</v>
      </c>
      <c r="I951" s="1">
        <v>0.74</v>
      </c>
      <c r="J951" s="1">
        <v>8.9599999999999999E-2</v>
      </c>
      <c r="K951" s="1">
        <v>0</v>
      </c>
      <c r="L951" s="1">
        <v>4</v>
      </c>
      <c r="M951" s="6">
        <v>4</v>
      </c>
      <c r="N951" s="6" t="str">
        <f>IF(OR(Table3[[#This Row],[weekday]]=0,Table3[[#This Row],[weekday]]=6),"Weekend","Weekday")</f>
        <v>Weekend</v>
      </c>
    </row>
    <row r="952" spans="1:14" ht="15" thickBot="1" x14ac:dyDescent="0.35">
      <c r="A952" s="10">
        <v>951</v>
      </c>
      <c r="B952" s="11">
        <v>40586</v>
      </c>
      <c r="C952" s="12">
        <v>5</v>
      </c>
      <c r="D952" s="13" t="b">
        <v>0</v>
      </c>
      <c r="E952" s="12">
        <v>6</v>
      </c>
      <c r="F952" s="12">
        <v>1</v>
      </c>
      <c r="G952" s="1">
        <v>0.12</v>
      </c>
      <c r="H952" s="25">
        <v>0.16669999999999999</v>
      </c>
      <c r="I952" s="1">
        <v>0.74</v>
      </c>
      <c r="J952" s="1">
        <v>8.9599999999999999E-2</v>
      </c>
      <c r="K952" s="1">
        <v>0</v>
      </c>
      <c r="L952" s="1">
        <v>1</v>
      </c>
      <c r="M952" s="6">
        <v>1</v>
      </c>
      <c r="N952" s="6" t="str">
        <f>IF(OR(Table3[[#This Row],[weekday]]=0,Table3[[#This Row],[weekday]]=6),"Weekend","Weekday")</f>
        <v>Weekend</v>
      </c>
    </row>
    <row r="953" spans="1:14" ht="15" thickBot="1" x14ac:dyDescent="0.35">
      <c r="A953" s="10">
        <v>952</v>
      </c>
      <c r="B953" s="11">
        <v>40586</v>
      </c>
      <c r="C953" s="12">
        <v>6</v>
      </c>
      <c r="D953" s="13" t="b">
        <v>0</v>
      </c>
      <c r="E953" s="12">
        <v>6</v>
      </c>
      <c r="F953" s="12">
        <v>1</v>
      </c>
      <c r="G953" s="1">
        <v>0.12</v>
      </c>
      <c r="H953" s="25">
        <v>0.13639999999999999</v>
      </c>
      <c r="I953" s="1">
        <v>0.93</v>
      </c>
      <c r="J953" s="1">
        <v>0.19400000000000001</v>
      </c>
      <c r="K953" s="1">
        <v>1</v>
      </c>
      <c r="L953" s="1">
        <v>1</v>
      </c>
      <c r="M953" s="6">
        <v>2</v>
      </c>
      <c r="N953" s="6" t="str">
        <f>IF(OR(Table3[[#This Row],[weekday]]=0,Table3[[#This Row],[weekday]]=6),"Weekend","Weekday")</f>
        <v>Weekend</v>
      </c>
    </row>
    <row r="954" spans="1:14" ht="15" thickBot="1" x14ac:dyDescent="0.35">
      <c r="A954" s="10">
        <v>953</v>
      </c>
      <c r="B954" s="11">
        <v>40586</v>
      </c>
      <c r="C954" s="12">
        <v>7</v>
      </c>
      <c r="D954" s="13" t="b">
        <v>0</v>
      </c>
      <c r="E954" s="12">
        <v>6</v>
      </c>
      <c r="F954" s="12">
        <v>1</v>
      </c>
      <c r="G954" s="1">
        <v>0.12</v>
      </c>
      <c r="H954" s="25">
        <v>0.1515</v>
      </c>
      <c r="I954" s="1">
        <v>0.8</v>
      </c>
      <c r="J954" s="1">
        <v>0.1045</v>
      </c>
      <c r="K954" s="1">
        <v>2</v>
      </c>
      <c r="L954" s="1">
        <v>9</v>
      </c>
      <c r="M954" s="6">
        <v>11</v>
      </c>
      <c r="N954" s="6" t="str">
        <f>IF(OR(Table3[[#This Row],[weekday]]=0,Table3[[#This Row],[weekday]]=6),"Weekend","Weekday")</f>
        <v>Weekend</v>
      </c>
    </row>
    <row r="955" spans="1:14" ht="15" thickBot="1" x14ac:dyDescent="0.35">
      <c r="A955" s="10">
        <v>954</v>
      </c>
      <c r="B955" s="11">
        <v>40586</v>
      </c>
      <c r="C955" s="12">
        <v>8</v>
      </c>
      <c r="D955" s="13" t="b">
        <v>0</v>
      </c>
      <c r="E955" s="12">
        <v>6</v>
      </c>
      <c r="F955" s="12">
        <v>1</v>
      </c>
      <c r="G955" s="1">
        <v>0.14000000000000001</v>
      </c>
      <c r="H955" s="25">
        <v>0.1515</v>
      </c>
      <c r="I955" s="1">
        <v>0.86</v>
      </c>
      <c r="J955" s="1">
        <v>0.1343</v>
      </c>
      <c r="K955" s="1">
        <v>2</v>
      </c>
      <c r="L955" s="1">
        <v>28</v>
      </c>
      <c r="M955" s="6">
        <v>30</v>
      </c>
      <c r="N955" s="6" t="str">
        <f>IF(OR(Table3[[#This Row],[weekday]]=0,Table3[[#This Row],[weekday]]=6),"Weekend","Weekday")</f>
        <v>Weekend</v>
      </c>
    </row>
    <row r="956" spans="1:14" ht="15" thickBot="1" x14ac:dyDescent="0.35">
      <c r="A956" s="10">
        <v>955</v>
      </c>
      <c r="B956" s="11">
        <v>40586</v>
      </c>
      <c r="C956" s="12">
        <v>9</v>
      </c>
      <c r="D956" s="13" t="b">
        <v>0</v>
      </c>
      <c r="E956" s="12">
        <v>6</v>
      </c>
      <c r="F956" s="12">
        <v>1</v>
      </c>
      <c r="G956" s="1">
        <v>0.16</v>
      </c>
      <c r="H956" s="25">
        <v>0.18179999999999999</v>
      </c>
      <c r="I956" s="1">
        <v>0.64</v>
      </c>
      <c r="J956" s="1">
        <v>0.1343</v>
      </c>
      <c r="K956" s="1">
        <v>5</v>
      </c>
      <c r="L956" s="1">
        <v>38</v>
      </c>
      <c r="M956" s="6">
        <v>43</v>
      </c>
      <c r="N956" s="6" t="str">
        <f>IF(OR(Table3[[#This Row],[weekday]]=0,Table3[[#This Row],[weekday]]=6),"Weekend","Weekday")</f>
        <v>Weekend</v>
      </c>
    </row>
    <row r="957" spans="1:14" ht="15" thickBot="1" x14ac:dyDescent="0.35">
      <c r="A957" s="10">
        <v>956</v>
      </c>
      <c r="B957" s="11">
        <v>40586</v>
      </c>
      <c r="C957" s="12">
        <v>10</v>
      </c>
      <c r="D957" s="13" t="b">
        <v>0</v>
      </c>
      <c r="E957" s="12">
        <v>6</v>
      </c>
      <c r="F957" s="12">
        <v>1</v>
      </c>
      <c r="G957" s="1">
        <v>0.22</v>
      </c>
      <c r="H957" s="25">
        <v>0.21210000000000001</v>
      </c>
      <c r="I957" s="1">
        <v>0.41</v>
      </c>
      <c r="J957" s="1">
        <v>0.25369999999999998</v>
      </c>
      <c r="K957" s="1">
        <v>13</v>
      </c>
      <c r="L957" s="1">
        <v>71</v>
      </c>
      <c r="M957" s="6">
        <v>84</v>
      </c>
      <c r="N957" s="6" t="str">
        <f>IF(OR(Table3[[#This Row],[weekday]]=0,Table3[[#This Row],[weekday]]=6),"Weekend","Weekday")</f>
        <v>Weekend</v>
      </c>
    </row>
    <row r="958" spans="1:14" ht="15" thickBot="1" x14ac:dyDescent="0.35">
      <c r="A958" s="10">
        <v>957</v>
      </c>
      <c r="B958" s="11">
        <v>40586</v>
      </c>
      <c r="C958" s="12">
        <v>11</v>
      </c>
      <c r="D958" s="13" t="b">
        <v>0</v>
      </c>
      <c r="E958" s="12">
        <v>6</v>
      </c>
      <c r="F958" s="12">
        <v>1</v>
      </c>
      <c r="G958" s="1">
        <v>0.3</v>
      </c>
      <c r="H958" s="25">
        <v>0.2727</v>
      </c>
      <c r="I958" s="1">
        <v>0.28000000000000003</v>
      </c>
      <c r="J958" s="1">
        <v>0.32840000000000003</v>
      </c>
      <c r="K958" s="1">
        <v>30</v>
      </c>
      <c r="L958" s="1">
        <v>84</v>
      </c>
      <c r="M958" s="6">
        <v>114</v>
      </c>
      <c r="N958" s="6" t="str">
        <f>IF(OR(Table3[[#This Row],[weekday]]=0,Table3[[#This Row],[weekday]]=6),"Weekend","Weekday")</f>
        <v>Weekend</v>
      </c>
    </row>
    <row r="959" spans="1:14" ht="15" thickBot="1" x14ac:dyDescent="0.35">
      <c r="A959" s="10">
        <v>958</v>
      </c>
      <c r="B959" s="11">
        <v>40586</v>
      </c>
      <c r="C959" s="12">
        <v>12</v>
      </c>
      <c r="D959" s="13" t="b">
        <v>0</v>
      </c>
      <c r="E959" s="12">
        <v>6</v>
      </c>
      <c r="F959" s="12">
        <v>1</v>
      </c>
      <c r="G959" s="1">
        <v>0.3</v>
      </c>
      <c r="H959" s="25">
        <v>0.2727</v>
      </c>
      <c r="I959" s="1">
        <v>0.39</v>
      </c>
      <c r="J959" s="1">
        <v>0.4627</v>
      </c>
      <c r="K959" s="1">
        <v>27</v>
      </c>
      <c r="L959" s="1">
        <v>93</v>
      </c>
      <c r="M959" s="6">
        <v>120</v>
      </c>
      <c r="N959" s="6" t="str">
        <f>IF(OR(Table3[[#This Row],[weekday]]=0,Table3[[#This Row],[weekday]]=6),"Weekend","Weekday")</f>
        <v>Weekend</v>
      </c>
    </row>
    <row r="960" spans="1:14" ht="15" thickBot="1" x14ac:dyDescent="0.35">
      <c r="A960" s="10">
        <v>959</v>
      </c>
      <c r="B960" s="11">
        <v>40586</v>
      </c>
      <c r="C960" s="12">
        <v>13</v>
      </c>
      <c r="D960" s="13" t="b">
        <v>0</v>
      </c>
      <c r="E960" s="12">
        <v>6</v>
      </c>
      <c r="F960" s="12">
        <v>1</v>
      </c>
      <c r="G960" s="1">
        <v>0.3</v>
      </c>
      <c r="H960" s="25">
        <v>0.2727</v>
      </c>
      <c r="I960" s="1">
        <v>0.39</v>
      </c>
      <c r="J960" s="1">
        <v>0.41789999999999999</v>
      </c>
      <c r="K960" s="1">
        <v>32</v>
      </c>
      <c r="L960" s="1">
        <v>103</v>
      </c>
      <c r="M960" s="6">
        <v>135</v>
      </c>
      <c r="N960" s="6" t="str">
        <f>IF(OR(Table3[[#This Row],[weekday]]=0,Table3[[#This Row],[weekday]]=6),"Weekend","Weekday")</f>
        <v>Weekend</v>
      </c>
    </row>
    <row r="961" spans="1:14" ht="15" thickBot="1" x14ac:dyDescent="0.35">
      <c r="A961" s="10">
        <v>960</v>
      </c>
      <c r="B961" s="11">
        <v>40586</v>
      </c>
      <c r="C961" s="12">
        <v>14</v>
      </c>
      <c r="D961" s="13" t="b">
        <v>0</v>
      </c>
      <c r="E961" s="12">
        <v>6</v>
      </c>
      <c r="F961" s="12">
        <v>1</v>
      </c>
      <c r="G961" s="1">
        <v>0.34</v>
      </c>
      <c r="H961" s="25">
        <v>0.31819999999999998</v>
      </c>
      <c r="I961" s="1">
        <v>0.31</v>
      </c>
      <c r="J961" s="1">
        <v>0.28360000000000002</v>
      </c>
      <c r="K961" s="1">
        <v>30</v>
      </c>
      <c r="L961" s="1">
        <v>90</v>
      </c>
      <c r="M961" s="6">
        <v>120</v>
      </c>
      <c r="N961" s="6" t="str">
        <f>IF(OR(Table3[[#This Row],[weekday]]=0,Table3[[#This Row],[weekday]]=6),"Weekend","Weekday")</f>
        <v>Weekend</v>
      </c>
    </row>
    <row r="962" spans="1:14" ht="15" thickBot="1" x14ac:dyDescent="0.35">
      <c r="A962" s="10">
        <v>961</v>
      </c>
      <c r="B962" s="11">
        <v>40586</v>
      </c>
      <c r="C962" s="12">
        <v>15</v>
      </c>
      <c r="D962" s="13" t="b">
        <v>0</v>
      </c>
      <c r="E962" s="12">
        <v>6</v>
      </c>
      <c r="F962" s="12">
        <v>1</v>
      </c>
      <c r="G962" s="1">
        <v>0.34</v>
      </c>
      <c r="H962" s="25">
        <v>0.30299999999999999</v>
      </c>
      <c r="I962" s="1">
        <v>0.28999999999999998</v>
      </c>
      <c r="J962" s="1">
        <v>0.41789999999999999</v>
      </c>
      <c r="K962" s="1">
        <v>47</v>
      </c>
      <c r="L962" s="1">
        <v>127</v>
      </c>
      <c r="M962" s="6">
        <v>174</v>
      </c>
      <c r="N962" s="6" t="str">
        <f>IF(OR(Table3[[#This Row],[weekday]]=0,Table3[[#This Row],[weekday]]=6),"Weekend","Weekday")</f>
        <v>Weekend</v>
      </c>
    </row>
    <row r="963" spans="1:14" ht="15" thickBot="1" x14ac:dyDescent="0.35">
      <c r="A963" s="10">
        <v>962</v>
      </c>
      <c r="B963" s="11">
        <v>40586</v>
      </c>
      <c r="C963" s="12">
        <v>16</v>
      </c>
      <c r="D963" s="13" t="b">
        <v>0</v>
      </c>
      <c r="E963" s="12">
        <v>6</v>
      </c>
      <c r="F963" s="12">
        <v>1</v>
      </c>
      <c r="G963" s="1">
        <v>0.34</v>
      </c>
      <c r="H963" s="25">
        <v>0.30299999999999999</v>
      </c>
      <c r="I963" s="1">
        <v>0.28999999999999998</v>
      </c>
      <c r="J963" s="1">
        <v>0.41789999999999999</v>
      </c>
      <c r="K963" s="1">
        <v>42</v>
      </c>
      <c r="L963" s="1">
        <v>103</v>
      </c>
      <c r="M963" s="6">
        <v>145</v>
      </c>
      <c r="N963" s="6" t="str">
        <f>IF(OR(Table3[[#This Row],[weekday]]=0,Table3[[#This Row],[weekday]]=6),"Weekend","Weekday")</f>
        <v>Weekend</v>
      </c>
    </row>
    <row r="964" spans="1:14" ht="15" thickBot="1" x14ac:dyDescent="0.35">
      <c r="A964" s="10">
        <v>963</v>
      </c>
      <c r="B964" s="11">
        <v>40586</v>
      </c>
      <c r="C964" s="12">
        <v>17</v>
      </c>
      <c r="D964" s="13" t="b">
        <v>0</v>
      </c>
      <c r="E964" s="12">
        <v>6</v>
      </c>
      <c r="F964" s="12">
        <v>1</v>
      </c>
      <c r="G964" s="1">
        <v>0.32</v>
      </c>
      <c r="H964" s="25">
        <v>0.28789999999999999</v>
      </c>
      <c r="I964" s="1">
        <v>0.31</v>
      </c>
      <c r="J964" s="1">
        <v>0.52239999999999998</v>
      </c>
      <c r="K964" s="1">
        <v>24</v>
      </c>
      <c r="L964" s="1">
        <v>113</v>
      </c>
      <c r="M964" s="6">
        <v>137</v>
      </c>
      <c r="N964" s="6" t="str">
        <f>IF(OR(Table3[[#This Row],[weekday]]=0,Table3[[#This Row],[weekday]]=6),"Weekend","Weekday")</f>
        <v>Weekend</v>
      </c>
    </row>
    <row r="965" spans="1:14" ht="15" thickBot="1" x14ac:dyDescent="0.35">
      <c r="A965" s="10">
        <v>964</v>
      </c>
      <c r="B965" s="11">
        <v>40586</v>
      </c>
      <c r="C965" s="12">
        <v>18</v>
      </c>
      <c r="D965" s="13" t="b">
        <v>0</v>
      </c>
      <c r="E965" s="12">
        <v>6</v>
      </c>
      <c r="F965" s="12">
        <v>1</v>
      </c>
      <c r="G965" s="1">
        <v>0.28000000000000003</v>
      </c>
      <c r="H965" s="25">
        <v>0.2576</v>
      </c>
      <c r="I965" s="1">
        <v>0.38</v>
      </c>
      <c r="J965" s="1">
        <v>0.32840000000000003</v>
      </c>
      <c r="K965" s="1">
        <v>4</v>
      </c>
      <c r="L965" s="1">
        <v>60</v>
      </c>
      <c r="M965" s="6">
        <v>64</v>
      </c>
      <c r="N965" s="6" t="str">
        <f>IF(OR(Table3[[#This Row],[weekday]]=0,Table3[[#This Row],[weekday]]=6),"Weekend","Weekday")</f>
        <v>Weekend</v>
      </c>
    </row>
    <row r="966" spans="1:14" ht="15" thickBot="1" x14ac:dyDescent="0.35">
      <c r="A966" s="10">
        <v>965</v>
      </c>
      <c r="B966" s="11">
        <v>40586</v>
      </c>
      <c r="C966" s="12">
        <v>19</v>
      </c>
      <c r="D966" s="13" t="b">
        <v>0</v>
      </c>
      <c r="E966" s="12">
        <v>6</v>
      </c>
      <c r="F966" s="12">
        <v>1</v>
      </c>
      <c r="G966" s="1">
        <v>0.28000000000000003</v>
      </c>
      <c r="H966" s="25">
        <v>0.2727</v>
      </c>
      <c r="I966" s="1">
        <v>0.38</v>
      </c>
      <c r="J966" s="1">
        <v>0.16420000000000001</v>
      </c>
      <c r="K966" s="1">
        <v>2</v>
      </c>
      <c r="L966" s="1">
        <v>39</v>
      </c>
      <c r="M966" s="6">
        <v>41</v>
      </c>
      <c r="N966" s="6" t="str">
        <f>IF(OR(Table3[[#This Row],[weekday]]=0,Table3[[#This Row],[weekday]]=6),"Weekend","Weekday")</f>
        <v>Weekend</v>
      </c>
    </row>
    <row r="967" spans="1:14" ht="15" thickBot="1" x14ac:dyDescent="0.35">
      <c r="A967" s="10">
        <v>966</v>
      </c>
      <c r="B967" s="11">
        <v>40586</v>
      </c>
      <c r="C967" s="12">
        <v>20</v>
      </c>
      <c r="D967" s="13" t="b">
        <v>0</v>
      </c>
      <c r="E967" s="12">
        <v>6</v>
      </c>
      <c r="F967" s="12">
        <v>1</v>
      </c>
      <c r="G967" s="1">
        <v>0.26</v>
      </c>
      <c r="H967" s="25">
        <v>0.2576</v>
      </c>
      <c r="I967" s="1">
        <v>0.41</v>
      </c>
      <c r="J967" s="1">
        <v>0.22389999999999999</v>
      </c>
      <c r="K967" s="1">
        <v>1</v>
      </c>
      <c r="L967" s="1">
        <v>39</v>
      </c>
      <c r="M967" s="6">
        <v>40</v>
      </c>
      <c r="N967" s="6" t="str">
        <f>IF(OR(Table3[[#This Row],[weekday]]=0,Table3[[#This Row],[weekday]]=6),"Weekend","Weekday")</f>
        <v>Weekend</v>
      </c>
    </row>
    <row r="968" spans="1:14" ht="15" thickBot="1" x14ac:dyDescent="0.35">
      <c r="A968" s="10">
        <v>967</v>
      </c>
      <c r="B968" s="11">
        <v>40586</v>
      </c>
      <c r="C968" s="12">
        <v>21</v>
      </c>
      <c r="D968" s="13" t="b">
        <v>0</v>
      </c>
      <c r="E968" s="12">
        <v>6</v>
      </c>
      <c r="F968" s="12">
        <v>1</v>
      </c>
      <c r="G968" s="1">
        <v>0.26</v>
      </c>
      <c r="H968" s="25">
        <v>0.30299999999999999</v>
      </c>
      <c r="I968" s="1">
        <v>0.41</v>
      </c>
      <c r="J968" s="1">
        <v>0</v>
      </c>
      <c r="K968" s="1">
        <v>9</v>
      </c>
      <c r="L968" s="1">
        <v>42</v>
      </c>
      <c r="M968" s="6">
        <v>51</v>
      </c>
      <c r="N968" s="6" t="str">
        <f>IF(OR(Table3[[#This Row],[weekday]]=0,Table3[[#This Row],[weekday]]=6),"Weekend","Weekday")</f>
        <v>Weekend</v>
      </c>
    </row>
    <row r="969" spans="1:14" ht="15" thickBot="1" x14ac:dyDescent="0.35">
      <c r="A969" s="10">
        <v>968</v>
      </c>
      <c r="B969" s="11">
        <v>40586</v>
      </c>
      <c r="C969" s="12">
        <v>22</v>
      </c>
      <c r="D969" s="13" t="b">
        <v>0</v>
      </c>
      <c r="E969" s="12">
        <v>6</v>
      </c>
      <c r="F969" s="12">
        <v>1</v>
      </c>
      <c r="G969" s="1">
        <v>0.24</v>
      </c>
      <c r="H969" s="25">
        <v>0.2576</v>
      </c>
      <c r="I969" s="1">
        <v>0.44</v>
      </c>
      <c r="J969" s="1">
        <v>8.9599999999999999E-2</v>
      </c>
      <c r="K969" s="1">
        <v>6</v>
      </c>
      <c r="L969" s="1">
        <v>39</v>
      </c>
      <c r="M969" s="6">
        <v>45</v>
      </c>
      <c r="N969" s="6" t="str">
        <f>IF(OR(Table3[[#This Row],[weekday]]=0,Table3[[#This Row],[weekday]]=6),"Weekend","Weekday")</f>
        <v>Weekend</v>
      </c>
    </row>
    <row r="970" spans="1:14" ht="15" thickBot="1" x14ac:dyDescent="0.35">
      <c r="A970" s="10">
        <v>969</v>
      </c>
      <c r="B970" s="11">
        <v>40586</v>
      </c>
      <c r="C970" s="12">
        <v>23</v>
      </c>
      <c r="D970" s="13" t="b">
        <v>0</v>
      </c>
      <c r="E970" s="12">
        <v>6</v>
      </c>
      <c r="F970" s="12">
        <v>1</v>
      </c>
      <c r="G970" s="1">
        <v>0.22</v>
      </c>
      <c r="H970" s="25">
        <v>0.2273</v>
      </c>
      <c r="I970" s="1">
        <v>0.51</v>
      </c>
      <c r="J970" s="1">
        <v>0.1343</v>
      </c>
      <c r="K970" s="1">
        <v>1</v>
      </c>
      <c r="L970" s="1">
        <v>31</v>
      </c>
      <c r="M970" s="6">
        <v>32</v>
      </c>
      <c r="N970" s="6" t="str">
        <f>IF(OR(Table3[[#This Row],[weekday]]=0,Table3[[#This Row],[weekday]]=6),"Weekend","Weekday")</f>
        <v>Weekend</v>
      </c>
    </row>
    <row r="971" spans="1:14" ht="15" thickBot="1" x14ac:dyDescent="0.35">
      <c r="A971" s="10">
        <v>970</v>
      </c>
      <c r="B971" s="11">
        <v>40587</v>
      </c>
      <c r="C971" s="12">
        <v>0</v>
      </c>
      <c r="D971" s="13" t="b">
        <v>0</v>
      </c>
      <c r="E971" s="12">
        <v>0</v>
      </c>
      <c r="F971" s="12">
        <v>1</v>
      </c>
      <c r="G971" s="1">
        <v>0.2</v>
      </c>
      <c r="H971" s="25">
        <v>0.2273</v>
      </c>
      <c r="I971" s="1">
        <v>0.64</v>
      </c>
      <c r="J971" s="1">
        <v>0.1045</v>
      </c>
      <c r="K971" s="1">
        <v>5</v>
      </c>
      <c r="L971" s="1">
        <v>34</v>
      </c>
      <c r="M971" s="6">
        <v>39</v>
      </c>
      <c r="N971" s="6" t="str">
        <f>IF(OR(Table3[[#This Row],[weekday]]=0,Table3[[#This Row],[weekday]]=6),"Weekend","Weekday")</f>
        <v>Weekend</v>
      </c>
    </row>
    <row r="972" spans="1:14" ht="15" thickBot="1" x14ac:dyDescent="0.35">
      <c r="A972" s="10">
        <v>971</v>
      </c>
      <c r="B972" s="11">
        <v>40587</v>
      </c>
      <c r="C972" s="12">
        <v>1</v>
      </c>
      <c r="D972" s="13" t="b">
        <v>0</v>
      </c>
      <c r="E972" s="12">
        <v>0</v>
      </c>
      <c r="F972" s="12">
        <v>1</v>
      </c>
      <c r="G972" s="1">
        <v>0.2</v>
      </c>
      <c r="H972" s="25">
        <v>0.2273</v>
      </c>
      <c r="I972" s="1">
        <v>0.59</v>
      </c>
      <c r="J972" s="1">
        <v>8.9599999999999999E-2</v>
      </c>
      <c r="K972" s="1">
        <v>1</v>
      </c>
      <c r="L972" s="1">
        <v>23</v>
      </c>
      <c r="M972" s="6">
        <v>24</v>
      </c>
      <c r="N972" s="6" t="str">
        <f>IF(OR(Table3[[#This Row],[weekday]]=0,Table3[[#This Row],[weekday]]=6),"Weekend","Weekday")</f>
        <v>Weekend</v>
      </c>
    </row>
    <row r="973" spans="1:14" ht="15" thickBot="1" x14ac:dyDescent="0.35">
      <c r="A973" s="10">
        <v>972</v>
      </c>
      <c r="B973" s="11">
        <v>40587</v>
      </c>
      <c r="C973" s="12">
        <v>2</v>
      </c>
      <c r="D973" s="13" t="b">
        <v>0</v>
      </c>
      <c r="E973" s="12">
        <v>0</v>
      </c>
      <c r="F973" s="12">
        <v>2</v>
      </c>
      <c r="G973" s="1">
        <v>0.2</v>
      </c>
      <c r="H973" s="25">
        <v>0.2273</v>
      </c>
      <c r="I973" s="1">
        <v>0.75</v>
      </c>
      <c r="J973" s="1">
        <v>8.9599999999999999E-2</v>
      </c>
      <c r="K973" s="1">
        <v>1</v>
      </c>
      <c r="L973" s="1">
        <v>19</v>
      </c>
      <c r="M973" s="6">
        <v>20</v>
      </c>
      <c r="N973" s="6" t="str">
        <f>IF(OR(Table3[[#This Row],[weekday]]=0,Table3[[#This Row],[weekday]]=6),"Weekend","Weekday")</f>
        <v>Weekend</v>
      </c>
    </row>
    <row r="974" spans="1:14" ht="15" thickBot="1" x14ac:dyDescent="0.35">
      <c r="A974" s="10">
        <v>973</v>
      </c>
      <c r="B974" s="11">
        <v>40587</v>
      </c>
      <c r="C974" s="12">
        <v>3</v>
      </c>
      <c r="D974" s="13" t="b">
        <v>0</v>
      </c>
      <c r="E974" s="12">
        <v>0</v>
      </c>
      <c r="F974" s="12">
        <v>2</v>
      </c>
      <c r="G974" s="1">
        <v>0.2</v>
      </c>
      <c r="H974" s="25">
        <v>0.2273</v>
      </c>
      <c r="I974" s="1">
        <v>0.69</v>
      </c>
      <c r="J974" s="1">
        <v>0.1045</v>
      </c>
      <c r="K974" s="1">
        <v>4</v>
      </c>
      <c r="L974" s="1">
        <v>8</v>
      </c>
      <c r="M974" s="6">
        <v>12</v>
      </c>
      <c r="N974" s="6" t="str">
        <f>IF(OR(Table3[[#This Row],[weekday]]=0,Table3[[#This Row],[weekday]]=6),"Weekend","Weekday")</f>
        <v>Weekend</v>
      </c>
    </row>
    <row r="975" spans="1:14" ht="15" thickBot="1" x14ac:dyDescent="0.35">
      <c r="A975" s="10">
        <v>974</v>
      </c>
      <c r="B975" s="11">
        <v>40587</v>
      </c>
      <c r="C975" s="12">
        <v>4</v>
      </c>
      <c r="D975" s="13" t="b">
        <v>0</v>
      </c>
      <c r="E975" s="12">
        <v>0</v>
      </c>
      <c r="F975" s="12">
        <v>2</v>
      </c>
      <c r="G975" s="1">
        <v>0.2</v>
      </c>
      <c r="H975" s="25">
        <v>0.21210000000000001</v>
      </c>
      <c r="I975" s="1">
        <v>0.69</v>
      </c>
      <c r="J975" s="1">
        <v>0.16420000000000001</v>
      </c>
      <c r="K975" s="1">
        <v>0</v>
      </c>
      <c r="L975" s="1">
        <v>2</v>
      </c>
      <c r="M975" s="6">
        <v>2</v>
      </c>
      <c r="N975" s="6" t="str">
        <f>IF(OR(Table3[[#This Row],[weekday]]=0,Table3[[#This Row],[weekday]]=6),"Weekend","Weekday")</f>
        <v>Weekend</v>
      </c>
    </row>
    <row r="976" spans="1:14" ht="15" thickBot="1" x14ac:dyDescent="0.35">
      <c r="A976" s="10">
        <v>975</v>
      </c>
      <c r="B976" s="11">
        <v>40587</v>
      </c>
      <c r="C976" s="12">
        <v>6</v>
      </c>
      <c r="D976" s="13" t="b">
        <v>0</v>
      </c>
      <c r="E976" s="12">
        <v>0</v>
      </c>
      <c r="F976" s="12">
        <v>2</v>
      </c>
      <c r="G976" s="1">
        <v>0.2</v>
      </c>
      <c r="H976" s="25">
        <v>0.21210000000000001</v>
      </c>
      <c r="I976" s="1">
        <v>0.69</v>
      </c>
      <c r="J976" s="1">
        <v>0.1343</v>
      </c>
      <c r="K976" s="1">
        <v>2</v>
      </c>
      <c r="L976" s="1">
        <v>3</v>
      </c>
      <c r="M976" s="6">
        <v>5</v>
      </c>
      <c r="N976" s="6" t="str">
        <f>IF(OR(Table3[[#This Row],[weekday]]=0,Table3[[#This Row],[weekday]]=6),"Weekend","Weekday")</f>
        <v>Weekend</v>
      </c>
    </row>
    <row r="977" spans="1:14" ht="15" thickBot="1" x14ac:dyDescent="0.35">
      <c r="A977" s="10">
        <v>976</v>
      </c>
      <c r="B977" s="11">
        <v>40587</v>
      </c>
      <c r="C977" s="12">
        <v>7</v>
      </c>
      <c r="D977" s="13" t="b">
        <v>0</v>
      </c>
      <c r="E977" s="12">
        <v>0</v>
      </c>
      <c r="F977" s="12">
        <v>2</v>
      </c>
      <c r="G977" s="1">
        <v>0.22</v>
      </c>
      <c r="H977" s="25">
        <v>0.2727</v>
      </c>
      <c r="I977" s="1">
        <v>0.55000000000000004</v>
      </c>
      <c r="J977" s="1">
        <v>0</v>
      </c>
      <c r="K977" s="1">
        <v>0</v>
      </c>
      <c r="L977" s="1">
        <v>3</v>
      </c>
      <c r="M977" s="6">
        <v>3</v>
      </c>
      <c r="N977" s="6" t="str">
        <f>IF(OR(Table3[[#This Row],[weekday]]=0,Table3[[#This Row],[weekday]]=6),"Weekend","Weekday")</f>
        <v>Weekend</v>
      </c>
    </row>
    <row r="978" spans="1:14" ht="15" thickBot="1" x14ac:dyDescent="0.35">
      <c r="A978" s="10">
        <v>977</v>
      </c>
      <c r="B978" s="11">
        <v>40587</v>
      </c>
      <c r="C978" s="12">
        <v>8</v>
      </c>
      <c r="D978" s="13" t="b">
        <v>0</v>
      </c>
      <c r="E978" s="12">
        <v>0</v>
      </c>
      <c r="F978" s="12">
        <v>2</v>
      </c>
      <c r="G978" s="1">
        <v>0.22</v>
      </c>
      <c r="H978" s="25">
        <v>0.2273</v>
      </c>
      <c r="I978" s="1">
        <v>0.64</v>
      </c>
      <c r="J978" s="1">
        <v>0.19400000000000001</v>
      </c>
      <c r="K978" s="1">
        <v>1</v>
      </c>
      <c r="L978" s="1">
        <v>11</v>
      </c>
      <c r="M978" s="6">
        <v>12</v>
      </c>
      <c r="N978" s="6" t="str">
        <f>IF(OR(Table3[[#This Row],[weekday]]=0,Table3[[#This Row],[weekday]]=6),"Weekend","Weekday")</f>
        <v>Weekend</v>
      </c>
    </row>
    <row r="979" spans="1:14" ht="15" thickBot="1" x14ac:dyDescent="0.35">
      <c r="A979" s="10">
        <v>978</v>
      </c>
      <c r="B979" s="11">
        <v>40587</v>
      </c>
      <c r="C979" s="12">
        <v>9</v>
      </c>
      <c r="D979" s="13" t="b">
        <v>0</v>
      </c>
      <c r="E979" s="12">
        <v>0</v>
      </c>
      <c r="F979" s="12">
        <v>2</v>
      </c>
      <c r="G979" s="1">
        <v>0.24</v>
      </c>
      <c r="H979" s="25">
        <v>0.2273</v>
      </c>
      <c r="I979" s="1">
        <v>0.6</v>
      </c>
      <c r="J979" s="1">
        <v>0.22389999999999999</v>
      </c>
      <c r="K979" s="1">
        <v>12</v>
      </c>
      <c r="L979" s="1">
        <v>35</v>
      </c>
      <c r="M979" s="6">
        <v>47</v>
      </c>
      <c r="N979" s="6" t="str">
        <f>IF(OR(Table3[[#This Row],[weekday]]=0,Table3[[#This Row],[weekday]]=6),"Weekend","Weekday")</f>
        <v>Weekend</v>
      </c>
    </row>
    <row r="980" spans="1:14" ht="15" thickBot="1" x14ac:dyDescent="0.35">
      <c r="A980" s="10">
        <v>979</v>
      </c>
      <c r="B980" s="11">
        <v>40587</v>
      </c>
      <c r="C980" s="12">
        <v>10</v>
      </c>
      <c r="D980" s="13" t="b">
        <v>0</v>
      </c>
      <c r="E980" s="12">
        <v>0</v>
      </c>
      <c r="F980" s="12">
        <v>1</v>
      </c>
      <c r="G980" s="1">
        <v>0.3</v>
      </c>
      <c r="H980" s="25">
        <v>0.2727</v>
      </c>
      <c r="I980" s="1">
        <v>0.45</v>
      </c>
      <c r="J980" s="1">
        <v>0.32840000000000003</v>
      </c>
      <c r="K980" s="1">
        <v>19</v>
      </c>
      <c r="L980" s="1">
        <v>86</v>
      </c>
      <c r="M980" s="6">
        <v>105</v>
      </c>
      <c r="N980" s="6" t="str">
        <f>IF(OR(Table3[[#This Row],[weekday]]=0,Table3[[#This Row],[weekday]]=6),"Weekend","Weekday")</f>
        <v>Weekend</v>
      </c>
    </row>
    <row r="981" spans="1:14" ht="15" thickBot="1" x14ac:dyDescent="0.35">
      <c r="A981" s="10">
        <v>980</v>
      </c>
      <c r="B981" s="11">
        <v>40587</v>
      </c>
      <c r="C981" s="12">
        <v>11</v>
      </c>
      <c r="D981" s="13" t="b">
        <v>0</v>
      </c>
      <c r="E981" s="12">
        <v>0</v>
      </c>
      <c r="F981" s="12">
        <v>1</v>
      </c>
      <c r="G981" s="1">
        <v>0.32</v>
      </c>
      <c r="H981" s="25">
        <v>0.28789999999999999</v>
      </c>
      <c r="I981" s="1">
        <v>0.39</v>
      </c>
      <c r="J981" s="1">
        <v>0.44779999999999998</v>
      </c>
      <c r="K981" s="1">
        <v>26</v>
      </c>
      <c r="L981" s="1">
        <v>86</v>
      </c>
      <c r="M981" s="6">
        <v>112</v>
      </c>
      <c r="N981" s="6" t="str">
        <f>IF(OR(Table3[[#This Row],[weekday]]=0,Table3[[#This Row],[weekday]]=6),"Weekend","Weekday")</f>
        <v>Weekend</v>
      </c>
    </row>
    <row r="982" spans="1:14" ht="15" thickBot="1" x14ac:dyDescent="0.35">
      <c r="A982" s="10">
        <v>981</v>
      </c>
      <c r="B982" s="11">
        <v>40587</v>
      </c>
      <c r="C982" s="12">
        <v>12</v>
      </c>
      <c r="D982" s="13" t="b">
        <v>0</v>
      </c>
      <c r="E982" s="12">
        <v>0</v>
      </c>
      <c r="F982" s="12">
        <v>1</v>
      </c>
      <c r="G982" s="1">
        <v>0.36</v>
      </c>
      <c r="H982" s="25">
        <v>0.31819999999999998</v>
      </c>
      <c r="I982" s="1">
        <v>0.32</v>
      </c>
      <c r="J982" s="1">
        <v>0.4627</v>
      </c>
      <c r="K982" s="1">
        <v>58</v>
      </c>
      <c r="L982" s="1">
        <v>94</v>
      </c>
      <c r="M982" s="6">
        <v>152</v>
      </c>
      <c r="N982" s="6" t="str">
        <f>IF(OR(Table3[[#This Row],[weekday]]=0,Table3[[#This Row],[weekday]]=6),"Weekend","Weekday")</f>
        <v>Weekend</v>
      </c>
    </row>
    <row r="983" spans="1:14" ht="15" thickBot="1" x14ac:dyDescent="0.35">
      <c r="A983" s="10">
        <v>982</v>
      </c>
      <c r="B983" s="11">
        <v>40587</v>
      </c>
      <c r="C983" s="12">
        <v>13</v>
      </c>
      <c r="D983" s="13" t="b">
        <v>0</v>
      </c>
      <c r="E983" s="12">
        <v>0</v>
      </c>
      <c r="F983" s="12">
        <v>1</v>
      </c>
      <c r="G983" s="1">
        <v>0.38</v>
      </c>
      <c r="H983" s="25">
        <v>0.39389999999999997</v>
      </c>
      <c r="I983" s="1">
        <v>0.28999999999999998</v>
      </c>
      <c r="J983" s="1">
        <v>0.35820000000000002</v>
      </c>
      <c r="K983" s="1">
        <v>62</v>
      </c>
      <c r="L983" s="1">
        <v>92</v>
      </c>
      <c r="M983" s="6">
        <v>154</v>
      </c>
      <c r="N983" s="6" t="str">
        <f>IF(OR(Table3[[#This Row],[weekday]]=0,Table3[[#This Row],[weekday]]=6),"Weekend","Weekday")</f>
        <v>Weekend</v>
      </c>
    </row>
    <row r="984" spans="1:14" ht="15" thickBot="1" x14ac:dyDescent="0.35">
      <c r="A984" s="10">
        <v>983</v>
      </c>
      <c r="B984" s="11">
        <v>40587</v>
      </c>
      <c r="C984" s="12">
        <v>14</v>
      </c>
      <c r="D984" s="13" t="b">
        <v>0</v>
      </c>
      <c r="E984" s="12">
        <v>0</v>
      </c>
      <c r="F984" s="12">
        <v>2</v>
      </c>
      <c r="G984" s="1">
        <v>0.4</v>
      </c>
      <c r="H984" s="25">
        <v>0.40910000000000002</v>
      </c>
      <c r="I984" s="1">
        <v>0.3</v>
      </c>
      <c r="J984" s="1">
        <v>0.41789999999999999</v>
      </c>
      <c r="K984" s="1">
        <v>51</v>
      </c>
      <c r="L984" s="1">
        <v>110</v>
      </c>
      <c r="M984" s="6">
        <v>161</v>
      </c>
      <c r="N984" s="6" t="str">
        <f>IF(OR(Table3[[#This Row],[weekday]]=0,Table3[[#This Row],[weekday]]=6),"Weekend","Weekday")</f>
        <v>Weekend</v>
      </c>
    </row>
    <row r="985" spans="1:14" ht="15" thickBot="1" x14ac:dyDescent="0.35">
      <c r="A985" s="10">
        <v>984</v>
      </c>
      <c r="B985" s="11">
        <v>40587</v>
      </c>
      <c r="C985" s="12">
        <v>15</v>
      </c>
      <c r="D985" s="13" t="b">
        <v>0</v>
      </c>
      <c r="E985" s="12">
        <v>0</v>
      </c>
      <c r="F985" s="12">
        <v>2</v>
      </c>
      <c r="G985" s="1">
        <v>0.4</v>
      </c>
      <c r="H985" s="25">
        <v>0.40910000000000002</v>
      </c>
      <c r="I985" s="1">
        <v>0.3</v>
      </c>
      <c r="J985" s="1">
        <v>0.29849999999999999</v>
      </c>
      <c r="K985" s="1">
        <v>40</v>
      </c>
      <c r="L985" s="1">
        <v>122</v>
      </c>
      <c r="M985" s="6">
        <v>162</v>
      </c>
      <c r="N985" s="6" t="str">
        <f>IF(OR(Table3[[#This Row],[weekday]]=0,Table3[[#This Row],[weekday]]=6),"Weekend","Weekday")</f>
        <v>Weekend</v>
      </c>
    </row>
    <row r="986" spans="1:14" ht="15" thickBot="1" x14ac:dyDescent="0.35">
      <c r="A986" s="10">
        <v>985</v>
      </c>
      <c r="B986" s="11">
        <v>40587</v>
      </c>
      <c r="C986" s="12">
        <v>16</v>
      </c>
      <c r="D986" s="13" t="b">
        <v>0</v>
      </c>
      <c r="E986" s="12">
        <v>0</v>
      </c>
      <c r="F986" s="12">
        <v>2</v>
      </c>
      <c r="G986" s="1">
        <v>0.42</v>
      </c>
      <c r="H986" s="25">
        <v>0.42420000000000002</v>
      </c>
      <c r="I986" s="1">
        <v>0.28000000000000003</v>
      </c>
      <c r="J986" s="1">
        <v>0.32840000000000003</v>
      </c>
      <c r="K986" s="1">
        <v>28</v>
      </c>
      <c r="L986" s="1">
        <v>106</v>
      </c>
      <c r="M986" s="6">
        <v>134</v>
      </c>
      <c r="N986" s="6" t="str">
        <f>IF(OR(Table3[[#This Row],[weekday]]=0,Table3[[#This Row],[weekday]]=6),"Weekend","Weekday")</f>
        <v>Weekend</v>
      </c>
    </row>
    <row r="987" spans="1:14" ht="15" thickBot="1" x14ac:dyDescent="0.35">
      <c r="A987" s="10">
        <v>986</v>
      </c>
      <c r="B987" s="11">
        <v>40587</v>
      </c>
      <c r="C987" s="12">
        <v>17</v>
      </c>
      <c r="D987" s="13" t="b">
        <v>0</v>
      </c>
      <c r="E987" s="12">
        <v>0</v>
      </c>
      <c r="F987" s="12">
        <v>1</v>
      </c>
      <c r="G987" s="1">
        <v>0.42</v>
      </c>
      <c r="H987" s="25">
        <v>0.42420000000000002</v>
      </c>
      <c r="I987" s="1">
        <v>0.28000000000000003</v>
      </c>
      <c r="J987" s="1">
        <v>0.32840000000000003</v>
      </c>
      <c r="K987" s="1">
        <v>30</v>
      </c>
      <c r="L987" s="1">
        <v>95</v>
      </c>
      <c r="M987" s="6">
        <v>125</v>
      </c>
      <c r="N987" s="6" t="str">
        <f>IF(OR(Table3[[#This Row],[weekday]]=0,Table3[[#This Row],[weekday]]=6),"Weekend","Weekday")</f>
        <v>Weekend</v>
      </c>
    </row>
    <row r="988" spans="1:14" ht="15" thickBot="1" x14ac:dyDescent="0.35">
      <c r="A988" s="10">
        <v>987</v>
      </c>
      <c r="B988" s="11">
        <v>40587</v>
      </c>
      <c r="C988" s="12">
        <v>18</v>
      </c>
      <c r="D988" s="13" t="b">
        <v>0</v>
      </c>
      <c r="E988" s="12">
        <v>0</v>
      </c>
      <c r="F988" s="12">
        <v>1</v>
      </c>
      <c r="G988" s="1">
        <v>0.4</v>
      </c>
      <c r="H988" s="25">
        <v>0.40910000000000002</v>
      </c>
      <c r="I988" s="1">
        <v>0.32</v>
      </c>
      <c r="J988" s="1">
        <v>0.29849999999999999</v>
      </c>
      <c r="K988" s="1">
        <v>17</v>
      </c>
      <c r="L988" s="1">
        <v>78</v>
      </c>
      <c r="M988" s="6">
        <v>95</v>
      </c>
      <c r="N988" s="6" t="str">
        <f>IF(OR(Table3[[#This Row],[weekday]]=0,Table3[[#This Row],[weekday]]=6),"Weekend","Weekday")</f>
        <v>Weekend</v>
      </c>
    </row>
    <row r="989" spans="1:14" ht="15" thickBot="1" x14ac:dyDescent="0.35">
      <c r="A989" s="10">
        <v>988</v>
      </c>
      <c r="B989" s="11">
        <v>40587</v>
      </c>
      <c r="C989" s="12">
        <v>19</v>
      </c>
      <c r="D989" s="13" t="b">
        <v>0</v>
      </c>
      <c r="E989" s="12">
        <v>0</v>
      </c>
      <c r="F989" s="12">
        <v>1</v>
      </c>
      <c r="G989" s="1">
        <v>0.4</v>
      </c>
      <c r="H989" s="25">
        <v>0.40910000000000002</v>
      </c>
      <c r="I989" s="1">
        <v>0.35</v>
      </c>
      <c r="J989" s="1">
        <v>0.28360000000000002</v>
      </c>
      <c r="K989" s="1">
        <v>11</v>
      </c>
      <c r="L989" s="1">
        <v>50</v>
      </c>
      <c r="M989" s="6">
        <v>61</v>
      </c>
      <c r="N989" s="6" t="str">
        <f>IF(OR(Table3[[#This Row],[weekday]]=0,Table3[[#This Row],[weekday]]=6),"Weekend","Weekday")</f>
        <v>Weekend</v>
      </c>
    </row>
    <row r="990" spans="1:14" ht="15" thickBot="1" x14ac:dyDescent="0.35">
      <c r="A990" s="10">
        <v>989</v>
      </c>
      <c r="B990" s="11">
        <v>40587</v>
      </c>
      <c r="C990" s="12">
        <v>20</v>
      </c>
      <c r="D990" s="13" t="b">
        <v>0</v>
      </c>
      <c r="E990" s="12">
        <v>0</v>
      </c>
      <c r="F990" s="12">
        <v>1</v>
      </c>
      <c r="G990" s="1">
        <v>0.4</v>
      </c>
      <c r="H990" s="25">
        <v>0.40910000000000002</v>
      </c>
      <c r="I990" s="1">
        <v>0.35</v>
      </c>
      <c r="J990" s="1">
        <v>0.32840000000000003</v>
      </c>
      <c r="K990" s="1">
        <v>15</v>
      </c>
      <c r="L990" s="1">
        <v>32</v>
      </c>
      <c r="M990" s="6">
        <v>47</v>
      </c>
      <c r="N990" s="6" t="str">
        <f>IF(OR(Table3[[#This Row],[weekday]]=0,Table3[[#This Row],[weekday]]=6),"Weekend","Weekday")</f>
        <v>Weekend</v>
      </c>
    </row>
    <row r="991" spans="1:14" ht="15" thickBot="1" x14ac:dyDescent="0.35">
      <c r="A991" s="10">
        <v>990</v>
      </c>
      <c r="B991" s="11">
        <v>40587</v>
      </c>
      <c r="C991" s="12">
        <v>21</v>
      </c>
      <c r="D991" s="13" t="b">
        <v>0</v>
      </c>
      <c r="E991" s="12">
        <v>0</v>
      </c>
      <c r="F991" s="12">
        <v>1</v>
      </c>
      <c r="G991" s="1">
        <v>0.4</v>
      </c>
      <c r="H991" s="25">
        <v>0.40910000000000002</v>
      </c>
      <c r="I991" s="1">
        <v>0.35</v>
      </c>
      <c r="J991" s="1">
        <v>0.35820000000000002</v>
      </c>
      <c r="K991" s="1">
        <v>6</v>
      </c>
      <c r="L991" s="1">
        <v>45</v>
      </c>
      <c r="M991" s="6">
        <v>51</v>
      </c>
      <c r="N991" s="6" t="str">
        <f>IF(OR(Table3[[#This Row],[weekday]]=0,Table3[[#This Row],[weekday]]=6),"Weekend","Weekday")</f>
        <v>Weekend</v>
      </c>
    </row>
    <row r="992" spans="1:14" ht="15" thickBot="1" x14ac:dyDescent="0.35">
      <c r="A992" s="10">
        <v>991</v>
      </c>
      <c r="B992" s="11">
        <v>40587</v>
      </c>
      <c r="C992" s="12">
        <v>22</v>
      </c>
      <c r="D992" s="13" t="b">
        <v>0</v>
      </c>
      <c r="E992" s="12">
        <v>0</v>
      </c>
      <c r="F992" s="12">
        <v>1</v>
      </c>
      <c r="G992" s="1">
        <v>0.4</v>
      </c>
      <c r="H992" s="25">
        <v>0.40910000000000002</v>
      </c>
      <c r="I992" s="1">
        <v>0.35</v>
      </c>
      <c r="J992" s="1">
        <v>0.29849999999999999</v>
      </c>
      <c r="K992" s="1">
        <v>5</v>
      </c>
      <c r="L992" s="1">
        <v>31</v>
      </c>
      <c r="M992" s="6">
        <v>36</v>
      </c>
      <c r="N992" s="6" t="str">
        <f>IF(OR(Table3[[#This Row],[weekday]]=0,Table3[[#This Row],[weekday]]=6),"Weekend","Weekday")</f>
        <v>Weekend</v>
      </c>
    </row>
    <row r="993" spans="1:14" ht="15" thickBot="1" x14ac:dyDescent="0.35">
      <c r="A993" s="10">
        <v>992</v>
      </c>
      <c r="B993" s="11">
        <v>40587</v>
      </c>
      <c r="C993" s="12">
        <v>23</v>
      </c>
      <c r="D993" s="13" t="b">
        <v>0</v>
      </c>
      <c r="E993" s="12">
        <v>0</v>
      </c>
      <c r="F993" s="12">
        <v>1</v>
      </c>
      <c r="G993" s="1">
        <v>0.4</v>
      </c>
      <c r="H993" s="25">
        <v>0.40910000000000002</v>
      </c>
      <c r="I993" s="1">
        <v>0.35</v>
      </c>
      <c r="J993" s="1">
        <v>0.35820000000000002</v>
      </c>
      <c r="K993" s="1">
        <v>3</v>
      </c>
      <c r="L993" s="1">
        <v>27</v>
      </c>
      <c r="M993" s="6">
        <v>30</v>
      </c>
      <c r="N993" s="6" t="str">
        <f>IF(OR(Table3[[#This Row],[weekday]]=0,Table3[[#This Row],[weekday]]=6),"Weekend","Weekday")</f>
        <v>Weekend</v>
      </c>
    </row>
    <row r="994" spans="1:14" ht="15" thickBot="1" x14ac:dyDescent="0.35">
      <c r="A994" s="10">
        <v>993</v>
      </c>
      <c r="B994" s="11">
        <v>40588</v>
      </c>
      <c r="C994" s="12">
        <v>0</v>
      </c>
      <c r="D994" s="13" t="b">
        <v>0</v>
      </c>
      <c r="E994" s="12">
        <v>1</v>
      </c>
      <c r="F994" s="12">
        <v>1</v>
      </c>
      <c r="G994" s="1">
        <v>0.38</v>
      </c>
      <c r="H994" s="25">
        <v>0.39389999999999997</v>
      </c>
      <c r="I994" s="1">
        <v>0.37</v>
      </c>
      <c r="J994" s="1">
        <v>0.35820000000000002</v>
      </c>
      <c r="K994" s="1">
        <v>3</v>
      </c>
      <c r="L994" s="1">
        <v>8</v>
      </c>
      <c r="M994" s="6">
        <v>11</v>
      </c>
      <c r="N994" s="6" t="str">
        <f>IF(OR(Table3[[#This Row],[weekday]]=0,Table3[[#This Row],[weekday]]=6),"Weekend","Weekday")</f>
        <v>Weekday</v>
      </c>
    </row>
    <row r="995" spans="1:14" ht="15" thickBot="1" x14ac:dyDescent="0.35">
      <c r="A995" s="10">
        <v>994</v>
      </c>
      <c r="B995" s="11">
        <v>40588</v>
      </c>
      <c r="C995" s="12">
        <v>1</v>
      </c>
      <c r="D995" s="13" t="b">
        <v>0</v>
      </c>
      <c r="E995" s="12">
        <v>1</v>
      </c>
      <c r="F995" s="12">
        <v>1</v>
      </c>
      <c r="G995" s="1">
        <v>0.38</v>
      </c>
      <c r="H995" s="25">
        <v>0.39389999999999997</v>
      </c>
      <c r="I995" s="1">
        <v>0.37</v>
      </c>
      <c r="J995" s="1">
        <v>0.35820000000000002</v>
      </c>
      <c r="K995" s="1">
        <v>1</v>
      </c>
      <c r="L995" s="1">
        <v>6</v>
      </c>
      <c r="M995" s="6">
        <v>7</v>
      </c>
      <c r="N995" s="6" t="str">
        <f>IF(OR(Table3[[#This Row],[weekday]]=0,Table3[[#This Row],[weekday]]=6),"Weekend","Weekday")</f>
        <v>Weekday</v>
      </c>
    </row>
    <row r="996" spans="1:14" ht="15" thickBot="1" x14ac:dyDescent="0.35">
      <c r="A996" s="10">
        <v>995</v>
      </c>
      <c r="B996" s="11">
        <v>40588</v>
      </c>
      <c r="C996" s="12">
        <v>2</v>
      </c>
      <c r="D996" s="13" t="b">
        <v>0</v>
      </c>
      <c r="E996" s="12">
        <v>1</v>
      </c>
      <c r="F996" s="12">
        <v>1</v>
      </c>
      <c r="G996" s="1">
        <v>0.36</v>
      </c>
      <c r="H996" s="25">
        <v>0.33329999999999999</v>
      </c>
      <c r="I996" s="1">
        <v>0.4</v>
      </c>
      <c r="J996" s="1">
        <v>0.29849999999999999</v>
      </c>
      <c r="K996" s="1">
        <v>0</v>
      </c>
      <c r="L996" s="1">
        <v>2</v>
      </c>
      <c r="M996" s="6">
        <v>2</v>
      </c>
      <c r="N996" s="6" t="str">
        <f>IF(OR(Table3[[#This Row],[weekday]]=0,Table3[[#This Row],[weekday]]=6),"Weekend","Weekday")</f>
        <v>Weekday</v>
      </c>
    </row>
    <row r="997" spans="1:14" ht="15" thickBot="1" x14ac:dyDescent="0.35">
      <c r="A997" s="10">
        <v>996</v>
      </c>
      <c r="B997" s="11">
        <v>40588</v>
      </c>
      <c r="C997" s="12">
        <v>3</v>
      </c>
      <c r="D997" s="13" t="b">
        <v>0</v>
      </c>
      <c r="E997" s="12">
        <v>1</v>
      </c>
      <c r="F997" s="12">
        <v>1</v>
      </c>
      <c r="G997" s="1">
        <v>0.34</v>
      </c>
      <c r="H997" s="25">
        <v>0.31819999999999998</v>
      </c>
      <c r="I997" s="1">
        <v>0.46</v>
      </c>
      <c r="J997" s="1">
        <v>0.22389999999999999</v>
      </c>
      <c r="K997" s="1">
        <v>1</v>
      </c>
      <c r="L997" s="1">
        <v>1</v>
      </c>
      <c r="M997" s="6">
        <v>2</v>
      </c>
      <c r="N997" s="6" t="str">
        <f>IF(OR(Table3[[#This Row],[weekday]]=0,Table3[[#This Row],[weekday]]=6),"Weekend","Weekday")</f>
        <v>Weekday</v>
      </c>
    </row>
    <row r="998" spans="1:14" ht="15" thickBot="1" x14ac:dyDescent="0.35">
      <c r="A998" s="10">
        <v>997</v>
      </c>
      <c r="B998" s="11">
        <v>40588</v>
      </c>
      <c r="C998" s="12">
        <v>4</v>
      </c>
      <c r="D998" s="13" t="b">
        <v>0</v>
      </c>
      <c r="E998" s="12">
        <v>1</v>
      </c>
      <c r="F998" s="12">
        <v>1</v>
      </c>
      <c r="G998" s="1">
        <v>0.32</v>
      </c>
      <c r="H998" s="25">
        <v>0.30299999999999999</v>
      </c>
      <c r="I998" s="1">
        <v>0.53</v>
      </c>
      <c r="J998" s="1">
        <v>0.28360000000000002</v>
      </c>
      <c r="K998" s="1">
        <v>0</v>
      </c>
      <c r="L998" s="1">
        <v>2</v>
      </c>
      <c r="M998" s="6">
        <v>2</v>
      </c>
      <c r="N998" s="6" t="str">
        <f>IF(OR(Table3[[#This Row],[weekday]]=0,Table3[[#This Row],[weekday]]=6),"Weekend","Weekday")</f>
        <v>Weekday</v>
      </c>
    </row>
    <row r="999" spans="1:14" ht="15" thickBot="1" x14ac:dyDescent="0.35">
      <c r="A999" s="10">
        <v>998</v>
      </c>
      <c r="B999" s="11">
        <v>40588</v>
      </c>
      <c r="C999" s="12">
        <v>5</v>
      </c>
      <c r="D999" s="13" t="b">
        <v>0</v>
      </c>
      <c r="E999" s="12">
        <v>1</v>
      </c>
      <c r="F999" s="12">
        <v>1</v>
      </c>
      <c r="G999" s="1">
        <v>0.32</v>
      </c>
      <c r="H999" s="25">
        <v>0.30299999999999999</v>
      </c>
      <c r="I999" s="1">
        <v>0.53</v>
      </c>
      <c r="J999" s="1">
        <v>0.28360000000000002</v>
      </c>
      <c r="K999" s="1">
        <v>0</v>
      </c>
      <c r="L999" s="1">
        <v>3</v>
      </c>
      <c r="M999" s="6">
        <v>3</v>
      </c>
      <c r="N999" s="6" t="str">
        <f>IF(OR(Table3[[#This Row],[weekday]]=0,Table3[[#This Row],[weekday]]=6),"Weekend","Weekday")</f>
        <v>Weekday</v>
      </c>
    </row>
    <row r="1000" spans="1:14" ht="15" thickBot="1" x14ac:dyDescent="0.35">
      <c r="A1000" s="10">
        <v>999</v>
      </c>
      <c r="B1000" s="11">
        <v>40588</v>
      </c>
      <c r="C1000" s="12">
        <v>6</v>
      </c>
      <c r="D1000" s="13" t="b">
        <v>0</v>
      </c>
      <c r="E1000" s="12">
        <v>1</v>
      </c>
      <c r="F1000" s="12">
        <v>1</v>
      </c>
      <c r="G1000" s="1">
        <v>0.34</v>
      </c>
      <c r="H1000" s="25">
        <v>0.30299999999999999</v>
      </c>
      <c r="I1000" s="1">
        <v>0.46</v>
      </c>
      <c r="J1000" s="1">
        <v>0.29849999999999999</v>
      </c>
      <c r="K1000" s="1">
        <v>1</v>
      </c>
      <c r="L1000" s="1">
        <v>25</v>
      </c>
      <c r="M1000" s="6">
        <v>26</v>
      </c>
      <c r="N1000" s="6" t="str">
        <f>IF(OR(Table3[[#This Row],[weekday]]=0,Table3[[#This Row],[weekday]]=6),"Weekend","Weekday")</f>
        <v>Weekday</v>
      </c>
    </row>
    <row r="1001" spans="1:14" ht="15" thickBot="1" x14ac:dyDescent="0.35">
      <c r="A1001" s="10">
        <v>1000</v>
      </c>
      <c r="B1001" s="11">
        <v>40588</v>
      </c>
      <c r="C1001" s="12">
        <v>7</v>
      </c>
      <c r="D1001" s="13" t="b">
        <v>0</v>
      </c>
      <c r="E1001" s="12">
        <v>1</v>
      </c>
      <c r="F1001" s="12">
        <v>1</v>
      </c>
      <c r="G1001" s="1">
        <v>0.34</v>
      </c>
      <c r="H1001" s="25">
        <v>0.30299999999999999</v>
      </c>
      <c r="I1001" s="1">
        <v>0.46</v>
      </c>
      <c r="J1001" s="1">
        <v>0.29849999999999999</v>
      </c>
      <c r="K1001" s="1">
        <v>2</v>
      </c>
      <c r="L1001" s="1">
        <v>96</v>
      </c>
      <c r="M1001" s="6">
        <v>98</v>
      </c>
      <c r="N1001" s="29" t="str">
        <f>IF(OR(Table3[[#This Row],[weekday]]=0,Table3[[#This Row],[weekday]]=6),"Weekend","Weekday")</f>
        <v>Weekday</v>
      </c>
    </row>
    <row r="1002" spans="1:14" x14ac:dyDescent="0.3">
      <c r="A1002" s="10"/>
      <c r="B1002" s="11"/>
      <c r="C1002" s="12"/>
      <c r="D1002" s="13"/>
      <c r="E1002" s="12"/>
      <c r="F1002" s="12"/>
      <c r="G1002" s="12"/>
      <c r="H1002" s="37"/>
      <c r="I1002" s="12"/>
      <c r="K1002" s="12"/>
      <c r="L1002" s="12"/>
      <c r="M1002" s="29"/>
      <c r="N1002" s="38"/>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0A75-5BEE-4068-AD79-1E7AD59A8AF4}">
  <sheetPr>
    <tabColor rgb="FFFFFF00"/>
  </sheetPr>
  <dimension ref="A1:P206"/>
  <sheetViews>
    <sheetView zoomScale="85" zoomScaleNormal="85" workbookViewId="0">
      <selection activeCell="C175" sqref="C175"/>
    </sheetView>
  </sheetViews>
  <sheetFormatPr defaultRowHeight="14.4" x14ac:dyDescent="0.3"/>
  <cols>
    <col min="1" max="1" width="13.44140625" bestFit="1" customWidth="1"/>
    <col min="2" max="2" width="10.5546875" style="14" bestFit="1" customWidth="1"/>
    <col min="3" max="3" width="16.88671875" bestFit="1" customWidth="1"/>
    <col min="4" max="8" width="12.44140625" bestFit="1" customWidth="1"/>
    <col min="9" max="9" width="11.44140625" bestFit="1" customWidth="1"/>
    <col min="10" max="10" width="10.5546875" bestFit="1" customWidth="1"/>
    <col min="11" max="26" width="12.44140625" bestFit="1" customWidth="1"/>
  </cols>
  <sheetData>
    <row r="1" spans="1:16" ht="21.6" thickBot="1" x14ac:dyDescent="0.45">
      <c r="A1" s="56" t="s">
        <v>37</v>
      </c>
      <c r="B1" s="57"/>
      <c r="C1" s="57"/>
      <c r="E1" s="8"/>
      <c r="F1" s="8"/>
      <c r="G1" s="8"/>
      <c r="H1" s="8"/>
      <c r="I1" s="36" t="s">
        <v>88</v>
      </c>
      <c r="J1" s="35"/>
      <c r="K1" s="8"/>
      <c r="L1" s="8"/>
      <c r="M1" s="8"/>
      <c r="N1" s="8"/>
      <c r="O1" s="8"/>
      <c r="P1" s="8"/>
    </row>
    <row r="2" spans="1:16" x14ac:dyDescent="0.3">
      <c r="A2" s="18" t="s">
        <v>13</v>
      </c>
      <c r="B2" t="s">
        <v>15</v>
      </c>
      <c r="J2" t="s">
        <v>15</v>
      </c>
    </row>
    <row r="3" spans="1:16" x14ac:dyDescent="0.3">
      <c r="A3" s="19">
        <v>1</v>
      </c>
      <c r="B3" s="20">
        <v>37373</v>
      </c>
      <c r="I3" s="19" t="s">
        <v>30</v>
      </c>
      <c r="J3" s="20">
        <v>38189</v>
      </c>
    </row>
    <row r="4" spans="1:16" x14ac:dyDescent="0.3">
      <c r="A4" s="19">
        <v>2</v>
      </c>
      <c r="B4" s="20">
        <v>18106</v>
      </c>
      <c r="I4" s="30" t="s">
        <v>43</v>
      </c>
      <c r="J4" s="20">
        <v>985</v>
      </c>
    </row>
    <row r="5" spans="1:16" x14ac:dyDescent="0.3">
      <c r="A5" s="19">
        <v>3</v>
      </c>
      <c r="B5" s="20">
        <v>2789</v>
      </c>
      <c r="I5" s="30" t="s">
        <v>44</v>
      </c>
      <c r="J5" s="20">
        <v>801</v>
      </c>
    </row>
    <row r="6" spans="1:16" x14ac:dyDescent="0.3">
      <c r="A6" s="19">
        <v>4</v>
      </c>
      <c r="B6" s="20">
        <v>36</v>
      </c>
      <c r="I6" s="30" t="s">
        <v>45</v>
      </c>
      <c r="J6" s="20">
        <v>1349</v>
      </c>
    </row>
    <row r="7" spans="1:16" x14ac:dyDescent="0.3">
      <c r="A7" s="19" t="s">
        <v>14</v>
      </c>
      <c r="B7" s="20">
        <v>58304</v>
      </c>
      <c r="I7" s="30" t="s">
        <v>46</v>
      </c>
      <c r="J7" s="20">
        <v>1562</v>
      </c>
    </row>
    <row r="8" spans="1:16" x14ac:dyDescent="0.3">
      <c r="B8"/>
      <c r="I8" s="30" t="s">
        <v>47</v>
      </c>
      <c r="J8" s="20">
        <v>1600</v>
      </c>
    </row>
    <row r="9" spans="1:16" x14ac:dyDescent="0.3">
      <c r="B9"/>
      <c r="I9" s="30" t="s">
        <v>48</v>
      </c>
      <c r="J9" s="20">
        <v>1606</v>
      </c>
    </row>
    <row r="10" spans="1:16" ht="21" x14ac:dyDescent="0.4">
      <c r="A10" s="33" t="s">
        <v>35</v>
      </c>
      <c r="B10" s="34"/>
      <c r="I10" s="30" t="s">
        <v>49</v>
      </c>
      <c r="J10" s="20">
        <v>1510</v>
      </c>
    </row>
    <row r="11" spans="1:16" x14ac:dyDescent="0.3">
      <c r="A11" t="s">
        <v>25</v>
      </c>
      <c r="B11" t="s">
        <v>26</v>
      </c>
      <c r="I11" s="30" t="s">
        <v>50</v>
      </c>
      <c r="J11" s="20">
        <v>959</v>
      </c>
    </row>
    <row r="12" spans="1:16" x14ac:dyDescent="0.3">
      <c r="A12" s="20">
        <v>4921</v>
      </c>
      <c r="B12" s="20">
        <v>53383</v>
      </c>
      <c r="I12" s="30" t="s">
        <v>51</v>
      </c>
      <c r="J12" s="20">
        <v>822</v>
      </c>
    </row>
    <row r="13" spans="1:16" x14ac:dyDescent="0.3">
      <c r="B13"/>
      <c r="I13" s="30" t="s">
        <v>52</v>
      </c>
      <c r="J13" s="20">
        <v>1321</v>
      </c>
    </row>
    <row r="14" spans="1:16" x14ac:dyDescent="0.3">
      <c r="B14"/>
      <c r="I14" s="30" t="s">
        <v>53</v>
      </c>
      <c r="J14" s="20">
        <v>1263</v>
      </c>
    </row>
    <row r="15" spans="1:16" x14ac:dyDescent="0.3">
      <c r="B15"/>
      <c r="I15" s="30" t="s">
        <v>54</v>
      </c>
      <c r="J15" s="20">
        <v>1162</v>
      </c>
    </row>
    <row r="16" spans="1:16" x14ac:dyDescent="0.3">
      <c r="A16" t="s">
        <v>15</v>
      </c>
      <c r="B16" t="s">
        <v>25</v>
      </c>
      <c r="C16" t="s">
        <v>26</v>
      </c>
      <c r="I16" s="30" t="s">
        <v>55</v>
      </c>
      <c r="J16" s="20">
        <v>1406</v>
      </c>
    </row>
    <row r="17" spans="1:10" x14ac:dyDescent="0.3">
      <c r="A17" s="20">
        <v>58304</v>
      </c>
      <c r="B17" s="20">
        <v>4921</v>
      </c>
      <c r="C17" s="20">
        <v>53383</v>
      </c>
      <c r="I17" s="30" t="s">
        <v>56</v>
      </c>
      <c r="J17" s="20">
        <v>1421</v>
      </c>
    </row>
    <row r="18" spans="1:10" x14ac:dyDescent="0.3">
      <c r="B18"/>
      <c r="I18" s="30" t="s">
        <v>57</v>
      </c>
      <c r="J18" s="20">
        <v>1248</v>
      </c>
    </row>
    <row r="19" spans="1:10" x14ac:dyDescent="0.3">
      <c r="B19"/>
      <c r="I19" s="30" t="s">
        <v>58</v>
      </c>
      <c r="J19" s="20">
        <v>1204</v>
      </c>
    </row>
    <row r="20" spans="1:10" x14ac:dyDescent="0.3">
      <c r="I20" s="30" t="s">
        <v>59</v>
      </c>
      <c r="J20" s="20">
        <v>1000</v>
      </c>
    </row>
    <row r="21" spans="1:10" ht="21" x14ac:dyDescent="0.4">
      <c r="C21" s="33" t="s">
        <v>16</v>
      </c>
      <c r="D21" s="34"/>
      <c r="I21" s="30" t="s">
        <v>60</v>
      </c>
      <c r="J21" s="20">
        <v>683</v>
      </c>
    </row>
    <row r="22" spans="1:10" x14ac:dyDescent="0.3">
      <c r="I22" s="30" t="s">
        <v>61</v>
      </c>
      <c r="J22" s="20">
        <v>1650</v>
      </c>
    </row>
    <row r="23" spans="1:10" x14ac:dyDescent="0.3">
      <c r="C23" t="s">
        <v>17</v>
      </c>
      <c r="D23">
        <f>SUM(Table3[cnt])</f>
        <v>58304</v>
      </c>
      <c r="F23" t="s">
        <v>24</v>
      </c>
      <c r="G23" s="21">
        <f>(AVERAGEIFS(Table3[cnt],Table3[holiday],"TRUE")-AVERAGEIFS(Table3[cnt],Table3[holiday],"FALSE"))/AVERAGEIFS(Table3[cnt],Table3[holiday],"FALSE")</f>
        <v>-0.29033458979012527</v>
      </c>
      <c r="I23" s="30" t="s">
        <v>62</v>
      </c>
      <c r="J23" s="20">
        <v>1927</v>
      </c>
    </row>
    <row r="24" spans="1:10" x14ac:dyDescent="0.3">
      <c r="C24" t="s">
        <v>18</v>
      </c>
      <c r="D24">
        <f>SUM(Table3[[#All],[registered]])</f>
        <v>53383</v>
      </c>
      <c r="F24" t="s">
        <v>40</v>
      </c>
      <c r="G24" s="21">
        <f>AVERAGEIFS(Table3[cnt],Table3[Day Type],"Weekend")</f>
        <v>48.087878787878786</v>
      </c>
      <c r="I24" s="30" t="s">
        <v>63</v>
      </c>
      <c r="J24" s="20">
        <v>1543</v>
      </c>
    </row>
    <row r="25" spans="1:10" x14ac:dyDescent="0.3">
      <c r="C25" t="s">
        <v>19</v>
      </c>
      <c r="D25">
        <f>SUM(Table3[casual])</f>
        <v>4921</v>
      </c>
      <c r="F25" t="s">
        <v>41</v>
      </c>
      <c r="G25" s="21">
        <f>AVERAGEIFS(Table3[cnt],Table3[Day Type],"Weekday")</f>
        <v>63.335820895522389</v>
      </c>
      <c r="I25" s="30" t="s">
        <v>64</v>
      </c>
      <c r="J25" s="20">
        <v>981</v>
      </c>
    </row>
    <row r="26" spans="1:10" x14ac:dyDescent="0.3">
      <c r="C26" t="s">
        <v>20</v>
      </c>
      <c r="D26" s="21">
        <f>AVERAGE(Table3[[#All],[cnt]])</f>
        <v>58.304000000000002</v>
      </c>
      <c r="F26" t="s">
        <v>42</v>
      </c>
      <c r="G26" s="21">
        <f>(G24-G25)/G25</f>
        <v>-0.24074752473479943</v>
      </c>
      <c r="I26" s="30" t="s">
        <v>65</v>
      </c>
      <c r="J26" s="20">
        <v>986</v>
      </c>
    </row>
    <row r="27" spans="1:10" x14ac:dyDescent="0.3">
      <c r="C27" t="s">
        <v>23</v>
      </c>
      <c r="D27" s="21">
        <f>_xlfn.STDEV.P(Table3[[#All],[cnt]])</f>
        <v>50.960058712682034</v>
      </c>
      <c r="I27" s="30" t="s">
        <v>66</v>
      </c>
      <c r="J27" s="20">
        <v>1416</v>
      </c>
    </row>
    <row r="28" spans="1:10" ht="21" x14ac:dyDescent="0.4">
      <c r="A28" s="33" t="s">
        <v>33</v>
      </c>
      <c r="B28" s="34"/>
      <c r="I28" s="30" t="s">
        <v>67</v>
      </c>
      <c r="J28" s="20">
        <v>1985</v>
      </c>
    </row>
    <row r="29" spans="1:10" x14ac:dyDescent="0.3">
      <c r="A29" s="18" t="s">
        <v>13</v>
      </c>
      <c r="B29" t="s">
        <v>15</v>
      </c>
      <c r="I29" s="30" t="s">
        <v>68</v>
      </c>
      <c r="J29" s="20">
        <v>506</v>
      </c>
    </row>
    <row r="30" spans="1:10" x14ac:dyDescent="0.3">
      <c r="A30" s="19">
        <v>0</v>
      </c>
      <c r="B30" s="20">
        <v>703</v>
      </c>
      <c r="I30" s="30" t="s">
        <v>69</v>
      </c>
      <c r="J30" s="20">
        <v>431</v>
      </c>
    </row>
    <row r="31" spans="1:10" x14ac:dyDescent="0.3">
      <c r="A31" s="19">
        <v>1</v>
      </c>
      <c r="B31" s="20">
        <v>460</v>
      </c>
      <c r="I31" s="30" t="s">
        <v>70</v>
      </c>
      <c r="J31" s="20">
        <v>1167</v>
      </c>
    </row>
    <row r="32" spans="1:10" x14ac:dyDescent="0.3">
      <c r="A32" s="19">
        <v>2</v>
      </c>
      <c r="B32" s="20">
        <v>294</v>
      </c>
      <c r="I32" s="30" t="s">
        <v>71</v>
      </c>
      <c r="J32" s="20">
        <v>1098</v>
      </c>
    </row>
    <row r="33" spans="1:10" x14ac:dyDescent="0.3">
      <c r="A33" s="19">
        <v>3</v>
      </c>
      <c r="B33" s="20">
        <v>151</v>
      </c>
      <c r="I33" s="30" t="s">
        <v>72</v>
      </c>
      <c r="J33" s="20">
        <v>1096</v>
      </c>
    </row>
    <row r="34" spans="1:10" x14ac:dyDescent="0.3">
      <c r="A34" s="19">
        <v>4</v>
      </c>
      <c r="B34" s="20">
        <v>69</v>
      </c>
      <c r="I34" s="30" t="s">
        <v>73</v>
      </c>
      <c r="J34" s="20">
        <v>1501</v>
      </c>
    </row>
    <row r="35" spans="1:10" x14ac:dyDescent="0.3">
      <c r="A35" s="19">
        <v>5</v>
      </c>
      <c r="B35" s="20">
        <v>164</v>
      </c>
      <c r="I35" s="19" t="s">
        <v>31</v>
      </c>
      <c r="J35" s="20">
        <v>20115</v>
      </c>
    </row>
    <row r="36" spans="1:10" x14ac:dyDescent="0.3">
      <c r="A36" s="19">
        <v>6</v>
      </c>
      <c r="B36" s="20">
        <v>822</v>
      </c>
      <c r="I36" s="30" t="s">
        <v>74</v>
      </c>
      <c r="J36" s="20">
        <v>1360</v>
      </c>
    </row>
    <row r="37" spans="1:10" x14ac:dyDescent="0.3">
      <c r="A37" s="19">
        <v>7</v>
      </c>
      <c r="B37" s="20">
        <v>2339</v>
      </c>
      <c r="I37" s="30" t="s">
        <v>75</v>
      </c>
      <c r="J37" s="20">
        <v>1526</v>
      </c>
    </row>
    <row r="38" spans="1:10" x14ac:dyDescent="0.3">
      <c r="A38" s="19">
        <v>8</v>
      </c>
      <c r="B38" s="20">
        <v>5388</v>
      </c>
      <c r="I38" s="30" t="s">
        <v>76</v>
      </c>
      <c r="J38" s="20">
        <v>1550</v>
      </c>
    </row>
    <row r="39" spans="1:10" x14ac:dyDescent="0.3">
      <c r="A39" s="19">
        <v>9</v>
      </c>
      <c r="B39" s="20">
        <v>3672</v>
      </c>
      <c r="I39" s="30" t="s">
        <v>77</v>
      </c>
      <c r="J39" s="20">
        <v>1708</v>
      </c>
    </row>
    <row r="40" spans="1:10" x14ac:dyDescent="0.3">
      <c r="A40" s="19">
        <v>10</v>
      </c>
      <c r="B40" s="20">
        <v>2253</v>
      </c>
      <c r="I40" s="30" t="s">
        <v>78</v>
      </c>
      <c r="J40" s="20">
        <v>1005</v>
      </c>
    </row>
    <row r="41" spans="1:10" x14ac:dyDescent="0.3">
      <c r="A41" s="19">
        <v>11</v>
      </c>
      <c r="B41" s="20">
        <v>2494</v>
      </c>
      <c r="I41" s="30" t="s">
        <v>79</v>
      </c>
      <c r="J41" s="20">
        <v>1623</v>
      </c>
    </row>
    <row r="42" spans="1:10" x14ac:dyDescent="0.3">
      <c r="A42" s="19">
        <v>12</v>
      </c>
      <c r="B42" s="20">
        <v>3283</v>
      </c>
      <c r="I42" s="30" t="s">
        <v>80</v>
      </c>
      <c r="J42" s="20">
        <v>1712</v>
      </c>
    </row>
    <row r="43" spans="1:10" x14ac:dyDescent="0.3">
      <c r="A43" s="19">
        <v>13</v>
      </c>
      <c r="B43" s="20">
        <v>3376</v>
      </c>
      <c r="I43" s="30" t="s">
        <v>81</v>
      </c>
      <c r="J43" s="20">
        <v>1530</v>
      </c>
    </row>
    <row r="44" spans="1:10" x14ac:dyDescent="0.3">
      <c r="A44" s="19">
        <v>14</v>
      </c>
      <c r="B44" s="20">
        <v>3200</v>
      </c>
      <c r="I44" s="30" t="s">
        <v>82</v>
      </c>
      <c r="J44" s="20">
        <v>1605</v>
      </c>
    </row>
    <row r="45" spans="1:10" x14ac:dyDescent="0.3">
      <c r="A45" s="19">
        <v>15</v>
      </c>
      <c r="B45" s="20">
        <v>3352</v>
      </c>
      <c r="I45" s="30" t="s">
        <v>83</v>
      </c>
      <c r="J45" s="20">
        <v>1538</v>
      </c>
    </row>
    <row r="46" spans="1:10" x14ac:dyDescent="0.3">
      <c r="A46" s="19">
        <v>16</v>
      </c>
      <c r="B46" s="20">
        <v>3928</v>
      </c>
      <c r="C46" t="s">
        <v>21</v>
      </c>
      <c r="D46">
        <f>INDEX(A30:A53, MATCH(MAX(B30:B53), B30:B53,0))</f>
        <v>17</v>
      </c>
      <c r="I46" s="30" t="s">
        <v>84</v>
      </c>
      <c r="J46" s="20">
        <v>1746</v>
      </c>
    </row>
    <row r="47" spans="1:10" x14ac:dyDescent="0.3">
      <c r="A47" s="19">
        <v>17</v>
      </c>
      <c r="B47" s="20">
        <v>6169</v>
      </c>
      <c r="I47" s="30" t="s">
        <v>85</v>
      </c>
      <c r="J47" s="20">
        <v>1472</v>
      </c>
    </row>
    <row r="48" spans="1:10" x14ac:dyDescent="0.3">
      <c r="A48" s="19">
        <v>18</v>
      </c>
      <c r="B48" s="20">
        <v>5283</v>
      </c>
      <c r="I48" s="30" t="s">
        <v>86</v>
      </c>
      <c r="J48" s="20">
        <v>1589</v>
      </c>
    </row>
    <row r="49" spans="1:10" x14ac:dyDescent="0.3">
      <c r="A49" s="19">
        <v>19</v>
      </c>
      <c r="B49" s="20">
        <v>3661</v>
      </c>
      <c r="I49" s="30" t="s">
        <v>87</v>
      </c>
      <c r="J49" s="20">
        <v>151</v>
      </c>
    </row>
    <row r="50" spans="1:10" x14ac:dyDescent="0.3">
      <c r="A50" s="19">
        <v>20</v>
      </c>
      <c r="B50" s="20">
        <v>2656</v>
      </c>
      <c r="I50" s="19" t="s">
        <v>14</v>
      </c>
      <c r="J50" s="20">
        <v>58304</v>
      </c>
    </row>
    <row r="51" spans="1:10" x14ac:dyDescent="0.3">
      <c r="A51" s="19">
        <v>21</v>
      </c>
      <c r="B51" s="20">
        <v>1996</v>
      </c>
    </row>
    <row r="52" spans="1:10" x14ac:dyDescent="0.3">
      <c r="A52" s="19">
        <v>22</v>
      </c>
      <c r="B52" s="20">
        <v>1508</v>
      </c>
    </row>
    <row r="53" spans="1:10" x14ac:dyDescent="0.3">
      <c r="A53" s="19">
        <v>23</v>
      </c>
      <c r="B53" s="20">
        <v>1083</v>
      </c>
    </row>
    <row r="54" spans="1:10" x14ac:dyDescent="0.3">
      <c r="A54" s="19" t="s">
        <v>14</v>
      </c>
      <c r="B54" s="20">
        <v>58304</v>
      </c>
    </row>
    <row r="56" spans="1:10" ht="21" x14ac:dyDescent="0.4">
      <c r="A56" s="33" t="s">
        <v>34</v>
      </c>
      <c r="B56" s="34"/>
    </row>
    <row r="57" spans="1:10" x14ac:dyDescent="0.3">
      <c r="A57" s="18" t="s">
        <v>13</v>
      </c>
      <c r="B57" t="s">
        <v>15</v>
      </c>
    </row>
    <row r="58" spans="1:10" x14ac:dyDescent="0.3">
      <c r="A58" s="19">
        <v>0</v>
      </c>
      <c r="B58" s="20">
        <v>8121</v>
      </c>
    </row>
    <row r="59" spans="1:10" x14ac:dyDescent="0.3">
      <c r="A59" s="19">
        <v>1</v>
      </c>
      <c r="B59" s="20">
        <v>8450</v>
      </c>
    </row>
    <row r="60" spans="1:10" x14ac:dyDescent="0.3">
      <c r="A60" s="19">
        <v>2</v>
      </c>
      <c r="B60" s="20">
        <v>8383</v>
      </c>
      <c r="C60" t="s">
        <v>22</v>
      </c>
      <c r="D60">
        <f>INDEX(A58:A64, MATCH(MAX(B58:B64),B58:B64,0))</f>
        <v>5</v>
      </c>
    </row>
    <row r="61" spans="1:10" x14ac:dyDescent="0.3">
      <c r="A61" s="19">
        <v>3</v>
      </c>
      <c r="B61" s="20">
        <v>8049</v>
      </c>
    </row>
    <row r="62" spans="1:10" x14ac:dyDescent="0.3">
      <c r="A62" s="19">
        <v>4</v>
      </c>
      <c r="B62" s="20">
        <v>8458</v>
      </c>
    </row>
    <row r="63" spans="1:10" x14ac:dyDescent="0.3">
      <c r="A63" s="19">
        <v>5</v>
      </c>
      <c r="B63" s="20">
        <v>9095</v>
      </c>
    </row>
    <row r="64" spans="1:10" x14ac:dyDescent="0.3">
      <c r="A64" s="19">
        <v>6</v>
      </c>
      <c r="B64" s="20">
        <v>7748</v>
      </c>
    </row>
    <row r="65" spans="1:14" x14ac:dyDescent="0.3">
      <c r="A65" s="19" t="s">
        <v>14</v>
      </c>
      <c r="B65" s="20">
        <v>58304</v>
      </c>
    </row>
    <row r="66" spans="1:14" x14ac:dyDescent="0.3">
      <c r="B66"/>
    </row>
    <row r="67" spans="1:14" x14ac:dyDescent="0.3">
      <c r="B67"/>
    </row>
    <row r="68" spans="1:14" ht="21" x14ac:dyDescent="0.4">
      <c r="A68" s="33" t="s">
        <v>38</v>
      </c>
      <c r="B68" s="34"/>
    </row>
    <row r="69" spans="1:14" x14ac:dyDescent="0.3">
      <c r="A69" s="18" t="s">
        <v>13</v>
      </c>
      <c r="B69" t="s">
        <v>15</v>
      </c>
    </row>
    <row r="70" spans="1:14" x14ac:dyDescent="0.3">
      <c r="A70" s="19">
        <v>0.02</v>
      </c>
      <c r="B70" s="20">
        <v>168</v>
      </c>
    </row>
    <row r="71" spans="1:14" x14ac:dyDescent="0.3">
      <c r="A71" s="19">
        <v>0.04</v>
      </c>
      <c r="B71" s="20">
        <v>387</v>
      </c>
    </row>
    <row r="72" spans="1:14" x14ac:dyDescent="0.3">
      <c r="A72" s="19">
        <v>0.06</v>
      </c>
      <c r="B72" s="20">
        <v>608</v>
      </c>
    </row>
    <row r="73" spans="1:14" x14ac:dyDescent="0.3">
      <c r="A73" s="19">
        <v>0.08</v>
      </c>
      <c r="B73" s="20">
        <v>357</v>
      </c>
    </row>
    <row r="74" spans="1:14" x14ac:dyDescent="0.3">
      <c r="A74" s="26">
        <v>0.1</v>
      </c>
      <c r="B74" s="22">
        <v>1259</v>
      </c>
    </row>
    <row r="75" spans="1:14" ht="21" x14ac:dyDescent="0.4">
      <c r="A75" s="19">
        <v>0.12</v>
      </c>
      <c r="B75" s="20">
        <v>2104</v>
      </c>
      <c r="N75" s="27"/>
    </row>
    <row r="76" spans="1:14" x14ac:dyDescent="0.3">
      <c r="A76" s="19">
        <v>0.14000000000000001</v>
      </c>
      <c r="B76" s="20">
        <v>4335</v>
      </c>
    </row>
    <row r="77" spans="1:14" x14ac:dyDescent="0.3">
      <c r="A77" s="19">
        <v>0.16</v>
      </c>
      <c r="B77" s="20">
        <v>7003</v>
      </c>
    </row>
    <row r="78" spans="1:14" x14ac:dyDescent="0.3">
      <c r="A78" s="19">
        <v>0.18</v>
      </c>
      <c r="B78" s="20">
        <v>4045</v>
      </c>
    </row>
    <row r="79" spans="1:14" x14ac:dyDescent="0.3">
      <c r="A79" s="26">
        <v>0.2</v>
      </c>
      <c r="B79" s="20">
        <v>7926</v>
      </c>
    </row>
    <row r="80" spans="1:14" x14ac:dyDescent="0.3">
      <c r="A80" s="19">
        <v>0.22</v>
      </c>
      <c r="B80" s="20">
        <v>7212</v>
      </c>
    </row>
    <row r="81" spans="1:2" x14ac:dyDescent="0.3">
      <c r="A81" s="19">
        <v>0.24</v>
      </c>
      <c r="B81" s="20">
        <v>5965</v>
      </c>
    </row>
    <row r="82" spans="1:2" x14ac:dyDescent="0.3">
      <c r="A82" s="19">
        <v>0.26</v>
      </c>
      <c r="B82" s="20">
        <v>3157</v>
      </c>
    </row>
    <row r="83" spans="1:2" x14ac:dyDescent="0.3">
      <c r="A83" s="19">
        <v>0.28000000000000003</v>
      </c>
      <c r="B83" s="20">
        <v>1958</v>
      </c>
    </row>
    <row r="84" spans="1:2" x14ac:dyDescent="0.3">
      <c r="A84" s="26">
        <v>0.3</v>
      </c>
      <c r="B84" s="20">
        <v>3551</v>
      </c>
    </row>
    <row r="85" spans="1:2" x14ac:dyDescent="0.3">
      <c r="A85" s="19">
        <v>0.32</v>
      </c>
      <c r="B85" s="20">
        <v>1966</v>
      </c>
    </row>
    <row r="86" spans="1:2" x14ac:dyDescent="0.3">
      <c r="A86" s="19">
        <v>0.34</v>
      </c>
      <c r="B86" s="20">
        <v>2478</v>
      </c>
    </row>
    <row r="87" spans="1:2" x14ac:dyDescent="0.3">
      <c r="A87" s="19">
        <v>0.36</v>
      </c>
      <c r="B87" s="20">
        <v>1341</v>
      </c>
    </row>
    <row r="88" spans="1:2" x14ac:dyDescent="0.3">
      <c r="A88" s="19">
        <v>0.38</v>
      </c>
      <c r="B88" s="20">
        <v>521</v>
      </c>
    </row>
    <row r="89" spans="1:2" x14ac:dyDescent="0.3">
      <c r="A89" s="26">
        <v>0.4</v>
      </c>
      <c r="B89" s="20">
        <v>985</v>
      </c>
    </row>
    <row r="90" spans="1:2" x14ac:dyDescent="0.3">
      <c r="A90" s="19">
        <v>0.42</v>
      </c>
      <c r="B90" s="20">
        <v>519</v>
      </c>
    </row>
    <row r="91" spans="1:2" x14ac:dyDescent="0.3">
      <c r="A91" s="19">
        <v>0.44</v>
      </c>
      <c r="B91" s="20">
        <v>194</v>
      </c>
    </row>
    <row r="92" spans="1:2" x14ac:dyDescent="0.3">
      <c r="A92" s="19">
        <v>0.46</v>
      </c>
      <c r="B92" s="20">
        <v>265</v>
      </c>
    </row>
    <row r="93" spans="1:2" x14ac:dyDescent="0.3">
      <c r="A93" s="19" t="s">
        <v>14</v>
      </c>
      <c r="B93" s="20">
        <v>58304</v>
      </c>
    </row>
    <row r="96" spans="1:2" ht="21" x14ac:dyDescent="0.4">
      <c r="A96" s="33" t="s">
        <v>36</v>
      </c>
      <c r="B96" s="34"/>
    </row>
    <row r="97" spans="1:2" x14ac:dyDescent="0.3">
      <c r="A97" s="18" t="s">
        <v>13</v>
      </c>
      <c r="B97" t="s">
        <v>29</v>
      </c>
    </row>
    <row r="98" spans="1:2" x14ac:dyDescent="0.3">
      <c r="A98" s="19" t="s">
        <v>27</v>
      </c>
      <c r="B98" s="21">
        <v>58.713114754098363</v>
      </c>
    </row>
    <row r="99" spans="1:2" x14ac:dyDescent="0.3">
      <c r="A99" s="19" t="s">
        <v>28</v>
      </c>
      <c r="B99" s="21">
        <v>41.666666666666664</v>
      </c>
    </row>
    <row r="100" spans="1:2" x14ac:dyDescent="0.3">
      <c r="A100" s="19" t="s">
        <v>14</v>
      </c>
      <c r="B100" s="20">
        <v>58.304000000000002</v>
      </c>
    </row>
    <row r="101" spans="1:2" x14ac:dyDescent="0.3">
      <c r="B101"/>
    </row>
    <row r="102" spans="1:2" x14ac:dyDescent="0.3">
      <c r="B102"/>
    </row>
    <row r="103" spans="1:2" ht="21" x14ac:dyDescent="0.4">
      <c r="A103" s="58" t="s">
        <v>91</v>
      </c>
      <c r="B103" s="58"/>
    </row>
    <row r="104" spans="1:2" x14ac:dyDescent="0.3">
      <c r="A104" s="18" t="s">
        <v>13</v>
      </c>
      <c r="B104" t="s">
        <v>15</v>
      </c>
    </row>
    <row r="105" spans="1:2" x14ac:dyDescent="0.3">
      <c r="A105" s="19">
        <v>0.21</v>
      </c>
      <c r="B105" s="20">
        <v>147</v>
      </c>
    </row>
    <row r="106" spans="1:2" x14ac:dyDescent="0.3">
      <c r="A106" s="19">
        <v>0.24</v>
      </c>
      <c r="B106" s="20">
        <v>211</v>
      </c>
    </row>
    <row r="107" spans="1:2" x14ac:dyDescent="0.3">
      <c r="A107" s="19">
        <v>0.25</v>
      </c>
      <c r="B107" s="20">
        <v>112</v>
      </c>
    </row>
    <row r="108" spans="1:2" x14ac:dyDescent="0.3">
      <c r="A108" s="19">
        <v>0.26</v>
      </c>
      <c r="B108" s="20">
        <v>531</v>
      </c>
    </row>
    <row r="109" spans="1:2" x14ac:dyDescent="0.3">
      <c r="A109" s="19">
        <v>0.27</v>
      </c>
      <c r="B109" s="20">
        <v>206</v>
      </c>
    </row>
    <row r="110" spans="1:2" x14ac:dyDescent="0.3">
      <c r="A110" s="19">
        <v>0.28000000000000003</v>
      </c>
      <c r="B110" s="20">
        <v>1758</v>
      </c>
    </row>
    <row r="111" spans="1:2" x14ac:dyDescent="0.3">
      <c r="A111" s="19">
        <v>0.28999999999999998</v>
      </c>
      <c r="B111" s="20">
        <v>611</v>
      </c>
    </row>
    <row r="112" spans="1:2" x14ac:dyDescent="0.3">
      <c r="A112" s="19">
        <v>0.3</v>
      </c>
      <c r="B112" s="20">
        <v>1091</v>
      </c>
    </row>
    <row r="113" spans="1:2" x14ac:dyDescent="0.3">
      <c r="A113" s="19">
        <v>0.31</v>
      </c>
      <c r="B113" s="20">
        <v>354</v>
      </c>
    </row>
    <row r="114" spans="1:2" x14ac:dyDescent="0.3">
      <c r="A114" s="19">
        <v>0.32</v>
      </c>
      <c r="B114" s="20">
        <v>1023</v>
      </c>
    </row>
    <row r="115" spans="1:2" x14ac:dyDescent="0.3">
      <c r="A115" s="19">
        <v>0.33</v>
      </c>
      <c r="B115" s="20">
        <v>536</v>
      </c>
    </row>
    <row r="116" spans="1:2" x14ac:dyDescent="0.3">
      <c r="A116" s="19">
        <v>0.34</v>
      </c>
      <c r="B116" s="20">
        <v>652</v>
      </c>
    </row>
    <row r="117" spans="1:2" x14ac:dyDescent="0.3">
      <c r="A117" s="19">
        <v>0.35</v>
      </c>
      <c r="B117" s="20">
        <v>1139</v>
      </c>
    </row>
    <row r="118" spans="1:2" x14ac:dyDescent="0.3">
      <c r="A118" s="19">
        <v>0.36</v>
      </c>
      <c r="B118" s="20">
        <v>670</v>
      </c>
    </row>
    <row r="119" spans="1:2" x14ac:dyDescent="0.3">
      <c r="A119" s="19">
        <v>0.37</v>
      </c>
      <c r="B119" s="20">
        <v>1571</v>
      </c>
    </row>
    <row r="120" spans="1:2" x14ac:dyDescent="0.3">
      <c r="A120" s="19">
        <v>0.38</v>
      </c>
      <c r="B120" s="20">
        <v>1498</v>
      </c>
    </row>
    <row r="121" spans="1:2" x14ac:dyDescent="0.3">
      <c r="A121" s="19">
        <v>0.39</v>
      </c>
      <c r="B121" s="20">
        <v>1084</v>
      </c>
    </row>
    <row r="122" spans="1:2" x14ac:dyDescent="0.3">
      <c r="A122" s="19">
        <v>0.4</v>
      </c>
      <c r="B122" s="20">
        <v>2475</v>
      </c>
    </row>
    <row r="123" spans="1:2" x14ac:dyDescent="0.3">
      <c r="A123" s="19">
        <v>0.41</v>
      </c>
      <c r="B123" s="20">
        <v>1102</v>
      </c>
    </row>
    <row r="124" spans="1:2" x14ac:dyDescent="0.3">
      <c r="A124" s="19">
        <v>0.42</v>
      </c>
      <c r="B124" s="20">
        <v>1151</v>
      </c>
    </row>
    <row r="125" spans="1:2" x14ac:dyDescent="0.3">
      <c r="A125" s="19">
        <v>0.43</v>
      </c>
      <c r="B125" s="20">
        <v>809</v>
      </c>
    </row>
    <row r="126" spans="1:2" x14ac:dyDescent="0.3">
      <c r="A126" s="19">
        <v>0.44</v>
      </c>
      <c r="B126" s="20">
        <v>756</v>
      </c>
    </row>
    <row r="127" spans="1:2" x14ac:dyDescent="0.3">
      <c r="A127" s="19">
        <v>0.45</v>
      </c>
      <c r="B127" s="20">
        <v>1134</v>
      </c>
    </row>
    <row r="128" spans="1:2" x14ac:dyDescent="0.3">
      <c r="A128" s="19">
        <v>0.46</v>
      </c>
      <c r="B128" s="20">
        <v>1325</v>
      </c>
    </row>
    <row r="129" spans="1:2" x14ac:dyDescent="0.3">
      <c r="A129" s="19">
        <v>0.47</v>
      </c>
      <c r="B129" s="20">
        <v>3215</v>
      </c>
    </row>
    <row r="130" spans="1:2" x14ac:dyDescent="0.3">
      <c r="A130" s="19">
        <v>0.48</v>
      </c>
      <c r="B130" s="20">
        <v>1067</v>
      </c>
    </row>
    <row r="131" spans="1:2" x14ac:dyDescent="0.3">
      <c r="A131" s="19">
        <v>0.49</v>
      </c>
      <c r="B131" s="20">
        <v>1553</v>
      </c>
    </row>
    <row r="132" spans="1:2" x14ac:dyDescent="0.3">
      <c r="A132" s="19">
        <v>0.5</v>
      </c>
      <c r="B132" s="20">
        <v>1955</v>
      </c>
    </row>
    <row r="133" spans="1:2" x14ac:dyDescent="0.3">
      <c r="A133" s="19">
        <v>0.51</v>
      </c>
      <c r="B133" s="20">
        <v>2184</v>
      </c>
    </row>
    <row r="134" spans="1:2" x14ac:dyDescent="0.3">
      <c r="A134" s="19">
        <v>0.52</v>
      </c>
      <c r="B134" s="20">
        <v>679</v>
      </c>
    </row>
    <row r="135" spans="1:2" x14ac:dyDescent="0.3">
      <c r="A135" s="19">
        <v>0.53</v>
      </c>
      <c r="B135" s="20">
        <v>203</v>
      </c>
    </row>
    <row r="136" spans="1:2" x14ac:dyDescent="0.3">
      <c r="A136" s="19">
        <v>0.54</v>
      </c>
      <c r="B136" s="20">
        <v>440</v>
      </c>
    </row>
    <row r="137" spans="1:2" x14ac:dyDescent="0.3">
      <c r="A137" s="19">
        <v>0.55000000000000004</v>
      </c>
      <c r="B137" s="20">
        <v>2021</v>
      </c>
    </row>
    <row r="138" spans="1:2" x14ac:dyDescent="0.3">
      <c r="A138" s="19">
        <v>0.56000000000000005</v>
      </c>
      <c r="B138" s="20">
        <v>1706</v>
      </c>
    </row>
    <row r="139" spans="1:2" x14ac:dyDescent="0.3">
      <c r="A139" s="19">
        <v>0.56999999999999995</v>
      </c>
      <c r="B139" s="20">
        <v>684</v>
      </c>
    </row>
    <row r="140" spans="1:2" x14ac:dyDescent="0.3">
      <c r="A140" s="19">
        <v>0.57999999999999996</v>
      </c>
      <c r="B140" s="20">
        <v>181</v>
      </c>
    </row>
    <row r="141" spans="1:2" x14ac:dyDescent="0.3">
      <c r="A141" s="19">
        <v>0.59</v>
      </c>
      <c r="B141" s="20">
        <v>2568</v>
      </c>
    </row>
    <row r="142" spans="1:2" x14ac:dyDescent="0.3">
      <c r="A142" s="19">
        <v>0.6</v>
      </c>
      <c r="B142" s="20">
        <v>993</v>
      </c>
    </row>
    <row r="143" spans="1:2" x14ac:dyDescent="0.3">
      <c r="A143" s="19">
        <v>0.61</v>
      </c>
      <c r="B143" s="20">
        <v>525</v>
      </c>
    </row>
    <row r="144" spans="1:2" x14ac:dyDescent="0.3">
      <c r="A144" s="19">
        <v>0.62</v>
      </c>
      <c r="B144" s="20">
        <v>186</v>
      </c>
    </row>
    <row r="145" spans="1:2" x14ac:dyDescent="0.3">
      <c r="A145" s="19">
        <v>0.63</v>
      </c>
      <c r="B145" s="20">
        <v>182</v>
      </c>
    </row>
    <row r="146" spans="1:2" x14ac:dyDescent="0.3">
      <c r="A146" s="19">
        <v>0.64</v>
      </c>
      <c r="B146" s="20">
        <v>1003</v>
      </c>
    </row>
    <row r="147" spans="1:2" x14ac:dyDescent="0.3">
      <c r="A147" s="19">
        <v>0.65</v>
      </c>
      <c r="B147" s="20">
        <v>1114</v>
      </c>
    </row>
    <row r="148" spans="1:2" x14ac:dyDescent="0.3">
      <c r="A148" s="19">
        <v>0.66</v>
      </c>
      <c r="B148" s="20">
        <v>343</v>
      </c>
    </row>
    <row r="149" spans="1:2" x14ac:dyDescent="0.3">
      <c r="A149" s="19">
        <v>0.68</v>
      </c>
      <c r="B149" s="20">
        <v>186</v>
      </c>
    </row>
    <row r="150" spans="1:2" x14ac:dyDescent="0.3">
      <c r="A150" s="19">
        <v>0.69</v>
      </c>
      <c r="B150" s="20">
        <v>1384</v>
      </c>
    </row>
    <row r="151" spans="1:2" x14ac:dyDescent="0.3">
      <c r="A151" s="19">
        <v>0.7</v>
      </c>
      <c r="B151" s="20">
        <v>839</v>
      </c>
    </row>
    <row r="152" spans="1:2" x14ac:dyDescent="0.3">
      <c r="A152" s="19">
        <v>0.71</v>
      </c>
      <c r="B152" s="20">
        <v>257</v>
      </c>
    </row>
    <row r="153" spans="1:2" x14ac:dyDescent="0.3">
      <c r="A153" s="19">
        <v>0.72</v>
      </c>
      <c r="B153" s="20">
        <v>200</v>
      </c>
    </row>
    <row r="154" spans="1:2" x14ac:dyDescent="0.3">
      <c r="A154" s="19">
        <v>0.73</v>
      </c>
      <c r="B154" s="20">
        <v>74</v>
      </c>
    </row>
    <row r="155" spans="1:2" x14ac:dyDescent="0.3">
      <c r="A155" s="19">
        <v>0.74</v>
      </c>
      <c r="B155" s="20">
        <v>1400</v>
      </c>
    </row>
    <row r="156" spans="1:2" x14ac:dyDescent="0.3">
      <c r="A156" s="19">
        <v>0.75</v>
      </c>
      <c r="B156" s="20">
        <v>904</v>
      </c>
    </row>
    <row r="157" spans="1:2" x14ac:dyDescent="0.3">
      <c r="A157" s="19">
        <v>0.76</v>
      </c>
      <c r="B157" s="20">
        <v>206</v>
      </c>
    </row>
    <row r="158" spans="1:2" x14ac:dyDescent="0.3">
      <c r="A158" s="19">
        <v>0.77</v>
      </c>
      <c r="B158" s="20">
        <v>196</v>
      </c>
    </row>
    <row r="159" spans="1:2" x14ac:dyDescent="0.3">
      <c r="A159" s="19">
        <v>0.8</v>
      </c>
      <c r="B159" s="20">
        <v>1328</v>
      </c>
    </row>
    <row r="160" spans="1:2" x14ac:dyDescent="0.3">
      <c r="A160" s="19">
        <v>0.81</v>
      </c>
      <c r="B160" s="20">
        <v>609</v>
      </c>
    </row>
    <row r="161" spans="1:2" x14ac:dyDescent="0.3">
      <c r="A161" s="19">
        <v>0.82</v>
      </c>
      <c r="B161" s="20">
        <v>348</v>
      </c>
    </row>
    <row r="162" spans="1:2" x14ac:dyDescent="0.3">
      <c r="A162" s="19">
        <v>0.86</v>
      </c>
      <c r="B162" s="20">
        <v>1309</v>
      </c>
    </row>
    <row r="163" spans="1:2" x14ac:dyDescent="0.3">
      <c r="A163" s="19">
        <v>0.87</v>
      </c>
      <c r="B163" s="20">
        <v>719</v>
      </c>
    </row>
    <row r="164" spans="1:2" x14ac:dyDescent="0.3">
      <c r="A164" s="19">
        <v>0.88</v>
      </c>
      <c r="B164" s="20">
        <v>128</v>
      </c>
    </row>
    <row r="165" spans="1:2" x14ac:dyDescent="0.3">
      <c r="A165" s="19">
        <v>0.92</v>
      </c>
      <c r="B165" s="20">
        <v>90</v>
      </c>
    </row>
    <row r="166" spans="1:2" x14ac:dyDescent="0.3">
      <c r="A166" s="19">
        <v>0.93</v>
      </c>
      <c r="B166" s="20">
        <v>2457</v>
      </c>
    </row>
    <row r="167" spans="1:2" x14ac:dyDescent="0.3">
      <c r="A167" s="19">
        <v>0.94</v>
      </c>
      <c r="B167" s="20">
        <v>54</v>
      </c>
    </row>
    <row r="168" spans="1:2" x14ac:dyDescent="0.3">
      <c r="A168" s="19">
        <v>1</v>
      </c>
      <c r="B168" s="20">
        <v>868</v>
      </c>
    </row>
    <row r="169" spans="1:2" x14ac:dyDescent="0.3">
      <c r="A169" s="19" t="s">
        <v>14</v>
      </c>
      <c r="B169" s="20">
        <v>58304</v>
      </c>
    </row>
    <row r="170" spans="1:2" x14ac:dyDescent="0.3">
      <c r="B170"/>
    </row>
    <row r="171" spans="1:2" x14ac:dyDescent="0.3">
      <c r="B171"/>
    </row>
    <row r="172" spans="1:2" ht="21" x14ac:dyDescent="0.3">
      <c r="A172" s="61" t="s">
        <v>92</v>
      </c>
      <c r="B172" s="61"/>
    </row>
    <row r="173" spans="1:2" x14ac:dyDescent="0.3">
      <c r="A173" s="18" t="s">
        <v>13</v>
      </c>
      <c r="B173" t="s">
        <v>15</v>
      </c>
    </row>
    <row r="174" spans="1:2" x14ac:dyDescent="0.3">
      <c r="A174" s="19">
        <v>0</v>
      </c>
      <c r="B174" s="20">
        <v>7845</v>
      </c>
    </row>
    <row r="175" spans="1:2" x14ac:dyDescent="0.3">
      <c r="A175" s="19">
        <v>8.9599999999999999E-2</v>
      </c>
      <c r="B175" s="20">
        <v>4149</v>
      </c>
    </row>
    <row r="176" spans="1:2" x14ac:dyDescent="0.3">
      <c r="A176" s="19">
        <v>0.1045</v>
      </c>
      <c r="B176" s="20">
        <v>4350</v>
      </c>
    </row>
    <row r="177" spans="1:2" x14ac:dyDescent="0.3">
      <c r="A177" s="19">
        <v>0.1343</v>
      </c>
      <c r="B177" s="20">
        <v>5261</v>
      </c>
    </row>
    <row r="178" spans="1:2" x14ac:dyDescent="0.3">
      <c r="A178" s="19">
        <v>0.16420000000000001</v>
      </c>
      <c r="B178" s="20">
        <v>5609</v>
      </c>
    </row>
    <row r="179" spans="1:2" x14ac:dyDescent="0.3">
      <c r="A179" s="19">
        <v>0.19400000000000001</v>
      </c>
      <c r="B179" s="20">
        <v>4668</v>
      </c>
    </row>
    <row r="180" spans="1:2" x14ac:dyDescent="0.3">
      <c r="A180" s="19">
        <v>0.22389999999999999</v>
      </c>
      <c r="B180" s="20">
        <v>3546</v>
      </c>
    </row>
    <row r="181" spans="1:2" x14ac:dyDescent="0.3">
      <c r="A181" s="19">
        <v>0.25369999999999998</v>
      </c>
      <c r="B181" s="20">
        <v>4074</v>
      </c>
    </row>
    <row r="182" spans="1:2" x14ac:dyDescent="0.3">
      <c r="A182" s="19">
        <v>0.28360000000000002</v>
      </c>
      <c r="B182" s="20">
        <v>3516</v>
      </c>
    </row>
    <row r="183" spans="1:2" x14ac:dyDescent="0.3">
      <c r="A183" s="19">
        <v>0.29849999999999999</v>
      </c>
      <c r="B183" s="20">
        <v>2872</v>
      </c>
    </row>
    <row r="184" spans="1:2" x14ac:dyDescent="0.3">
      <c r="A184" s="19">
        <v>0.32840000000000003</v>
      </c>
      <c r="B184" s="20">
        <v>3608</v>
      </c>
    </row>
    <row r="185" spans="1:2" x14ac:dyDescent="0.3">
      <c r="A185" s="19">
        <v>0.35820000000000002</v>
      </c>
      <c r="B185" s="20">
        <v>2069</v>
      </c>
    </row>
    <row r="186" spans="1:2" x14ac:dyDescent="0.3">
      <c r="A186" s="19">
        <v>0.3881</v>
      </c>
      <c r="B186" s="20">
        <v>1250</v>
      </c>
    </row>
    <row r="187" spans="1:2" x14ac:dyDescent="0.3">
      <c r="A187" s="19">
        <v>0.41789999999999999</v>
      </c>
      <c r="B187" s="20">
        <v>1432</v>
      </c>
    </row>
    <row r="188" spans="1:2" x14ac:dyDescent="0.3">
      <c r="A188" s="19">
        <v>0.44779999999999998</v>
      </c>
      <c r="B188" s="20">
        <v>1107</v>
      </c>
    </row>
    <row r="189" spans="1:2" x14ac:dyDescent="0.3">
      <c r="A189" s="19">
        <v>0.4627</v>
      </c>
      <c r="B189" s="20">
        <v>881</v>
      </c>
    </row>
    <row r="190" spans="1:2" x14ac:dyDescent="0.3">
      <c r="A190" s="19">
        <v>0.49249999999999999</v>
      </c>
      <c r="B190" s="20">
        <v>629</v>
      </c>
    </row>
    <row r="191" spans="1:2" x14ac:dyDescent="0.3">
      <c r="A191" s="19">
        <v>0.52239999999999998</v>
      </c>
      <c r="B191" s="20">
        <v>682</v>
      </c>
    </row>
    <row r="192" spans="1:2" x14ac:dyDescent="0.3">
      <c r="A192" s="19">
        <v>0.55220000000000002</v>
      </c>
      <c r="B192" s="20">
        <v>374</v>
      </c>
    </row>
    <row r="193" spans="1:2" x14ac:dyDescent="0.3">
      <c r="A193" s="19">
        <v>0.58209999999999995</v>
      </c>
      <c r="B193" s="20">
        <v>382</v>
      </c>
    </row>
    <row r="194" spans="1:2" x14ac:dyDescent="0.3">
      <c r="A194" s="19" t="s">
        <v>14</v>
      </c>
      <c r="B194" s="20">
        <v>58304</v>
      </c>
    </row>
    <row r="195" spans="1:2" x14ac:dyDescent="0.3">
      <c r="B195"/>
    </row>
    <row r="196" spans="1:2" x14ac:dyDescent="0.3">
      <c r="B196"/>
    </row>
    <row r="197" spans="1:2" x14ac:dyDescent="0.3">
      <c r="B197"/>
    </row>
    <row r="198" spans="1:2" x14ac:dyDescent="0.3">
      <c r="B198"/>
    </row>
    <row r="199" spans="1:2" x14ac:dyDescent="0.3">
      <c r="B199"/>
    </row>
    <row r="200" spans="1:2" x14ac:dyDescent="0.3">
      <c r="B200"/>
    </row>
    <row r="201" spans="1:2" x14ac:dyDescent="0.3">
      <c r="B201"/>
    </row>
    <row r="202" spans="1:2" x14ac:dyDescent="0.3">
      <c r="B202"/>
    </row>
    <row r="203" spans="1:2" x14ac:dyDescent="0.3">
      <c r="B203"/>
    </row>
    <row r="204" spans="1:2" x14ac:dyDescent="0.3">
      <c r="B204"/>
    </row>
    <row r="205" spans="1:2" x14ac:dyDescent="0.3">
      <c r="B205"/>
    </row>
    <row r="206" spans="1:2" x14ac:dyDescent="0.3">
      <c r="B20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896D6-6B8E-443B-A8E5-4D58E08F9200}">
  <sheetPr>
    <tabColor rgb="FFC00000"/>
  </sheetPr>
  <dimension ref="B1:AA51"/>
  <sheetViews>
    <sheetView zoomScale="85" zoomScaleNormal="85" workbookViewId="0">
      <selection activeCell="A2" sqref="A2"/>
    </sheetView>
  </sheetViews>
  <sheetFormatPr defaultRowHeight="14.4" x14ac:dyDescent="0.3"/>
  <cols>
    <col min="2" max="2" width="14.109375" bestFit="1" customWidth="1"/>
    <col min="3" max="3" width="16.44140625" bestFit="1" customWidth="1"/>
    <col min="4" max="6" width="7.6640625" bestFit="1" customWidth="1"/>
    <col min="7" max="7" width="6.6640625" bestFit="1" customWidth="1"/>
    <col min="8" max="9" width="7.6640625" bestFit="1" customWidth="1"/>
    <col min="10" max="23" width="8.77734375" bestFit="1" customWidth="1"/>
    <col min="24" max="26" width="7.6640625" bestFit="1" customWidth="1"/>
    <col min="27" max="27" width="11.44140625" bestFit="1" customWidth="1"/>
  </cols>
  <sheetData>
    <row r="1" spans="2:27" ht="31.8" x14ac:dyDescent="0.5">
      <c r="B1" s="59" t="s">
        <v>89</v>
      </c>
      <c r="C1" s="59"/>
      <c r="D1" s="59"/>
    </row>
    <row r="2" spans="2:27" x14ac:dyDescent="0.3">
      <c r="B2" s="18" t="s">
        <v>29</v>
      </c>
      <c r="C2" s="18" t="s">
        <v>32</v>
      </c>
    </row>
    <row r="3" spans="2:27" x14ac:dyDescent="0.3">
      <c r="B3" s="18" t="s">
        <v>13</v>
      </c>
      <c r="C3">
        <v>0</v>
      </c>
      <c r="D3">
        <v>1</v>
      </c>
      <c r="E3">
        <v>2</v>
      </c>
      <c r="F3">
        <v>3</v>
      </c>
      <c r="G3">
        <v>4</v>
      </c>
      <c r="H3">
        <v>5</v>
      </c>
      <c r="I3">
        <v>6</v>
      </c>
      <c r="J3">
        <v>7</v>
      </c>
      <c r="K3">
        <v>8</v>
      </c>
      <c r="L3">
        <v>9</v>
      </c>
      <c r="M3">
        <v>10</v>
      </c>
      <c r="N3">
        <v>11</v>
      </c>
      <c r="O3">
        <v>12</v>
      </c>
      <c r="P3">
        <v>13</v>
      </c>
      <c r="Q3">
        <v>14</v>
      </c>
      <c r="R3">
        <v>15</v>
      </c>
      <c r="S3">
        <v>16</v>
      </c>
      <c r="T3">
        <v>17</v>
      </c>
      <c r="U3">
        <v>18</v>
      </c>
      <c r="V3">
        <v>19</v>
      </c>
      <c r="W3">
        <v>20</v>
      </c>
      <c r="X3">
        <v>21</v>
      </c>
      <c r="Y3">
        <v>22</v>
      </c>
      <c r="Z3">
        <v>23</v>
      </c>
      <c r="AA3" t="s">
        <v>14</v>
      </c>
    </row>
    <row r="4" spans="2:27" x14ac:dyDescent="0.3">
      <c r="B4" s="19" t="s">
        <v>30</v>
      </c>
      <c r="C4" s="55">
        <v>15.103448275862069</v>
      </c>
      <c r="D4" s="55">
        <v>10.172413793103448</v>
      </c>
      <c r="E4" s="55">
        <v>7.2962962962962967</v>
      </c>
      <c r="F4" s="55">
        <v>4.9473684210526319</v>
      </c>
      <c r="G4" s="55">
        <v>1.9130434782608696</v>
      </c>
      <c r="H4" s="55">
        <v>4.0769230769230766</v>
      </c>
      <c r="I4" s="55">
        <v>18.392857142857142</v>
      </c>
      <c r="J4" s="55">
        <v>50.793103448275865</v>
      </c>
      <c r="K4" s="55">
        <v>122.37931034482759</v>
      </c>
      <c r="L4" s="55">
        <v>82.068965517241381</v>
      </c>
      <c r="M4" s="55">
        <v>51.344827586206897</v>
      </c>
      <c r="N4" s="55">
        <v>56.068965517241381</v>
      </c>
      <c r="O4" s="55">
        <v>72.63333333333334</v>
      </c>
      <c r="P4" s="55">
        <v>73.933333333333337</v>
      </c>
      <c r="Q4" s="55">
        <v>71.13333333333334</v>
      </c>
      <c r="R4" s="55">
        <v>73.566666666666663</v>
      </c>
      <c r="S4" s="55">
        <v>83.741935483870961</v>
      </c>
      <c r="T4" s="55">
        <v>129.93548387096774</v>
      </c>
      <c r="U4" s="55">
        <v>116</v>
      </c>
      <c r="V4" s="55">
        <v>84.2</v>
      </c>
      <c r="W4" s="55">
        <v>58.56666666666667</v>
      </c>
      <c r="X4" s="55">
        <v>41.766666666666666</v>
      </c>
      <c r="Y4" s="55">
        <v>31.7</v>
      </c>
      <c r="Z4" s="55">
        <v>21.8</v>
      </c>
      <c r="AA4" s="55">
        <v>55.507267441860463</v>
      </c>
    </row>
    <row r="5" spans="2:27" x14ac:dyDescent="0.3">
      <c r="B5" s="30" t="s">
        <v>43</v>
      </c>
      <c r="C5" s="55">
        <v>16</v>
      </c>
      <c r="D5" s="55">
        <v>40</v>
      </c>
      <c r="E5" s="55">
        <v>32</v>
      </c>
      <c r="F5" s="55">
        <v>13</v>
      </c>
      <c r="G5" s="55">
        <v>1</v>
      </c>
      <c r="H5" s="55">
        <v>1</v>
      </c>
      <c r="I5" s="55">
        <v>2</v>
      </c>
      <c r="J5" s="55">
        <v>3</v>
      </c>
      <c r="K5" s="55">
        <v>8</v>
      </c>
      <c r="L5" s="55">
        <v>14</v>
      </c>
      <c r="M5" s="55">
        <v>36</v>
      </c>
      <c r="N5" s="55">
        <v>56</v>
      </c>
      <c r="O5" s="55">
        <v>84</v>
      </c>
      <c r="P5" s="55">
        <v>94</v>
      </c>
      <c r="Q5" s="55">
        <v>106</v>
      </c>
      <c r="R5" s="55">
        <v>110</v>
      </c>
      <c r="S5" s="55">
        <v>93</v>
      </c>
      <c r="T5" s="55">
        <v>67</v>
      </c>
      <c r="U5" s="55">
        <v>35</v>
      </c>
      <c r="V5" s="55">
        <v>37</v>
      </c>
      <c r="W5" s="55">
        <v>36</v>
      </c>
      <c r="X5" s="55">
        <v>34</v>
      </c>
      <c r="Y5" s="55">
        <v>28</v>
      </c>
      <c r="Z5" s="55">
        <v>39</v>
      </c>
      <c r="AA5" s="55">
        <v>41.041666666666664</v>
      </c>
    </row>
    <row r="6" spans="2:27" x14ac:dyDescent="0.3">
      <c r="B6" s="30" t="s">
        <v>44</v>
      </c>
      <c r="C6" s="55">
        <v>17</v>
      </c>
      <c r="D6" s="55">
        <v>17</v>
      </c>
      <c r="E6" s="55">
        <v>9</v>
      </c>
      <c r="F6" s="55">
        <v>6</v>
      </c>
      <c r="G6" s="55">
        <v>3</v>
      </c>
      <c r="H6" s="55"/>
      <c r="I6" s="55">
        <v>2</v>
      </c>
      <c r="J6" s="55">
        <v>1</v>
      </c>
      <c r="K6" s="55">
        <v>8</v>
      </c>
      <c r="L6" s="55">
        <v>20</v>
      </c>
      <c r="M6" s="55">
        <v>53</v>
      </c>
      <c r="N6" s="55">
        <v>70</v>
      </c>
      <c r="O6" s="55">
        <v>93</v>
      </c>
      <c r="P6" s="55">
        <v>75</v>
      </c>
      <c r="Q6" s="55">
        <v>59</v>
      </c>
      <c r="R6" s="55">
        <v>74</v>
      </c>
      <c r="S6" s="55">
        <v>76</v>
      </c>
      <c r="T6" s="55">
        <v>65</v>
      </c>
      <c r="U6" s="55">
        <v>53</v>
      </c>
      <c r="V6" s="55">
        <v>30</v>
      </c>
      <c r="W6" s="55">
        <v>22</v>
      </c>
      <c r="X6" s="55">
        <v>31</v>
      </c>
      <c r="Y6" s="55">
        <v>9</v>
      </c>
      <c r="Z6" s="55">
        <v>8</v>
      </c>
      <c r="AA6" s="55">
        <v>34.826086956521742</v>
      </c>
    </row>
    <row r="7" spans="2:27" x14ac:dyDescent="0.3">
      <c r="B7" s="30" t="s">
        <v>45</v>
      </c>
      <c r="C7" s="55">
        <v>5</v>
      </c>
      <c r="D7" s="55">
        <v>2</v>
      </c>
      <c r="E7" s="55"/>
      <c r="F7" s="55"/>
      <c r="G7" s="55">
        <v>1</v>
      </c>
      <c r="H7" s="55">
        <v>3</v>
      </c>
      <c r="I7" s="55">
        <v>30</v>
      </c>
      <c r="J7" s="55">
        <v>64</v>
      </c>
      <c r="K7" s="55">
        <v>154</v>
      </c>
      <c r="L7" s="55">
        <v>88</v>
      </c>
      <c r="M7" s="55">
        <v>44</v>
      </c>
      <c r="N7" s="55">
        <v>51</v>
      </c>
      <c r="O7" s="55">
        <v>61</v>
      </c>
      <c r="P7" s="55">
        <v>61</v>
      </c>
      <c r="Q7" s="55">
        <v>77</v>
      </c>
      <c r="R7" s="55">
        <v>72</v>
      </c>
      <c r="S7" s="55">
        <v>76</v>
      </c>
      <c r="T7" s="55">
        <v>157</v>
      </c>
      <c r="U7" s="55">
        <v>157</v>
      </c>
      <c r="V7" s="55">
        <v>110</v>
      </c>
      <c r="W7" s="55">
        <v>52</v>
      </c>
      <c r="X7" s="55">
        <v>52</v>
      </c>
      <c r="Y7" s="55">
        <v>20</v>
      </c>
      <c r="Z7" s="55">
        <v>12</v>
      </c>
      <c r="AA7" s="55">
        <v>61.31818181818182</v>
      </c>
    </row>
    <row r="8" spans="2:27" x14ac:dyDescent="0.3">
      <c r="B8" s="30" t="s">
        <v>46</v>
      </c>
      <c r="C8" s="55">
        <v>5</v>
      </c>
      <c r="D8" s="55">
        <v>2</v>
      </c>
      <c r="E8" s="55">
        <v>1</v>
      </c>
      <c r="F8" s="55"/>
      <c r="G8" s="55">
        <v>2</v>
      </c>
      <c r="H8" s="55">
        <v>4</v>
      </c>
      <c r="I8" s="55">
        <v>36</v>
      </c>
      <c r="J8" s="55">
        <v>94</v>
      </c>
      <c r="K8" s="55">
        <v>179</v>
      </c>
      <c r="L8" s="55">
        <v>100</v>
      </c>
      <c r="M8" s="55">
        <v>42</v>
      </c>
      <c r="N8" s="55">
        <v>57</v>
      </c>
      <c r="O8" s="55">
        <v>78</v>
      </c>
      <c r="P8" s="55">
        <v>97</v>
      </c>
      <c r="Q8" s="55">
        <v>63</v>
      </c>
      <c r="R8" s="55">
        <v>65</v>
      </c>
      <c r="S8" s="55">
        <v>83</v>
      </c>
      <c r="T8" s="55">
        <v>212</v>
      </c>
      <c r="U8" s="55">
        <v>182</v>
      </c>
      <c r="V8" s="55">
        <v>112</v>
      </c>
      <c r="W8" s="55">
        <v>54</v>
      </c>
      <c r="X8" s="55">
        <v>48</v>
      </c>
      <c r="Y8" s="55">
        <v>35</v>
      </c>
      <c r="Z8" s="55">
        <v>11</v>
      </c>
      <c r="AA8" s="55">
        <v>67.913043478260875</v>
      </c>
    </row>
    <row r="9" spans="2:27" x14ac:dyDescent="0.3">
      <c r="B9" s="30" t="s">
        <v>47</v>
      </c>
      <c r="C9" s="55">
        <v>6</v>
      </c>
      <c r="D9" s="55">
        <v>6</v>
      </c>
      <c r="E9" s="55">
        <v>2</v>
      </c>
      <c r="F9" s="55"/>
      <c r="G9" s="55">
        <v>2</v>
      </c>
      <c r="H9" s="55">
        <v>3</v>
      </c>
      <c r="I9" s="55">
        <v>33</v>
      </c>
      <c r="J9" s="55">
        <v>88</v>
      </c>
      <c r="K9" s="55">
        <v>195</v>
      </c>
      <c r="L9" s="55">
        <v>115</v>
      </c>
      <c r="M9" s="55">
        <v>57</v>
      </c>
      <c r="N9" s="55">
        <v>46</v>
      </c>
      <c r="O9" s="55">
        <v>79</v>
      </c>
      <c r="P9" s="55">
        <v>71</v>
      </c>
      <c r="Q9" s="55">
        <v>62</v>
      </c>
      <c r="R9" s="55">
        <v>62</v>
      </c>
      <c r="S9" s="55">
        <v>89</v>
      </c>
      <c r="T9" s="55">
        <v>190</v>
      </c>
      <c r="U9" s="55">
        <v>169</v>
      </c>
      <c r="V9" s="55">
        <v>132</v>
      </c>
      <c r="W9" s="55">
        <v>89</v>
      </c>
      <c r="X9" s="55">
        <v>43</v>
      </c>
      <c r="Y9" s="55">
        <v>42</v>
      </c>
      <c r="Z9" s="55">
        <v>19</v>
      </c>
      <c r="AA9" s="55">
        <v>69.565217391304344</v>
      </c>
    </row>
    <row r="10" spans="2:27" x14ac:dyDescent="0.3">
      <c r="B10" s="30" t="s">
        <v>48</v>
      </c>
      <c r="C10" s="55">
        <v>11</v>
      </c>
      <c r="D10" s="55">
        <v>4</v>
      </c>
      <c r="E10" s="55">
        <v>2</v>
      </c>
      <c r="F10" s="55"/>
      <c r="G10" s="55">
        <v>1</v>
      </c>
      <c r="H10" s="55">
        <v>4</v>
      </c>
      <c r="I10" s="55">
        <v>36</v>
      </c>
      <c r="J10" s="55">
        <v>95</v>
      </c>
      <c r="K10" s="55">
        <v>219</v>
      </c>
      <c r="L10" s="55">
        <v>122</v>
      </c>
      <c r="M10" s="55">
        <v>45</v>
      </c>
      <c r="N10" s="55">
        <v>59</v>
      </c>
      <c r="O10" s="55">
        <v>84</v>
      </c>
      <c r="P10" s="55">
        <v>67</v>
      </c>
      <c r="Q10" s="55">
        <v>70</v>
      </c>
      <c r="R10" s="55">
        <v>62</v>
      </c>
      <c r="S10" s="55">
        <v>86</v>
      </c>
      <c r="T10" s="55">
        <v>172</v>
      </c>
      <c r="U10" s="55">
        <v>163</v>
      </c>
      <c r="V10" s="55">
        <v>112</v>
      </c>
      <c r="W10" s="55">
        <v>69</v>
      </c>
      <c r="X10" s="55">
        <v>48</v>
      </c>
      <c r="Y10" s="55">
        <v>52</v>
      </c>
      <c r="Z10" s="55">
        <v>23</v>
      </c>
      <c r="AA10" s="55">
        <v>69.826086956521735</v>
      </c>
    </row>
    <row r="11" spans="2:27" x14ac:dyDescent="0.3">
      <c r="B11" s="30" t="s">
        <v>49</v>
      </c>
      <c r="C11" s="55">
        <v>17</v>
      </c>
      <c r="D11" s="55">
        <v>7</v>
      </c>
      <c r="E11" s="55">
        <v>1</v>
      </c>
      <c r="F11" s="55"/>
      <c r="G11" s="55">
        <v>1</v>
      </c>
      <c r="H11" s="55">
        <v>5</v>
      </c>
      <c r="I11" s="55">
        <v>34</v>
      </c>
      <c r="J11" s="55">
        <v>84</v>
      </c>
      <c r="K11" s="55">
        <v>210</v>
      </c>
      <c r="L11" s="55">
        <v>134</v>
      </c>
      <c r="M11" s="55">
        <v>63</v>
      </c>
      <c r="N11" s="55">
        <v>67</v>
      </c>
      <c r="O11" s="55">
        <v>59</v>
      </c>
      <c r="P11" s="55">
        <v>73</v>
      </c>
      <c r="Q11" s="55">
        <v>50</v>
      </c>
      <c r="R11" s="55">
        <v>72</v>
      </c>
      <c r="S11" s="55">
        <v>87</v>
      </c>
      <c r="T11" s="55">
        <v>187</v>
      </c>
      <c r="U11" s="55">
        <v>123</v>
      </c>
      <c r="V11" s="55">
        <v>95</v>
      </c>
      <c r="W11" s="55">
        <v>51</v>
      </c>
      <c r="X11" s="55">
        <v>39</v>
      </c>
      <c r="Y11" s="55">
        <v>36</v>
      </c>
      <c r="Z11" s="55">
        <v>15</v>
      </c>
      <c r="AA11" s="55">
        <v>65.652173913043484</v>
      </c>
    </row>
    <row r="12" spans="2:27" x14ac:dyDescent="0.3">
      <c r="B12" s="30" t="s">
        <v>50</v>
      </c>
      <c r="C12" s="55">
        <v>25</v>
      </c>
      <c r="D12" s="55">
        <v>16</v>
      </c>
      <c r="E12" s="55">
        <v>16</v>
      </c>
      <c r="F12" s="55">
        <v>7</v>
      </c>
      <c r="G12" s="55">
        <v>1</v>
      </c>
      <c r="H12" s="55">
        <v>5</v>
      </c>
      <c r="I12" s="55">
        <v>2</v>
      </c>
      <c r="J12" s="55">
        <v>9</v>
      </c>
      <c r="K12" s="55">
        <v>15</v>
      </c>
      <c r="L12" s="55">
        <v>20</v>
      </c>
      <c r="M12" s="55">
        <v>61</v>
      </c>
      <c r="N12" s="55">
        <v>62</v>
      </c>
      <c r="O12" s="55">
        <v>98</v>
      </c>
      <c r="P12" s="55">
        <v>102</v>
      </c>
      <c r="Q12" s="55">
        <v>95</v>
      </c>
      <c r="R12" s="55">
        <v>74</v>
      </c>
      <c r="S12" s="55">
        <v>76</v>
      </c>
      <c r="T12" s="55">
        <v>69</v>
      </c>
      <c r="U12" s="55">
        <v>55</v>
      </c>
      <c r="V12" s="55">
        <v>30</v>
      </c>
      <c r="W12" s="55">
        <v>28</v>
      </c>
      <c r="X12" s="55">
        <v>37</v>
      </c>
      <c r="Y12" s="55">
        <v>34</v>
      </c>
      <c r="Z12" s="55">
        <v>22</v>
      </c>
      <c r="AA12" s="55">
        <v>39.958333333333336</v>
      </c>
    </row>
    <row r="13" spans="2:27" x14ac:dyDescent="0.3">
      <c r="B13" s="30" t="s">
        <v>51</v>
      </c>
      <c r="C13" s="55">
        <v>25</v>
      </c>
      <c r="D13" s="55">
        <v>12</v>
      </c>
      <c r="E13" s="55">
        <v>11</v>
      </c>
      <c r="F13" s="55">
        <v>4</v>
      </c>
      <c r="G13" s="55">
        <v>1</v>
      </c>
      <c r="H13" s="55">
        <v>1</v>
      </c>
      <c r="I13" s="55">
        <v>1</v>
      </c>
      <c r="J13" s="55">
        <v>6</v>
      </c>
      <c r="K13" s="55">
        <v>10</v>
      </c>
      <c r="L13" s="55">
        <v>19</v>
      </c>
      <c r="M13" s="55">
        <v>49</v>
      </c>
      <c r="N13" s="55">
        <v>49</v>
      </c>
      <c r="O13" s="55">
        <v>83</v>
      </c>
      <c r="P13" s="55">
        <v>75</v>
      </c>
      <c r="Q13" s="55">
        <v>72</v>
      </c>
      <c r="R13" s="55">
        <v>82</v>
      </c>
      <c r="S13" s="55">
        <v>92</v>
      </c>
      <c r="T13" s="55">
        <v>62</v>
      </c>
      <c r="U13" s="55">
        <v>48</v>
      </c>
      <c r="V13" s="55">
        <v>41</v>
      </c>
      <c r="W13" s="55">
        <v>38</v>
      </c>
      <c r="X13" s="55">
        <v>20</v>
      </c>
      <c r="Y13" s="55">
        <v>15</v>
      </c>
      <c r="Z13" s="55">
        <v>6</v>
      </c>
      <c r="AA13" s="55">
        <v>34.25</v>
      </c>
    </row>
    <row r="14" spans="2:27" x14ac:dyDescent="0.3">
      <c r="B14" s="30" t="s">
        <v>52</v>
      </c>
      <c r="C14" s="55">
        <v>5</v>
      </c>
      <c r="D14" s="55">
        <v>1</v>
      </c>
      <c r="E14" s="55">
        <v>3</v>
      </c>
      <c r="F14" s="55">
        <v>1</v>
      </c>
      <c r="G14" s="55">
        <v>3</v>
      </c>
      <c r="H14" s="55">
        <v>3</v>
      </c>
      <c r="I14" s="55">
        <v>31</v>
      </c>
      <c r="J14" s="55">
        <v>77</v>
      </c>
      <c r="K14" s="55">
        <v>188</v>
      </c>
      <c r="L14" s="55">
        <v>94</v>
      </c>
      <c r="M14" s="55">
        <v>31</v>
      </c>
      <c r="N14" s="55">
        <v>30</v>
      </c>
      <c r="O14" s="55">
        <v>52</v>
      </c>
      <c r="P14" s="55">
        <v>54</v>
      </c>
      <c r="Q14" s="55">
        <v>47</v>
      </c>
      <c r="R14" s="55">
        <v>45</v>
      </c>
      <c r="S14" s="55">
        <v>74</v>
      </c>
      <c r="T14" s="55">
        <v>178</v>
      </c>
      <c r="U14" s="55">
        <v>155</v>
      </c>
      <c r="V14" s="55">
        <v>95</v>
      </c>
      <c r="W14" s="55">
        <v>74</v>
      </c>
      <c r="X14" s="55">
        <v>38</v>
      </c>
      <c r="Y14" s="55">
        <v>24</v>
      </c>
      <c r="Z14" s="55">
        <v>18</v>
      </c>
      <c r="AA14" s="55">
        <v>55.041666666666664</v>
      </c>
    </row>
    <row r="15" spans="2:27" x14ac:dyDescent="0.3">
      <c r="B15" s="30" t="s">
        <v>53</v>
      </c>
      <c r="C15" s="55">
        <v>12</v>
      </c>
      <c r="D15" s="55">
        <v>3</v>
      </c>
      <c r="E15" s="55">
        <v>3</v>
      </c>
      <c r="F15" s="55"/>
      <c r="G15" s="55"/>
      <c r="H15" s="55">
        <v>6</v>
      </c>
      <c r="I15" s="55">
        <v>27</v>
      </c>
      <c r="J15" s="55">
        <v>99</v>
      </c>
      <c r="K15" s="55">
        <v>217</v>
      </c>
      <c r="L15" s="55">
        <v>130</v>
      </c>
      <c r="M15" s="55">
        <v>54</v>
      </c>
      <c r="N15" s="55">
        <v>35</v>
      </c>
      <c r="O15" s="55">
        <v>57</v>
      </c>
      <c r="P15" s="55">
        <v>52</v>
      </c>
      <c r="Q15" s="55">
        <v>63</v>
      </c>
      <c r="R15" s="55">
        <v>47</v>
      </c>
      <c r="S15" s="55">
        <v>76</v>
      </c>
      <c r="T15" s="55">
        <v>136</v>
      </c>
      <c r="U15" s="55">
        <v>95</v>
      </c>
      <c r="V15" s="55">
        <v>51</v>
      </c>
      <c r="W15" s="55">
        <v>32</v>
      </c>
      <c r="X15" s="55">
        <v>20</v>
      </c>
      <c r="Y15" s="55">
        <v>29</v>
      </c>
      <c r="Z15" s="55">
        <v>19</v>
      </c>
      <c r="AA15" s="55">
        <v>57.409090909090907</v>
      </c>
    </row>
    <row r="16" spans="2:27" x14ac:dyDescent="0.3">
      <c r="B16" s="30" t="s">
        <v>54</v>
      </c>
      <c r="C16" s="55">
        <v>7</v>
      </c>
      <c r="D16" s="55">
        <v>6</v>
      </c>
      <c r="E16" s="55">
        <v>1</v>
      </c>
      <c r="F16" s="55"/>
      <c r="G16" s="55"/>
      <c r="H16" s="55">
        <v>5</v>
      </c>
      <c r="I16" s="55">
        <v>16</v>
      </c>
      <c r="J16" s="55">
        <v>54</v>
      </c>
      <c r="K16" s="55">
        <v>128</v>
      </c>
      <c r="L16" s="55">
        <v>81</v>
      </c>
      <c r="M16" s="55">
        <v>39</v>
      </c>
      <c r="N16" s="55">
        <v>35</v>
      </c>
      <c r="O16" s="55">
        <v>55</v>
      </c>
      <c r="P16" s="55">
        <v>49</v>
      </c>
      <c r="Q16" s="55">
        <v>44</v>
      </c>
      <c r="R16" s="55">
        <v>49</v>
      </c>
      <c r="S16" s="55">
        <v>68</v>
      </c>
      <c r="T16" s="55">
        <v>139</v>
      </c>
      <c r="U16" s="55">
        <v>137</v>
      </c>
      <c r="V16" s="55">
        <v>83</v>
      </c>
      <c r="W16" s="55">
        <v>56</v>
      </c>
      <c r="X16" s="55">
        <v>57</v>
      </c>
      <c r="Y16" s="55">
        <v>33</v>
      </c>
      <c r="Z16" s="55">
        <v>20</v>
      </c>
      <c r="AA16" s="55">
        <v>52.81818181818182</v>
      </c>
    </row>
    <row r="17" spans="2:27" x14ac:dyDescent="0.3">
      <c r="B17" s="30" t="s">
        <v>55</v>
      </c>
      <c r="C17" s="55">
        <v>7</v>
      </c>
      <c r="D17" s="55">
        <v>2</v>
      </c>
      <c r="E17" s="55">
        <v>2</v>
      </c>
      <c r="F17" s="55">
        <v>3</v>
      </c>
      <c r="G17" s="55">
        <v>4</v>
      </c>
      <c r="H17" s="55">
        <v>3</v>
      </c>
      <c r="I17" s="55">
        <v>28</v>
      </c>
      <c r="J17" s="55">
        <v>72</v>
      </c>
      <c r="K17" s="55">
        <v>202</v>
      </c>
      <c r="L17" s="55">
        <v>139</v>
      </c>
      <c r="M17" s="55">
        <v>38</v>
      </c>
      <c r="N17" s="55">
        <v>37</v>
      </c>
      <c r="O17" s="55">
        <v>52</v>
      </c>
      <c r="P17" s="55">
        <v>83</v>
      </c>
      <c r="Q17" s="55">
        <v>42</v>
      </c>
      <c r="R17" s="55">
        <v>60</v>
      </c>
      <c r="S17" s="55">
        <v>78</v>
      </c>
      <c r="T17" s="55">
        <v>162</v>
      </c>
      <c r="U17" s="55">
        <v>144</v>
      </c>
      <c r="V17" s="55">
        <v>99</v>
      </c>
      <c r="W17" s="55">
        <v>64</v>
      </c>
      <c r="X17" s="55">
        <v>40</v>
      </c>
      <c r="Y17" s="55">
        <v>30</v>
      </c>
      <c r="Z17" s="55">
        <v>15</v>
      </c>
      <c r="AA17" s="55">
        <v>58.583333333333336</v>
      </c>
    </row>
    <row r="18" spans="2:27" x14ac:dyDescent="0.3">
      <c r="B18" s="30" t="s">
        <v>56</v>
      </c>
      <c r="C18" s="55">
        <v>14</v>
      </c>
      <c r="D18" s="55">
        <v>5</v>
      </c>
      <c r="E18" s="55">
        <v>1</v>
      </c>
      <c r="F18" s="55">
        <v>1</v>
      </c>
      <c r="G18" s="55"/>
      <c r="H18" s="55">
        <v>8</v>
      </c>
      <c r="I18" s="55">
        <v>17</v>
      </c>
      <c r="J18" s="55">
        <v>70</v>
      </c>
      <c r="K18" s="55">
        <v>158</v>
      </c>
      <c r="L18" s="55">
        <v>117</v>
      </c>
      <c r="M18" s="55">
        <v>44</v>
      </c>
      <c r="N18" s="55">
        <v>53</v>
      </c>
      <c r="O18" s="55">
        <v>61</v>
      </c>
      <c r="P18" s="55">
        <v>77</v>
      </c>
      <c r="Q18" s="55">
        <v>64</v>
      </c>
      <c r="R18" s="55">
        <v>68</v>
      </c>
      <c r="S18" s="55">
        <v>90</v>
      </c>
      <c r="T18" s="55">
        <v>159</v>
      </c>
      <c r="U18" s="55">
        <v>139</v>
      </c>
      <c r="V18" s="55">
        <v>92</v>
      </c>
      <c r="W18" s="55">
        <v>68</v>
      </c>
      <c r="X18" s="55">
        <v>52</v>
      </c>
      <c r="Y18" s="55">
        <v>36</v>
      </c>
      <c r="Z18" s="55">
        <v>27</v>
      </c>
      <c r="AA18" s="55">
        <v>61.782608695652172</v>
      </c>
    </row>
    <row r="19" spans="2:27" x14ac:dyDescent="0.3">
      <c r="B19" s="30" t="s">
        <v>57</v>
      </c>
      <c r="C19" s="55">
        <v>28</v>
      </c>
      <c r="D19" s="55">
        <v>20</v>
      </c>
      <c r="E19" s="55">
        <v>12</v>
      </c>
      <c r="F19" s="55">
        <v>8</v>
      </c>
      <c r="G19" s="55">
        <v>5</v>
      </c>
      <c r="H19" s="55">
        <v>1</v>
      </c>
      <c r="I19" s="55">
        <v>3</v>
      </c>
      <c r="J19" s="55">
        <v>10</v>
      </c>
      <c r="K19" s="55">
        <v>23</v>
      </c>
      <c r="L19" s="55">
        <v>33</v>
      </c>
      <c r="M19" s="55">
        <v>59</v>
      </c>
      <c r="N19" s="55">
        <v>72</v>
      </c>
      <c r="O19" s="55">
        <v>89</v>
      </c>
      <c r="P19" s="55">
        <v>101</v>
      </c>
      <c r="Q19" s="55">
        <v>118</v>
      </c>
      <c r="R19" s="55">
        <v>129</v>
      </c>
      <c r="S19" s="55">
        <v>128</v>
      </c>
      <c r="T19" s="55">
        <v>83</v>
      </c>
      <c r="U19" s="55">
        <v>84</v>
      </c>
      <c r="V19" s="55">
        <v>74</v>
      </c>
      <c r="W19" s="55">
        <v>41</v>
      </c>
      <c r="X19" s="55">
        <v>57</v>
      </c>
      <c r="Y19" s="55">
        <v>26</v>
      </c>
      <c r="Z19" s="55">
        <v>44</v>
      </c>
      <c r="AA19" s="55">
        <v>52</v>
      </c>
    </row>
    <row r="20" spans="2:27" x14ac:dyDescent="0.3">
      <c r="B20" s="30" t="s">
        <v>58</v>
      </c>
      <c r="C20" s="55">
        <v>39</v>
      </c>
      <c r="D20" s="55">
        <v>23</v>
      </c>
      <c r="E20" s="55">
        <v>16</v>
      </c>
      <c r="F20" s="55">
        <v>15</v>
      </c>
      <c r="G20" s="55">
        <v>1</v>
      </c>
      <c r="H20" s="55">
        <v>2</v>
      </c>
      <c r="I20" s="55">
        <v>1</v>
      </c>
      <c r="J20" s="55">
        <v>3</v>
      </c>
      <c r="K20" s="55">
        <v>18</v>
      </c>
      <c r="L20" s="55">
        <v>32</v>
      </c>
      <c r="M20" s="55">
        <v>79</v>
      </c>
      <c r="N20" s="55">
        <v>93</v>
      </c>
      <c r="O20" s="55">
        <v>104</v>
      </c>
      <c r="P20" s="55">
        <v>118</v>
      </c>
      <c r="Q20" s="55">
        <v>91</v>
      </c>
      <c r="R20" s="55">
        <v>113</v>
      </c>
      <c r="S20" s="55">
        <v>99</v>
      </c>
      <c r="T20" s="55">
        <v>105</v>
      </c>
      <c r="U20" s="55">
        <v>67</v>
      </c>
      <c r="V20" s="55">
        <v>61</v>
      </c>
      <c r="W20" s="55">
        <v>57</v>
      </c>
      <c r="X20" s="55">
        <v>28</v>
      </c>
      <c r="Y20" s="55">
        <v>21</v>
      </c>
      <c r="Z20" s="55">
        <v>18</v>
      </c>
      <c r="AA20" s="55">
        <v>50.166666666666664</v>
      </c>
    </row>
    <row r="21" spans="2:27" x14ac:dyDescent="0.3">
      <c r="B21" s="30" t="s">
        <v>59</v>
      </c>
      <c r="C21" s="55">
        <v>17</v>
      </c>
      <c r="D21" s="55">
        <v>16</v>
      </c>
      <c r="E21" s="55">
        <v>8</v>
      </c>
      <c r="F21" s="55">
        <v>2</v>
      </c>
      <c r="G21" s="55">
        <v>3</v>
      </c>
      <c r="H21" s="55">
        <v>1</v>
      </c>
      <c r="I21" s="55">
        <v>5</v>
      </c>
      <c r="J21" s="55">
        <v>13</v>
      </c>
      <c r="K21" s="55">
        <v>33</v>
      </c>
      <c r="L21" s="55">
        <v>47</v>
      </c>
      <c r="M21" s="55">
        <v>57</v>
      </c>
      <c r="N21" s="55">
        <v>64</v>
      </c>
      <c r="O21" s="55">
        <v>80</v>
      </c>
      <c r="P21" s="55">
        <v>93</v>
      </c>
      <c r="Q21" s="55">
        <v>86</v>
      </c>
      <c r="R21" s="55">
        <v>93</v>
      </c>
      <c r="S21" s="55">
        <v>82</v>
      </c>
      <c r="T21" s="55">
        <v>71</v>
      </c>
      <c r="U21" s="55">
        <v>92</v>
      </c>
      <c r="V21" s="55">
        <v>60</v>
      </c>
      <c r="W21" s="55">
        <v>33</v>
      </c>
      <c r="X21" s="55">
        <v>27</v>
      </c>
      <c r="Y21" s="55">
        <v>13</v>
      </c>
      <c r="Z21" s="55">
        <v>4</v>
      </c>
      <c r="AA21" s="55">
        <v>41.666666666666664</v>
      </c>
    </row>
    <row r="22" spans="2:27" x14ac:dyDescent="0.3">
      <c r="B22" s="30" t="s">
        <v>60</v>
      </c>
      <c r="C22" s="55"/>
      <c r="D22" s="55"/>
      <c r="E22" s="55"/>
      <c r="F22" s="55"/>
      <c r="G22" s="55"/>
      <c r="H22" s="55"/>
      <c r="I22" s="55"/>
      <c r="J22" s="55"/>
      <c r="K22" s="55"/>
      <c r="L22" s="55"/>
      <c r="M22" s="55"/>
      <c r="N22" s="55"/>
      <c r="O22" s="55">
        <v>3</v>
      </c>
      <c r="P22" s="55">
        <v>22</v>
      </c>
      <c r="Q22" s="55">
        <v>28</v>
      </c>
      <c r="R22" s="55">
        <v>35</v>
      </c>
      <c r="S22" s="55">
        <v>61</v>
      </c>
      <c r="T22" s="55">
        <v>125</v>
      </c>
      <c r="U22" s="55">
        <v>133</v>
      </c>
      <c r="V22" s="55">
        <v>99</v>
      </c>
      <c r="W22" s="55">
        <v>83</v>
      </c>
      <c r="X22" s="55">
        <v>41</v>
      </c>
      <c r="Y22" s="55">
        <v>33</v>
      </c>
      <c r="Z22" s="55">
        <v>20</v>
      </c>
      <c r="AA22" s="55">
        <v>56.916666666666664</v>
      </c>
    </row>
    <row r="23" spans="2:27" x14ac:dyDescent="0.3">
      <c r="B23" s="30" t="s">
        <v>61</v>
      </c>
      <c r="C23" s="55">
        <v>3</v>
      </c>
      <c r="D23" s="55">
        <v>7</v>
      </c>
      <c r="E23" s="55">
        <v>3</v>
      </c>
      <c r="F23" s="55"/>
      <c r="G23" s="55">
        <v>2</v>
      </c>
      <c r="H23" s="55">
        <v>7</v>
      </c>
      <c r="I23" s="55">
        <v>32</v>
      </c>
      <c r="J23" s="55">
        <v>90</v>
      </c>
      <c r="K23" s="55">
        <v>197</v>
      </c>
      <c r="L23" s="55">
        <v>109</v>
      </c>
      <c r="M23" s="55">
        <v>47</v>
      </c>
      <c r="N23" s="55">
        <v>52</v>
      </c>
      <c r="O23" s="55">
        <v>70</v>
      </c>
      <c r="P23" s="55">
        <v>78</v>
      </c>
      <c r="Q23" s="55">
        <v>75</v>
      </c>
      <c r="R23" s="55">
        <v>82</v>
      </c>
      <c r="S23" s="55">
        <v>104</v>
      </c>
      <c r="T23" s="55">
        <v>197</v>
      </c>
      <c r="U23" s="55">
        <v>161</v>
      </c>
      <c r="V23" s="55">
        <v>112</v>
      </c>
      <c r="W23" s="55">
        <v>76</v>
      </c>
      <c r="X23" s="55">
        <v>59</v>
      </c>
      <c r="Y23" s="55">
        <v>59</v>
      </c>
      <c r="Z23" s="55">
        <v>28</v>
      </c>
      <c r="AA23" s="55">
        <v>71.739130434782609</v>
      </c>
    </row>
    <row r="24" spans="2:27" x14ac:dyDescent="0.3">
      <c r="B24" s="30" t="s">
        <v>62</v>
      </c>
      <c r="C24" s="55">
        <v>13</v>
      </c>
      <c r="D24" s="55">
        <v>5</v>
      </c>
      <c r="E24" s="55">
        <v>2</v>
      </c>
      <c r="F24" s="55">
        <v>1</v>
      </c>
      <c r="G24" s="55">
        <v>1</v>
      </c>
      <c r="H24" s="55">
        <v>6</v>
      </c>
      <c r="I24" s="55">
        <v>35</v>
      </c>
      <c r="J24" s="55">
        <v>101</v>
      </c>
      <c r="K24" s="55">
        <v>249</v>
      </c>
      <c r="L24" s="55">
        <v>143</v>
      </c>
      <c r="M24" s="55">
        <v>57</v>
      </c>
      <c r="N24" s="55">
        <v>68</v>
      </c>
      <c r="O24" s="55">
        <v>84</v>
      </c>
      <c r="P24" s="55">
        <v>98</v>
      </c>
      <c r="Q24" s="55">
        <v>81</v>
      </c>
      <c r="R24" s="55">
        <v>70</v>
      </c>
      <c r="S24" s="55">
        <v>91</v>
      </c>
      <c r="T24" s="55">
        <v>215</v>
      </c>
      <c r="U24" s="55">
        <v>185</v>
      </c>
      <c r="V24" s="55">
        <v>152</v>
      </c>
      <c r="W24" s="55">
        <v>126</v>
      </c>
      <c r="X24" s="55">
        <v>57</v>
      </c>
      <c r="Y24" s="55">
        <v>56</v>
      </c>
      <c r="Z24" s="55">
        <v>31</v>
      </c>
      <c r="AA24" s="55">
        <v>80.291666666666671</v>
      </c>
    </row>
    <row r="25" spans="2:27" x14ac:dyDescent="0.3">
      <c r="B25" s="30" t="s">
        <v>63</v>
      </c>
      <c r="C25" s="55">
        <v>21</v>
      </c>
      <c r="D25" s="55">
        <v>6</v>
      </c>
      <c r="E25" s="55">
        <v>2</v>
      </c>
      <c r="F25" s="55">
        <v>1</v>
      </c>
      <c r="G25" s="55">
        <v>1</v>
      </c>
      <c r="H25" s="55">
        <v>5</v>
      </c>
      <c r="I25" s="55">
        <v>27</v>
      </c>
      <c r="J25" s="55">
        <v>68</v>
      </c>
      <c r="K25" s="55">
        <v>217</v>
      </c>
      <c r="L25" s="55">
        <v>166</v>
      </c>
      <c r="M25" s="55">
        <v>63</v>
      </c>
      <c r="N25" s="55">
        <v>59</v>
      </c>
      <c r="O25" s="55">
        <v>78</v>
      </c>
      <c r="P25" s="55">
        <v>73</v>
      </c>
      <c r="Q25" s="55">
        <v>62</v>
      </c>
      <c r="R25" s="55">
        <v>65</v>
      </c>
      <c r="S25" s="55">
        <v>97</v>
      </c>
      <c r="T25" s="55">
        <v>161</v>
      </c>
      <c r="U25" s="55">
        <v>120</v>
      </c>
      <c r="V25" s="55">
        <v>96</v>
      </c>
      <c r="W25" s="55">
        <v>53</v>
      </c>
      <c r="X25" s="55">
        <v>41</v>
      </c>
      <c r="Y25" s="55">
        <v>34</v>
      </c>
      <c r="Z25" s="55">
        <v>27</v>
      </c>
      <c r="AA25" s="55">
        <v>64.291666666666671</v>
      </c>
    </row>
    <row r="26" spans="2:27" x14ac:dyDescent="0.3">
      <c r="B26" s="30" t="s">
        <v>64</v>
      </c>
      <c r="C26" s="55">
        <v>13</v>
      </c>
      <c r="D26" s="55">
        <v>12</v>
      </c>
      <c r="E26" s="55">
        <v>11</v>
      </c>
      <c r="F26" s="55">
        <v>7</v>
      </c>
      <c r="G26" s="55">
        <v>3</v>
      </c>
      <c r="H26" s="55"/>
      <c r="I26" s="55">
        <v>2</v>
      </c>
      <c r="J26" s="55">
        <v>8</v>
      </c>
      <c r="K26" s="55">
        <v>27</v>
      </c>
      <c r="L26" s="55">
        <v>40</v>
      </c>
      <c r="M26" s="55">
        <v>53</v>
      </c>
      <c r="N26" s="55">
        <v>63</v>
      </c>
      <c r="O26" s="55">
        <v>70</v>
      </c>
      <c r="P26" s="55">
        <v>84</v>
      </c>
      <c r="Q26" s="55">
        <v>75</v>
      </c>
      <c r="R26" s="55">
        <v>103</v>
      </c>
      <c r="S26" s="55">
        <v>83</v>
      </c>
      <c r="T26" s="55">
        <v>67</v>
      </c>
      <c r="U26" s="55">
        <v>54</v>
      </c>
      <c r="V26" s="55">
        <v>59</v>
      </c>
      <c r="W26" s="55">
        <v>45</v>
      </c>
      <c r="X26" s="55">
        <v>39</v>
      </c>
      <c r="Y26" s="55">
        <v>30</v>
      </c>
      <c r="Z26" s="55">
        <v>33</v>
      </c>
      <c r="AA26" s="55">
        <v>42.652173913043477</v>
      </c>
    </row>
    <row r="27" spans="2:27" x14ac:dyDescent="0.3">
      <c r="B27" s="30" t="s">
        <v>65</v>
      </c>
      <c r="C27" s="55">
        <v>22</v>
      </c>
      <c r="D27" s="55">
        <v>13</v>
      </c>
      <c r="E27" s="55">
        <v>18</v>
      </c>
      <c r="F27" s="55">
        <v>5</v>
      </c>
      <c r="G27" s="55"/>
      <c r="H27" s="55">
        <v>3</v>
      </c>
      <c r="I27" s="55">
        <v>1</v>
      </c>
      <c r="J27" s="55">
        <v>2</v>
      </c>
      <c r="K27" s="55">
        <v>19</v>
      </c>
      <c r="L27" s="55">
        <v>28</v>
      </c>
      <c r="M27" s="55">
        <v>58</v>
      </c>
      <c r="N27" s="55">
        <v>99</v>
      </c>
      <c r="O27" s="55">
        <v>116</v>
      </c>
      <c r="P27" s="55">
        <v>87</v>
      </c>
      <c r="Q27" s="55">
        <v>110</v>
      </c>
      <c r="R27" s="55">
        <v>77</v>
      </c>
      <c r="S27" s="55">
        <v>65</v>
      </c>
      <c r="T27" s="55">
        <v>55</v>
      </c>
      <c r="U27" s="55">
        <v>49</v>
      </c>
      <c r="V27" s="55">
        <v>50</v>
      </c>
      <c r="W27" s="55">
        <v>35</v>
      </c>
      <c r="X27" s="55">
        <v>25</v>
      </c>
      <c r="Y27" s="55">
        <v>28</v>
      </c>
      <c r="Z27" s="55">
        <v>21</v>
      </c>
      <c r="AA27" s="55">
        <v>42.869565217391305</v>
      </c>
    </row>
    <row r="28" spans="2:27" x14ac:dyDescent="0.3">
      <c r="B28" s="30" t="s">
        <v>66</v>
      </c>
      <c r="C28" s="55">
        <v>7</v>
      </c>
      <c r="D28" s="55">
        <v>1</v>
      </c>
      <c r="E28" s="55"/>
      <c r="F28" s="55">
        <v>1</v>
      </c>
      <c r="G28" s="55">
        <v>1</v>
      </c>
      <c r="H28" s="55">
        <v>5</v>
      </c>
      <c r="I28" s="55">
        <v>15</v>
      </c>
      <c r="J28" s="55">
        <v>84</v>
      </c>
      <c r="K28" s="55">
        <v>177</v>
      </c>
      <c r="L28" s="55">
        <v>102</v>
      </c>
      <c r="M28" s="55">
        <v>40</v>
      </c>
      <c r="N28" s="55">
        <v>46</v>
      </c>
      <c r="O28" s="55">
        <v>63</v>
      </c>
      <c r="P28" s="55">
        <v>60</v>
      </c>
      <c r="Q28" s="55">
        <v>45</v>
      </c>
      <c r="R28" s="55">
        <v>57</v>
      </c>
      <c r="S28" s="55">
        <v>70</v>
      </c>
      <c r="T28" s="55">
        <v>184</v>
      </c>
      <c r="U28" s="55">
        <v>153</v>
      </c>
      <c r="V28" s="55">
        <v>106</v>
      </c>
      <c r="W28" s="55">
        <v>81</v>
      </c>
      <c r="X28" s="55">
        <v>59</v>
      </c>
      <c r="Y28" s="55">
        <v>35</v>
      </c>
      <c r="Z28" s="55">
        <v>24</v>
      </c>
      <c r="AA28" s="55">
        <v>61.565217391304351</v>
      </c>
    </row>
    <row r="29" spans="2:27" x14ac:dyDescent="0.3">
      <c r="B29" s="30" t="s">
        <v>67</v>
      </c>
      <c r="C29" s="55">
        <v>9</v>
      </c>
      <c r="D29" s="55">
        <v>5</v>
      </c>
      <c r="E29" s="55">
        <v>2</v>
      </c>
      <c r="F29" s="55"/>
      <c r="G29" s="55">
        <v>1</v>
      </c>
      <c r="H29" s="55">
        <v>9</v>
      </c>
      <c r="I29" s="55">
        <v>36</v>
      </c>
      <c r="J29" s="55">
        <v>108</v>
      </c>
      <c r="K29" s="55">
        <v>238</v>
      </c>
      <c r="L29" s="55">
        <v>144</v>
      </c>
      <c r="M29" s="55">
        <v>55</v>
      </c>
      <c r="N29" s="55">
        <v>61</v>
      </c>
      <c r="O29" s="55">
        <v>106</v>
      </c>
      <c r="P29" s="55">
        <v>93</v>
      </c>
      <c r="Q29" s="55">
        <v>68</v>
      </c>
      <c r="R29" s="55">
        <v>84</v>
      </c>
      <c r="S29" s="55">
        <v>116</v>
      </c>
      <c r="T29" s="55">
        <v>222</v>
      </c>
      <c r="U29" s="55">
        <v>225</v>
      </c>
      <c r="V29" s="55">
        <v>146</v>
      </c>
      <c r="W29" s="55">
        <v>119</v>
      </c>
      <c r="X29" s="55">
        <v>45</v>
      </c>
      <c r="Y29" s="55">
        <v>53</v>
      </c>
      <c r="Z29" s="55">
        <v>40</v>
      </c>
      <c r="AA29" s="55">
        <v>86.304347826086953</v>
      </c>
    </row>
    <row r="30" spans="2:27" x14ac:dyDescent="0.3">
      <c r="B30" s="30" t="s">
        <v>68</v>
      </c>
      <c r="C30" s="55">
        <v>17</v>
      </c>
      <c r="D30" s="55">
        <v>5</v>
      </c>
      <c r="E30" s="55">
        <v>10</v>
      </c>
      <c r="F30" s="55"/>
      <c r="G30" s="55"/>
      <c r="H30" s="55">
        <v>1</v>
      </c>
      <c r="I30" s="55">
        <v>8</v>
      </c>
      <c r="J30" s="55">
        <v>30</v>
      </c>
      <c r="K30" s="55">
        <v>72</v>
      </c>
      <c r="L30" s="55">
        <v>58</v>
      </c>
      <c r="M30" s="55">
        <v>28</v>
      </c>
      <c r="N30" s="55">
        <v>41</v>
      </c>
      <c r="O30" s="55">
        <v>48</v>
      </c>
      <c r="P30" s="55">
        <v>47</v>
      </c>
      <c r="Q30" s="55">
        <v>36</v>
      </c>
      <c r="R30" s="55">
        <v>43</v>
      </c>
      <c r="S30" s="55">
        <v>36</v>
      </c>
      <c r="T30" s="55">
        <v>26</v>
      </c>
      <c r="U30" s="55"/>
      <c r="V30" s="55"/>
      <c r="W30" s="55"/>
      <c r="X30" s="55"/>
      <c r="Y30" s="55"/>
      <c r="Z30" s="55"/>
      <c r="AA30" s="55">
        <v>31.625</v>
      </c>
    </row>
    <row r="31" spans="2:27" x14ac:dyDescent="0.3">
      <c r="B31" s="30" t="s">
        <v>69</v>
      </c>
      <c r="C31" s="55"/>
      <c r="D31" s="55"/>
      <c r="E31" s="55"/>
      <c r="F31" s="55"/>
      <c r="G31" s="55"/>
      <c r="H31" s="55"/>
      <c r="I31" s="55"/>
      <c r="J31" s="55"/>
      <c r="K31" s="55"/>
      <c r="L31" s="55"/>
      <c r="M31" s="55"/>
      <c r="N31" s="55"/>
      <c r="O31" s="55"/>
      <c r="P31" s="55"/>
      <c r="Q31" s="55"/>
      <c r="R31" s="55"/>
      <c r="S31" s="55">
        <v>24</v>
      </c>
      <c r="T31" s="55">
        <v>84</v>
      </c>
      <c r="U31" s="55">
        <v>104</v>
      </c>
      <c r="V31" s="55">
        <v>79</v>
      </c>
      <c r="W31" s="55">
        <v>59</v>
      </c>
      <c r="X31" s="55">
        <v>38</v>
      </c>
      <c r="Y31" s="55">
        <v>27</v>
      </c>
      <c r="Z31" s="55">
        <v>16</v>
      </c>
      <c r="AA31" s="55">
        <v>53.875</v>
      </c>
    </row>
    <row r="32" spans="2:27" x14ac:dyDescent="0.3">
      <c r="B32" s="30" t="s">
        <v>70</v>
      </c>
      <c r="C32" s="55">
        <v>9</v>
      </c>
      <c r="D32" s="55">
        <v>3</v>
      </c>
      <c r="E32" s="55">
        <v>2</v>
      </c>
      <c r="F32" s="55">
        <v>1</v>
      </c>
      <c r="G32" s="55"/>
      <c r="H32" s="55">
        <v>4</v>
      </c>
      <c r="I32" s="55">
        <v>16</v>
      </c>
      <c r="J32" s="55">
        <v>60</v>
      </c>
      <c r="K32" s="55">
        <v>157</v>
      </c>
      <c r="L32" s="55">
        <v>101</v>
      </c>
      <c r="M32" s="55">
        <v>49</v>
      </c>
      <c r="N32" s="55">
        <v>30</v>
      </c>
      <c r="O32" s="55">
        <v>29</v>
      </c>
      <c r="P32" s="55">
        <v>31</v>
      </c>
      <c r="Q32" s="55">
        <v>38</v>
      </c>
      <c r="R32" s="55">
        <v>41</v>
      </c>
      <c r="S32" s="55">
        <v>80</v>
      </c>
      <c r="T32" s="55">
        <v>149</v>
      </c>
      <c r="U32" s="55">
        <v>109</v>
      </c>
      <c r="V32" s="55">
        <v>89</v>
      </c>
      <c r="W32" s="55">
        <v>62</v>
      </c>
      <c r="X32" s="55">
        <v>58</v>
      </c>
      <c r="Y32" s="55">
        <v>26</v>
      </c>
      <c r="Z32" s="55">
        <v>23</v>
      </c>
      <c r="AA32" s="55">
        <v>50.739130434782609</v>
      </c>
    </row>
    <row r="33" spans="2:27" x14ac:dyDescent="0.3">
      <c r="B33" s="30" t="s">
        <v>71</v>
      </c>
      <c r="C33" s="55">
        <v>28</v>
      </c>
      <c r="D33" s="55">
        <v>20</v>
      </c>
      <c r="E33" s="55">
        <v>15</v>
      </c>
      <c r="F33" s="55">
        <v>8</v>
      </c>
      <c r="G33" s="55">
        <v>3</v>
      </c>
      <c r="H33" s="55"/>
      <c r="I33" s="55">
        <v>2</v>
      </c>
      <c r="J33" s="55">
        <v>5</v>
      </c>
      <c r="K33" s="55">
        <v>34</v>
      </c>
      <c r="L33" s="55">
        <v>34</v>
      </c>
      <c r="M33" s="55">
        <v>55</v>
      </c>
      <c r="N33" s="55">
        <v>64</v>
      </c>
      <c r="O33" s="55">
        <v>78</v>
      </c>
      <c r="P33" s="55">
        <v>65</v>
      </c>
      <c r="Q33" s="55">
        <v>99</v>
      </c>
      <c r="R33" s="55">
        <v>120</v>
      </c>
      <c r="S33" s="55">
        <v>107</v>
      </c>
      <c r="T33" s="55">
        <v>91</v>
      </c>
      <c r="U33" s="55">
        <v>68</v>
      </c>
      <c r="V33" s="55">
        <v>58</v>
      </c>
      <c r="W33" s="55">
        <v>43</v>
      </c>
      <c r="X33" s="55">
        <v>36</v>
      </c>
      <c r="Y33" s="55">
        <v>32</v>
      </c>
      <c r="Z33" s="55">
        <v>33</v>
      </c>
      <c r="AA33" s="55">
        <v>47.739130434782609</v>
      </c>
    </row>
    <row r="34" spans="2:27" x14ac:dyDescent="0.3">
      <c r="B34" s="30" t="s">
        <v>72</v>
      </c>
      <c r="C34" s="55">
        <v>33</v>
      </c>
      <c r="D34" s="55">
        <v>29</v>
      </c>
      <c r="E34" s="55">
        <v>11</v>
      </c>
      <c r="F34" s="55">
        <v>8</v>
      </c>
      <c r="G34" s="55">
        <v>1</v>
      </c>
      <c r="H34" s="55">
        <v>3</v>
      </c>
      <c r="I34" s="55"/>
      <c r="J34" s="55">
        <v>3</v>
      </c>
      <c r="K34" s="55">
        <v>12</v>
      </c>
      <c r="L34" s="55">
        <v>38</v>
      </c>
      <c r="M34" s="55">
        <v>64</v>
      </c>
      <c r="N34" s="55">
        <v>59</v>
      </c>
      <c r="O34" s="55">
        <v>97</v>
      </c>
      <c r="P34" s="55">
        <v>84</v>
      </c>
      <c r="Q34" s="55">
        <v>122</v>
      </c>
      <c r="R34" s="55">
        <v>109</v>
      </c>
      <c r="S34" s="55">
        <v>123</v>
      </c>
      <c r="T34" s="55">
        <v>77</v>
      </c>
      <c r="U34" s="55">
        <v>65</v>
      </c>
      <c r="V34" s="55">
        <v>55</v>
      </c>
      <c r="W34" s="55">
        <v>33</v>
      </c>
      <c r="X34" s="55">
        <v>28</v>
      </c>
      <c r="Y34" s="55">
        <v>21</v>
      </c>
      <c r="Z34" s="55">
        <v>21</v>
      </c>
      <c r="AA34" s="55">
        <v>47.652173913043477</v>
      </c>
    </row>
    <row r="35" spans="2:27" x14ac:dyDescent="0.3">
      <c r="B35" s="30" t="s">
        <v>73</v>
      </c>
      <c r="C35" s="55">
        <v>7</v>
      </c>
      <c r="D35" s="55">
        <v>7</v>
      </c>
      <c r="E35" s="55">
        <v>1</v>
      </c>
      <c r="F35" s="55">
        <v>2</v>
      </c>
      <c r="G35" s="55">
        <v>2</v>
      </c>
      <c r="H35" s="55">
        <v>8</v>
      </c>
      <c r="I35" s="55">
        <v>37</v>
      </c>
      <c r="J35" s="55">
        <v>72</v>
      </c>
      <c r="K35" s="55">
        <v>185</v>
      </c>
      <c r="L35" s="55">
        <v>112</v>
      </c>
      <c r="M35" s="55">
        <v>69</v>
      </c>
      <c r="N35" s="55">
        <v>48</v>
      </c>
      <c r="O35" s="55">
        <v>68</v>
      </c>
      <c r="P35" s="55">
        <v>54</v>
      </c>
      <c r="Q35" s="55">
        <v>86</v>
      </c>
      <c r="R35" s="55">
        <v>44</v>
      </c>
      <c r="S35" s="55">
        <v>86</v>
      </c>
      <c r="T35" s="55">
        <v>161</v>
      </c>
      <c r="U35" s="55">
        <v>156</v>
      </c>
      <c r="V35" s="55">
        <v>111</v>
      </c>
      <c r="W35" s="55">
        <v>78</v>
      </c>
      <c r="X35" s="55">
        <v>56</v>
      </c>
      <c r="Y35" s="55">
        <v>34</v>
      </c>
      <c r="Z35" s="55">
        <v>17</v>
      </c>
      <c r="AA35" s="55">
        <v>62.541666666666664</v>
      </c>
    </row>
    <row r="36" spans="2:27" x14ac:dyDescent="0.3">
      <c r="B36" s="19" t="s">
        <v>31</v>
      </c>
      <c r="C36" s="55">
        <v>18.928571428571427</v>
      </c>
      <c r="D36" s="55">
        <v>11.785714285714286</v>
      </c>
      <c r="E36" s="55">
        <v>6.9285714285714288</v>
      </c>
      <c r="F36" s="55">
        <v>4.75</v>
      </c>
      <c r="G36" s="55">
        <v>2.7777777777777777</v>
      </c>
      <c r="H36" s="55">
        <v>4.4615384615384617</v>
      </c>
      <c r="I36" s="55">
        <v>21.928571428571427</v>
      </c>
      <c r="J36" s="55">
        <v>61.857142857142854</v>
      </c>
      <c r="K36" s="55">
        <v>141.46153846153845</v>
      </c>
      <c r="L36" s="55">
        <v>99.384615384615387</v>
      </c>
      <c r="M36" s="55">
        <v>58.769230769230766</v>
      </c>
      <c r="N36" s="55">
        <v>66.769230769230774</v>
      </c>
      <c r="O36" s="55">
        <v>84.92307692307692</v>
      </c>
      <c r="P36" s="55">
        <v>89.07692307692308</v>
      </c>
      <c r="Q36" s="55">
        <v>82</v>
      </c>
      <c r="R36" s="55">
        <v>88.07692307692308</v>
      </c>
      <c r="S36" s="55">
        <v>102.46153846153847</v>
      </c>
      <c r="T36" s="55">
        <v>164.69230769230768</v>
      </c>
      <c r="U36" s="55">
        <v>138.69230769230768</v>
      </c>
      <c r="V36" s="55">
        <v>87.307692307692307</v>
      </c>
      <c r="W36" s="55">
        <v>69.15384615384616</v>
      </c>
      <c r="X36" s="55">
        <v>57.153846153846153</v>
      </c>
      <c r="Y36" s="55">
        <v>42.846153846153847</v>
      </c>
      <c r="Z36" s="55">
        <v>33</v>
      </c>
      <c r="AA36" s="55">
        <v>64.47115384615384</v>
      </c>
    </row>
    <row r="37" spans="2:27" x14ac:dyDescent="0.3">
      <c r="B37" s="30" t="s">
        <v>74</v>
      </c>
      <c r="C37" s="55">
        <v>8</v>
      </c>
      <c r="D37" s="55">
        <v>3</v>
      </c>
      <c r="E37" s="55">
        <v>2</v>
      </c>
      <c r="F37" s="55">
        <v>2</v>
      </c>
      <c r="G37" s="55"/>
      <c r="H37" s="55">
        <v>3</v>
      </c>
      <c r="I37" s="55">
        <v>22</v>
      </c>
      <c r="J37" s="55">
        <v>52</v>
      </c>
      <c r="K37" s="55">
        <v>135</v>
      </c>
      <c r="L37" s="55">
        <v>116</v>
      </c>
      <c r="M37" s="55">
        <v>47</v>
      </c>
      <c r="N37" s="55">
        <v>51</v>
      </c>
      <c r="O37" s="55">
        <v>55</v>
      </c>
      <c r="P37" s="55">
        <v>52</v>
      </c>
      <c r="Q37" s="55">
        <v>54</v>
      </c>
      <c r="R37" s="55">
        <v>52</v>
      </c>
      <c r="S37" s="55">
        <v>64</v>
      </c>
      <c r="T37" s="55">
        <v>176</v>
      </c>
      <c r="U37" s="55">
        <v>168</v>
      </c>
      <c r="V37" s="55">
        <v>108</v>
      </c>
      <c r="W37" s="55">
        <v>74</v>
      </c>
      <c r="X37" s="55">
        <v>64</v>
      </c>
      <c r="Y37" s="55">
        <v>36</v>
      </c>
      <c r="Z37" s="55">
        <v>16</v>
      </c>
      <c r="AA37" s="55">
        <v>59.130434782608695</v>
      </c>
    </row>
    <row r="38" spans="2:27" x14ac:dyDescent="0.3">
      <c r="B38" s="30" t="s">
        <v>75</v>
      </c>
      <c r="C38" s="55">
        <v>2</v>
      </c>
      <c r="D38" s="55">
        <v>3</v>
      </c>
      <c r="E38" s="55">
        <v>4</v>
      </c>
      <c r="F38" s="55">
        <v>1</v>
      </c>
      <c r="G38" s="55">
        <v>1</v>
      </c>
      <c r="H38" s="55">
        <v>3</v>
      </c>
      <c r="I38" s="55">
        <v>18</v>
      </c>
      <c r="J38" s="55">
        <v>49</v>
      </c>
      <c r="K38" s="55">
        <v>155</v>
      </c>
      <c r="L38" s="55">
        <v>123</v>
      </c>
      <c r="M38" s="55">
        <v>61</v>
      </c>
      <c r="N38" s="55">
        <v>52</v>
      </c>
      <c r="O38" s="55">
        <v>64</v>
      </c>
      <c r="P38" s="55">
        <v>75</v>
      </c>
      <c r="Q38" s="55">
        <v>63</v>
      </c>
      <c r="R38" s="55">
        <v>76</v>
      </c>
      <c r="S38" s="55">
        <v>103</v>
      </c>
      <c r="T38" s="55">
        <v>190</v>
      </c>
      <c r="U38" s="55">
        <v>182</v>
      </c>
      <c r="V38" s="55">
        <v>91</v>
      </c>
      <c r="W38" s="55">
        <v>75</v>
      </c>
      <c r="X38" s="55">
        <v>63</v>
      </c>
      <c r="Y38" s="55">
        <v>40</v>
      </c>
      <c r="Z38" s="55">
        <v>32</v>
      </c>
      <c r="AA38" s="55">
        <v>63.583333333333336</v>
      </c>
    </row>
    <row r="39" spans="2:27" x14ac:dyDescent="0.3">
      <c r="B39" s="30" t="s">
        <v>76</v>
      </c>
      <c r="C39" s="55">
        <v>12</v>
      </c>
      <c r="D39" s="55">
        <v>5</v>
      </c>
      <c r="E39" s="55">
        <v>2</v>
      </c>
      <c r="F39" s="55">
        <v>1</v>
      </c>
      <c r="G39" s="55"/>
      <c r="H39" s="55">
        <v>2</v>
      </c>
      <c r="I39" s="55">
        <v>39</v>
      </c>
      <c r="J39" s="55">
        <v>87</v>
      </c>
      <c r="K39" s="55">
        <v>188</v>
      </c>
      <c r="L39" s="55">
        <v>133</v>
      </c>
      <c r="M39" s="55">
        <v>52</v>
      </c>
      <c r="N39" s="55">
        <v>64</v>
      </c>
      <c r="O39" s="55">
        <v>69</v>
      </c>
      <c r="P39" s="55">
        <v>51</v>
      </c>
      <c r="Q39" s="55">
        <v>47</v>
      </c>
      <c r="R39" s="55">
        <v>60</v>
      </c>
      <c r="S39" s="55">
        <v>78</v>
      </c>
      <c r="T39" s="55">
        <v>175</v>
      </c>
      <c r="U39" s="55">
        <v>147</v>
      </c>
      <c r="V39" s="55">
        <v>96</v>
      </c>
      <c r="W39" s="55">
        <v>109</v>
      </c>
      <c r="X39" s="55">
        <v>54</v>
      </c>
      <c r="Y39" s="55">
        <v>41</v>
      </c>
      <c r="Z39" s="55">
        <v>38</v>
      </c>
      <c r="AA39" s="55">
        <v>67.391304347826093</v>
      </c>
    </row>
    <row r="40" spans="2:27" x14ac:dyDescent="0.3">
      <c r="B40" s="30" t="s">
        <v>77</v>
      </c>
      <c r="C40" s="55">
        <v>13</v>
      </c>
      <c r="D40" s="55">
        <v>7</v>
      </c>
      <c r="E40" s="55">
        <v>1</v>
      </c>
      <c r="F40" s="55">
        <v>1</v>
      </c>
      <c r="G40" s="55"/>
      <c r="H40" s="55">
        <v>7</v>
      </c>
      <c r="I40" s="55">
        <v>28</v>
      </c>
      <c r="J40" s="55">
        <v>87</v>
      </c>
      <c r="K40" s="55">
        <v>220</v>
      </c>
      <c r="L40" s="55">
        <v>127</v>
      </c>
      <c r="M40" s="55">
        <v>51</v>
      </c>
      <c r="N40" s="55">
        <v>64</v>
      </c>
      <c r="O40" s="55">
        <v>86</v>
      </c>
      <c r="P40" s="55">
        <v>82</v>
      </c>
      <c r="Q40" s="55">
        <v>91</v>
      </c>
      <c r="R40" s="55">
        <v>90</v>
      </c>
      <c r="S40" s="55">
        <v>99</v>
      </c>
      <c r="T40" s="55">
        <v>205</v>
      </c>
      <c r="U40" s="55">
        <v>155</v>
      </c>
      <c r="V40" s="55">
        <v>103</v>
      </c>
      <c r="W40" s="55">
        <v>71</v>
      </c>
      <c r="X40" s="55">
        <v>43</v>
      </c>
      <c r="Y40" s="55">
        <v>46</v>
      </c>
      <c r="Z40" s="55">
        <v>31</v>
      </c>
      <c r="AA40" s="55">
        <v>74.260869565217391</v>
      </c>
    </row>
    <row r="41" spans="2:27" x14ac:dyDescent="0.3">
      <c r="B41" s="30" t="s">
        <v>78</v>
      </c>
      <c r="C41" s="55">
        <v>39</v>
      </c>
      <c r="D41" s="55">
        <v>18</v>
      </c>
      <c r="E41" s="55">
        <v>17</v>
      </c>
      <c r="F41" s="55">
        <v>11</v>
      </c>
      <c r="G41" s="55">
        <v>8</v>
      </c>
      <c r="H41" s="55">
        <v>9</v>
      </c>
      <c r="I41" s="55">
        <v>4</v>
      </c>
      <c r="J41" s="55">
        <v>4</v>
      </c>
      <c r="K41" s="55">
        <v>10</v>
      </c>
      <c r="L41" s="55">
        <v>20</v>
      </c>
      <c r="M41" s="55">
        <v>34</v>
      </c>
      <c r="N41" s="55">
        <v>47</v>
      </c>
      <c r="O41" s="55">
        <v>52</v>
      </c>
      <c r="P41" s="55">
        <v>72</v>
      </c>
      <c r="Q41" s="55">
        <v>55</v>
      </c>
      <c r="R41" s="55">
        <v>60</v>
      </c>
      <c r="S41" s="55">
        <v>71</v>
      </c>
      <c r="T41" s="55">
        <v>78</v>
      </c>
      <c r="U41" s="55">
        <v>83</v>
      </c>
      <c r="V41" s="55">
        <v>84</v>
      </c>
      <c r="W41" s="55">
        <v>69</v>
      </c>
      <c r="X41" s="55">
        <v>56</v>
      </c>
      <c r="Y41" s="55">
        <v>45</v>
      </c>
      <c r="Z41" s="55">
        <v>59</v>
      </c>
      <c r="AA41" s="55">
        <v>41.875</v>
      </c>
    </row>
    <row r="42" spans="2:27" x14ac:dyDescent="0.3">
      <c r="B42" s="30" t="s">
        <v>79</v>
      </c>
      <c r="C42" s="55">
        <v>39</v>
      </c>
      <c r="D42" s="55">
        <v>44</v>
      </c>
      <c r="E42" s="55">
        <v>20</v>
      </c>
      <c r="F42" s="55">
        <v>13</v>
      </c>
      <c r="G42" s="55">
        <v>2</v>
      </c>
      <c r="H42" s="55">
        <v>1</v>
      </c>
      <c r="I42" s="55">
        <v>1</v>
      </c>
      <c r="J42" s="55">
        <v>8</v>
      </c>
      <c r="K42" s="55">
        <v>23</v>
      </c>
      <c r="L42" s="55">
        <v>45</v>
      </c>
      <c r="M42" s="55">
        <v>89</v>
      </c>
      <c r="N42" s="55">
        <v>117</v>
      </c>
      <c r="O42" s="55">
        <v>174</v>
      </c>
      <c r="P42" s="55">
        <v>182</v>
      </c>
      <c r="Q42" s="55">
        <v>161</v>
      </c>
      <c r="R42" s="55">
        <v>182</v>
      </c>
      <c r="S42" s="55">
        <v>157</v>
      </c>
      <c r="T42" s="55">
        <v>121</v>
      </c>
      <c r="U42" s="55">
        <v>78</v>
      </c>
      <c r="V42" s="55">
        <v>21</v>
      </c>
      <c r="W42" s="55">
        <v>26</v>
      </c>
      <c r="X42" s="55">
        <v>27</v>
      </c>
      <c r="Y42" s="55">
        <v>62</v>
      </c>
      <c r="Z42" s="55">
        <v>30</v>
      </c>
      <c r="AA42" s="55">
        <v>67.625</v>
      </c>
    </row>
    <row r="43" spans="2:27" x14ac:dyDescent="0.3">
      <c r="B43" s="30" t="s">
        <v>80</v>
      </c>
      <c r="C43" s="55">
        <v>15</v>
      </c>
      <c r="D43" s="55">
        <v>5</v>
      </c>
      <c r="E43" s="55">
        <v>3</v>
      </c>
      <c r="F43" s="55">
        <v>1</v>
      </c>
      <c r="G43" s="55">
        <v>2</v>
      </c>
      <c r="H43" s="55">
        <v>10</v>
      </c>
      <c r="I43" s="55">
        <v>30</v>
      </c>
      <c r="J43" s="55">
        <v>95</v>
      </c>
      <c r="K43" s="55">
        <v>230</v>
      </c>
      <c r="L43" s="55">
        <v>118</v>
      </c>
      <c r="M43" s="55">
        <v>55</v>
      </c>
      <c r="N43" s="55">
        <v>47</v>
      </c>
      <c r="O43" s="55">
        <v>66</v>
      </c>
      <c r="P43" s="55">
        <v>64</v>
      </c>
      <c r="Q43" s="55">
        <v>60</v>
      </c>
      <c r="R43" s="55">
        <v>50</v>
      </c>
      <c r="S43" s="55">
        <v>114</v>
      </c>
      <c r="T43" s="55">
        <v>216</v>
      </c>
      <c r="U43" s="55">
        <v>175</v>
      </c>
      <c r="V43" s="55">
        <v>128</v>
      </c>
      <c r="W43" s="55">
        <v>88</v>
      </c>
      <c r="X43" s="55">
        <v>78</v>
      </c>
      <c r="Y43" s="55">
        <v>37</v>
      </c>
      <c r="Z43" s="55">
        <v>25</v>
      </c>
      <c r="AA43" s="55">
        <v>71.333333333333329</v>
      </c>
    </row>
    <row r="44" spans="2:27" x14ac:dyDescent="0.3">
      <c r="B44" s="30" t="s">
        <v>81</v>
      </c>
      <c r="C44" s="55">
        <v>10</v>
      </c>
      <c r="D44" s="55">
        <v>4</v>
      </c>
      <c r="E44" s="55">
        <v>2</v>
      </c>
      <c r="F44" s="55">
        <v>1</v>
      </c>
      <c r="G44" s="55">
        <v>3</v>
      </c>
      <c r="H44" s="55">
        <v>2</v>
      </c>
      <c r="I44" s="55">
        <v>39</v>
      </c>
      <c r="J44" s="55">
        <v>100</v>
      </c>
      <c r="K44" s="55">
        <v>243</v>
      </c>
      <c r="L44" s="55">
        <v>135</v>
      </c>
      <c r="M44" s="55">
        <v>48</v>
      </c>
      <c r="N44" s="55">
        <v>50</v>
      </c>
      <c r="O44" s="55">
        <v>65</v>
      </c>
      <c r="P44" s="55">
        <v>50</v>
      </c>
      <c r="Q44" s="55">
        <v>64</v>
      </c>
      <c r="R44" s="55">
        <v>51</v>
      </c>
      <c r="S44" s="55">
        <v>83</v>
      </c>
      <c r="T44" s="55">
        <v>176</v>
      </c>
      <c r="U44" s="55">
        <v>152</v>
      </c>
      <c r="V44" s="55">
        <v>101</v>
      </c>
      <c r="W44" s="55">
        <v>56</v>
      </c>
      <c r="X44" s="55">
        <v>54</v>
      </c>
      <c r="Y44" s="55">
        <v>29</v>
      </c>
      <c r="Z44" s="55">
        <v>12</v>
      </c>
      <c r="AA44" s="55">
        <v>63.75</v>
      </c>
    </row>
    <row r="45" spans="2:27" x14ac:dyDescent="0.3">
      <c r="B45" s="30" t="s">
        <v>82</v>
      </c>
      <c r="C45" s="55">
        <v>17</v>
      </c>
      <c r="D45" s="55">
        <v>7</v>
      </c>
      <c r="E45" s="55">
        <v>3</v>
      </c>
      <c r="F45" s="55">
        <v>2</v>
      </c>
      <c r="G45" s="55"/>
      <c r="H45" s="55">
        <v>7</v>
      </c>
      <c r="I45" s="55">
        <v>43</v>
      </c>
      <c r="J45" s="55">
        <v>99</v>
      </c>
      <c r="K45" s="55">
        <v>199</v>
      </c>
      <c r="L45" s="55">
        <v>123</v>
      </c>
      <c r="M45" s="55">
        <v>59</v>
      </c>
      <c r="N45" s="55">
        <v>41</v>
      </c>
      <c r="O45" s="55">
        <v>61</v>
      </c>
      <c r="P45" s="55">
        <v>69</v>
      </c>
      <c r="Q45" s="55">
        <v>58</v>
      </c>
      <c r="R45" s="55">
        <v>64</v>
      </c>
      <c r="S45" s="55">
        <v>79</v>
      </c>
      <c r="T45" s="55">
        <v>166</v>
      </c>
      <c r="U45" s="55">
        <v>170</v>
      </c>
      <c r="V45" s="55">
        <v>88</v>
      </c>
      <c r="W45" s="55">
        <v>84</v>
      </c>
      <c r="X45" s="55">
        <v>83</v>
      </c>
      <c r="Y45" s="55">
        <v>46</v>
      </c>
      <c r="Z45" s="55">
        <v>37</v>
      </c>
      <c r="AA45" s="55">
        <v>69.782608695652172</v>
      </c>
    </row>
    <row r="46" spans="2:27" x14ac:dyDescent="0.3">
      <c r="B46" s="30" t="s">
        <v>83</v>
      </c>
      <c r="C46" s="55">
        <v>16</v>
      </c>
      <c r="D46" s="55">
        <v>7</v>
      </c>
      <c r="E46" s="55">
        <v>3</v>
      </c>
      <c r="F46" s="55"/>
      <c r="G46" s="55">
        <v>1</v>
      </c>
      <c r="H46" s="55">
        <v>6</v>
      </c>
      <c r="I46" s="55">
        <v>26</v>
      </c>
      <c r="J46" s="55">
        <v>99</v>
      </c>
      <c r="K46" s="55">
        <v>178</v>
      </c>
      <c r="L46" s="55">
        <v>122</v>
      </c>
      <c r="M46" s="55">
        <v>35</v>
      </c>
      <c r="N46" s="55">
        <v>45</v>
      </c>
      <c r="O46" s="55">
        <v>69</v>
      </c>
      <c r="P46" s="55">
        <v>62</v>
      </c>
      <c r="Q46" s="55">
        <v>48</v>
      </c>
      <c r="R46" s="55">
        <v>50</v>
      </c>
      <c r="S46" s="55">
        <v>80</v>
      </c>
      <c r="T46" s="55">
        <v>165</v>
      </c>
      <c r="U46" s="55">
        <v>160</v>
      </c>
      <c r="V46" s="55">
        <v>112</v>
      </c>
      <c r="W46" s="55">
        <v>97</v>
      </c>
      <c r="X46" s="55">
        <v>72</v>
      </c>
      <c r="Y46" s="55">
        <v>51</v>
      </c>
      <c r="Z46" s="55">
        <v>34</v>
      </c>
      <c r="AA46" s="55">
        <v>66.869565217391298</v>
      </c>
    </row>
    <row r="47" spans="2:27" x14ac:dyDescent="0.3">
      <c r="B47" s="30" t="s">
        <v>84</v>
      </c>
      <c r="C47" s="55">
        <v>14</v>
      </c>
      <c r="D47" s="55">
        <v>7</v>
      </c>
      <c r="E47" s="55">
        <v>3</v>
      </c>
      <c r="F47" s="55"/>
      <c r="G47" s="55"/>
      <c r="H47" s="55">
        <v>4</v>
      </c>
      <c r="I47" s="55">
        <v>24</v>
      </c>
      <c r="J47" s="55">
        <v>74</v>
      </c>
      <c r="K47" s="55">
        <v>216</v>
      </c>
      <c r="L47" s="55">
        <v>140</v>
      </c>
      <c r="M47" s="55">
        <v>44</v>
      </c>
      <c r="N47" s="55">
        <v>64</v>
      </c>
      <c r="O47" s="55">
        <v>71</v>
      </c>
      <c r="P47" s="55">
        <v>110</v>
      </c>
      <c r="Q47" s="55">
        <v>84</v>
      </c>
      <c r="R47" s="55">
        <v>74</v>
      </c>
      <c r="S47" s="55">
        <v>125</v>
      </c>
      <c r="T47" s="55">
        <v>211</v>
      </c>
      <c r="U47" s="55">
        <v>174</v>
      </c>
      <c r="V47" s="55">
        <v>101</v>
      </c>
      <c r="W47" s="55">
        <v>63</v>
      </c>
      <c r="X47" s="55">
        <v>47</v>
      </c>
      <c r="Y47" s="55">
        <v>43</v>
      </c>
      <c r="Z47" s="55">
        <v>53</v>
      </c>
      <c r="AA47" s="55">
        <v>79.36363636363636</v>
      </c>
    </row>
    <row r="48" spans="2:27" x14ac:dyDescent="0.3">
      <c r="B48" s="30" t="s">
        <v>85</v>
      </c>
      <c r="C48" s="55">
        <v>30</v>
      </c>
      <c r="D48" s="55">
        <v>24</v>
      </c>
      <c r="E48" s="55">
        <v>15</v>
      </c>
      <c r="F48" s="55">
        <v>10</v>
      </c>
      <c r="G48" s="55">
        <v>4</v>
      </c>
      <c r="H48" s="55">
        <v>1</v>
      </c>
      <c r="I48" s="55">
        <v>2</v>
      </c>
      <c r="J48" s="55">
        <v>11</v>
      </c>
      <c r="K48" s="55">
        <v>30</v>
      </c>
      <c r="L48" s="55">
        <v>43</v>
      </c>
      <c r="M48" s="55">
        <v>84</v>
      </c>
      <c r="N48" s="55">
        <v>114</v>
      </c>
      <c r="O48" s="55">
        <v>120</v>
      </c>
      <c r="P48" s="55">
        <v>135</v>
      </c>
      <c r="Q48" s="55">
        <v>120</v>
      </c>
      <c r="R48" s="55">
        <v>174</v>
      </c>
      <c r="S48" s="55">
        <v>145</v>
      </c>
      <c r="T48" s="55">
        <v>137</v>
      </c>
      <c r="U48" s="55">
        <v>64</v>
      </c>
      <c r="V48" s="55">
        <v>41</v>
      </c>
      <c r="W48" s="55">
        <v>40</v>
      </c>
      <c r="X48" s="55">
        <v>51</v>
      </c>
      <c r="Y48" s="55">
        <v>45</v>
      </c>
      <c r="Z48" s="55">
        <v>32</v>
      </c>
      <c r="AA48" s="55">
        <v>61.333333333333336</v>
      </c>
    </row>
    <row r="49" spans="2:27" x14ac:dyDescent="0.3">
      <c r="B49" s="30" t="s">
        <v>86</v>
      </c>
      <c r="C49" s="55">
        <v>39</v>
      </c>
      <c r="D49" s="55">
        <v>24</v>
      </c>
      <c r="E49" s="55">
        <v>20</v>
      </c>
      <c r="F49" s="55">
        <v>12</v>
      </c>
      <c r="G49" s="55">
        <v>2</v>
      </c>
      <c r="H49" s="55"/>
      <c r="I49" s="55">
        <v>5</v>
      </c>
      <c r="J49" s="55">
        <v>3</v>
      </c>
      <c r="K49" s="55">
        <v>12</v>
      </c>
      <c r="L49" s="55">
        <v>47</v>
      </c>
      <c r="M49" s="55">
        <v>105</v>
      </c>
      <c r="N49" s="55">
        <v>112</v>
      </c>
      <c r="O49" s="55">
        <v>152</v>
      </c>
      <c r="P49" s="55">
        <v>154</v>
      </c>
      <c r="Q49" s="55">
        <v>161</v>
      </c>
      <c r="R49" s="55">
        <v>162</v>
      </c>
      <c r="S49" s="55">
        <v>134</v>
      </c>
      <c r="T49" s="55">
        <v>125</v>
      </c>
      <c r="U49" s="55">
        <v>95</v>
      </c>
      <c r="V49" s="55">
        <v>61</v>
      </c>
      <c r="W49" s="55">
        <v>47</v>
      </c>
      <c r="X49" s="55">
        <v>51</v>
      </c>
      <c r="Y49" s="55">
        <v>36</v>
      </c>
      <c r="Z49" s="55">
        <v>30</v>
      </c>
      <c r="AA49" s="55">
        <v>69.086956521739125</v>
      </c>
    </row>
    <row r="50" spans="2:27" x14ac:dyDescent="0.3">
      <c r="B50" s="30" t="s">
        <v>87</v>
      </c>
      <c r="C50" s="55">
        <v>11</v>
      </c>
      <c r="D50" s="55">
        <v>7</v>
      </c>
      <c r="E50" s="55">
        <v>2</v>
      </c>
      <c r="F50" s="55">
        <v>2</v>
      </c>
      <c r="G50" s="55">
        <v>2</v>
      </c>
      <c r="H50" s="55">
        <v>3</v>
      </c>
      <c r="I50" s="55">
        <v>26</v>
      </c>
      <c r="J50" s="55">
        <v>98</v>
      </c>
      <c r="K50" s="55"/>
      <c r="L50" s="55"/>
      <c r="M50" s="55"/>
      <c r="N50" s="55"/>
      <c r="O50" s="55"/>
      <c r="P50" s="55"/>
      <c r="Q50" s="55"/>
      <c r="R50" s="55"/>
      <c r="S50" s="55"/>
      <c r="T50" s="55"/>
      <c r="U50" s="55"/>
      <c r="V50" s="55"/>
      <c r="W50" s="55"/>
      <c r="X50" s="55"/>
      <c r="Y50" s="55"/>
      <c r="Z50" s="55"/>
      <c r="AA50" s="55">
        <v>18.875</v>
      </c>
    </row>
    <row r="51" spans="2:27" x14ac:dyDescent="0.3">
      <c r="B51" s="19" t="s">
        <v>14</v>
      </c>
      <c r="C51" s="55">
        <v>16.348837209302324</v>
      </c>
      <c r="D51" s="55">
        <v>10.697674418604651</v>
      </c>
      <c r="E51" s="55">
        <v>7.1707317073170733</v>
      </c>
      <c r="F51" s="55">
        <v>4.870967741935484</v>
      </c>
      <c r="G51" s="55">
        <v>2.15625</v>
      </c>
      <c r="H51" s="55">
        <v>4.2051282051282053</v>
      </c>
      <c r="I51" s="55">
        <v>19.571428571428573</v>
      </c>
      <c r="J51" s="55">
        <v>54.395348837209305</v>
      </c>
      <c r="K51" s="55">
        <v>128.28571428571428</v>
      </c>
      <c r="L51" s="55">
        <v>87.428571428571431</v>
      </c>
      <c r="M51" s="55">
        <v>53.642857142857146</v>
      </c>
      <c r="N51" s="55">
        <v>59.38095238095238</v>
      </c>
      <c r="O51" s="55">
        <v>76.348837209302332</v>
      </c>
      <c r="P51" s="55">
        <v>78.511627906976742</v>
      </c>
      <c r="Q51" s="55">
        <v>74.418604651162795</v>
      </c>
      <c r="R51" s="55">
        <v>77.95348837209302</v>
      </c>
      <c r="S51" s="55">
        <v>89.272727272727266</v>
      </c>
      <c r="T51" s="55">
        <v>140.20454545454547</v>
      </c>
      <c r="U51" s="55">
        <v>122.86046511627907</v>
      </c>
      <c r="V51" s="55">
        <v>85.139534883720927</v>
      </c>
      <c r="W51" s="55">
        <v>61.767441860465119</v>
      </c>
      <c r="X51" s="55">
        <v>46.418604651162788</v>
      </c>
      <c r="Y51" s="55">
        <v>35.069767441860463</v>
      </c>
      <c r="Z51" s="55">
        <v>25.186046511627907</v>
      </c>
      <c r="AA51" s="55">
        <v>58.304000000000002</v>
      </c>
    </row>
  </sheetData>
  <mergeCells count="1">
    <mergeCell ref="B1:D1"/>
  </mergeCells>
  <conditionalFormatting pivot="1" sqref="C4:AA51">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C43EA-BCAE-4721-BA03-8337A5426267}">
  <sheetPr>
    <tabColor rgb="FF00B050"/>
  </sheetPr>
  <dimension ref="B1:AD66"/>
  <sheetViews>
    <sheetView showGridLines="0" tabSelected="1" zoomScale="75" zoomScaleNormal="75" workbookViewId="0">
      <selection activeCell="AE36" sqref="AE36"/>
    </sheetView>
  </sheetViews>
  <sheetFormatPr defaultRowHeight="14.4" x14ac:dyDescent="0.3"/>
  <sheetData>
    <row r="1" spans="2:30" x14ac:dyDescent="0.3">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row>
    <row r="2" spans="2:30" x14ac:dyDescent="0.3">
      <c r="B2" s="31"/>
      <c r="C2" s="31"/>
      <c r="D2" s="31"/>
      <c r="E2" s="31"/>
      <c r="F2" s="31"/>
      <c r="G2" s="31"/>
      <c r="H2" s="31"/>
      <c r="I2" s="31"/>
      <c r="J2" s="60" t="s">
        <v>90</v>
      </c>
      <c r="K2" s="60"/>
      <c r="L2" s="60"/>
      <c r="M2" s="60"/>
      <c r="N2" s="60"/>
      <c r="O2" s="60"/>
      <c r="P2" s="60"/>
      <c r="Q2" s="60"/>
      <c r="R2" s="60"/>
      <c r="S2" s="60"/>
      <c r="T2" s="60"/>
      <c r="U2" s="60"/>
      <c r="V2" s="31"/>
      <c r="W2" s="31"/>
      <c r="X2" s="31"/>
      <c r="Y2" s="31"/>
      <c r="Z2" s="31"/>
      <c r="AA2" s="31"/>
      <c r="AB2" s="31"/>
      <c r="AC2" s="31"/>
      <c r="AD2" s="31"/>
    </row>
    <row r="3" spans="2:30" x14ac:dyDescent="0.3">
      <c r="B3" s="31"/>
      <c r="C3" s="31"/>
      <c r="D3" s="31"/>
      <c r="E3" s="31"/>
      <c r="F3" s="31"/>
      <c r="G3" s="31"/>
      <c r="H3" s="31"/>
      <c r="I3" s="31"/>
      <c r="J3" s="60"/>
      <c r="K3" s="60"/>
      <c r="L3" s="60"/>
      <c r="M3" s="60"/>
      <c r="N3" s="60"/>
      <c r="O3" s="60"/>
      <c r="P3" s="60"/>
      <c r="Q3" s="60"/>
      <c r="R3" s="60"/>
      <c r="S3" s="60"/>
      <c r="T3" s="60"/>
      <c r="U3" s="60"/>
      <c r="V3" s="31"/>
      <c r="W3" s="31"/>
      <c r="X3" s="31"/>
      <c r="Y3" s="31"/>
      <c r="Z3" s="31"/>
      <c r="AA3" s="31"/>
      <c r="AB3" s="31"/>
      <c r="AC3" s="31"/>
      <c r="AD3" s="31"/>
    </row>
    <row r="4" spans="2:30" x14ac:dyDescent="0.3">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row>
    <row r="5" spans="2:30" x14ac:dyDescent="0.3">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row>
    <row r="6" spans="2:30" x14ac:dyDescent="0.3">
      <c r="B6" s="31"/>
      <c r="C6" s="31"/>
      <c r="D6" s="31"/>
      <c r="E6" s="31"/>
      <c r="F6" s="31"/>
      <c r="G6" s="31"/>
      <c r="H6" s="31"/>
      <c r="I6" s="31"/>
      <c r="J6" s="31"/>
      <c r="K6" s="31"/>
      <c r="L6" s="31"/>
      <c r="M6" s="31"/>
      <c r="N6" s="31"/>
      <c r="O6" s="31"/>
      <c r="P6" s="31"/>
      <c r="Q6" s="31"/>
      <c r="R6" s="31"/>
      <c r="S6" s="31"/>
      <c r="T6" s="31"/>
      <c r="U6" s="31"/>
      <c r="V6" s="31"/>
      <c r="W6" s="31"/>
      <c r="X6" s="31"/>
      <c r="Y6" s="31"/>
      <c r="Z6" s="31"/>
      <c r="AA6" s="31"/>
      <c r="AB6" s="31"/>
      <c r="AC6" s="31"/>
      <c r="AD6" s="31"/>
    </row>
    <row r="7" spans="2:30" x14ac:dyDescent="0.3">
      <c r="B7" s="31"/>
      <c r="C7" s="31"/>
      <c r="D7" s="31"/>
      <c r="E7" s="31"/>
      <c r="F7" s="31"/>
      <c r="G7" s="31"/>
      <c r="H7" s="31"/>
      <c r="I7" s="31"/>
      <c r="J7" s="31"/>
      <c r="K7" s="31"/>
      <c r="L7" s="31"/>
      <c r="M7" s="31"/>
      <c r="N7" s="31"/>
      <c r="O7" s="31"/>
      <c r="P7" s="31"/>
      <c r="Q7" s="31"/>
      <c r="R7" s="31"/>
      <c r="S7" s="31"/>
      <c r="T7" s="31"/>
      <c r="U7" s="31"/>
      <c r="V7" s="31"/>
      <c r="W7" s="31"/>
      <c r="X7" s="31"/>
      <c r="Y7" s="31"/>
      <c r="Z7" s="31"/>
      <c r="AA7" s="31"/>
      <c r="AB7" s="31"/>
      <c r="AC7" s="31"/>
      <c r="AD7" s="31"/>
    </row>
    <row r="8" spans="2:30" x14ac:dyDescent="0.3">
      <c r="B8" s="31"/>
      <c r="C8" s="31"/>
      <c r="D8" s="31"/>
      <c r="E8" s="31"/>
      <c r="F8" s="31"/>
      <c r="G8" s="31"/>
      <c r="H8" s="31"/>
      <c r="I8" s="31"/>
      <c r="J8" s="31"/>
      <c r="K8" s="31"/>
      <c r="L8" s="31"/>
      <c r="M8" s="31"/>
      <c r="N8" s="31"/>
      <c r="O8" s="31"/>
      <c r="P8" s="31"/>
      <c r="Q8" s="31"/>
      <c r="R8" s="31"/>
      <c r="S8" s="31"/>
      <c r="T8" s="31"/>
      <c r="U8" s="31"/>
      <c r="V8" s="31"/>
      <c r="W8" s="31"/>
      <c r="X8" s="31"/>
      <c r="Y8" s="31"/>
      <c r="Z8" s="31"/>
      <c r="AA8" s="31"/>
      <c r="AB8" s="31"/>
      <c r="AC8" s="31"/>
      <c r="AD8" s="31"/>
    </row>
    <row r="9" spans="2:30" x14ac:dyDescent="0.3">
      <c r="B9" s="31"/>
      <c r="C9" s="31"/>
      <c r="D9" s="31"/>
      <c r="E9" s="31"/>
      <c r="F9" s="31"/>
      <c r="G9" s="31"/>
      <c r="H9" s="31"/>
      <c r="I9" s="31"/>
      <c r="J9" s="31"/>
      <c r="K9" s="31"/>
      <c r="L9" s="31"/>
      <c r="M9" s="31"/>
      <c r="N9" s="31"/>
      <c r="O9" s="31"/>
      <c r="P9" s="31"/>
      <c r="Q9" s="31"/>
      <c r="R9" s="31"/>
      <c r="S9" s="31"/>
      <c r="T9" s="31"/>
      <c r="U9" s="31"/>
      <c r="V9" s="31"/>
      <c r="W9" s="31"/>
      <c r="X9" s="31"/>
      <c r="Y9" s="31"/>
      <c r="Z9" s="31"/>
      <c r="AA9" s="31"/>
      <c r="AB9" s="31"/>
      <c r="AC9" s="31"/>
      <c r="AD9" s="31"/>
    </row>
    <row r="10" spans="2:30" x14ac:dyDescent="0.3">
      <c r="B10" s="31"/>
      <c r="C10" s="31"/>
      <c r="D10" s="31"/>
      <c r="E10" s="31"/>
      <c r="F10" s="31"/>
      <c r="G10" s="31"/>
      <c r="H10" s="31"/>
      <c r="I10" s="31"/>
      <c r="J10" s="31"/>
      <c r="K10" s="31"/>
      <c r="L10" s="31"/>
      <c r="M10" s="31"/>
      <c r="N10" s="31"/>
      <c r="O10" s="31"/>
      <c r="P10" s="31"/>
      <c r="Q10" s="31"/>
      <c r="R10" s="31"/>
      <c r="S10" s="31"/>
      <c r="T10" s="31"/>
      <c r="U10" s="31"/>
      <c r="V10" s="31"/>
      <c r="W10" s="31"/>
      <c r="X10" s="31"/>
      <c r="Y10" s="31"/>
      <c r="Z10" s="31"/>
      <c r="AA10" s="31"/>
      <c r="AB10" s="31"/>
      <c r="AC10" s="31"/>
      <c r="AD10" s="31"/>
    </row>
    <row r="11" spans="2:30" x14ac:dyDescent="0.3">
      <c r="B11" s="31"/>
      <c r="C11" s="31"/>
      <c r="D11" s="31"/>
      <c r="E11" s="31"/>
      <c r="F11" s="31"/>
      <c r="G11" s="31"/>
      <c r="H11" s="31"/>
      <c r="I11" s="31"/>
      <c r="J11" s="31"/>
      <c r="K11" s="31"/>
      <c r="L11" s="31"/>
      <c r="M11" s="31"/>
      <c r="N11" s="31"/>
      <c r="O11" s="31"/>
      <c r="P11" s="31"/>
      <c r="Q11" s="31"/>
      <c r="R11" s="31"/>
      <c r="S11" s="31"/>
      <c r="T11" s="31"/>
      <c r="U11" s="31"/>
      <c r="V11" s="31"/>
      <c r="W11" s="31"/>
      <c r="X11" s="31"/>
      <c r="Y11" s="31"/>
      <c r="Z11" s="31"/>
      <c r="AA11" s="31"/>
      <c r="AB11" s="31"/>
      <c r="AC11" s="31"/>
      <c r="AD11" s="31"/>
    </row>
    <row r="12" spans="2:30" x14ac:dyDescent="0.3">
      <c r="B12" s="31"/>
      <c r="C12" s="31"/>
      <c r="D12" s="31"/>
      <c r="E12" s="31"/>
      <c r="F12" s="31"/>
      <c r="G12" s="31"/>
      <c r="H12" s="31"/>
      <c r="I12" s="31"/>
      <c r="J12" s="31"/>
      <c r="K12" s="31"/>
      <c r="L12" s="31"/>
      <c r="M12" s="31"/>
      <c r="N12" s="31"/>
      <c r="O12" s="31"/>
      <c r="P12" s="31"/>
      <c r="Q12" s="31"/>
      <c r="R12" s="31"/>
      <c r="S12" s="31"/>
      <c r="T12" s="31"/>
      <c r="U12" s="31"/>
      <c r="V12" s="31"/>
      <c r="W12" s="31"/>
      <c r="X12" s="31"/>
      <c r="Y12" s="31"/>
      <c r="Z12" s="31"/>
      <c r="AA12" s="31"/>
      <c r="AB12" s="31"/>
      <c r="AC12" s="31"/>
      <c r="AD12" s="31"/>
    </row>
    <row r="13" spans="2:30" x14ac:dyDescent="0.3">
      <c r="B13" s="31"/>
      <c r="C13" s="31"/>
      <c r="D13" s="31"/>
      <c r="E13" s="31"/>
      <c r="F13" s="31"/>
      <c r="G13" s="31"/>
      <c r="H13" s="31"/>
      <c r="I13" s="31"/>
      <c r="J13" s="31"/>
      <c r="K13" s="31"/>
      <c r="L13" s="31"/>
      <c r="M13" s="31"/>
      <c r="N13" s="31"/>
      <c r="O13" s="31"/>
      <c r="P13" s="31"/>
      <c r="Q13" s="31"/>
      <c r="R13" s="31"/>
      <c r="S13" s="31"/>
      <c r="T13" s="31"/>
      <c r="U13" s="31"/>
      <c r="V13" s="31"/>
      <c r="W13" s="31"/>
      <c r="X13" s="31"/>
      <c r="Y13" s="31"/>
      <c r="Z13" s="31"/>
      <c r="AA13" s="31"/>
      <c r="AB13" s="31"/>
      <c r="AC13" s="31"/>
      <c r="AD13" s="31"/>
    </row>
    <row r="14" spans="2:30" x14ac:dyDescent="0.3">
      <c r="B14" s="31"/>
      <c r="C14" s="31"/>
      <c r="D14" s="31"/>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row>
    <row r="15" spans="2:30" x14ac:dyDescent="0.3">
      <c r="B15" s="31"/>
      <c r="C15" s="31"/>
      <c r="D15" s="31"/>
      <c r="E15" s="31"/>
      <c r="F15" s="31"/>
      <c r="G15" s="31"/>
      <c r="H15" s="31"/>
      <c r="I15" s="31"/>
      <c r="J15" s="31"/>
      <c r="K15" s="31"/>
      <c r="L15" s="31"/>
      <c r="M15" s="31"/>
      <c r="N15" s="31"/>
      <c r="O15" s="31"/>
      <c r="P15" s="31"/>
      <c r="Q15" s="31"/>
      <c r="R15" s="31"/>
      <c r="S15" s="31"/>
      <c r="T15" s="31"/>
      <c r="U15" s="31"/>
      <c r="V15" s="31"/>
      <c r="W15" s="31"/>
      <c r="X15" s="31"/>
      <c r="Y15" s="31"/>
      <c r="Z15" s="31"/>
      <c r="AA15" s="31"/>
      <c r="AB15" s="31"/>
      <c r="AC15" s="31"/>
      <c r="AD15" s="31"/>
    </row>
    <row r="16" spans="2:30" x14ac:dyDescent="0.3">
      <c r="B16" s="31"/>
      <c r="C16" s="31"/>
      <c r="D16" s="31"/>
      <c r="E16" s="31"/>
      <c r="F16" s="31"/>
      <c r="G16" s="31"/>
      <c r="H16" s="31"/>
      <c r="I16" s="31"/>
      <c r="J16" s="31"/>
      <c r="K16" s="31"/>
      <c r="L16" s="31"/>
      <c r="M16" s="31"/>
      <c r="N16" s="31"/>
      <c r="O16" s="31"/>
      <c r="P16" s="31"/>
      <c r="Q16" s="31"/>
      <c r="R16" s="31"/>
      <c r="S16" s="31"/>
      <c r="T16" s="31"/>
      <c r="U16" s="31"/>
      <c r="V16" s="31"/>
      <c r="W16" s="31"/>
      <c r="X16" s="31"/>
      <c r="Y16" s="31"/>
      <c r="Z16" s="31"/>
      <c r="AA16" s="31"/>
      <c r="AB16" s="31"/>
      <c r="AC16" s="31"/>
      <c r="AD16" s="31"/>
    </row>
    <row r="17" spans="2:30" x14ac:dyDescent="0.3">
      <c r="B17" s="31"/>
      <c r="C17" s="31"/>
      <c r="D17" s="31"/>
      <c r="E17" s="31"/>
      <c r="F17" s="31"/>
      <c r="G17" s="31"/>
      <c r="H17" s="31"/>
      <c r="I17" s="31"/>
      <c r="J17" s="31"/>
      <c r="K17" s="31"/>
      <c r="L17" s="31"/>
      <c r="M17" s="31"/>
      <c r="N17" s="31"/>
      <c r="O17" s="31"/>
      <c r="P17" s="31"/>
      <c r="Q17" s="31"/>
      <c r="R17" s="31"/>
      <c r="S17" s="31"/>
      <c r="T17" s="31"/>
      <c r="U17" s="31"/>
      <c r="V17" s="31"/>
      <c r="W17" s="31"/>
      <c r="X17" s="31"/>
      <c r="Y17" s="31"/>
      <c r="Z17" s="31"/>
      <c r="AA17" s="31"/>
      <c r="AB17" s="31"/>
      <c r="AC17" s="31"/>
      <c r="AD17" s="31"/>
    </row>
    <row r="18" spans="2:30" x14ac:dyDescent="0.3">
      <c r="B18" s="31"/>
      <c r="C18" s="31"/>
      <c r="D18" s="31"/>
      <c r="E18" s="31"/>
      <c r="F18" s="31"/>
      <c r="G18" s="31"/>
      <c r="H18" s="31"/>
      <c r="I18" s="31"/>
      <c r="J18" s="31"/>
      <c r="K18" s="31"/>
      <c r="L18" s="31"/>
      <c r="M18" s="31"/>
      <c r="N18" s="31"/>
      <c r="O18" s="31"/>
      <c r="P18" s="31"/>
      <c r="Q18" s="31"/>
      <c r="R18" s="31"/>
      <c r="S18" s="31"/>
      <c r="T18" s="31"/>
      <c r="U18" s="31"/>
      <c r="V18" s="31"/>
      <c r="W18" s="31"/>
      <c r="X18" s="31"/>
      <c r="Y18" s="31"/>
      <c r="Z18" s="31"/>
      <c r="AA18" s="31"/>
      <c r="AB18" s="31"/>
      <c r="AC18" s="31"/>
      <c r="AD18" s="31"/>
    </row>
    <row r="19" spans="2:30" x14ac:dyDescent="0.3">
      <c r="B19" s="31"/>
      <c r="C19" s="31"/>
      <c r="D19" s="31"/>
      <c r="E19" s="31"/>
      <c r="F19" s="31"/>
      <c r="G19" s="31"/>
      <c r="H19" s="31"/>
      <c r="I19" s="31"/>
      <c r="J19" s="31"/>
      <c r="K19" s="31"/>
      <c r="L19" s="31"/>
      <c r="M19" s="31"/>
      <c r="N19" s="31"/>
      <c r="O19" s="31"/>
      <c r="P19" s="31"/>
      <c r="Q19" s="31"/>
      <c r="R19" s="31"/>
      <c r="S19" s="31"/>
      <c r="T19" s="31"/>
      <c r="U19" s="31"/>
      <c r="V19" s="31"/>
      <c r="W19" s="31"/>
      <c r="X19" s="31"/>
      <c r="Y19" s="31"/>
      <c r="Z19" s="31"/>
      <c r="AA19" s="31"/>
      <c r="AB19" s="31"/>
      <c r="AC19" s="31"/>
      <c r="AD19" s="31"/>
    </row>
    <row r="20" spans="2:30" x14ac:dyDescent="0.3">
      <c r="B20" s="31"/>
      <c r="C20" s="31"/>
      <c r="D20" s="31"/>
      <c r="E20" s="31"/>
      <c r="F20" s="31"/>
      <c r="G20" s="31"/>
      <c r="H20" s="31"/>
      <c r="I20" s="31"/>
      <c r="J20" s="31"/>
      <c r="K20" s="31"/>
      <c r="L20" s="31"/>
      <c r="M20" s="31"/>
      <c r="N20" s="31"/>
      <c r="O20" s="31"/>
      <c r="P20" s="31"/>
      <c r="Q20" s="31"/>
      <c r="R20" s="31"/>
      <c r="S20" s="31"/>
      <c r="T20" s="31"/>
      <c r="U20" s="31"/>
      <c r="V20" s="31"/>
      <c r="W20" s="31"/>
      <c r="X20" s="31"/>
      <c r="Y20" s="31"/>
      <c r="Z20" s="31"/>
      <c r="AA20" s="31"/>
      <c r="AB20" s="31"/>
      <c r="AC20" s="31"/>
      <c r="AD20" s="31"/>
    </row>
    <row r="21" spans="2:30" x14ac:dyDescent="0.3">
      <c r="B21" s="31"/>
      <c r="C21" s="31"/>
      <c r="D21" s="31"/>
      <c r="E21" s="31"/>
      <c r="F21" s="31"/>
      <c r="G21" s="31"/>
      <c r="H21" s="31"/>
      <c r="I21" s="31"/>
      <c r="J21" s="31"/>
      <c r="K21" s="31"/>
      <c r="L21" s="31"/>
      <c r="M21" s="31"/>
      <c r="N21" s="31"/>
      <c r="O21" s="31"/>
      <c r="P21" s="31"/>
      <c r="Q21" s="31"/>
      <c r="R21" s="31"/>
      <c r="S21" s="31"/>
      <c r="T21" s="31"/>
      <c r="U21" s="31"/>
      <c r="V21" s="31"/>
      <c r="W21" s="31"/>
      <c r="X21" s="31"/>
      <c r="Y21" s="31"/>
      <c r="Z21" s="31"/>
      <c r="AA21" s="31"/>
      <c r="AB21" s="31"/>
      <c r="AC21" s="31"/>
      <c r="AD21" s="31"/>
    </row>
    <row r="22" spans="2:30" x14ac:dyDescent="0.3">
      <c r="B22" s="31"/>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row>
    <row r="23" spans="2:30" x14ac:dyDescent="0.3">
      <c r="B23" s="31"/>
      <c r="C23" s="31"/>
      <c r="D23" s="31"/>
      <c r="E23" s="31"/>
      <c r="F23" s="31"/>
      <c r="G23" s="31"/>
      <c r="H23" s="31"/>
      <c r="I23" s="31"/>
      <c r="J23" s="31"/>
      <c r="K23" s="31"/>
      <c r="L23" s="31"/>
      <c r="M23" s="31"/>
      <c r="N23" s="31"/>
      <c r="O23" s="31"/>
      <c r="P23" s="31"/>
      <c r="Q23" s="31"/>
      <c r="R23" s="31"/>
      <c r="S23" s="31"/>
      <c r="T23" s="31"/>
      <c r="U23" s="31"/>
      <c r="V23" s="31"/>
      <c r="W23" s="31"/>
      <c r="X23" s="31"/>
      <c r="Y23" s="31"/>
      <c r="Z23" s="31"/>
      <c r="AA23" s="31"/>
      <c r="AB23" s="31"/>
      <c r="AC23" s="31"/>
      <c r="AD23" s="31"/>
    </row>
    <row r="24" spans="2:30" x14ac:dyDescent="0.3">
      <c r="B24" s="31"/>
      <c r="C24" s="31"/>
      <c r="D24" s="31"/>
      <c r="E24" s="31"/>
      <c r="F24" s="31"/>
      <c r="G24" s="31"/>
      <c r="H24" s="31"/>
      <c r="I24" s="31"/>
      <c r="J24" s="31"/>
      <c r="K24" s="31"/>
      <c r="L24" s="31"/>
      <c r="M24" s="31"/>
      <c r="N24" s="31"/>
      <c r="O24" s="31"/>
      <c r="P24" s="31"/>
      <c r="Q24" s="31"/>
      <c r="R24" s="31"/>
      <c r="S24" s="31"/>
      <c r="T24" s="31"/>
      <c r="U24" s="31"/>
      <c r="V24" s="31"/>
      <c r="W24" s="31"/>
      <c r="X24" s="31"/>
      <c r="Y24" s="31"/>
      <c r="Z24" s="31"/>
      <c r="AA24" s="31"/>
      <c r="AB24" s="31"/>
      <c r="AC24" s="31"/>
      <c r="AD24" s="31"/>
    </row>
    <row r="25" spans="2:30" x14ac:dyDescent="0.3">
      <c r="B25" s="31"/>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row>
    <row r="26" spans="2:30" x14ac:dyDescent="0.3">
      <c r="B26" s="31"/>
      <c r="C26" s="31"/>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row>
    <row r="27" spans="2:30" x14ac:dyDescent="0.3">
      <c r="B27" s="31"/>
      <c r="C27" s="31"/>
      <c r="D27" s="31"/>
      <c r="E27" s="31"/>
      <c r="F27" s="31"/>
      <c r="G27" s="31"/>
      <c r="H27" s="31"/>
      <c r="I27" s="31"/>
      <c r="J27" s="31"/>
      <c r="K27" s="31"/>
      <c r="L27" s="31"/>
      <c r="M27" s="31"/>
      <c r="N27" s="31"/>
      <c r="O27" s="31"/>
      <c r="P27" s="31"/>
      <c r="Q27" s="31"/>
      <c r="R27" s="31"/>
      <c r="S27" s="31"/>
      <c r="T27" s="31"/>
      <c r="U27" s="31"/>
      <c r="V27" s="31"/>
      <c r="W27" s="31"/>
      <c r="X27" s="31"/>
      <c r="Y27" s="31"/>
      <c r="Z27" s="31"/>
      <c r="AA27" s="31"/>
      <c r="AB27" s="31"/>
      <c r="AC27" s="31"/>
      <c r="AD27" s="31"/>
    </row>
    <row r="28" spans="2:30" x14ac:dyDescent="0.3">
      <c r="B28" s="31"/>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1"/>
      <c r="AC28" s="31"/>
      <c r="AD28" s="31"/>
    </row>
    <row r="29" spans="2:30" x14ac:dyDescent="0.3">
      <c r="B29" s="31"/>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row>
    <row r="30" spans="2:30" x14ac:dyDescent="0.3">
      <c r="B30" s="31"/>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row>
    <row r="31" spans="2:30" x14ac:dyDescent="0.3">
      <c r="B31" s="31"/>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31"/>
    </row>
    <row r="32" spans="2:30" x14ac:dyDescent="0.3">
      <c r="B32" s="31"/>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1"/>
      <c r="AD32" s="31"/>
    </row>
    <row r="33" spans="2:30" x14ac:dyDescent="0.3">
      <c r="B33" s="31"/>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1"/>
      <c r="AD33" s="31"/>
    </row>
    <row r="34" spans="2:30" x14ac:dyDescent="0.3">
      <c r="B34" s="31"/>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1"/>
      <c r="AD34" s="31"/>
    </row>
    <row r="35" spans="2:30" x14ac:dyDescent="0.3">
      <c r="B35" s="31"/>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1"/>
      <c r="AD35" s="31"/>
    </row>
    <row r="36" spans="2:30" x14ac:dyDescent="0.3">
      <c r="B36" s="31"/>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1"/>
      <c r="AD36" s="31"/>
    </row>
    <row r="37" spans="2:30" x14ac:dyDescent="0.3">
      <c r="B37" s="31"/>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row>
    <row r="38" spans="2:30" x14ac:dyDescent="0.3">
      <c r="B38" s="31"/>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1"/>
      <c r="AD38" s="31"/>
    </row>
    <row r="39" spans="2:30" x14ac:dyDescent="0.3">
      <c r="B39" s="31"/>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1"/>
      <c r="AC39" s="31"/>
      <c r="AD39" s="31"/>
    </row>
    <row r="40" spans="2:30" x14ac:dyDescent="0.3">
      <c r="B40" s="31"/>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1"/>
      <c r="AC40" s="31"/>
      <c r="AD40" s="31"/>
    </row>
    <row r="41" spans="2:30" x14ac:dyDescent="0.3">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31"/>
    </row>
    <row r="42" spans="2:30" x14ac:dyDescent="0.3">
      <c r="B42" s="31"/>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row>
    <row r="43" spans="2:30" x14ac:dyDescent="0.3">
      <c r="B43" s="31"/>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1"/>
      <c r="AC43" s="31"/>
      <c r="AD43" s="31"/>
    </row>
    <row r="44" spans="2:30" x14ac:dyDescent="0.3">
      <c r="B44" s="31"/>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1"/>
      <c r="AC44" s="31"/>
      <c r="AD44" s="31"/>
    </row>
    <row r="45" spans="2:30" x14ac:dyDescent="0.3">
      <c r="B45" s="31"/>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1"/>
      <c r="AC45" s="31"/>
      <c r="AD45" s="31"/>
    </row>
    <row r="46" spans="2:30" x14ac:dyDescent="0.3">
      <c r="B46" s="31"/>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1"/>
      <c r="AD46" s="31"/>
    </row>
    <row r="47" spans="2:30" x14ac:dyDescent="0.3">
      <c r="B47" s="31"/>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1"/>
      <c r="AD47" s="31"/>
    </row>
    <row r="48" spans="2:30" x14ac:dyDescent="0.3">
      <c r="B48" s="31"/>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1"/>
      <c r="AD48" s="31"/>
    </row>
    <row r="49" spans="2:30" x14ac:dyDescent="0.3">
      <c r="B49" s="32"/>
      <c r="C49" s="32"/>
      <c r="D49" s="32"/>
      <c r="E49" s="32"/>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row>
    <row r="50" spans="2:30" x14ac:dyDescent="0.3">
      <c r="B50" s="32"/>
      <c r="C50" s="32"/>
      <c r="D50" s="32"/>
      <c r="E50" s="32"/>
      <c r="F50" s="32"/>
      <c r="G50" s="32"/>
      <c r="H50" s="32"/>
      <c r="I50" s="32"/>
      <c r="J50" s="32"/>
      <c r="K50" s="32"/>
      <c r="L50" s="32"/>
      <c r="M50" s="32"/>
      <c r="N50" s="32"/>
      <c r="O50" s="32"/>
      <c r="P50" s="32"/>
      <c r="Q50" s="32"/>
      <c r="R50" s="32"/>
      <c r="S50" s="32"/>
      <c r="T50" s="32"/>
      <c r="U50" s="32"/>
      <c r="V50" s="32"/>
      <c r="W50" s="32"/>
      <c r="X50" s="32"/>
      <c r="Y50" s="32"/>
      <c r="Z50" s="32"/>
      <c r="AA50" s="32"/>
      <c r="AB50" s="32"/>
      <c r="AC50" s="32"/>
      <c r="AD50" s="32"/>
    </row>
    <row r="51" spans="2:30" x14ac:dyDescent="0.3">
      <c r="B51" s="32"/>
      <c r="C51" s="32"/>
      <c r="D51" s="32"/>
      <c r="E51" s="32"/>
      <c r="F51" s="32"/>
      <c r="G51" s="32"/>
      <c r="H51" s="32"/>
      <c r="I51" s="32"/>
      <c r="J51" s="32"/>
      <c r="K51" s="32"/>
      <c r="L51" s="32"/>
      <c r="M51" s="32"/>
      <c r="N51" s="32"/>
      <c r="O51" s="32"/>
      <c r="P51" s="32"/>
      <c r="Q51" s="32"/>
      <c r="R51" s="32"/>
      <c r="S51" s="32"/>
      <c r="T51" s="32"/>
      <c r="U51" s="32"/>
      <c r="V51" s="32"/>
      <c r="W51" s="32"/>
      <c r="X51" s="32"/>
      <c r="Y51" s="32"/>
      <c r="Z51" s="32"/>
      <c r="AA51" s="32"/>
      <c r="AB51" s="32"/>
      <c r="AC51" s="32"/>
      <c r="AD51" s="32"/>
    </row>
    <row r="52" spans="2:30" x14ac:dyDescent="0.3">
      <c r="B52" s="32"/>
      <c r="C52" s="32"/>
      <c r="D52" s="32"/>
      <c r="E52" s="32"/>
      <c r="F52" s="32"/>
      <c r="G52" s="32"/>
      <c r="H52" s="32"/>
      <c r="I52" s="32"/>
      <c r="J52" s="32"/>
      <c r="K52" s="32"/>
      <c r="L52" s="32"/>
      <c r="M52" s="32"/>
      <c r="N52" s="32"/>
      <c r="O52" s="32"/>
      <c r="P52" s="32"/>
      <c r="Q52" s="32"/>
      <c r="R52" s="32"/>
      <c r="S52" s="32"/>
      <c r="T52" s="32"/>
      <c r="U52" s="32"/>
      <c r="V52" s="32"/>
      <c r="W52" s="32"/>
      <c r="X52" s="32"/>
      <c r="Y52" s="32"/>
      <c r="Z52" s="32"/>
      <c r="AA52" s="32"/>
      <c r="AB52" s="32"/>
      <c r="AC52" s="32"/>
      <c r="AD52" s="32"/>
    </row>
    <row r="53" spans="2:30" x14ac:dyDescent="0.3">
      <c r="B53" s="32"/>
      <c r="C53" s="32"/>
      <c r="D53" s="32"/>
      <c r="E53" s="32"/>
      <c r="F53" s="32"/>
      <c r="G53" s="32"/>
      <c r="H53" s="32"/>
      <c r="I53" s="32"/>
      <c r="J53" s="32"/>
      <c r="K53" s="32"/>
      <c r="L53" s="32"/>
      <c r="M53" s="32"/>
      <c r="N53" s="32"/>
      <c r="O53" s="32"/>
      <c r="P53" s="32"/>
      <c r="Q53" s="32"/>
      <c r="R53" s="32"/>
      <c r="S53" s="32"/>
      <c r="T53" s="32"/>
      <c r="U53" s="32"/>
      <c r="V53" s="32"/>
      <c r="W53" s="32"/>
      <c r="X53" s="32"/>
      <c r="Y53" s="32"/>
      <c r="Z53" s="32"/>
      <c r="AA53" s="32"/>
      <c r="AB53" s="32"/>
      <c r="AC53" s="32"/>
      <c r="AD53" s="32"/>
    </row>
    <row r="54" spans="2:30" x14ac:dyDescent="0.3">
      <c r="B54" s="32"/>
      <c r="C54" s="32"/>
      <c r="D54" s="32"/>
      <c r="E54" s="32"/>
      <c r="F54" s="32"/>
      <c r="G54" s="32"/>
      <c r="H54" s="32"/>
      <c r="I54" s="32"/>
      <c r="J54" s="32"/>
      <c r="K54" s="32"/>
      <c r="L54" s="32"/>
      <c r="M54" s="32"/>
      <c r="N54" s="32"/>
      <c r="O54" s="32"/>
      <c r="P54" s="32"/>
      <c r="Q54" s="32"/>
      <c r="R54" s="32"/>
      <c r="S54" s="32"/>
      <c r="T54" s="32"/>
      <c r="U54" s="32"/>
      <c r="V54" s="32"/>
      <c r="W54" s="32"/>
      <c r="X54" s="32"/>
      <c r="Y54" s="32"/>
      <c r="Z54" s="32"/>
      <c r="AA54" s="32"/>
      <c r="AB54" s="32"/>
      <c r="AC54" s="32"/>
      <c r="AD54" s="32"/>
    </row>
    <row r="55" spans="2:30" x14ac:dyDescent="0.3">
      <c r="B55" s="32"/>
      <c r="C55" s="32"/>
      <c r="D55" s="32"/>
      <c r="E55" s="32"/>
      <c r="F55" s="32"/>
      <c r="G55" s="32"/>
      <c r="H55" s="32"/>
      <c r="I55" s="32"/>
      <c r="J55" s="32"/>
      <c r="K55" s="32"/>
      <c r="L55" s="32"/>
      <c r="M55" s="32"/>
      <c r="N55" s="32"/>
      <c r="O55" s="32"/>
      <c r="P55" s="32"/>
      <c r="Q55" s="32"/>
      <c r="R55" s="32"/>
      <c r="S55" s="32"/>
      <c r="T55" s="32"/>
      <c r="U55" s="32"/>
      <c r="V55" s="32"/>
      <c r="W55" s="32"/>
      <c r="X55" s="32"/>
      <c r="Y55" s="32"/>
      <c r="Z55" s="32"/>
      <c r="AA55" s="32"/>
      <c r="AB55" s="32"/>
      <c r="AC55" s="32"/>
      <c r="AD55" s="32"/>
    </row>
    <row r="56" spans="2:30" x14ac:dyDescent="0.3">
      <c r="B56" s="32"/>
      <c r="C56" s="32"/>
      <c r="D56" s="32"/>
      <c r="E56" s="32"/>
      <c r="F56" s="32"/>
      <c r="G56" s="32"/>
      <c r="H56" s="32"/>
      <c r="I56" s="32"/>
      <c r="J56" s="32"/>
      <c r="K56" s="32"/>
      <c r="L56" s="32"/>
      <c r="M56" s="32"/>
      <c r="N56" s="32"/>
      <c r="O56" s="32"/>
      <c r="P56" s="32"/>
      <c r="Q56" s="32"/>
      <c r="R56" s="32"/>
      <c r="S56" s="32"/>
      <c r="T56" s="32"/>
      <c r="U56" s="32"/>
      <c r="V56" s="32"/>
      <c r="W56" s="32"/>
      <c r="X56" s="32"/>
      <c r="Y56" s="32"/>
      <c r="Z56" s="32"/>
      <c r="AA56" s="32"/>
      <c r="AB56" s="32"/>
      <c r="AC56" s="32"/>
      <c r="AD56" s="32"/>
    </row>
    <row r="57" spans="2:30" x14ac:dyDescent="0.3">
      <c r="B57" s="32"/>
      <c r="C57" s="32"/>
      <c r="D57" s="32"/>
      <c r="E57" s="32"/>
      <c r="F57" s="32"/>
      <c r="G57" s="32"/>
      <c r="H57" s="32"/>
      <c r="I57" s="32"/>
      <c r="J57" s="32"/>
      <c r="K57" s="32"/>
      <c r="L57" s="32"/>
      <c r="M57" s="32"/>
      <c r="N57" s="32"/>
      <c r="O57" s="32"/>
      <c r="P57" s="32"/>
      <c r="Q57" s="32"/>
      <c r="R57" s="32"/>
      <c r="S57" s="32"/>
      <c r="T57" s="32"/>
      <c r="U57" s="32"/>
      <c r="V57" s="32"/>
      <c r="W57" s="32"/>
      <c r="X57" s="32"/>
      <c r="Y57" s="32"/>
      <c r="Z57" s="32"/>
      <c r="AA57" s="32"/>
      <c r="AB57" s="32"/>
      <c r="AC57" s="32"/>
      <c r="AD57" s="32"/>
    </row>
    <row r="58" spans="2:30" x14ac:dyDescent="0.3">
      <c r="B58" s="32"/>
      <c r="C58" s="32"/>
      <c r="D58" s="32"/>
      <c r="E58" s="32"/>
      <c r="F58" s="32"/>
      <c r="G58" s="32"/>
      <c r="H58" s="32"/>
      <c r="I58" s="32"/>
      <c r="J58" s="32"/>
      <c r="K58" s="32"/>
      <c r="L58" s="32"/>
      <c r="M58" s="32"/>
      <c r="N58" s="32"/>
      <c r="O58" s="32"/>
      <c r="P58" s="32"/>
      <c r="Q58" s="32"/>
      <c r="R58" s="32"/>
      <c r="S58" s="32"/>
      <c r="T58" s="32"/>
      <c r="U58" s="32"/>
      <c r="V58" s="32"/>
      <c r="W58" s="32"/>
      <c r="X58" s="32"/>
      <c r="Y58" s="32"/>
      <c r="Z58" s="32"/>
      <c r="AA58" s="32"/>
      <c r="AB58" s="32"/>
      <c r="AC58" s="32"/>
      <c r="AD58" s="32"/>
    </row>
    <row r="59" spans="2:30" x14ac:dyDescent="0.3">
      <c r="B59" s="32"/>
      <c r="C59" s="32"/>
      <c r="D59" s="32"/>
      <c r="E59" s="32"/>
      <c r="F59" s="32"/>
      <c r="G59" s="32"/>
      <c r="H59" s="32"/>
      <c r="I59" s="32"/>
      <c r="J59" s="32"/>
      <c r="K59" s="32"/>
      <c r="L59" s="32"/>
      <c r="M59" s="32"/>
      <c r="N59" s="32"/>
      <c r="O59" s="32"/>
      <c r="P59" s="32"/>
      <c r="Q59" s="32"/>
      <c r="R59" s="32"/>
      <c r="S59" s="32"/>
      <c r="T59" s="32"/>
      <c r="U59" s="32"/>
      <c r="V59" s="32"/>
      <c r="W59" s="32"/>
      <c r="X59" s="32"/>
      <c r="Y59" s="32"/>
      <c r="Z59" s="32"/>
      <c r="AA59" s="32"/>
      <c r="AB59" s="32"/>
      <c r="AC59" s="32"/>
      <c r="AD59" s="32"/>
    </row>
    <row r="60" spans="2:30" x14ac:dyDescent="0.3">
      <c r="B60" s="32"/>
      <c r="C60" s="32"/>
      <c r="D60" s="32"/>
      <c r="E60" s="32"/>
      <c r="F60" s="32"/>
      <c r="G60" s="32"/>
      <c r="H60" s="32"/>
      <c r="I60" s="32"/>
      <c r="J60" s="32"/>
      <c r="K60" s="32"/>
      <c r="L60" s="32"/>
      <c r="M60" s="32"/>
      <c r="N60" s="32"/>
      <c r="O60" s="32"/>
      <c r="P60" s="32"/>
      <c r="Q60" s="32"/>
      <c r="R60" s="32"/>
      <c r="S60" s="32"/>
      <c r="T60" s="32"/>
      <c r="U60" s="32"/>
      <c r="V60" s="32"/>
      <c r="W60" s="32"/>
      <c r="X60" s="32"/>
      <c r="Y60" s="32"/>
      <c r="Z60" s="32"/>
      <c r="AA60" s="32"/>
      <c r="AB60" s="32"/>
      <c r="AC60" s="32"/>
      <c r="AD60" s="32"/>
    </row>
    <row r="61" spans="2:30" x14ac:dyDescent="0.3">
      <c r="B61" s="32"/>
      <c r="C61" s="32"/>
      <c r="D61" s="32"/>
      <c r="E61" s="32"/>
      <c r="F61" s="32"/>
      <c r="G61" s="32"/>
      <c r="H61" s="32"/>
      <c r="I61" s="32"/>
      <c r="J61" s="32"/>
      <c r="K61" s="32"/>
      <c r="L61" s="32"/>
      <c r="M61" s="32"/>
      <c r="N61" s="32"/>
      <c r="O61" s="32"/>
      <c r="P61" s="32"/>
      <c r="Q61" s="32"/>
      <c r="R61" s="32"/>
      <c r="S61" s="32"/>
      <c r="T61" s="32"/>
      <c r="U61" s="32"/>
      <c r="V61" s="32"/>
      <c r="W61" s="32"/>
      <c r="X61" s="32"/>
      <c r="Y61" s="32"/>
      <c r="Z61" s="32"/>
      <c r="AA61" s="32"/>
      <c r="AB61" s="32"/>
      <c r="AC61" s="32"/>
      <c r="AD61" s="32"/>
    </row>
    <row r="62" spans="2:30" x14ac:dyDescent="0.3">
      <c r="B62" s="32"/>
      <c r="C62" s="32"/>
      <c r="D62" s="32"/>
      <c r="E62" s="32"/>
      <c r="F62" s="32"/>
      <c r="G62" s="32"/>
      <c r="H62" s="32"/>
      <c r="I62" s="32"/>
      <c r="J62" s="32"/>
      <c r="K62" s="32"/>
      <c r="L62" s="32"/>
      <c r="M62" s="32"/>
      <c r="N62" s="32"/>
      <c r="O62" s="32"/>
      <c r="P62" s="32"/>
      <c r="Q62" s="32"/>
      <c r="R62" s="32"/>
      <c r="S62" s="32"/>
      <c r="T62" s="32"/>
      <c r="U62" s="32"/>
      <c r="V62" s="32"/>
      <c r="W62" s="32"/>
      <c r="X62" s="32"/>
      <c r="Y62" s="32"/>
      <c r="Z62" s="32"/>
      <c r="AA62" s="32"/>
      <c r="AB62" s="32"/>
      <c r="AC62" s="32"/>
      <c r="AD62" s="32"/>
    </row>
    <row r="63" spans="2:30" x14ac:dyDescent="0.3">
      <c r="B63" s="32"/>
      <c r="C63" s="32"/>
      <c r="D63" s="32"/>
      <c r="E63" s="32"/>
      <c r="F63" s="32"/>
      <c r="G63" s="32"/>
      <c r="H63" s="32"/>
      <c r="I63" s="32"/>
      <c r="J63" s="32"/>
      <c r="K63" s="32"/>
      <c r="L63" s="32"/>
      <c r="M63" s="32"/>
      <c r="N63" s="32"/>
      <c r="O63" s="32"/>
      <c r="P63" s="32"/>
      <c r="Q63" s="32"/>
      <c r="R63" s="32"/>
      <c r="S63" s="32"/>
      <c r="T63" s="32"/>
      <c r="U63" s="32"/>
      <c r="V63" s="32"/>
      <c r="W63" s="32"/>
      <c r="X63" s="32"/>
      <c r="Y63" s="32"/>
      <c r="Z63" s="32"/>
      <c r="AA63" s="32"/>
      <c r="AB63" s="32"/>
      <c r="AC63" s="32"/>
      <c r="AD63" s="32"/>
    </row>
    <row r="64" spans="2:30" x14ac:dyDescent="0.3">
      <c r="B64" s="32"/>
      <c r="C64" s="32"/>
      <c r="D64" s="32"/>
      <c r="E64" s="32"/>
      <c r="F64" s="32"/>
      <c r="G64" s="32"/>
      <c r="H64" s="32"/>
      <c r="I64" s="32"/>
      <c r="J64" s="32"/>
      <c r="K64" s="32"/>
      <c r="L64" s="32"/>
      <c r="M64" s="32"/>
      <c r="N64" s="32"/>
      <c r="O64" s="32"/>
      <c r="P64" s="32"/>
      <c r="Q64" s="32"/>
      <c r="R64" s="32"/>
      <c r="S64" s="32"/>
      <c r="T64" s="32"/>
      <c r="U64" s="32"/>
      <c r="V64" s="32"/>
      <c r="W64" s="32"/>
      <c r="X64" s="32"/>
      <c r="Y64" s="32"/>
      <c r="Z64" s="32"/>
      <c r="AA64" s="32"/>
      <c r="AB64" s="32"/>
      <c r="AC64" s="32"/>
      <c r="AD64" s="32"/>
    </row>
    <row r="65" spans="2:30" x14ac:dyDescent="0.3">
      <c r="B65" s="32"/>
      <c r="C65" s="32"/>
      <c r="D65" s="32"/>
      <c r="E65" s="32"/>
      <c r="F65" s="32"/>
      <c r="G65" s="32"/>
      <c r="H65" s="32"/>
      <c r="I65" s="32"/>
      <c r="J65" s="32"/>
      <c r="K65" s="32"/>
      <c r="L65" s="32"/>
      <c r="M65" s="32"/>
      <c r="N65" s="32"/>
      <c r="O65" s="32"/>
      <c r="P65" s="32"/>
      <c r="Q65" s="32"/>
      <c r="R65" s="32"/>
      <c r="S65" s="32"/>
      <c r="T65" s="32"/>
      <c r="U65" s="32"/>
      <c r="V65" s="32"/>
      <c r="W65" s="32"/>
      <c r="X65" s="32"/>
      <c r="Y65" s="32"/>
      <c r="Z65" s="32"/>
      <c r="AA65" s="32"/>
      <c r="AB65" s="32"/>
      <c r="AC65" s="32"/>
      <c r="AD65" s="32"/>
    </row>
    <row r="66" spans="2:30" x14ac:dyDescent="0.3">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2"/>
      <c r="AB66" s="32"/>
      <c r="AC66" s="32"/>
      <c r="AD66" s="32"/>
    </row>
  </sheetData>
  <mergeCells count="1">
    <mergeCell ref="J2:U3"/>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DatSet1</vt:lpstr>
      <vt:lpstr>DataSet2</vt:lpstr>
      <vt:lpstr>DataSet3</vt:lpstr>
      <vt:lpstr>Raw Data</vt:lpstr>
      <vt:lpstr>Final Data</vt:lpstr>
      <vt:lpstr>PIVOT TABLE</vt:lpstr>
      <vt:lpstr>HEAT MAP</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ADIESH KOUL</dc:creator>
  <cp:lastModifiedBy>ADIESH KOUL</cp:lastModifiedBy>
  <dcterms:created xsi:type="dcterms:W3CDTF">2015-06-05T18:17:20Z</dcterms:created>
  <dcterms:modified xsi:type="dcterms:W3CDTF">2026-01-12T08:43:20Z</dcterms:modified>
</cp:coreProperties>
</file>